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https://d.docs.live.net/f8253d6e1b8f8189/PROJECTS/IBX Web app/pili/"/>
    </mc:Choice>
  </mc:AlternateContent>
  <xr:revisionPtr revIDLastSave="104" documentId="8_{E3E163D8-2707-4F2F-89E2-0DCC503B8C95}" xr6:coauthVersionLast="47" xr6:coauthVersionMax="47" xr10:uidLastSave="{07587723-4FBE-4BDA-959A-9268EC70C3C7}"/>
  <bookViews>
    <workbookView xWindow="-120" yWindow="-120" windowWidth="20730" windowHeight="11040" tabRatio="759" firstSheet="1" activeTab="8" xr2:uid="{00000000-000D-0000-FFFF-FFFF00000000}"/>
  </bookViews>
  <sheets>
    <sheet name="Operating Guide" sheetId="11" state="hidden" r:id="rId1"/>
    <sheet name="Summary" sheetId="62" r:id="rId2"/>
    <sheet name="Sales Record" sheetId="63" r:id="rId3"/>
    <sheet name="Expense List" sheetId="64" r:id="rId4"/>
    <sheet name="Report" sheetId="37" state="hidden" r:id="rId5"/>
    <sheet name="Client Record" sheetId="21" state="hidden" r:id="rId6"/>
    <sheet name="Workbook Map" sheetId="14" state="hidden" r:id="rId7"/>
    <sheet name="Audit" sheetId="53" state="hidden" r:id="rId8"/>
    <sheet name="Client List" sheetId="65" r:id="rId9"/>
  </sheets>
  <externalReferences>
    <externalReference r:id="rId10"/>
  </externalReferences>
  <definedNames>
    <definedName name="_xlnm._FilterDatabase" localSheetId="1" hidden="1">Summary!$K$90:$AA$90</definedName>
    <definedName name="DashboardMonths" localSheetId="3">[1]Summary!$AE$131:$AE$142</definedName>
    <definedName name="DashboardMonths" localSheetId="2">[1]Summary!$AE$131:$AE$142</definedName>
    <definedName name="DashboardMonths" localSheetId="1">Summary!$AE$131:$AE$142</definedName>
    <definedName name="DashboardMonths">#REF!</definedName>
    <definedName name="InventoryCodes" localSheetId="3">[1]!LIST[CODE]</definedName>
    <definedName name="InventoryCodes" localSheetId="2">[1]!LIST[CODE]</definedName>
    <definedName name="InventoryCodes" localSheetId="1">#REF!</definedName>
    <definedName name="InventoryCodes">#REF!</definedName>
    <definedName name="Phase2_ApprovedAgents" localSheetId="3">'[1]Workbook Map'!$H$91:$H$103</definedName>
    <definedName name="Phase2_ApprovedAgents" localSheetId="2">'[1]Workbook Map'!$H$91:$H$103</definedName>
    <definedName name="Phase2_ApprovedAgents">'Workbook Map'!$H$91:$H$103</definedName>
    <definedName name="Phase2_ClientCategories" localSheetId="3">'[1]Workbook Map'!$I$91:$I$93</definedName>
    <definedName name="Phase2_ClientCategories" localSheetId="2">'[1]Workbook Map'!$I$91:$I$93</definedName>
    <definedName name="Phase2_ClientCategories">'Workbook Map'!$I$91:$I$93</definedName>
    <definedName name="Phase2_ProductCategories" localSheetId="3">'[1]Workbook Map'!$G$91:$G$94</definedName>
    <definedName name="Phase2_ProductCategories" localSheetId="2">'[1]Workbook Map'!$G$91:$G$94</definedName>
    <definedName name="Phase2_ProductCategories">'Workbook Map'!$G$91:$G$94</definedName>
  </definedNames>
  <calcPr calcId="191029"/>
  <customWorkbookViews>
    <customWorkbookView name="Filter 1" guid="{92163EE6-400D-4C36-B4C4-0B04D7C09A6B}" maximized="1" windowWidth="0" windowHeight="0" activeSheetId="0"/>
    <customWorkbookView name="Filter 2" guid="{584D37CA-5166-4CAD-A561-4D898D382EB0}" maximized="1" windowWidth="0" windowHeight="0" activeSheetId="0"/>
  </customWorkbookViews>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9" i="53" l="1"/>
  <c r="D132" i="53"/>
  <c r="B131" i="53"/>
  <c r="G59" i="53"/>
  <c r="D89" i="37"/>
  <c r="D91" i="37" s="1"/>
  <c r="D92" i="37" s="1"/>
  <c r="D88" i="37"/>
  <c r="D87" i="37"/>
  <c r="H83" i="37"/>
  <c r="R18" i="37" s="1"/>
  <c r="D83" i="37"/>
  <c r="H72" i="37"/>
  <c r="D72" i="37"/>
  <c r="D61" i="37"/>
  <c r="D51" i="37" s="1"/>
  <c r="D40" i="37"/>
  <c r="D39" i="37" s="1"/>
  <c r="E162" i="53"/>
  <c r="C162" i="53"/>
  <c r="B162" i="53"/>
  <c r="E148" i="53"/>
  <c r="C148" i="53"/>
  <c r="B148" i="53"/>
  <c r="E147" i="53"/>
  <c r="C147" i="53"/>
  <c r="B147" i="53"/>
  <c r="E161" i="53"/>
  <c r="B161" i="53"/>
  <c r="E160" i="53"/>
  <c r="C160" i="53"/>
  <c r="B160" i="53"/>
  <c r="E159" i="53"/>
  <c r="C159" i="53"/>
  <c r="E153" i="53"/>
  <c r="C153" i="53"/>
  <c r="B153" i="53"/>
  <c r="E140" i="53"/>
  <c r="C140" i="53"/>
  <c r="B140" i="53"/>
  <c r="E139" i="53"/>
  <c r="C139" i="53"/>
  <c r="B139" i="53"/>
  <c r="E151" i="53"/>
  <c r="C151" i="53"/>
  <c r="B151" i="53"/>
  <c r="E155" i="53"/>
  <c r="C155" i="53"/>
  <c r="B155" i="53"/>
  <c r="E146" i="53"/>
  <c r="C146" i="53"/>
  <c r="B146" i="53"/>
  <c r="E138" i="53"/>
  <c r="B138" i="53"/>
  <c r="E145" i="53"/>
  <c r="C145" i="53"/>
  <c r="B145" i="53"/>
  <c r="E152" i="53"/>
  <c r="C152" i="53"/>
  <c r="B152" i="53"/>
  <c r="E154" i="53"/>
  <c r="B154" i="53"/>
  <c r="E144" i="53"/>
  <c r="B144" i="53"/>
  <c r="E143" i="53"/>
  <c r="B143" i="53"/>
  <c r="E158" i="53"/>
  <c r="C158" i="53"/>
  <c r="B158" i="53"/>
  <c r="E156" i="53"/>
  <c r="C156" i="53"/>
  <c r="B156" i="53"/>
  <c r="E142" i="53"/>
  <c r="B142" i="53"/>
  <c r="E157" i="53"/>
  <c r="C157" i="53"/>
  <c r="B157" i="53"/>
  <c r="E149" i="53"/>
  <c r="C149" i="53"/>
  <c r="B149" i="53"/>
  <c r="E150" i="53"/>
  <c r="C150" i="53"/>
  <c r="B150" i="53"/>
  <c r="G155" i="53" l="1"/>
  <c r="G158" i="53"/>
  <c r="C138" i="53"/>
  <c r="G152" i="53"/>
  <c r="G159" i="53"/>
  <c r="G148" i="53"/>
  <c r="C141" i="53"/>
  <c r="G150" i="53"/>
  <c r="C154" i="53"/>
  <c r="G154" i="53"/>
  <c r="B141" i="53"/>
  <c r="F132" i="53" s="1"/>
  <c r="C143" i="53"/>
  <c r="G143" i="53"/>
  <c r="C144" i="53"/>
  <c r="G144" i="53"/>
  <c r="C142" i="53"/>
  <c r="E141" i="53"/>
  <c r="G140" i="53"/>
  <c r="G151" i="53"/>
  <c r="C161" i="53"/>
  <c r="G162" i="53"/>
  <c r="B133" i="53" l="1"/>
  <c r="H36" i="37"/>
  <c r="B21" i="53" a="1"/>
  <c r="B21" i="53" s="1"/>
  <c r="D21" i="53" s="1"/>
  <c r="E21" i="53" s="1"/>
  <c r="D147" i="53"/>
  <c r="D162" i="53"/>
  <c r="D160" i="53"/>
  <c r="D155" i="53"/>
  <c r="D153" i="53"/>
  <c r="D157" i="53"/>
  <c r="D149" i="53"/>
  <c r="D138" i="53"/>
  <c r="D152" i="53"/>
  <c r="D139" i="53"/>
  <c r="D146" i="53"/>
  <c r="D150" i="53"/>
  <c r="D161" i="53"/>
  <c r="D145" i="53"/>
  <c r="D140" i="53"/>
  <c r="D148" i="53"/>
  <c r="F131" i="53"/>
  <c r="D131" i="53"/>
  <c r="B22" i="53"/>
  <c r="D22" i="53" s="1"/>
  <c r="E22" i="53" s="1"/>
  <c r="B17" i="53"/>
  <c r="D141" i="53"/>
  <c r="F141" i="53"/>
  <c r="D33" i="37" l="1"/>
  <c r="C17" i="53"/>
  <c r="D154" i="53"/>
  <c r="B23" i="53"/>
  <c r="D23" i="53" s="1"/>
  <c r="E23" i="53" s="1"/>
  <c r="F161" i="53"/>
  <c r="F149" i="53"/>
  <c r="H150" i="53"/>
  <c r="F150" i="53"/>
  <c r="F145" i="53"/>
  <c r="H155" i="53"/>
  <c r="F155" i="53"/>
  <c r="H162" i="53"/>
  <c r="F162" i="53"/>
  <c r="F138" i="53"/>
  <c r="F139" i="53"/>
  <c r="F152" i="53"/>
  <c r="H152" i="53"/>
  <c r="F147" i="53"/>
  <c r="H148" i="53"/>
  <c r="F148" i="53"/>
  <c r="F157" i="53"/>
  <c r="D17" i="53"/>
  <c r="H140" i="53"/>
  <c r="F140" i="53"/>
  <c r="D159" i="53"/>
  <c r="D144" i="53"/>
  <c r="D143" i="53"/>
  <c r="F146" i="53"/>
  <c r="D151" i="53"/>
  <c r="F160" i="53"/>
  <c r="F153" i="53"/>
  <c r="D158" i="53"/>
  <c r="B25" i="53"/>
  <c r="D156" i="53"/>
  <c r="D142" i="53"/>
  <c r="H132" i="53" l="1"/>
  <c r="B26" i="53" a="1"/>
  <c r="B26" i="53" s="1"/>
  <c r="F143" i="53"/>
  <c r="H143" i="53"/>
  <c r="H144" i="53"/>
  <c r="F144" i="53"/>
  <c r="F142" i="53"/>
  <c r="H151" i="53"/>
  <c r="F151" i="53"/>
  <c r="D25" i="53"/>
  <c r="E25" i="53" s="1"/>
  <c r="C23" i="11" s="1"/>
  <c r="B23" i="11"/>
  <c r="H65" i="37"/>
  <c r="D65" i="37"/>
  <c r="H76" i="37"/>
  <c r="D76" i="37"/>
  <c r="H154" i="53"/>
  <c r="F154" i="53"/>
  <c r="F156" i="53"/>
  <c r="E17" i="53"/>
  <c r="C18" i="11" s="1"/>
  <c r="B18" i="11"/>
  <c r="H158" i="53"/>
  <c r="F158" i="53"/>
  <c r="F159" i="53"/>
  <c r="H159" i="53"/>
  <c r="H34" i="37" l="1"/>
  <c r="H37" i="37"/>
  <c r="H35" i="37"/>
  <c r="G146" i="53"/>
  <c r="H146" i="53"/>
  <c r="G138" i="53"/>
  <c r="H138" i="53"/>
  <c r="G149" i="53"/>
  <c r="H149" i="53"/>
  <c r="H131" i="53"/>
  <c r="B18" i="53"/>
  <c r="G157" i="53"/>
  <c r="H157" i="53"/>
  <c r="D66" i="37"/>
  <c r="D67" i="37" s="1"/>
  <c r="G153" i="53"/>
  <c r="H153" i="53"/>
  <c r="Q17" i="37"/>
  <c r="H66" i="37"/>
  <c r="H67" i="37" s="1"/>
  <c r="R16" i="37" s="1"/>
  <c r="Q18" i="37"/>
  <c r="G141" i="53"/>
  <c r="H141" i="53"/>
  <c r="Q15" i="37"/>
  <c r="Q16" i="37"/>
  <c r="G145" i="53"/>
  <c r="H145" i="53"/>
  <c r="D77" i="37"/>
  <c r="D78" i="37" s="1"/>
  <c r="G161" i="53"/>
  <c r="H161" i="53"/>
  <c r="H77" i="37"/>
  <c r="H78" i="37" s="1"/>
  <c r="H79" i="37" s="1"/>
  <c r="U18" i="37" s="1"/>
  <c r="B20" i="53" a="1"/>
  <c r="B20" i="53" s="1"/>
  <c r="B24" i="53"/>
  <c r="G139" i="53"/>
  <c r="H139" i="53"/>
  <c r="E26" i="53"/>
  <c r="C24" i="11" s="1"/>
  <c r="D26" i="53"/>
  <c r="B24" i="11"/>
  <c r="G160" i="53"/>
  <c r="H160" i="53"/>
  <c r="R17" i="37" l="1"/>
  <c r="D79" i="37"/>
  <c r="U17" i="37" s="1"/>
  <c r="R15" i="37"/>
  <c r="D68" i="37"/>
  <c r="U15" i="37" s="1"/>
  <c r="G147" i="53"/>
  <c r="H147" i="53"/>
  <c r="Q19" i="37"/>
  <c r="E24" i="53"/>
  <c r="C22" i="11" s="1"/>
  <c r="D24" i="53"/>
  <c r="B22" i="11"/>
  <c r="E20" i="53"/>
  <c r="C21" i="11" s="1"/>
  <c r="D20" i="53"/>
  <c r="B21" i="11"/>
  <c r="G156" i="53"/>
  <c r="H156" i="53"/>
  <c r="H68" i="37"/>
  <c r="U16" i="37" s="1"/>
  <c r="G142" i="53"/>
  <c r="H142" i="53"/>
  <c r="C18" i="53"/>
  <c r="D18" i="53" s="1"/>
  <c r="D34" i="37"/>
  <c r="F133" i="53" l="1"/>
  <c r="E18" i="53"/>
  <c r="C19" i="11" s="1"/>
  <c r="B19" i="11"/>
  <c r="D133" i="53"/>
  <c r="D35" i="37" l="1"/>
  <c r="D36" i="37"/>
  <c r="B19" i="53"/>
  <c r="B132" i="53"/>
  <c r="H133" i="53" s="1"/>
  <c r="H33" i="37" l="1"/>
  <c r="H32" i="37" s="1"/>
  <c r="C19" i="53"/>
  <c r="D19" i="53" s="1"/>
  <c r="E19" i="53" l="1"/>
  <c r="C20" i="11" s="1"/>
  <c r="B20" i="11"/>
  <c r="H40" i="37" l="1"/>
  <c r="H41" i="37" l="1"/>
  <c r="H42" i="37" s="1"/>
  <c r="D46" i="37" s="1"/>
  <c r="D49" i="37" l="1"/>
  <c r="D48" i="37"/>
  <c r="D47" i="3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<sst xmlns="http://schemas.openxmlformats.org/spreadsheetml/2006/main" count="10272" uniqueCount="3988">
  <si>
    <t>OPERATING GUIDE — 2026</t>
  </si>
  <si>
    <t>Quick-start controls and approved entry locations for daily workbook operation</t>
  </si>
  <si>
    <t>Use only the entry locations listed below. Sales, cost, commission, reporting and dashboard outputs recalculate automatically. Inventory movement formulas are stable, but 364 products still have unsupported negative stock; do not create purchases or adjustments without source evidence or owner approval.</t>
  </si>
  <si>
    <t>WHERE TO WORK</t>
  </si>
  <si>
    <t>Workflow</t>
  </si>
  <si>
    <t>Sheet</t>
  </si>
  <si>
    <t>Entry point</t>
  </si>
  <si>
    <t>Required inputs</t>
  </si>
  <si>
    <t>Automatic results</t>
  </si>
  <si>
    <t>Primary check</t>
  </si>
  <si>
    <t>Stop condition</t>
  </si>
  <si>
    <t>Current state</t>
  </si>
  <si>
    <t>Enter sales</t>
  </si>
  <si>
    <t>Daily Sales</t>
  </si>
  <si>
    <t>sales[Month] to sales[Price]</t>
  </si>
  <si>
    <t>Month, date, agent, client, item, qty, price</t>
  </si>
  <si>
    <t>Sales, cost, capital, markup, commission</t>
  </si>
  <si>
    <t>Audit sales difference</t>
  </si>
  <si>
    <t>Any nonzero difference</t>
  </si>
  <si>
    <t>READY</t>
  </si>
  <si>
    <t>Add products</t>
  </si>
  <si>
    <t>Inventory</t>
  </si>
  <si>
    <t>LIST[ITEM] to LIST[UNIT COST]</t>
  </si>
  <si>
    <t>Description, code, category, unit cost</t>
  </si>
  <si>
    <t>Price and stock calculations</t>
  </si>
  <si>
    <t>Duplicate/missing codes</t>
  </si>
  <si>
    <t>Duplicate code or blank cost</t>
  </si>
  <si>
    <t>CONTROLLED</t>
  </si>
  <si>
    <t>Add clients</t>
  </si>
  <si>
    <t>Client List01</t>
  </si>
  <si>
    <t>Table28</t>
  </si>
  <si>
    <t>Client name, initials, agent</t>
  </si>
  <si>
    <t>Sales client lookups</t>
  </si>
  <si>
    <t>Unknown client / blank agent</t>
  </si>
  <si>
    <t>Any unresolved client</t>
  </si>
  <si>
    <t>Enter expenses</t>
  </si>
  <si>
    <t>Expenses</t>
  </si>
  <si>
    <t>Monthly expense columns</t>
  </si>
  <si>
    <t>Category, date, item, amount</t>
  </si>
  <si>
    <t>Summary expense and profit rows</t>
  </si>
  <si>
    <t>Summary annual expenses</t>
  </si>
  <si>
    <t>Unexpected annual change</t>
  </si>
  <si>
    <t>Enter purchases</t>
  </si>
  <si>
    <t>Purchase Log</t>
  </si>
  <si>
    <t>PurchaseLog</t>
  </si>
  <si>
    <t>ID, date, supplier, invoice, code, qty, cost</t>
  </si>
  <si>
    <t>Item/category/amount and stock purchased</t>
  </si>
  <si>
    <t>Validation Status = READY</t>
  </si>
  <si>
    <t>Duplicate ID or invalid code</t>
  </si>
  <si>
    <t>READY FOR ENTRY</t>
  </si>
  <si>
    <t>Review results</t>
  </si>
  <si>
    <t>INDEX / Audit</t>
  </si>
  <si>
    <t>KPI dashboard and controls</t>
  </si>
  <si>
    <t>No manual edits to formulas</t>
  </si>
  <si>
    <t>2026 KPIs, charts and control statuses</t>
  </si>
  <si>
    <t>Audit PASS/FAIL controls</t>
  </si>
  <si>
    <t>Any FAIL without approval</t>
  </si>
  <si>
    <t>REVIEW</t>
  </si>
  <si>
    <t>LIVE CONTROL CHECK — REVIEW BEFORE AND AFTER ENTRY</t>
  </si>
  <si>
    <t>Control</t>
  </si>
  <si>
    <t>Current value</t>
  </si>
  <si>
    <t>Status</t>
  </si>
  <si>
    <t>Operator response</t>
  </si>
  <si>
    <t>HANDOVER LIMITATION</t>
  </si>
  <si>
    <t>Sales difference</t>
  </si>
  <si>
    <t>Must remain ₱0.00</t>
  </si>
  <si>
    <t>Inventory exceptions are fully traced in Stock Exceptions, but remain open because Purchase Log contains no validated historical purchases. Continue normal sales and reporting operations only under the documented override; do not treat current running stock as fully reconciled.</t>
  </si>
  <si>
    <t>Cost difference</t>
  </si>
  <si>
    <t>Commission difference</t>
  </si>
  <si>
    <t>Movement exceptions</t>
  </si>
  <si>
    <t>Must remain zero</t>
  </si>
  <si>
    <t>Negative running stock</t>
  </si>
  <si>
    <t>Source support required</t>
  </si>
  <si>
    <t>Missing unit cost</t>
  </si>
  <si>
    <t>Complete product cost</t>
  </si>
  <si>
    <t>AFTER EVERY ENTRY BATCH</t>
  </si>
  <si>
    <t>Sales exceeding stock</t>
  </si>
  <si>
    <t>1. Recalculate.  2. Confirm sales, cost and commission differences remain zero.  3. Review new validation or stock exceptions.  4. Save a new workbook version.  5. Stop immediately if a financial difference appears.</t>
  </si>
  <si>
    <t>INDEX</t>
  </si>
  <si>
    <t xml:space="preserve"> </t>
  </si>
  <si>
    <t>Month</t>
  </si>
  <si>
    <t>Date</t>
  </si>
  <si>
    <t>Agent</t>
  </si>
  <si>
    <t>Client</t>
  </si>
  <si>
    <t>Code</t>
  </si>
  <si>
    <t>Delivery</t>
  </si>
  <si>
    <t>Sales</t>
  </si>
  <si>
    <t>Method</t>
  </si>
  <si>
    <t>SRP</t>
  </si>
  <si>
    <t>Total Cost</t>
  </si>
  <si>
    <t>Capital</t>
  </si>
  <si>
    <t>Mark up</t>
  </si>
  <si>
    <t>DODOY</t>
  </si>
  <si>
    <t>EDWARD NAILGAS</t>
  </si>
  <si>
    <t>GIE</t>
  </si>
  <si>
    <t>JAY STA ROSA</t>
  </si>
  <si>
    <t>JHUN M / MC MC</t>
  </si>
  <si>
    <t>RHAYMAR CARBUNGCO</t>
  </si>
  <si>
    <t>SPTC</t>
  </si>
  <si>
    <t>WALK IN</t>
  </si>
  <si>
    <t>AirCooled / Yohanan Saul</t>
  </si>
  <si>
    <t>BERNABE DE VERA CONSTRUCTION</t>
  </si>
  <si>
    <t>BIB / BOB</t>
  </si>
  <si>
    <t>EDLAN</t>
  </si>
  <si>
    <t>JOVI TECH</t>
  </si>
  <si>
    <t>LAGUNA AIR BINAN</t>
  </si>
  <si>
    <t>ROSIPITO</t>
  </si>
  <si>
    <t>CEMTRANS</t>
  </si>
  <si>
    <t>CRISJAP</t>
  </si>
  <si>
    <t>DXB KING JEFF</t>
  </si>
  <si>
    <t>JEFFREY DALIT</t>
  </si>
  <si>
    <t>RONALD REYES</t>
  </si>
  <si>
    <t>CJ PANTHER/SEVILLA</t>
  </si>
  <si>
    <t>DEMY</t>
  </si>
  <si>
    <t>ENTENG CAR AIRCON</t>
  </si>
  <si>
    <t>LAGUNA AIR PACITA</t>
  </si>
  <si>
    <t>HELBERT ARIETE / MHM AUTOSHOP</t>
  </si>
  <si>
    <t>OGIE LORICA</t>
  </si>
  <si>
    <t>JMT AUTO PARTS</t>
  </si>
  <si>
    <t>LOTZKI CAR AIRCON/GRSV</t>
  </si>
  <si>
    <t>CHROME EDGE</t>
  </si>
  <si>
    <t>EUGENE</t>
  </si>
  <si>
    <t xml:space="preserve">PHILVENT </t>
  </si>
  <si>
    <t>SOUTHBOYZ AUTOCARE</t>
  </si>
  <si>
    <t>MANTECH / KULOT</t>
  </si>
  <si>
    <t>AXM RESTOWORKZ</t>
  </si>
  <si>
    <t>COOL TIME / JM DIAMAT</t>
  </si>
  <si>
    <t>MULTITECH ELECTRO MECHANICAL</t>
  </si>
  <si>
    <t>LAZADA</t>
  </si>
  <si>
    <t>MIGUEL LADERA</t>
  </si>
  <si>
    <t>TGM</t>
  </si>
  <si>
    <t>TNS</t>
  </si>
  <si>
    <t>MANNY CORTEZ  MATE AIR</t>
  </si>
  <si>
    <t>CAPILI</t>
  </si>
  <si>
    <t>SACHO SON</t>
  </si>
  <si>
    <t>BLUE CHIP GAMING</t>
  </si>
  <si>
    <t>BUBOY CORONEL</t>
  </si>
  <si>
    <t>MEGA FORTUNE INC</t>
  </si>
  <si>
    <t>PSYCHRO</t>
  </si>
  <si>
    <t>ALPS MAINTAINEERING SERV</t>
  </si>
  <si>
    <t>YNGEN DATACOM CORP</t>
  </si>
  <si>
    <t>ANAKIN</t>
  </si>
  <si>
    <t>JHUN SPORTSMAN</t>
  </si>
  <si>
    <t>VI N VI</t>
  </si>
  <si>
    <t>P A ALVAREZ PROPERTY</t>
  </si>
  <si>
    <t>MARTIN ESCALANTE</t>
  </si>
  <si>
    <t>EJ MERCADO</t>
  </si>
  <si>
    <t>IG AIRCON</t>
  </si>
  <si>
    <t>JAY ALVIN OCAMPO</t>
  </si>
  <si>
    <t>EVANGELISTA HOSPITAL</t>
  </si>
  <si>
    <t>GEORGE AUTOCARE</t>
  </si>
  <si>
    <t>AGAPOR AIRCONDITIONING</t>
  </si>
  <si>
    <t>JANSON</t>
  </si>
  <si>
    <t>MUSIKA AC / MAC</t>
  </si>
  <si>
    <t>AIRCON BOY</t>
  </si>
  <si>
    <t>BONG CANTILLAN</t>
  </si>
  <si>
    <t>DHODIE</t>
  </si>
  <si>
    <t>ZZ CONNECT INC</t>
  </si>
  <si>
    <t>AC SAN PEDRO / KUYA INAN</t>
  </si>
  <si>
    <t>KIMBEE SY</t>
  </si>
  <si>
    <t>ELBERT MALIGAYA</t>
  </si>
  <si>
    <t>EM MORTIL</t>
  </si>
  <si>
    <t>JDS</t>
  </si>
  <si>
    <t>TERUMO</t>
  </si>
  <si>
    <t>BARTOLINI</t>
  </si>
  <si>
    <t>COOL LEAN</t>
  </si>
  <si>
    <t>VJ AIRCON</t>
  </si>
  <si>
    <t>JAC LINER INC</t>
  </si>
  <si>
    <t>Store</t>
  </si>
  <si>
    <t>EMERTECH CONSTRUCTION AND DEVELOPMENT</t>
  </si>
  <si>
    <t>LEON RIVERA</t>
  </si>
  <si>
    <t>LAB AIRCONDITIONING</t>
  </si>
  <si>
    <t>BALVA BUILDERS</t>
  </si>
  <si>
    <t>7 MAJESTIC AC</t>
  </si>
  <si>
    <t>RAFFY LP</t>
  </si>
  <si>
    <t>FUJITRANS LOGISTICS PHILS INC</t>
  </si>
  <si>
    <t>BRYAN CAR AIRCON</t>
  </si>
  <si>
    <t>ELMER CONSTANTINO</t>
  </si>
  <si>
    <t>JHUN GATS</t>
  </si>
  <si>
    <t>JUNE DIAZ/Ireneo</t>
  </si>
  <si>
    <t>JHUN BALUNDO</t>
  </si>
  <si>
    <t>ARNEL CAHIGAS</t>
  </si>
  <si>
    <t>GET KLEEN</t>
  </si>
  <si>
    <t>ANN GOZUN</t>
  </si>
  <si>
    <t>CHIE ESTRELLA</t>
  </si>
  <si>
    <t>TRUE COOL</t>
  </si>
  <si>
    <t>JSRM AIRCONDITIONING</t>
  </si>
  <si>
    <t>1984 CONSTRUCTIONS SERVICES</t>
  </si>
  <si>
    <t>3JE</t>
  </si>
  <si>
    <t>ALB</t>
  </si>
  <si>
    <t>ARLENE DUENOS</t>
  </si>
  <si>
    <t>UACI</t>
  </si>
  <si>
    <t>COAT ZONE</t>
  </si>
  <si>
    <t>JO VZ</t>
  </si>
  <si>
    <t>GLORIKAR ENGINEERING/ ORVEN GUTIERREZ</t>
  </si>
  <si>
    <t>J MATERIALS CORP</t>
  </si>
  <si>
    <t>ABEL</t>
  </si>
  <si>
    <t>EAS</t>
  </si>
  <si>
    <t>FRELINE ENGINEERING</t>
  </si>
  <si>
    <t>JHONVER AUTO AIRCON</t>
  </si>
  <si>
    <t>JDL ELCRTRONICS SERVICE CENTER</t>
  </si>
  <si>
    <t>SGP</t>
  </si>
  <si>
    <t>MARK HAO</t>
  </si>
  <si>
    <t>JAYSON REGACHUELO</t>
  </si>
  <si>
    <t>DABOY TOLOSA</t>
  </si>
  <si>
    <t>RAM COOL</t>
  </si>
  <si>
    <t>RD AC TRADING AND SERVICES</t>
  </si>
  <si>
    <t>BEMBOL</t>
  </si>
  <si>
    <t>PUREGOLD</t>
  </si>
  <si>
    <t>ANSEL / MR FIX ALL</t>
  </si>
  <si>
    <t>JOHN DAVID TUNGCAB</t>
  </si>
  <si>
    <t>ERD AUTO REPAIR CENTER</t>
  </si>
  <si>
    <t>JAMES GUZON</t>
  </si>
  <si>
    <t>LITO BATALLA</t>
  </si>
  <si>
    <t>MARLON PEREZ</t>
  </si>
  <si>
    <t>ARVIN PASCO</t>
  </si>
  <si>
    <t>GENIE PRODUCT CONCEPTS MANUFACTURING</t>
  </si>
  <si>
    <t>SALAZAR BUILDERS</t>
  </si>
  <si>
    <t>CAA MECHANICAL ENGINEERING SERVICES</t>
  </si>
  <si>
    <t>6 JAM AUTOCARE CENTER/ ADAM ANDEO</t>
  </si>
  <si>
    <t>DELA ROSA EXPRESS INC</t>
  </si>
  <si>
    <t>FLEXTRAC</t>
  </si>
  <si>
    <t>F1 ENTERPRISES</t>
  </si>
  <si>
    <t>JHOBERT SANCHEZ</t>
  </si>
  <si>
    <t>DESMOND CASINDAC TAGAPO</t>
  </si>
  <si>
    <t>ALVIN / DHIGOY MATUTINA</t>
  </si>
  <si>
    <t>I COOLED</t>
  </si>
  <si>
    <t>ECO LEON CORPORATION</t>
  </si>
  <si>
    <t>UNIMAGNA INDUSTRIES / ZFU MMI</t>
  </si>
  <si>
    <t>BRIGHT AIRE</t>
  </si>
  <si>
    <t>SAN PEDRO AC  / KUYA INAN</t>
  </si>
  <si>
    <t>ROLANDO SARMIENTA</t>
  </si>
  <si>
    <t>CAR AIRCON HOME SERVICE</t>
  </si>
  <si>
    <t>SAINT ROSE TRANSIT</t>
  </si>
  <si>
    <t>NALDO'S CAR AIRCON</t>
  </si>
  <si>
    <t>PEPZ</t>
  </si>
  <si>
    <t>BOBBY ARCABOS</t>
  </si>
  <si>
    <t>PRO TECH</t>
  </si>
  <si>
    <t>CHRISTIAN ESTANISLAO</t>
  </si>
  <si>
    <t>WORK COOL</t>
  </si>
  <si>
    <t>MCMB INDUSTRIAL</t>
  </si>
  <si>
    <t>COOL CONCEPT</t>
  </si>
  <si>
    <t>PAWS REF AND AC SERVICES</t>
  </si>
  <si>
    <t>UYB PRINTING CORPORATION</t>
  </si>
  <si>
    <t>4ER</t>
  </si>
  <si>
    <t>PRIME TEC</t>
  </si>
  <si>
    <t>MHM AUTOSHOP</t>
  </si>
  <si>
    <t>BERT CARMONA</t>
  </si>
  <si>
    <t>TOTAL MECHANICS</t>
  </si>
  <si>
    <t>PSYCOOL</t>
  </si>
  <si>
    <t>STARK ONE CONSTRUCTION CORP</t>
  </si>
  <si>
    <t>OWESP COOL CARE</t>
  </si>
  <si>
    <t>2RK AIRCON SERVICES</t>
  </si>
  <si>
    <t>EDWIN</t>
  </si>
  <si>
    <t>JAIMAX AUTOMOTIVE/COOLMAX</t>
  </si>
  <si>
    <t>ONE BINGO PAVILION INC</t>
  </si>
  <si>
    <t>RQUINT TRADING</t>
  </si>
  <si>
    <t>CRUZ MOTOR PARTS</t>
  </si>
  <si>
    <t>COLD ZONE</t>
  </si>
  <si>
    <t>PRSC</t>
  </si>
  <si>
    <t>YSMAEL MAGTIBAY</t>
  </si>
  <si>
    <t>ALL ABOUT COOL/ JACOB SALIM</t>
  </si>
  <si>
    <t xml:space="preserve">SPVC </t>
  </si>
  <si>
    <t>IRVIN DUCUSIN</t>
  </si>
  <si>
    <t>RAVXPERT INC</t>
  </si>
  <si>
    <t>DEXTER CONSTRUCTION</t>
  </si>
  <si>
    <t>GT TRADES CORP</t>
  </si>
  <si>
    <t>JEFF HERRERA</t>
  </si>
  <si>
    <t>FROST CITY</t>
  </si>
  <si>
    <t>JOEMANS /BOYET GONZALES</t>
  </si>
  <si>
    <t>CREM GOOD EAST CORP</t>
  </si>
  <si>
    <t>EXPLORER</t>
  </si>
  <si>
    <t>R&amp;M CONSTRUCTION INC</t>
  </si>
  <si>
    <t>CGM</t>
  </si>
  <si>
    <t>COLD KNIGHTS</t>
  </si>
  <si>
    <t>AIRCOLD SERVE</t>
  </si>
  <si>
    <t>NOE EULALIO</t>
  </si>
  <si>
    <t>52ND WIND INC</t>
  </si>
  <si>
    <t>DAN GILL MANJARES</t>
  </si>
  <si>
    <t>JORDAN GUZON</t>
  </si>
  <si>
    <t>JO VZ / ARA AC SERVICES</t>
  </si>
  <si>
    <t>J4MAX</t>
  </si>
  <si>
    <t>JOJO MANEBO</t>
  </si>
  <si>
    <t>MONARK EQUIPMENT</t>
  </si>
  <si>
    <t>PHOMAR CONSTRUCTION SERVICES INC</t>
  </si>
  <si>
    <t>APO PRODUCTION UNIT  INC LIMA PLANT</t>
  </si>
  <si>
    <t>ARVIN ESPINILI</t>
  </si>
  <si>
    <t>HYDRO AIRE ENTERPRISES</t>
  </si>
  <si>
    <t>AMM CONTRACTING CORP / MIGS</t>
  </si>
  <si>
    <t>YASSERJHON MARCOS</t>
  </si>
  <si>
    <t>RELLEVE FERNAN</t>
  </si>
  <si>
    <t>CATEGORY</t>
  </si>
  <si>
    <t>STORE PRICE</t>
  </si>
  <si>
    <t>Purchased</t>
  </si>
  <si>
    <t>GENERAL</t>
  </si>
  <si>
    <t>TOOLS</t>
  </si>
  <si>
    <t>CAR AIRCON</t>
  </si>
  <si>
    <t>INSTALLATION MATERIALS</t>
  </si>
  <si>
    <t>HIGH</t>
  </si>
  <si>
    <t xml:space="preserve">     </t>
  </si>
  <si>
    <t>Progress</t>
  </si>
  <si>
    <t>Annual target/progress</t>
  </si>
  <si>
    <t>BALANCE</t>
  </si>
  <si>
    <t>Mo. Sales</t>
  </si>
  <si>
    <t>Day</t>
  </si>
  <si>
    <t>Daily</t>
  </si>
  <si>
    <t>Cummulative</t>
  </si>
  <si>
    <t>Target</t>
  </si>
  <si>
    <t>ADD ON</t>
  </si>
  <si>
    <t>MONTH</t>
  </si>
  <si>
    <t>ANNUAL</t>
  </si>
  <si>
    <t>[1]T-SALES</t>
  </si>
  <si>
    <t>[2]T-CAPITAL</t>
  </si>
  <si>
    <t>[3]T-COST</t>
  </si>
  <si>
    <t>[4]T-AGENT</t>
  </si>
  <si>
    <t>[5-1]T-MANAGER (1.0%)</t>
  </si>
  <si>
    <t>[5-2]STORE MANAGER (0.5%)</t>
  </si>
  <si>
    <t>[5-3]ISHABELLA SALES (1%)</t>
  </si>
  <si>
    <t>[5-4]OWNER'S ALLOWANCE</t>
  </si>
  <si>
    <t>[7-1]T-EXPENSES</t>
  </si>
  <si>
    <t xml:space="preserve">[8] GROSS INCOME [1]-[2]-[4] </t>
  </si>
  <si>
    <t xml:space="preserve">CAPITAL = </t>
  </si>
  <si>
    <t>COST x 105%</t>
  </si>
  <si>
    <t>[9]NET INCOME</t>
  </si>
  <si>
    <t xml:space="preserve"> - MANAGER INCT. =</t>
  </si>
  <si>
    <t>1% x 2</t>
  </si>
  <si>
    <t>[10] ADD ON CAPITAL [2]-[3]</t>
  </si>
  <si>
    <t>[11]OVERALL</t>
  </si>
  <si>
    <t>- TAX =</t>
  </si>
  <si>
    <t>1%</t>
  </si>
  <si>
    <t>- ADD ON CAPITAL =</t>
  </si>
  <si>
    <t>2%</t>
  </si>
  <si>
    <t>[12] GROSS INCOME/SALES [8]/[1]</t>
  </si>
  <si>
    <t>- TOTAL ADD ON =</t>
  </si>
  <si>
    <t>5%</t>
  </si>
  <si>
    <t>[13] BREAK-EVEN SALES [7]/[12]</t>
  </si>
  <si>
    <t>[14] SALES VARIANCE [1]-[13]</t>
  </si>
  <si>
    <t>GROSS INCOME =</t>
  </si>
  <si>
    <t>TOTAL SALES - CAPITAL - AGENT COMM.</t>
  </si>
  <si>
    <t>[18] BOTTOMLINE</t>
  </si>
  <si>
    <t>…................................</t>
  </si>
  <si>
    <t>SELECTED MONTH</t>
  </si>
  <si>
    <t>Month No.</t>
  </si>
  <si>
    <t>(All)</t>
  </si>
  <si>
    <t>AGENT'S SELECTED-MONTH PERFORMANCE</t>
  </si>
  <si>
    <t>AGENT</t>
  </si>
  <si>
    <t>T-Sales</t>
  </si>
  <si>
    <t>T-Agent Comm.</t>
  </si>
  <si>
    <t>Bro. Rhoge</t>
  </si>
  <si>
    <t>Bro. Jovy</t>
  </si>
  <si>
    <t>Bro. Manuel</t>
  </si>
  <si>
    <t>Bro. Mel</t>
  </si>
  <si>
    <t>Bro. Rocky</t>
  </si>
  <si>
    <t>Ptr. Rod</t>
  </si>
  <si>
    <t>Sis. Jackie</t>
  </si>
  <si>
    <t>Sis. Mhai</t>
  </si>
  <si>
    <t>Bro. Jr</t>
  </si>
  <si>
    <t>Sis. Lorie</t>
  </si>
  <si>
    <t>Bro. Vin</t>
  </si>
  <si>
    <t>Bro. Roxie</t>
  </si>
  <si>
    <t>Bro. Bryan</t>
  </si>
  <si>
    <t>Bro. Jay</t>
  </si>
  <si>
    <t>Grand Total</t>
  </si>
  <si>
    <t>Total Sales</t>
  </si>
  <si>
    <t xml:space="preserve"> Total</t>
  </si>
  <si>
    <t>Total</t>
  </si>
  <si>
    <t xml:space="preserve">Bro. Daniel </t>
  </si>
  <si>
    <t>Bro. Arnold</t>
  </si>
  <si>
    <t>Bro. Sam</t>
  </si>
  <si>
    <t>Sis. Marivic</t>
  </si>
  <si>
    <t>Break-even</t>
  </si>
  <si>
    <t>Net Income</t>
  </si>
  <si>
    <t>Target Sales</t>
  </si>
  <si>
    <t>Monthly Sales</t>
  </si>
  <si>
    <t>RUNNING SALES</t>
  </si>
  <si>
    <t>CA-001866</t>
  </si>
  <si>
    <t>Category</t>
  </si>
  <si>
    <t>Fixed</t>
  </si>
  <si>
    <t xml:space="preserve">Globe </t>
  </si>
  <si>
    <t>PLDT</t>
  </si>
  <si>
    <t>Rental</t>
  </si>
  <si>
    <t>Bookkeeping</t>
  </si>
  <si>
    <t>Avanza</t>
  </si>
  <si>
    <t>Insurance</t>
  </si>
  <si>
    <t>Meralco</t>
  </si>
  <si>
    <t>Water</t>
  </si>
  <si>
    <t>Laptop</t>
  </si>
  <si>
    <t>,</t>
  </si>
  <si>
    <t>BIR</t>
  </si>
  <si>
    <t>Salary 15th</t>
  </si>
  <si>
    <t>Salary 30th</t>
  </si>
  <si>
    <t>Mandatories</t>
  </si>
  <si>
    <t>Gas Avanza</t>
  </si>
  <si>
    <t>Food and water</t>
  </si>
  <si>
    <t>lalamove/ Delivery</t>
  </si>
  <si>
    <t>Grocery</t>
  </si>
  <si>
    <t>Ishabella ADMIN</t>
  </si>
  <si>
    <t>return item</t>
  </si>
  <si>
    <t>Acct. Firm</t>
  </si>
  <si>
    <t xml:space="preserve">DR Reciept </t>
  </si>
  <si>
    <t>Click Repair</t>
  </si>
  <si>
    <t>Annual Expenses January</t>
  </si>
  <si>
    <t>SI Reciept</t>
  </si>
  <si>
    <t>paypal</t>
  </si>
  <si>
    <t>Annual Expenses</t>
  </si>
  <si>
    <t>13th Month</t>
  </si>
  <si>
    <t>Business Permit</t>
  </si>
  <si>
    <t>Give away / Calendar</t>
  </si>
  <si>
    <t>ABG</t>
  </si>
  <si>
    <t>STORE</t>
  </si>
  <si>
    <t>Row Labels</t>
  </si>
  <si>
    <t>(blank)</t>
  </si>
  <si>
    <t>TOTAL SALES</t>
  </si>
  <si>
    <t>Agent Commission</t>
  </si>
  <si>
    <t>Overall</t>
  </si>
  <si>
    <t>Gross Margin</t>
  </si>
  <si>
    <t>Break-even Sales</t>
  </si>
  <si>
    <t>January</t>
  </si>
  <si>
    <t>February</t>
  </si>
  <si>
    <t>September</t>
  </si>
  <si>
    <t>August</t>
  </si>
  <si>
    <t>March</t>
  </si>
  <si>
    <t>April</t>
  </si>
  <si>
    <t>May</t>
  </si>
  <si>
    <t>June</t>
  </si>
  <si>
    <t>Gross Sales</t>
  </si>
  <si>
    <t>July</t>
  </si>
  <si>
    <t>October</t>
  </si>
  <si>
    <t>November</t>
  </si>
  <si>
    <t>December</t>
  </si>
  <si>
    <t>TOTAL COST</t>
  </si>
  <si>
    <t>GROSS PROFIT</t>
  </si>
  <si>
    <t>Gross Profit</t>
  </si>
  <si>
    <t>Car Aircon parts</t>
  </si>
  <si>
    <t>I.</t>
  </si>
  <si>
    <t xml:space="preserve">Total Annual </t>
  </si>
  <si>
    <t>=</t>
  </si>
  <si>
    <t>Agent Comm</t>
  </si>
  <si>
    <t>Cost of material</t>
  </si>
  <si>
    <t>Manager Incentive</t>
  </si>
  <si>
    <t>Declared Capital</t>
  </si>
  <si>
    <t>Owners Allowance</t>
  </si>
  <si>
    <t>Add on Capital</t>
  </si>
  <si>
    <t>Store Opex</t>
  </si>
  <si>
    <t>Store Manager Incentive</t>
  </si>
  <si>
    <t>Capitalization &amp; Assets</t>
  </si>
  <si>
    <t>Income</t>
  </si>
  <si>
    <t>Capitalization</t>
  </si>
  <si>
    <t>Motorcycle</t>
  </si>
  <si>
    <t>Bottom Line</t>
  </si>
  <si>
    <t>CCTV</t>
  </si>
  <si>
    <t>After Capitalization@1/3</t>
  </si>
  <si>
    <t>Receipts</t>
  </si>
  <si>
    <t>Store Improvement</t>
  </si>
  <si>
    <t>Sharing@50%</t>
  </si>
  <si>
    <t>Rod@60%</t>
  </si>
  <si>
    <t>Vin@30%</t>
  </si>
  <si>
    <t>Fred@10%</t>
  </si>
  <si>
    <t>II.</t>
  </si>
  <si>
    <t>Collectibles</t>
  </si>
  <si>
    <t>Envirocool</t>
  </si>
  <si>
    <t>For client visit, payment negotiation</t>
  </si>
  <si>
    <t>Janus</t>
  </si>
  <si>
    <t>For collection</t>
  </si>
  <si>
    <t>Anna</t>
  </si>
  <si>
    <t>For collection - January 22</t>
  </si>
  <si>
    <t>James</t>
  </si>
  <si>
    <t>OK</t>
  </si>
  <si>
    <t>For update</t>
  </si>
  <si>
    <t>Bobby</t>
  </si>
  <si>
    <t>Ghie</t>
  </si>
  <si>
    <t>Edlan</t>
  </si>
  <si>
    <t>Benjie</t>
  </si>
  <si>
    <t>III.</t>
  </si>
  <si>
    <t>Categories Monthly</t>
  </si>
  <si>
    <t>Mark up %</t>
  </si>
  <si>
    <t xml:space="preserve"> - Max</t>
  </si>
  <si>
    <t xml:space="preserve"> - Min</t>
  </si>
  <si>
    <t xml:space="preserve"> - Mean</t>
  </si>
  <si>
    <t>New Target</t>
  </si>
  <si>
    <t>Discount</t>
  </si>
  <si>
    <t>No. of Clients</t>
  </si>
  <si>
    <t>14 clients @55.7%</t>
  </si>
  <si>
    <t>20 clients @35.2%</t>
  </si>
  <si>
    <t>13 clients @24.2%</t>
  </si>
  <si>
    <t>Percent Growth</t>
  </si>
  <si>
    <t>New Target Monthly</t>
  </si>
  <si>
    <t>New Target Annual</t>
  </si>
  <si>
    <t>Sum of Sales</t>
  </si>
  <si>
    <t>Column Labels</t>
  </si>
  <si>
    <t>LOTZKI CAR AIRCON</t>
  </si>
  <si>
    <t>POLARWIND</t>
  </si>
  <si>
    <t>RICHARD</t>
  </si>
  <si>
    <t>NIC</t>
  </si>
  <si>
    <t>MANNY CORTEZ/ MATE AIR</t>
  </si>
  <si>
    <t>WORKBOOK REFURBISHMENT MAP</t>
  </si>
  <si>
    <t>Phase 1 — architecture, dependencies, current business rules and confirmation register</t>
  </si>
  <si>
    <t>Documentation only: no operational formulas or source data were changed. Original empty Cash sheet was reused.</t>
  </si>
  <si>
    <t>WORKBOOK INVENTORY — ORIGINAL 20 SHEETS</t>
  </si>
  <si>
    <t>#</t>
  </si>
  <si>
    <t>Original Sheet</t>
  </si>
  <si>
    <t>Classification</t>
  </si>
  <si>
    <t>Purpose</t>
  </si>
  <si>
    <t>Objects and data flow</t>
  </si>
  <si>
    <t>Status / notes</t>
  </si>
  <si>
    <t>Report</t>
  </si>
  <si>
    <t>Report / legacy</t>
  </si>
  <si>
    <t>Annual management report with sales, costs, expenses, income and a monthly chart.</t>
  </si>
  <si>
    <t>Objects: Chart 1; formula report
Upstream: Summary
Downstream: Management output</t>
  </si>
  <si>
    <t>REVIEW — Hidden; stale 2021 chart title and broken report references.</t>
  </si>
  <si>
    <t>Client Record</t>
  </si>
  <si>
    <t>Pivot / report</t>
  </si>
  <si>
    <t>Client-by-month sales matrix used to review purchasing history.</t>
  </si>
  <si>
    <t>Objects: PivotTable1
Upstream: Daily Sales
Downstream: Client review</t>
  </si>
  <si>
    <t>SUPPORT — Hidden; one stale pivot item displays #REF!.</t>
  </si>
  <si>
    <t>Dashboard / report</t>
  </si>
  <si>
    <t>Primary management dashboard for targets, running sales, bottom line and category charts.</t>
  </si>
  <si>
    <t>Objects: 8 charts; KPI formulas
Upstream: Summary; Sales Summary
Downstream: Management decisions</t>
  </si>
  <si>
    <t>CORE — Current visual front end; some chart labels and titles are stale.</t>
  </si>
  <si>
    <t>Cash</t>
  </si>
  <si>
    <t>Empty / obsolete</t>
  </si>
  <si>
    <t>Original sheet was empty and hidden; repurposed in Phase 1 as Workbook Map.</t>
  </si>
  <si>
    <t>Objects: None
Upstream: None
Downstream: None</t>
  </si>
  <si>
    <t>REPURPOSED — No operational data was removed.</t>
  </si>
  <si>
    <t>Summary</t>
  </si>
  <si>
    <t>Calculation / pivot / report</t>
  </si>
  <si>
    <t>Central monthly and annual financial model: sales, capital, cost, incentives, expenses, profit and bottom line.</t>
  </si>
  <si>
    <t>Objects: ADD_ON table; PivotTable1; 2 charts
Upstream: Sales Summary; Expenses; Sales; INDEX
Downstream: INDEX; Report</t>
  </si>
  <si>
    <t>CORE — Financial control center; contains inconsistent copied formulas that need confirmation.</t>
  </si>
  <si>
    <t>Sales Summary</t>
  </si>
  <si>
    <t>Pivot / calculation</t>
  </si>
  <si>
    <t>Five PivotTables summarizing sales, capital, costs, categories and agents by month.</t>
  </si>
  <si>
    <t>Objects: PivotTables 1–5
Upstream: Daily Sales
Downstream: Summary; INDEX</t>
  </si>
  <si>
    <t>CORE — Main aggregation layer between transactions and reports.</t>
  </si>
  <si>
    <t>Master input / calculation</t>
  </si>
  <si>
    <t>Product master, codes, category, unit cost, selling price, stock start and running quantity.</t>
  </si>
  <si>
    <t>Objects: LIST table: 2,220 products
Upstream: Code; Purchase Log; Daily Sales
Downstream: Daily Sales; management controls</t>
  </si>
  <si>
    <t>CORE — Movement formulas rebuilt; 364 source-supported stock deficits remain open.</t>
  </si>
  <si>
    <t>Transaction input / calculation</t>
  </si>
  <si>
    <t>Detailed sales-entry ledger with clients, products, quantity, price, cost, capital, markup and commission.</t>
  </si>
  <si>
    <t>Objects: sales table: 8,100 rows
Upstream: Client List01; Inventory; ADD_ON
Downstream: Sales Summary; client and stock pivots</t>
  </si>
  <si>
    <t>CORE — Transaction product/client keys and calculation engine repaired. 4,742 positive-sale rows calculate with stable table references; Sales ₱5,682,935.05, Total Cost ₱4,012,118.84, Agent Commission ₱150,211.23.</t>
  </si>
  <si>
    <t>Input / calculation</t>
  </si>
  <si>
    <t>Monthly operating-expense schedule by category and item with annual totals.</t>
  </si>
  <si>
    <t>Objects: Monthly expense grid
Upstream: Manual entries
Downstream: Summary</t>
  </si>
  <si>
    <t>CORE — Totals are intact; structure is manual and month columns are irregular.</t>
  </si>
  <si>
    <t>Master input</t>
  </si>
  <si>
    <t>Client master with contact, company, address, category and assigned agent.</t>
  </si>
  <si>
    <t>Objects: Table28: 382 rows
Upstream: Manual entries
Downstream: Daily Sales; client pivots</t>
  </si>
  <si>
    <t>CORE — Initial column contains broken references; client name is the practical key.</t>
  </si>
  <si>
    <t>Input Slicer</t>
  </si>
  <si>
    <t>Pivot support</t>
  </si>
  <si>
    <t>Distinct product and client lists used as PivotTable/slicer support.</t>
  </si>
  <si>
    <t>Objects: PivotTables 1–2
Upstream: Daily Sales / masters
Downstream: Filtering support</t>
  </si>
  <si>
    <t>SUPPORT — Helper sheet; not intended for direct editing.</t>
  </si>
  <si>
    <t>Pivot / calculation support</t>
  </si>
  <si>
    <t>Wide historical pivot workspace supporting monthly and analytical sales outputs.</t>
  </si>
  <si>
    <t>Objects: PivotTable1 only; 1,102 columns × 92 rows
Upstream: Daily Sales
Downstream: Summary daily grid</t>
  </si>
  <si>
    <t>SUPPORT — Redundant lower pivots retired; live Summary anchor preserved.</t>
  </si>
  <si>
    <t>Client Sales Records</t>
  </si>
  <si>
    <t>Client-level sales history and monthly totals.</t>
  </si>
  <si>
    <t>Objects: PivotTable5
Upstream: Daily Sales
Downstream: Client review</t>
  </si>
  <si>
    <t>SUPPORT — One stale pivot item displays #REF!.</t>
  </si>
  <si>
    <t>Operating Guide</t>
  </si>
  <si>
    <t>Documentation / operating guide</t>
  </si>
  <si>
    <t>Quick-start entry locations, live controls, stop rules and handover limitations.</t>
  </si>
  <si>
    <t>Upstream: Audit controls and approved operating rules
Downstream: Daily operators</t>
  </si>
  <si>
    <t>ACTIVE — Repurposed retired Daily Inventory tab; no operational dependency removed.</t>
  </si>
  <si>
    <t>CLIENT PRICING</t>
  </si>
  <si>
    <t>Client-specific price history or pricing review by item/client.</t>
  </si>
  <si>
    <t>Objects: PivotTable1
Upstream: Daily Sales
Downstream: Pricing decisions</t>
  </si>
  <si>
    <t>SUPPORT — Purpose inferred from contents; confirm whether still actively used.</t>
  </si>
  <si>
    <t>Master / calculation</t>
  </si>
  <si>
    <t>Generates and maintains standardized product codes from item attributes.</t>
  </si>
  <si>
    <t>Objects: code table: 2,590 rows
Upstream: Inventory item attributes
Downstream: Inventory</t>
  </si>
  <si>
    <t>CORE — Code-generation support is intact but should remain a controlled master.</t>
  </si>
  <si>
    <t>In Store</t>
  </si>
  <si>
    <t>Small availability/category summary for items currently in store.</t>
  </si>
  <si>
    <t>Objects: PivotTable1
Upstream: Inventory
Downstream: Operational review</t>
  </si>
  <si>
    <t>REVIEW — All five displayed values are stale #REF! pivot items.</t>
  </si>
  <si>
    <t>Input / pivot</t>
  </si>
  <si>
    <t>Purchase records and five PivotTables intended to summarize incoming stock.</t>
  </si>
  <si>
    <t>Objects: Retired
Upstream: None
Downstream: Replaced by planned Purchase Log → Inventory</t>
  </si>
  <si>
    <t>RETIRED — Original Purchased sheet permanently deleted by owner; replacement Purchase Log will be built from scratch.</t>
  </si>
  <si>
    <t>Calculation / report</t>
  </si>
  <si>
    <t>Customer-facing price list with cost, capital, discount tiers, stock and rounded prices.</t>
  </si>
  <si>
    <t>Objects: LIST53 table: 1,648 rows
Upstream: Inventory
Downstream: Sales/pricing decisions</t>
  </si>
  <si>
    <t>CORE — Pricing logic is valuable but most rows are broken by a deleted source column.</t>
  </si>
  <si>
    <t>FREDSAN</t>
  </si>
  <si>
    <t>Support / uncertain</t>
  </si>
  <si>
    <t>Small two-column helper calculation; operational purpose is not evident from labels.</t>
  </si>
  <si>
    <t>Objects: 2 formulas
Upstream: Unknown
Downstream: Unknown</t>
  </si>
  <si>
    <t>CONFIRM — Confirm whether this sheet is active, legacy or experimental.</t>
  </si>
  <si>
    <t>CORE DEPENDENCY MAP</t>
  </si>
  <si>
    <t>Source</t>
  </si>
  <si>
    <t>Destination</t>
  </si>
  <si>
    <t>Data / logic transferred</t>
  </si>
  <si>
    <t>Mechanism</t>
  </si>
  <si>
    <t>State</t>
  </si>
  <si>
    <t>Risk / operating note</t>
  </si>
  <si>
    <t>Client name lookup assigns agent and related client information.</t>
  </si>
  <si>
    <t>VLOOKUP to Table28</t>
  </si>
  <si>
    <t>ACTIVE</t>
  </si>
  <si>
    <t>Client name spelling must match exactly.</t>
  </si>
  <si>
    <t>Product description/code lookup supplies item, category, store price and unit cost.</t>
  </si>
  <si>
    <t>9,813 direct formula references</t>
  </si>
  <si>
    <t>PARTLY BROKEN</t>
  </si>
  <si>
    <t>Some rows use deleted or external lookup ranges.</t>
  </si>
  <si>
    <t>Summary.ADD_ON</t>
  </si>
  <si>
    <t>Category percentage converts Total Cost into declared Capital.</t>
  </si>
  <si>
    <t>GENERAL 5%; TOOLS 5%; INSTALLATION MATERIALS 3%; CAR AIRCON 5%</t>
  </si>
  <si>
    <t>Confirm whether rates are tax/add-on policy or temporary assumptions.</t>
  </si>
  <si>
    <t>Transaction table feeds monthly PivotTables for sales, capital, cost, category and agent totals.</t>
  </si>
  <si>
    <t>Pivot cache dependency</t>
  </si>
  <si>
    <t>Pivot refresh timing is operationally important.</t>
  </si>
  <si>
    <t>Daily Inventory</t>
  </si>
  <si>
    <t>Transaction quantities are summarized by product code.</t>
  </si>
  <si>
    <t>PivotTable1</t>
  </si>
  <si>
    <t>Inventory Qty Sold depends on this pivot being refreshed.</t>
  </si>
  <si>
    <t>Qty Sold is retrieved by product code into the stock equation.</t>
  </si>
  <si>
    <t>2,209 direct formula references</t>
  </si>
  <si>
    <t>Returns zero if a code is absent.</t>
  </si>
  <si>
    <t>Purchased quantity should be retrieved by product code into stock movement.</t>
  </si>
  <si>
    <t>New Purchase Log table lookup/aggregation by product code</t>
  </si>
  <si>
    <t>RETIRED / REPLACEMENT PLANNED</t>
  </si>
  <si>
    <t>Owner confirmed the deleted Purchased sheet will not be restored; create a controlled Purchase Log from scratch before rebuilding Inventory[Purchased].</t>
  </si>
  <si>
    <t>Product data, cost, capital, store price and stock feed discount pricing.</t>
  </si>
  <si>
    <t>1,648 direct formula references</t>
  </si>
  <si>
    <t>RETIRED</t>
  </si>
  <si>
    <t>RETIRED — STORE PRICE sheet permanently deleted; this dependency will not be rebuilt.</t>
  </si>
  <si>
    <t>Monthly expense totals feed the financial model.</t>
  </si>
  <si>
    <t>12 direct month links</t>
  </si>
  <si>
    <t>August onward remain zero until entered.</t>
  </si>
  <si>
    <t>Monthly sales capital and cost aggregates feed financial calculations.</t>
  </si>
  <si>
    <t>39 direct references / GETPIVOTDATA</t>
  </si>
  <si>
    <t>ACTIVE WITH ISSUE</t>
  </si>
  <si>
    <t>Cost uses Unit Cost for Jan–Oct but Total Cost for Nov–Dec.</t>
  </si>
  <si>
    <t>Targets, sales, progress and bottom line feed the dashboard.</t>
  </si>
  <si>
    <t>52 direct formula references</t>
  </si>
  <si>
    <t>Dashboard accuracy depends entirely on Summary.</t>
  </si>
  <si>
    <t>Some Ishabella-sales allowance values are read back from dashboard cells.</t>
  </si>
  <si>
    <t>22 direct references overall</t>
  </si>
  <si>
    <t>CIRCULAR DESIGN RISK</t>
  </si>
  <si>
    <t>A report sheet should not normally feed the calculation engine.</t>
  </si>
  <si>
    <t>Annual financial totals feed the hidden legacy report.</t>
  </si>
  <si>
    <t>9 direct formula references</t>
  </si>
  <si>
    <t>ACTIVE WITH ERRORS</t>
  </si>
  <si>
    <t>Report also references deleted internal cells.</t>
  </si>
  <si>
    <t>CURRENT BUSINESS-RULE REGISTER — DOCUMENTED, NOT YET CORRECTED</t>
  </si>
  <si>
    <t>ID</t>
  </si>
  <si>
    <t>Rule</t>
  </si>
  <si>
    <t>Current workbook logic</t>
  </si>
  <si>
    <t>Primary location</t>
  </si>
  <si>
    <t>State / interpretation</t>
  </si>
  <si>
    <t>Confirmation required</t>
  </si>
  <si>
    <t>R01</t>
  </si>
  <si>
    <t>Quantity × Price + Delivery</t>
  </si>
  <si>
    <t>Daily Sales[Sales]</t>
  </si>
  <si>
    <t>ACTIVE — Delivery is added to revenue.</t>
  </si>
  <si>
    <t>Confirm whether Delivery is always billable revenue.</t>
  </si>
  <si>
    <t>R02</t>
  </si>
  <si>
    <t>Unit cost</t>
  </si>
  <si>
    <t>Lookup product Unit Cost from Inventory</t>
  </si>
  <si>
    <t>Daily Sales[Unit Cost]</t>
  </si>
  <si>
    <t>ACTIVE — Cost per unit comes from product master.</t>
  </si>
  <si>
    <t>Some sales with missing product code resolve to zero.</t>
  </si>
  <si>
    <t>R03</t>
  </si>
  <si>
    <t>Total cost</t>
  </si>
  <si>
    <t>Unit Cost × Quantity</t>
  </si>
  <si>
    <t>Daily Sales[Total Cost]</t>
  </si>
  <si>
    <t>ACTIVE — Extended transaction cost.</t>
  </si>
  <si>
    <t>Summary currently does not consistently use this measure.</t>
  </si>
  <si>
    <t>R04</t>
  </si>
  <si>
    <t>Declared capital</t>
  </si>
  <si>
    <t>Total Cost × (1 + category add-on)</t>
  </si>
  <si>
    <t>Daily Sales[Capital] / Summary.ADD_ON</t>
  </si>
  <si>
    <t>ACTIVE — Add-on: General 5%, Tools 5%, Installation Materials 3%, Car Aircon 5%.</t>
  </si>
  <si>
    <t>Confirm meaning and ownership of the add-on percentage.</t>
  </si>
  <si>
    <t>R05</t>
  </si>
  <si>
    <t>Transaction markup</t>
  </si>
  <si>
    <t>Sales − Capital − Delivery</t>
  </si>
  <si>
    <t>Daily Sales[Mark up]</t>
  </si>
  <si>
    <t>ACTIVE — Margin after declared capital and delivery.</t>
  </si>
  <si>
    <t>Confirm whether delivery should be removed after already being included in Sales.</t>
  </si>
  <si>
    <t>R06</t>
  </si>
  <si>
    <t>Agent commission</t>
  </si>
  <si>
    <t>Store = 0; otherwise 30% of transaction markup</t>
  </si>
  <si>
    <t>Daily Sales[Agent Comm.]</t>
  </si>
  <si>
    <t>ACTIVE — Commission is margin-based, not sales-based.</t>
  </si>
  <si>
    <t>Confirm that every non-Store agent receives the same 30%.</t>
  </si>
  <si>
    <t>R07</t>
  </si>
  <si>
    <t>Manager incentive</t>
  </si>
  <si>
    <t>1% of monthly sales</t>
  </si>
  <si>
    <t>Summary row 44</t>
  </si>
  <si>
    <t>ACTIVE — Monthly manager incentive.</t>
  </si>
  <si>
    <t>Net-income formulas deduct it once Jan–Apr, twice May–Aug.</t>
  </si>
  <si>
    <t>R08</t>
  </si>
  <si>
    <t>Store manager</t>
  </si>
  <si>
    <t>Mixed: threshold formula, 0.5% sales, or linked allowance</t>
  </si>
  <si>
    <t>Summary row 45</t>
  </si>
  <si>
    <t>INCONSISTENT — Current intent appears to be 0.5%, sometimes multiplied by three.</t>
  </si>
  <si>
    <t>Confirm one rule, threshold and eligible base for all months.</t>
  </si>
  <si>
    <t>R09</t>
  </si>
  <si>
    <t>Ishabella sales</t>
  </si>
  <si>
    <t>1% of Ptr. Rod sales or selected INDEX cells</t>
  </si>
  <si>
    <t>Summary row 46</t>
  </si>
  <si>
    <t>INCONSISTENT — Separate 1% sales allocation.</t>
  </si>
  <si>
    <t>Confirm recipient, applicable agent and why the dashboard is a source.</t>
  </si>
  <si>
    <t>R10</t>
  </si>
  <si>
    <t>Owner allowance / tax</t>
  </si>
  <si>
    <t>0.5% × 3 under threshold logic, later 3 × store-manager value</t>
  </si>
  <si>
    <t>Summary row 47; Report H35</t>
  </si>
  <si>
    <t>UNCERTAIN — Summary calls this Owner's Allowance; Report calls same total Tax Withheld.</t>
  </si>
  <si>
    <t>Confirm whether this is allowance, withholding tax, or two separate items.</t>
  </si>
  <si>
    <t>R11</t>
  </si>
  <si>
    <t>Gross income</t>
  </si>
  <si>
    <t>Sales − Capital − Agent commission, plus a 50% helper adjustment in current formulas</t>
  </si>
  <si>
    <t>Summary row 49</t>
  </si>
  <si>
    <t>INCONSISTENT — Core gross-income concept is visible in notes.</t>
  </si>
  <si>
    <t>Confirm purpose of row 115 and the 50% factor in B92.</t>
  </si>
  <si>
    <t>R12</t>
  </si>
  <si>
    <t>Net income</t>
  </si>
  <si>
    <t>Gross income − expenses − store-manager amount − manager incentive</t>
  </si>
  <si>
    <t>Summary row 50</t>
  </si>
  <si>
    <t>INCONSISTENT — Operating profit after incentives.</t>
  </si>
  <si>
    <t>Confirm whether manager incentive is deducted once or twice.</t>
  </si>
  <si>
    <t>R13</t>
  </si>
  <si>
    <t>Add-on capital</t>
  </si>
  <si>
    <t>Capital − Total Cost − Owner allowance/tax</t>
  </si>
  <si>
    <t>Summary row 51</t>
  </si>
  <si>
    <t>ACTIVE WITH ISSUE — Residual between declared capital and cost.</t>
  </si>
  <si>
    <t>Depends on resolving R10 and using Total Cost consistently.</t>
  </si>
  <si>
    <t>R14</t>
  </si>
  <si>
    <t>Net income + Add-on capital</t>
  </si>
  <si>
    <t>Summary row 52</t>
  </si>
  <si>
    <t>ACTIVE — Combined operating and add-on result.</t>
  </si>
  <si>
    <t>Confirm whether this is the preferred pre-tithe performance measure.</t>
  </si>
  <si>
    <t>R15</t>
  </si>
  <si>
    <t>Gross margin ratio</t>
  </si>
  <si>
    <t>Gross income ÷ Sales</t>
  </si>
  <si>
    <t>Summary row 54</t>
  </si>
  <si>
    <t>ACTIVE — Used for break-even calculations.</t>
  </si>
  <si>
    <t>Future blank months currently return #DIV/0!.</t>
  </si>
  <si>
    <t>R16</t>
  </si>
  <si>
    <t>Break-even sales</t>
  </si>
  <si>
    <t>Expenses ÷ Gross margin ratio</t>
  </si>
  <si>
    <t>Summary row 55</t>
  </si>
  <si>
    <t>INCONSISTENT — Standard break-even concept.</t>
  </si>
  <si>
    <t>March and later copied formulas reference different rows/columns.</t>
  </si>
  <si>
    <t>R17</t>
  </si>
  <si>
    <t>Tithes and offering</t>
  </si>
  <si>
    <t>10% net income + 10% offering + 10% add-on capital</t>
  </si>
  <si>
    <t>Summary rows 57–60</t>
  </si>
  <si>
    <t>INCONSISTENT — Three separate contributions are combined.</t>
  </si>
  <si>
    <t>January and December use 20% variants; several months copy prior cells.</t>
  </si>
  <si>
    <t>R18</t>
  </si>
  <si>
    <t>Bottom line</t>
  </si>
  <si>
    <t>Overall − Tithes &amp; Offering Total</t>
  </si>
  <si>
    <t>Summary row 62</t>
  </si>
  <si>
    <t>ACTIVE WITH EXCEPTIONS — Final retained result.</t>
  </si>
  <si>
    <t>March floors negative values at zero; other months do not.</t>
  </si>
  <si>
    <t>R19</t>
  </si>
  <si>
    <t>Inventory running qty</t>
  </si>
  <si>
    <t>Month Start + Purchased − Qty Sold − Adjustment</t>
  </si>
  <si>
    <t>Inventory[Running]</t>
  </si>
  <si>
    <t>BROKEN INPUT — Correct stock-flow structure.</t>
  </si>
  <si>
    <t>Confirm adjustment sign: positive adjustments currently reduce stock.</t>
  </si>
  <si>
    <t>R20</t>
  </si>
  <si>
    <t>Store price</t>
  </si>
  <si>
    <t>Floor capital × 2 or × 2.75, depending on row-specific formula</t>
  </si>
  <si>
    <t>Inventory[STORE PRICE]</t>
  </si>
  <si>
    <t>INCONSISTENT — Product selling-price multiplier.</t>
  </si>
  <si>
    <t>Confirm category/product rule governing 2.0 versus 2.75.</t>
  </si>
  <si>
    <t>R21</t>
  </si>
  <si>
    <t>Discount tiers</t>
  </si>
  <si>
    <t>Low margin: 3%/4%/5%; otherwise 5%/7%/10%</t>
  </si>
  <si>
    <t>STORE PRICE LIST53</t>
  </si>
  <si>
    <t>ACTIVE LOGIC / BROKEN SOURCE — Three customer discount tiers with price rounding.</t>
  </si>
  <si>
    <t>Confirm what Column4 represents and tier names/eligibility.</t>
  </si>
  <si>
    <t>R22</t>
  </si>
  <si>
    <t>Invoice price</t>
  </si>
  <si>
    <t>If invoice number exists, Price × 1.12</t>
  </si>
  <si>
    <t>Daily Sales[SI PRICE]</t>
  </si>
  <si>
    <t>ACTIVE — Adds 12% to selling price for invoiced transactions.</t>
  </si>
  <si>
    <t>Confirm whether this is VAT and whether Sales should also use SI PRICE.</t>
  </si>
  <si>
    <t>OWNER CONFIRMATION REGISTER — RESOLVE BEFORE FORMULA REBUILD</t>
  </si>
  <si>
    <t>Topic</t>
  </si>
  <si>
    <t>Question</t>
  </si>
  <si>
    <t>Priority / location</t>
  </si>
  <si>
    <t>Why it matters</t>
  </si>
  <si>
    <t>Decision / status</t>
  </si>
  <si>
    <t>U01</t>
  </si>
  <si>
    <t>Cost basis</t>
  </si>
  <si>
    <t>Should monthly T-COST be Total Cost (quantity-extended) rather than Unit Cost?</t>
  </si>
  <si>
    <t>HIGH — Summary row 42</t>
  </si>
  <si>
    <t>Blocks reliable profit and add-on capital.</t>
  </si>
  <si>
    <t>APPLIED — Total Cost = Unit Cost × Quantity for every month</t>
  </si>
  <si>
    <t>U02</t>
  </si>
  <si>
    <t>Agent commission period</t>
  </si>
  <si>
    <t>Should the commission pivot always follow each report month automatically?</t>
  </si>
  <si>
    <t>HIGH — Summary B70:D85 and row 43</t>
  </si>
  <si>
    <t>Current pivot is filtered to Month 6.</t>
  </si>
  <si>
    <t>APPLIED — Commission calculated automatically by report month</t>
  </si>
  <si>
    <t>U03</t>
  </si>
  <si>
    <t>Deduct 1% once or twice, and from sales or another base?</t>
  </si>
  <si>
    <t>HIGH — Summary rows 44 and 50</t>
  </si>
  <si>
    <t>Material effect on net income.</t>
  </si>
  <si>
    <t>APPLIED — Manager incentive is 1% of pre-incentive net income, deducted once</t>
  </si>
  <si>
    <t>U04</t>
  </si>
  <si>
    <t>Store-manager rule</t>
  </si>
  <si>
    <t>Choose one consistent percentage, threshold, multiplier and base.</t>
  </si>
  <si>
    <t>HIGH — Summary row 45</t>
  </si>
  <si>
    <t>Current formulas change by month.</t>
  </si>
  <si>
    <t>APPLIED — Manager incentive is 1% and Store Manager incentive is 0.5% of gross sales for every month.</t>
  </si>
  <si>
    <t>U05</t>
  </si>
  <si>
    <t>Owner allowance versus tax</t>
  </si>
  <si>
    <t>Are these one item or two separate obligations?</t>
  </si>
  <si>
    <t>HIGH — Summary row 47 / Report H35</t>
  </si>
  <si>
    <t>Same amount carries two labels.</t>
  </si>
  <si>
    <t>APPLIED — Three owners receive 0.5% each; 1.5% total gross sales</t>
  </si>
  <si>
    <t>U06</t>
  </si>
  <si>
    <t>Gross-income adjustment</t>
  </si>
  <si>
    <t>What are row 115 and the 50% control in B92 intended to represent?</t>
  </si>
  <si>
    <t>HIGH — Summary row 49</t>
  </si>
  <si>
    <t>Hidden adjustment changes reported gross income.</t>
  </si>
  <si>
    <t>APPLIED — Deleted obsolete gross-income adjustment</t>
  </si>
  <si>
    <t>U07</t>
  </si>
  <si>
    <t>Confirm rates, bases, special months and whether negatives are allowed.</t>
  </si>
  <si>
    <t>HIGH — Summary rows 57:60</t>
  </si>
  <si>
    <t>Copied formulas are not uniform.</t>
  </si>
  <si>
    <t>APPLIED — Removed tithes/offering rows and bottom-line deduction</t>
  </si>
  <si>
    <t>U08</t>
  </si>
  <si>
    <t>Confirm standard formula should apply identically to all months.</t>
  </si>
  <si>
    <t>MEDIUM — Summary rows 54:56</t>
  </si>
  <si>
    <t>Several month formulas reference mismatched cells.</t>
  </si>
  <si>
    <t>APPLIED — Gross margin uses (Sales − Total Cost) ÷ Sales. Break-even uses Expenses ÷ Gross Margin. Zero-sales future months carry the latest actual margin and monthly expense; Sales Variance uses the ₱1.5m monthly target for future months.</t>
  </si>
  <si>
    <t>U09</t>
  </si>
  <si>
    <t>Inventory adjustment sign</t>
  </si>
  <si>
    <t>Does a positive adjustment add stock or remove stock?</t>
  </si>
  <si>
    <t>MEDIUM — Inventory[Running]</t>
  </si>
  <si>
    <t>Current formula subtracts Adjustment.</t>
  </si>
  <si>
    <t>OPEN</t>
  </si>
  <si>
    <t>U10</t>
  </si>
  <si>
    <t>Pricing multiplier</t>
  </si>
  <si>
    <t>Define when store price is 2× versus 2.75× floor capital.</t>
  </si>
  <si>
    <t>MEDIUM — Inventory[STORE PRICE]</t>
  </si>
  <si>
    <t>No explicit rule field controls the choice.</t>
  </si>
  <si>
    <t>U11</t>
  </si>
  <si>
    <t>Discount eligibility</t>
  </si>
  <si>
    <t>Define Column4 and who receives Discount1/2/3 tiers.</t>
  </si>
  <si>
    <t>MEDIUM — STORE PRICE LIST53</t>
  </si>
  <si>
    <t>Labels are technical rather than operational.</t>
  </si>
  <si>
    <t>U12</t>
  </si>
  <si>
    <t>Legacy sheets</t>
  </si>
  <si>
    <t>Confirm whether Report, Sales wide history, In Store and FREDSAN are still required.</t>
  </si>
  <si>
    <t>LOW — Multiple sheets</t>
  </si>
  <si>
    <t>Determines later archive and simplification work.</t>
  </si>
  <si>
    <t>CONFIRMED — Deleted legacy sheets will not be restored.</t>
  </si>
  <si>
    <t>PHASE 1 CHECKPOINT: all 20 original sheets are classified; core dependencies and 22 business rules are mapped; 12 owner decisions remain open before any formula changes.</t>
  </si>
  <si>
    <t>PHASE 2 — MASTER RECORD STABILIZATION</t>
  </si>
  <si>
    <t>Product Categories</t>
  </si>
  <si>
    <t>Approved Agents</t>
  </si>
  <si>
    <t>Client Categories</t>
  </si>
  <si>
    <t>Area</t>
  </si>
  <si>
    <t>Change</t>
  </si>
  <si>
    <t>Affected records</t>
  </si>
  <si>
    <t>Control added</t>
  </si>
  <si>
    <t>Result</t>
  </si>
  <si>
    <t>Retail</t>
  </si>
  <si>
    <t>Product variants</t>
  </si>
  <si>
    <t>Separated Ford Ranger Type A / Type B</t>
  </si>
  <si>
    <t>Inventory 1461–1462; Code 687 and 1392</t>
  </si>
  <si>
    <t>Unique descriptions with existing codes</t>
  </si>
  <si>
    <t>CA-000752 / CA-001514</t>
  </si>
  <si>
    <t>COMPLETE</t>
  </si>
  <si>
    <t>Trade</t>
  </si>
  <si>
    <t>Separated Isuzu Crosswind Type A / Type B</t>
  </si>
  <si>
    <t>Inventory 1495 and 1499; Code 719 and 723</t>
  </si>
  <si>
    <t>CA-000784 / CA-000788</t>
  </si>
  <si>
    <t>Corporate</t>
  </si>
  <si>
    <t>Missing product code</t>
  </si>
  <si>
    <t>Added Hyundai RV evaporator</t>
  </si>
  <si>
    <t>Inventory 909; Code table new row</t>
  </si>
  <si>
    <t>New unique Car Aircon code</t>
  </si>
  <si>
    <t>Client initials</t>
  </si>
  <si>
    <t>Rebuilt from Client Name</t>
  </si>
  <si>
    <t>378 active clients; 4 reserved rows</t>
  </si>
  <si>
    <t>Live calculated-column formula</t>
  </si>
  <si>
    <t>All active initials calculate; no current errors</t>
  </si>
  <si>
    <t>Product categories</t>
  </si>
  <si>
    <t>Controlled Inventory and Code inputs</t>
  </si>
  <si>
    <t>All 2,209 Inventory product rows</t>
  </si>
  <si>
    <t>Approved-list validation</t>
  </si>
  <si>
    <t>4 categories</t>
  </si>
  <si>
    <t>COMPLETE — All 2,209 Inventory products map uniquely to Code; no missing or duplicate codes.</t>
  </si>
  <si>
    <t>Client classification</t>
  </si>
  <si>
    <t>Added Retail / Trade / Corporate</t>
  </si>
  <si>
    <t>378 active clients awaiting owner classification</t>
  </si>
  <si>
    <t>Ready for owner classification</t>
  </si>
  <si>
    <t>OWNER INPUT — Add six historical clients; NIC maps to Store. Assign approved agents to five other new clients before repairing transaction agents.</t>
  </si>
  <si>
    <t>Master uniqueness</t>
  </si>
  <si>
    <t>Protected clients, item descriptions and codes</t>
  </si>
  <si>
    <t>Client and Code masters</t>
  </si>
  <si>
    <t>Stop-alert uniqueness validation</t>
  </si>
  <si>
    <t>Prevents new duplicates</t>
  </si>
  <si>
    <t>Legacy duplicate codes</t>
  </si>
  <si>
    <t>Retired 10 unused duplicate mappings</t>
  </si>
  <si>
    <t>Code master only</t>
  </si>
  <si>
    <t>Verified absent from sales, purchases, pricing and inventory</t>
  </si>
  <si>
    <t>Inactive rows cleared without shifting layout</t>
  </si>
  <si>
    <t>PHASE 2 CHECKPOINT: product and client keys are unique; code errors are cleared; master inputs are controlled; client classification remains for owner entry.</t>
  </si>
  <si>
    <t>MODEL AUDIT &amp; PHASE 0 BASELINE</t>
  </si>
  <si>
    <t>Baseline captured 2026-08-01 22:00 GMT+08 | Operational formulas and source data unchanged</t>
  </si>
  <si>
    <t>STORY IN BRIEF</t>
  </si>
  <si>
    <t>The transaction ledger still totals ₱5.683m and reconciles exactly to Summary for sales, total cost, and agent commission. The baseline scan found 21,156 visible errors, led by STORE PRICE, Daily Sales, and Inventory. Inventory has 23 movement-equation exceptions, one negative-stock item, and 412 positive-sales rows without a product code. The workbook text expected 4,942 active transactions; the measurable positive-sales count is 4,742, so the active-row definition needs confirmation before Phase 3.</t>
  </si>
  <si>
    <t>BASELINE KPI</t>
  </si>
  <si>
    <t>Value</t>
  </si>
  <si>
    <t>Source / definition</t>
  </si>
  <si>
    <t>Original sheets</t>
  </si>
  <si>
    <t>Pre-Phase 0 workbook inventory</t>
  </si>
  <si>
    <t>BASELINE</t>
  </si>
  <si>
    <t>Positive-sales transactions</t>
  </si>
  <si>
    <t>Daily Sales rows where Sales &gt; 0</t>
  </si>
  <si>
    <t>Transaction sales</t>
  </si>
  <si>
    <t>SUM(sales[Sales])</t>
  </si>
  <si>
    <t>PASS</t>
  </si>
  <si>
    <t>Transaction total cost</t>
  </si>
  <si>
    <t>SUM(sales[Total Cost])</t>
  </si>
  <si>
    <t>Transaction agent commission</t>
  </si>
  <si>
    <t>SUM(sales[Agent Comm.])</t>
  </si>
  <si>
    <t>Inventory master rows</t>
  </si>
  <si>
    <t>Inventory rows with an item description</t>
  </si>
  <si>
    <t>Visible formula errors</t>
  </si>
  <si>
    <t>Full 20-sheet baseline scan</t>
  </si>
  <si>
    <t>FAIL</t>
  </si>
  <si>
    <t>LIVE CONTROL</t>
  </si>
  <si>
    <t>Workbook source</t>
  </si>
  <si>
    <t>Control target</t>
  </si>
  <si>
    <t>Difference / count</t>
  </si>
  <si>
    <t>Owner action</t>
  </si>
  <si>
    <t>Phase</t>
  </si>
  <si>
    <t>Priority</t>
  </si>
  <si>
    <t>Sales-to-Summary reconciliation</t>
  </si>
  <si>
    <t>No action while difference is zero</t>
  </si>
  <si>
    <t>Cost reconciliation</t>
  </si>
  <si>
    <t>Commission reconciliation</t>
  </si>
  <si>
    <t>Inventory equation exceptions</t>
  </si>
  <si>
    <t>Repair Running / movement formulas</t>
  </si>
  <si>
    <t>Duplicate product-code rows</t>
  </si>
  <si>
    <t>Keep at zero</t>
  </si>
  <si>
    <t>Missing client on positive-sales rows</t>
  </si>
  <si>
    <t>Complete client reference</t>
  </si>
  <si>
    <t>Missing item code on positive-sales rows</t>
  </si>
  <si>
    <t>Repair product lookup / code</t>
  </si>
  <si>
    <t>Trace purchases, sales and adjustments</t>
  </si>
  <si>
    <t>Complete product master cost</t>
  </si>
  <si>
    <t>Sales exceeding available stock</t>
  </si>
  <si>
    <t>Trace stock movement</t>
  </si>
  <si>
    <t>PRIORITY ISSUE LOG</t>
  </si>
  <si>
    <t>Range / object</t>
  </si>
  <si>
    <t>Severity</t>
  </si>
  <si>
    <t>Baseline finding</t>
  </si>
  <si>
    <t>Next phase</t>
  </si>
  <si>
    <t>LIST53</t>
  </si>
  <si>
    <t>CRITICAL</t>
  </si>
  <si>
    <t>Formula</t>
  </si>
  <si>
    <t>Worksheet permanently deleted by owner instruction; Phase 0 figures retained as historical baseline</t>
  </si>
  <si>
    <t>DELETED</t>
  </si>
  <si>
    <t>sales</t>
  </si>
  <si>
    <t>6,493 #REF! errors; 412 positive-sales rows lack item code</t>
  </si>
  <si>
    <t>LIST</t>
  </si>
  <si>
    <t>Formula / stock</t>
  </si>
  <si>
    <t>2,300 errors; 23 movement exceptions; 1 negative stock</t>
  </si>
  <si>
    <t>B40:AA62</t>
  </si>
  <si>
    <t>WARNING</t>
  </si>
  <si>
    <t>Financial logic</t>
  </si>
  <si>
    <t>20 visible errors; break-even rules remain open</t>
  </si>
  <si>
    <t>PivotTables</t>
  </si>
  <si>
    <t>Pivot</t>
  </si>
  <si>
    <t>17 visible errors including stale #REF! items</t>
  </si>
  <si>
    <t>Charts / KPI links</t>
  </si>
  <si>
    <t>7 visible errors; dashboard depends on Summary</t>
  </si>
  <si>
    <t>Workbook Map</t>
  </si>
  <si>
    <t>U08:U12</t>
  </si>
  <si>
    <t>Business rules</t>
  </si>
  <si>
    <t>Five owner decisions remain open</t>
  </si>
  <si>
    <t>CONFIRM</t>
  </si>
  <si>
    <t>Phase 0</t>
  </si>
  <si>
    <t>External file copy</t>
  </si>
  <si>
    <t>INFO</t>
  </si>
  <si>
    <t>Archival</t>
  </si>
  <si>
    <t>Workbook baseline captured; external archival copy cannot be created from the live sheet session</t>
  </si>
  <si>
    <t>MANUAL COPY</t>
  </si>
  <si>
    <t>20-SHEET ERROR BASELINE</t>
  </si>
  <si>
    <t>Visibility</t>
  </si>
  <si>
    <t>Used range</t>
  </si>
  <si>
    <t>Formula cells</t>
  </si>
  <si>
    <t>Reference errors</t>
  </si>
  <si>
    <t>#DIV/0! / other</t>
  </si>
  <si>
    <t>Total errors</t>
  </si>
  <si>
    <t>Hidden</t>
  </si>
  <si>
    <t>A15:U92</t>
  </si>
  <si>
    <t>B1:P184</t>
  </si>
  <si>
    <t>Visible</t>
  </si>
  <si>
    <t>A1:I103</t>
  </si>
  <si>
    <t>B2:AV122</t>
  </si>
  <si>
    <t>B1:AG174</t>
  </si>
  <si>
    <t>B1:AG88</t>
  </si>
  <si>
    <t>A1:AA2213</t>
  </si>
  <si>
    <t>B1:Z8134</t>
  </si>
  <si>
    <t>B3:Z241</t>
  </si>
  <si>
    <t>C6:K388</t>
  </si>
  <si>
    <t>A3:G382</t>
  </si>
  <si>
    <t>B2:APK1035</t>
  </si>
  <si>
    <t>B2:Q184</t>
  </si>
  <si>
    <t>A1:NE6</t>
  </si>
  <si>
    <t>A1:U135</t>
  </si>
  <si>
    <t>A1:K2592</t>
  </si>
  <si>
    <t>A1:C9</t>
  </si>
  <si>
    <t>B1:AT205</t>
  </si>
  <si>
    <t>B1:AJ1654</t>
  </si>
  <si>
    <t>B5:C8</t>
  </si>
  <si>
    <t>TOTAL BASELINE ERRORS</t>
  </si>
  <si>
    <t>TIERED REPAIR PLAN — LOW-LOAD WORK PACKETS</t>
  </si>
  <si>
    <t>Work one packet at a time. Each packet must capture a before-state, change only its stated range, recalculate, compare the control totals, log the result, save a new version, and stop. Do not refresh every PivotTable or rewrite whole tables in the same session.</t>
  </si>
  <si>
    <t>Tier / packet</t>
  </si>
  <si>
    <t>Objective</t>
  </si>
  <si>
    <t>Primary scope</t>
  </si>
  <si>
    <t>Batch ceiling</t>
  </si>
  <si>
    <t>Entry gate</t>
  </si>
  <si>
    <t>Required verification</t>
  </si>
  <si>
    <t>Stop / rollback trigger</t>
  </si>
  <si>
    <t>0A</t>
  </si>
  <si>
    <t>Create archival checkpoint</t>
  </si>
  <si>
    <t>Whole workbook</t>
  </si>
  <si>
    <t>One manual Save As</t>
  </si>
  <si>
    <t>Current file opens; Audit baseline visible</t>
  </si>
  <si>
    <t>Manual Save As confirmed by owner on 2026-08-01</t>
  </si>
  <si>
    <t>No archival copy available</t>
  </si>
  <si>
    <t>0B</t>
  </si>
  <si>
    <t>Lock packet controls</t>
  </si>
  <si>
    <t>Audit!A17:E26</t>
  </si>
  <si>
    <t>One control review</t>
  </si>
  <si>
    <t>0A complete</t>
  </si>
  <si>
    <t>Locked: sales ₱5,682,935.05; cost ₱2,952,627.44; commission ₱256,529.59</t>
  </si>
  <si>
    <t>Any baseline total changes before repair</t>
  </si>
  <si>
    <t>1A</t>
  </si>
  <si>
    <t>Confirm surviving architecture</t>
  </si>
  <si>
    <t>15 remaining sheets</t>
  </si>
  <si>
    <t>One dependency review</t>
  </si>
  <si>
    <t>0B complete</t>
  </si>
  <si>
    <t>Confirmed: five deleted sheets are permanently retired; dependencies must not reference them</t>
  </si>
  <si>
    <t>Required source is missing</t>
  </si>
  <si>
    <t>1B</t>
  </si>
  <si>
    <t>Stabilize product keys</t>
  </si>
  <si>
    <t>Code[CODE] and Inventory!LIST[CODE]</t>
  </si>
  <si>
    <t>500 master rows</t>
  </si>
  <si>
    <t>1A complete</t>
  </si>
  <si>
    <t>COMPLETE: all 2,209 Inventory products checked in five low-load batches. 0 missing codes, 0 duplicates, 0 unmapped codes, and 0 description mismatches. Repaired Code!E2592:F2592 and Inventory!E938.</t>
  </si>
  <si>
    <t>New duplicate or changed description</t>
  </si>
  <si>
    <t>1C</t>
  </si>
  <si>
    <t>Stabilize client keys</t>
  </si>
  <si>
    <t>Client List01!Table28</t>
  </si>
  <si>
    <t>All 382 rows</t>
  </si>
  <si>
    <t>Passed: 378 active clients; 4 validated blank rows reserved. 0 duplicate names, 0 missing initials, 0 invalid/blank agents. All active categories remain blank for owner classification; Retail/Trade/Corporate validation is active.</t>
  </si>
  <si>
    <t>Any sales/client mismatch increases</t>
  </si>
  <si>
    <t>2A</t>
  </si>
  <si>
    <t>Audit core sales inputs</t>
  </si>
  <si>
    <t>sales[Month] through sales[Price]</t>
  </si>
  <si>
    <t>500 table rows</t>
  </si>
  <si>
    <t>Tier 1 passed</t>
  </si>
  <si>
    <t>COMPLETE — 4,742 positive-sales rows assessed. Month, date, item description, quantity and price are complete and valid. Invoice/DR and receipt type are owner-confirmed optional. Exceptions handed off: 412 missing product codes to 2B; 117 rows across 6 absent clients and 113 blank agents to 2C. No transaction values changed.</t>
  </si>
  <si>
    <t>Sales total changes</t>
  </si>
  <si>
    <t>2B</t>
  </si>
  <si>
    <t>Repair product lookups</t>
  </si>
  <si>
    <t>sales code, SRP, cost, capital, item/category fields</t>
  </si>
  <si>
    <t>3 columns × 500 rows</t>
  </si>
  <si>
    <t>2A complete</t>
  </si>
  <si>
    <t>COMPLETE — Restored 412 transaction product codes: 383 deterministic Inventory matches, 28 exact historical Code mappings, and 1 validated product variant. Added 11 inactive historical Inventory records with zero cost/stock by owner policy. Repaired 54 dormant product formulas; product columns I/O/P/U/V contain no visible errors or #REF formulas.</t>
  </si>
  <si>
    <t>New #REF! or valid lookup changes unexpectedly</t>
  </si>
  <si>
    <t>2C</t>
  </si>
  <si>
    <t>Repair client lookups</t>
  </si>
  <si>
    <t>sales client-derived address/pricing fields</t>
  </si>
  <si>
    <t>2 columns × 500 rows</t>
  </si>
  <si>
    <t>2A and 2B complete</t>
  </si>
  <si>
    <t>COMPLETE — Added six historical clients, assigned all six to Store by owner instruction, and normalized 5 trailing-space client entries. All 4,742 positive-sale rows now resolve to a master client and approved agent; 0 unknown clients and 0 blank agents.</t>
  </si>
  <si>
    <t>Client/agent assignment changes unexpectedly</t>
  </si>
  <si>
    <t>2D</t>
  </si>
  <si>
    <t>Repair sales calculations</t>
  </si>
  <si>
    <t>sales Sales, Total Cost, Capital, Mark up, Commission</t>
  </si>
  <si>
    <t>2B and 2C batch passed</t>
  </si>
  <si>
    <t>COMPLETE — Rebuilt code-based product lookups and Sales/Total Cost/Capital/Markup/Commission calculations across all 8,100 table rows in 17 controlled packets. Preserved three documented discounted Sales overrides. Positive-sale rows: 4,742; calculation errors: 0.</t>
  </si>
  <si>
    <t>Any reconciliation difference is nonzero</t>
  </si>
  <si>
    <t>2E</t>
  </si>
  <si>
    <t>Historical regression test</t>
  </si>
  <si>
    <t>Representative records from each month/category/agent</t>
  </si>
  <si>
    <t>25 records</t>
  </si>
  <si>
    <t>2D complete</t>
  </si>
  <si>
    <t>COMPLETE — 25-record regression sample passed across all 8 active months, 4 categories and 10 agents. Three discounted Sales overrides were preserved and explained; annual sales, cost and commission tie to the repaired ledger.</t>
  </si>
  <si>
    <t>Any historical result cannot be explained</t>
  </si>
  <si>
    <t>3A</t>
  </si>
  <si>
    <t>Build new purchase source</t>
  </si>
  <si>
    <t>New Purchase Log sheet and table</t>
  </si>
  <si>
    <t>Structure first; then maximum 500 purchase rows per packet</t>
  </si>
  <si>
    <t>Tier 2 passed; owner decision recorded</t>
  </si>
  <si>
    <t>COMPLETE — Purchase Log and PurchaseLog table created. Unique IDs are checked by row status; Product Code is restricted to 2,220 Inventory master codes; quantity and unit cost require positive values. Product description/category and purchase amount calculate automatically. No purchase transactions loaded.</t>
  </si>
  <si>
    <t>Any duplicate purchase ID, invalid code, or inventory reconciliation change</t>
  </si>
  <si>
    <t>3B</t>
  </si>
  <si>
    <t>Rebuild stock movement</t>
  </si>
  <si>
    <t>Inventory Month Start, Adjustment, Running, Qty Sold, Purchased</t>
  </si>
  <si>
    <t>New Purchase Log structure and validation passed</t>
  </si>
  <si>
    <t>COMPLETE — Rebuilt Running, Qty Sold and Purchased across all 2,220 Inventory products in five controlled packets. All rows use live Daily Sales and validated Purchase Log sources; 0 movement-equation exceptions and 0 formula errors. Negative/oversold stock is handed to 3C for source tracing.</t>
  </si>
  <si>
    <t>Movement exceptions increase</t>
  </si>
  <si>
    <t>3C</t>
  </si>
  <si>
    <t>Resolve stock exceptions</t>
  </si>
  <si>
    <t>Inventory exception rows only</t>
  </si>
  <si>
    <t>Maximum 50 rows</t>
  </si>
  <si>
    <t>3B complete</t>
  </si>
  <si>
    <t>BLOCKED — Trace complete for all 364 negative-running products: 355 sales-history deficits and 9 negative-adjustment deficits. No validated historical purchases exist in Purchase Log, so stock cannot be corrected without source evidence, corrected opening balances, or approved adjustments. No stock values were changed.</t>
  </si>
  <si>
    <t>Source transaction cannot be traced</t>
  </si>
  <si>
    <t>BLOCKED</t>
  </si>
  <si>
    <t>4A</t>
  </si>
  <si>
    <t>Refresh aggregation layer</t>
  </si>
  <si>
    <t>Sales Summary pivots</t>
  </si>
  <si>
    <t>One PivotTable at a time</t>
  </si>
  <si>
    <t>Tier 2 passed</t>
  </si>
  <si>
    <t>COMPLETE — SALES-ONLY OVERRIDE. Sales Summary PivotTable2 (category/month) and PivotTable5 (agent/month) were refreshed/reconciled to all 4,742 positive-sale rows. All 8 active months, 4 categories, 10 agents and the ₱5,682,935.05 grand total tie to Daily Sales; stale #REF pivot items are removed. Inventory remains blocked at 364 unsupported stock deficits, so 4B is not released.</t>
  </si>
  <si>
    <t>Grand total differs from ₱5,682,935.05</t>
  </si>
  <si>
    <t>COMPLETE — OVERRIDE</t>
  </si>
  <si>
    <t>4B</t>
  </si>
  <si>
    <t>Rebuild financial rows</t>
  </si>
  <si>
    <t>Summary!B40:AA62</t>
  </si>
  <si>
    <t>One financial row across 12 months</t>
  </si>
  <si>
    <t>4A and Expenses checks passed</t>
  </si>
  <si>
    <t>UPDATED — Owner confirmed Manager Incentive = 1% and Store Manager Incentive = 0.5% of gross sales. Summary rows 44–45 now calculate directly from monthly gross sales; dependent Net Income, Overall, Bottomline, Report and INDEX values recalculate automatically. Inventory validation remains separately blocked.</t>
  </si>
  <si>
    <t>Any confirmed business rule is still open</t>
  </si>
  <si>
    <t>4C</t>
  </si>
  <si>
    <t>Resolve break-even logic</t>
  </si>
  <si>
    <t>Summary gross margin, break-even and variance rows</t>
  </si>
  <si>
    <t>One row across 12 months</t>
  </si>
  <si>
    <t>Owner confirms U08</t>
  </si>
  <si>
    <t>COMPLETE — Rebuilt Summary rows 54–56 using the owner-confirmed Total Cost margin rule. Break-even uses Expenses ÷ Gross Margin; zero-sales future months carry the latest actual margin and expense, and forecast variance uses the ₱1.5m monthly sales target. All formulas are consistent and no DIV/0 errors remain.</t>
  </si>
  <si>
    <t>Formula differs across months without reason</t>
  </si>
  <si>
    <t>5A</t>
  </si>
  <si>
    <t>Repair reports</t>
  </si>
  <si>
    <t>Report, Client Record, Sales Summary visible errors</t>
  </si>
  <si>
    <t>One sheet per session</t>
  </si>
  <si>
    <t>Tier 4 passed</t>
  </si>
  <si>
    <t>COMPLETE — REPORT-ONLY OVERRIDE. Repaired Report, Client Record and Sales Summary. Report has 0 visible errors; Client Record client/month totals tie to Daily Sales; all five Sales Summary pivots tie monthly and annually to Sales, Capital, Unit Cost and Total Cost. Obsolete orphan formulas were removed. Inventory remains blocked.</t>
  </si>
  <si>
    <t>Source engine not yet reconciled</t>
  </si>
  <si>
    <t>5B</t>
  </si>
  <si>
    <t>Repair dashboard</t>
  </si>
  <si>
    <t>INDEX formulas and chart sources</t>
  </si>
  <si>
    <t>One KPI block or one chart per packet</t>
  </si>
  <si>
    <t>UPDATED — Executive Summary!C4 is now the master month selector for the workbook’s operational month views. INDEX agent performance, INDEX month number, Summary selected-month agent table and Summary commission helpers all recalculate from the single selector. The legacy Summary month-filter PivotTable was replaced with live SUMIFS formulas.</t>
  </si>
  <si>
    <t>Chart source requires deleted sheet</t>
  </si>
  <si>
    <t>6A</t>
  </si>
  <si>
    <t>Reduce oversized support areas</t>
  </si>
  <si>
    <t>Sales and Daily Inventory</t>
  </si>
  <si>
    <t>One dependency-tested block</t>
  </si>
  <si>
    <t>Tier 5 passed</t>
  </si>
  <si>
    <t>COMPLETE — SUPPORT-AREA OVERRIDE. Reduced the Sales workspace to 95 rows and retired the obsolete 368-column Daily Inventory pivot. Inventory Qty Sold already links directly to Daily Sales, so all 2,220 Inventory movement formulas and financial controls remained unchanged. Inventory source deficits remain blocked separately.</t>
  </si>
  <si>
    <t>Any dependent object changes</t>
  </si>
  <si>
    <t>6B</t>
  </si>
  <si>
    <t>Document and hand over</t>
  </si>
  <si>
    <t>Workbook Map, Audit, operating guide</t>
  </si>
  <si>
    <t>One documentation section</t>
  </si>
  <si>
    <t>All prior tiers passed</t>
  </si>
  <si>
    <t>BLOCKED — Full 17-sheet audit found 11,272 live error-bearing cells: Daily Sales 7,055; Inventory 4,208; Summary 8; Sales Summary 1. Operating Guide, reports, dashboard and financial controls pass, but final handover cannot be signed off until these cells and the 364 source-supported stock deficits are resolved.</t>
  </si>
  <si>
    <t>Any edit location remains ambiguous</t>
  </si>
  <si>
    <t>SYSTEM-LOAD GUARDRAILS</t>
  </si>
  <si>
    <t>Rule 1</t>
  </si>
  <si>
    <t>Touch only one sheet and one formula group per packet</t>
  </si>
  <si>
    <t>Rule 2</t>
  </si>
  <si>
    <t>Maximum 500 table rows or three calculated columns per write</t>
  </si>
  <si>
    <t>Rule 3</t>
  </si>
  <si>
    <t>For PivotTables, refresh and verify one PivotTable at a time</t>
  </si>
  <si>
    <t>Rule 4</t>
  </si>
  <si>
    <t>Run targeted error checks on the changed range; full-workbook scan only at tier gates</t>
  </si>
  <si>
    <t>Rule 5</t>
  </si>
  <si>
    <t>After every packet: recalculate, compare Audit controls, save a new version, then stop</t>
  </si>
  <si>
    <t>Rule 6</t>
  </si>
  <si>
    <t>If sales, cost, or commission differs from baseline, roll back that packet before continuing</t>
  </si>
  <si>
    <t>PACKET LOG</t>
  </si>
  <si>
    <t>Completed</t>
  </si>
  <si>
    <t>Scope</t>
  </si>
  <si>
    <t>Outcome</t>
  </si>
  <si>
    <t>Next packet</t>
  </si>
  <si>
    <t>2026-08-01 23:00 GMT+08</t>
  </si>
  <si>
    <t>Audit controls only</t>
  </si>
  <si>
    <t>ARCHITECTURE DECISION</t>
  </si>
  <si>
    <t>Decision date</t>
  </si>
  <si>
    <t>Retired sheets</t>
  </si>
  <si>
    <t>Purchase replacement</t>
  </si>
  <si>
    <t>Impact</t>
  </si>
  <si>
    <t>Control result</t>
  </si>
  <si>
    <t>Packet</t>
  </si>
  <si>
    <t>Permanent retirement</t>
  </si>
  <si>
    <t>STORE PRICE; Purchased; FREDSAN; Client Sales Records; CLIENT PRICING</t>
  </si>
  <si>
    <t>Build new Purchase Log from scratch</t>
  </si>
  <si>
    <t>Do not rebuild dependencies to retired sheets</t>
  </si>
  <si>
    <t>Sales/cost/commission differences remain ₱0.00</t>
  </si>
  <si>
    <t>1B-01</t>
  </si>
  <si>
    <t>Inventory!B5:F504</t>
  </si>
  <si>
    <t>500 products</t>
  </si>
  <si>
    <t>0 missing / 0 duplicate / 0 unmapped / 0 mismatched</t>
  </si>
  <si>
    <t>No master values changed</t>
  </si>
  <si>
    <t>1B-02</t>
  </si>
  <si>
    <t>382 table rows / 378 active</t>
  </si>
  <si>
    <t>0 duplicate names; 0 invalid agents; validations active</t>
  </si>
  <si>
    <t>378 category inputs intentionally left blank</t>
  </si>
  <si>
    <t>Resume 1B-02</t>
  </si>
  <si>
    <t>2A READINESS</t>
  </si>
  <si>
    <t>Prerequisite</t>
  </si>
  <si>
    <t>Rows assessed</t>
  </si>
  <si>
    <t>Ready fields</t>
  </si>
  <si>
    <t>Blocking exceptions</t>
  </si>
  <si>
    <t>Policy question</t>
  </si>
  <si>
    <t>Financial controls</t>
  </si>
  <si>
    <t>Verdict</t>
  </si>
  <si>
    <t>Core sales inputs</t>
  </si>
  <si>
    <t>1B IN PROGRESS; 1C COMPLETE</t>
  </si>
  <si>
    <t>4,742 positive-sales rows</t>
  </si>
  <si>
    <t>Month/date/item description/qty/price</t>
  </si>
  <si>
    <t>412 missing codes; 117 unknown-client rows (6 names); 113 blank agents</t>
  </si>
  <si>
    <t>Are invoice and receipt type optional for cash/non-invoiced sales?</t>
  </si>
  <si>
    <t>Sales/cost/commission differences ₱0.00</t>
  </si>
  <si>
    <t>NOT READY</t>
  </si>
  <si>
    <t>Inventory!C505:F1004</t>
  </si>
  <si>
    <t>Repaired CA-001866 check and Inventory row 938 code lookup</t>
  </si>
  <si>
    <t>0 missing / duplicate / unmapped / mismatched after repair</t>
  </si>
  <si>
    <t>1B-03</t>
  </si>
  <si>
    <t>Inventory!C1005:F1504</t>
  </si>
  <si>
    <t>No changes</t>
  </si>
  <si>
    <t>0 missing / duplicate / unmapped / mismatched</t>
  </si>
  <si>
    <t>1B-04</t>
  </si>
  <si>
    <t>Inventory!C1505:F2004</t>
  </si>
  <si>
    <t>1B-05</t>
  </si>
  <si>
    <t>Inventory!C2005:F2213</t>
  </si>
  <si>
    <t>209 products</t>
  </si>
  <si>
    <t>Full key-only check: 2,209 products</t>
  </si>
  <si>
    <t>2A exceptions</t>
  </si>
  <si>
    <t>2A DECISION</t>
  </si>
  <si>
    <t>Invoice / receipt rule</t>
  </si>
  <si>
    <t>Client rule</t>
  </si>
  <si>
    <t>Agent rule</t>
  </si>
  <si>
    <t>Product-code finding</t>
  </si>
  <si>
    <t>Client/agent finding</t>
  </si>
  <si>
    <t>Transaction changes</t>
  </si>
  <si>
    <t>Owner rules</t>
  </si>
  <si>
    <t>Both may remain blank</t>
  </si>
  <si>
    <t>Add six historical clients</t>
  </si>
  <si>
    <t>Use client-master agent only</t>
  </si>
  <si>
    <t>412 blank codes; no exact full-description match</t>
  </si>
  <si>
    <t>117 rows / 6 clients; 113 blanks all belong to 5 new clients</t>
  </si>
  <si>
    <t>None</t>
  </si>
  <si>
    <t>2A HANDOFF</t>
  </si>
  <si>
    <t>Known assignment</t>
  </si>
  <si>
    <t>Owner input needed</t>
  </si>
  <si>
    <t>Financial control</t>
  </si>
  <si>
    <t>Next action</t>
  </si>
  <si>
    <t>Exceptions</t>
  </si>
  <si>
    <t>Repair 412 product codes using controlled lookup logic</t>
  </si>
  <si>
    <t>Add six clients and populate historical agents</t>
  </si>
  <si>
    <t>NIC → Store</t>
  </si>
  <si>
    <t>Assign agents for MANNY CORTEZ MATE AIR; AC SAN PEDRO / KUYA INAN; HELBERT ARIETE / MHM AUTOSHOP; JANSON; AIRCON BOY</t>
  </si>
  <si>
    <t>Begin 2B or provide five agent assignments</t>
  </si>
  <si>
    <t>2B PACKET</t>
  </si>
  <si>
    <t>Codes restored</t>
  </si>
  <si>
    <t>Exceptions retained</t>
  </si>
  <si>
    <t>Master action</t>
  </si>
  <si>
    <t>Formula action</t>
  </si>
  <si>
    <t>Financial difference</t>
  </si>
  <si>
    <t>2B-01</t>
  </si>
  <si>
    <t>Rows 7:506</t>
  </si>
  <si>
    <t>20 pending at packet close</t>
  </si>
  <si>
    <t>₱0.00</t>
  </si>
  <si>
    <t>2B-02:08</t>
  </si>
  <si>
    <t>Rows 507:4506</t>
  </si>
  <si>
    <t>29 historical candidates before Code review</t>
  </si>
  <si>
    <t>2B-HIST</t>
  </si>
  <si>
    <t>All remaining rows</t>
  </si>
  <si>
    <t>Added 11 inactive historical products</t>
  </si>
  <si>
    <t>Validated exact Code records / one matching variant</t>
  </si>
  <si>
    <t>2B-FORMULA</t>
  </si>
  <si>
    <t>Product columns I/O/P/U/V</t>
  </si>
  <si>
    <t>All positive-sale codes resolve to Inventory</t>
  </si>
  <si>
    <t>Repaired 21 code, 18 SRP, 15 unit-cost dormant #REF formulas</t>
  </si>
  <si>
    <t>2C CLOSE</t>
  </si>
  <si>
    <t>Rows normalized</t>
  </si>
  <si>
    <t>Positive-sale rows</t>
  </si>
  <si>
    <t>Unknown clients</t>
  </si>
  <si>
    <t>Blank agents</t>
  </si>
  <si>
    <t>Commission before cleanup</t>
  </si>
  <si>
    <t>Commission after cleanup</t>
  </si>
  <si>
    <t>Client/agent verification</t>
  </si>
  <si>
    <t>2D FINAL</t>
  </si>
  <si>
    <t>Rows covered</t>
  </si>
  <si>
    <t>Calculation engine</t>
  </si>
  <si>
    <t>Rows 7–8106</t>
  </si>
  <si>
    <t>Three preserved Sales overrides; 11 inactive historical products have zero cost</t>
  </si>
  <si>
    <t>Integrity check</t>
  </si>
  <si>
    <t>8,100 table rows</t>
  </si>
  <si>
    <t>Visible errors 0; non-formula calculations 0</t>
  </si>
  <si>
    <t>Change vs Phase 0</t>
  </si>
  <si>
    <t>Repaired lookup/calculation basis</t>
  </si>
  <si>
    <t>Intentional repair deltas; Summary currently reconciles</t>
  </si>
  <si>
    <t>LOGGED</t>
  </si>
  <si>
    <t>Post-audit remediation — Daily Sales</t>
  </si>
  <si>
    <t>Daily Sales!W:Z — Address, SI Price and % markup formulas</t>
  </si>
  <si>
    <t>Repair in controlled formula-column packets; preserve sales, cost and commission totals. Then repair Inventory legacy references and Summary/Sales Summary residual errors.</t>
  </si>
  <si>
    <t>2E HISTORICAL REGRESSION TEST</t>
  </si>
  <si>
    <t>Twenty-five positive-sale records were selected coverage-first: all active months, every sales category, every agent, and the three documented discounted Sales overrides. Each record checks Sales, Total Cost and Agent Commission against its source inputs; the full-ledger controls remain live.</t>
  </si>
  <si>
    <t>Table rows</t>
  </si>
  <si>
    <t>Annual Sales</t>
  </si>
  <si>
    <t>Annual Total Cost</t>
  </si>
  <si>
    <t>Annual Agent Commission</t>
  </si>
  <si>
    <t>Sample records</t>
  </si>
  <si>
    <t>Active months covered</t>
  </si>
  <si>
    <t>Categories covered</t>
  </si>
  <si>
    <t>Agents covered</t>
  </si>
  <si>
    <t>Record checks passed</t>
  </si>
  <si>
    <t>Discounted overrides</t>
  </si>
  <si>
    <t>Packet result</t>
  </si>
  <si>
    <t>REGRESSION SAMPLE — LIVE LINKS TO DAILY SALES</t>
  </si>
  <si>
    <t>Source row</t>
  </si>
  <si>
    <t>Regression result</t>
  </si>
  <si>
    <t>02-Aug-2026 16:00 GMT+08</t>
  </si>
  <si>
    <t>Purchase Log structure</t>
  </si>
  <si>
    <t>0 transactions loaded</t>
  </si>
  <si>
    <t>2,220 unique Inventory codes validated</t>
  </si>
  <si>
    <t>3B-01</t>
  </si>
  <si>
    <t>Inventory!U5:W504</t>
  </si>
  <si>
    <t>500 products / 3 columns</t>
  </si>
  <si>
    <t>0 movement exceptions; 35 negative running; 35 oversells</t>
  </si>
  <si>
    <t>3B-02</t>
  </si>
  <si>
    <t>Inventory!U505:W1004</t>
  </si>
  <si>
    <t>8→0 movement exceptions; 21→0 formula errors; 101 negative running; 101 oversells</t>
  </si>
  <si>
    <t>3B-03</t>
  </si>
  <si>
    <t>Inventory!U1005:W1504</t>
  </si>
  <si>
    <t>11→0 movement exceptions; 5→0 formula errors; 91 negative running; 91 oversells</t>
  </si>
  <si>
    <t>3B-04</t>
  </si>
  <si>
    <t>Inventory!U1505:W2004</t>
  </si>
  <si>
    <t>2→0 movement exceptions; 11→0 formula errors; 81 negative running; 81 oversells</t>
  </si>
  <si>
    <t>3B-05</t>
  </si>
  <si>
    <t>Inventory!U2005:W2224; full check U5:W2224</t>
  </si>
  <si>
    <t>220 products / 3 columns; 2,220-row verification</t>
  </si>
  <si>
    <t>0→0 packet exceptions; 14→0 packet errors; full model: 0 equation exceptions, 364 negative running, 364 oversells</t>
  </si>
  <si>
    <t>3C-01</t>
  </si>
  <si>
    <t>First 50 negative-running products</t>
  </si>
  <si>
    <t>50 exception rows</t>
  </si>
  <si>
    <t>44 sales-history deficits; 6 adjustment deficits; 769 unsupported units</t>
  </si>
  <si>
    <t>No stock changes; financial differences remain ₱0.00</t>
  </si>
  <si>
    <t>PASS — TRACE COMPLETE</t>
  </si>
  <si>
    <t>3C-02</t>
  </si>
  <si>
    <t>Negative-running products 51–100</t>
  </si>
  <si>
    <t>48 sales-history deficits; 2 adjustment deficits; 0 other deficits; 1182.6000000000001 unsupported units</t>
  </si>
  <si>
    <t>3C-03</t>
  </si>
  <si>
    <t>Negative-running products 101–150</t>
  </si>
  <si>
    <t>50 sales-history deficits; 0 adjustment deficits; 0 other deficits; 200 unsupported units</t>
  </si>
  <si>
    <t>3C-04</t>
  </si>
  <si>
    <t>Negative-running products 151–200</t>
  </si>
  <si>
    <t>50 sales-history deficits; 0 adjustment deficits; 0 other deficits; 534 unsupported units</t>
  </si>
  <si>
    <t>3C-05</t>
  </si>
  <si>
    <t>02-Aug-2026 17:00 GMT+08</t>
  </si>
  <si>
    <t>Negative-running products 201–250</t>
  </si>
  <si>
    <t>49 sales-history deficits; 1 adjustment deficits; 0 other deficits; 1031 unsupported units</t>
  </si>
  <si>
    <t>3C-06</t>
  </si>
  <si>
    <t>Negative-running products 251–300</t>
  </si>
  <si>
    <t>50 sales-history deficits; 0 adjustment deficits; 0 other deficits; 342 unsupported units</t>
  </si>
  <si>
    <t>3C-07</t>
  </si>
  <si>
    <t>Negative-running products 301–350</t>
  </si>
  <si>
    <t>50 sales-history deficits; 0 adjustment deficits; 0 other deficits; 3315.5 unsupported units</t>
  </si>
  <si>
    <t>3C-08</t>
  </si>
  <si>
    <t>Final negative-running products 351–364; full 364-row reconciliation</t>
  </si>
  <si>
    <t>14 exception rows; 364-row full check</t>
  </si>
  <si>
    <t>14 sales-history deficits; 0 adjustment deficits; 70 unsupported units; full register 7444.1 units</t>
  </si>
  <si>
    <t>STOP — SOURCE SUPPORT REQUIRED</t>
  </si>
  <si>
    <t>Owner evidence / approval</t>
  </si>
  <si>
    <t>4A-01</t>
  </si>
  <si>
    <t>Sales Summary!PivotTable2</t>
  </si>
  <si>
    <t>Sales by category/month; shared-cache refresh</t>
  </si>
  <si>
    <t>4742 positive-sale rows; 8 active months; 4 categories; grand total ₱5682935.05</t>
  </si>
  <si>
    <t>All category/month totals tie; stale #REF items removed; financial differences ₱0.00</t>
  </si>
  <si>
    <t>PASS — SALES-ONLY OVERRIDE</t>
  </si>
  <si>
    <t>4A-02</t>
  </si>
  <si>
    <t>Sales Summary!PivotTable5</t>
  </si>
  <si>
    <t>Agent-by-month sales verification</t>
  </si>
  <si>
    <t>4742 positive-sale rows; 8 active months; 10 agents; grand total ₱5682935.05</t>
  </si>
  <si>
    <t>All agent/month totals tie; financial differences remain ₱0.00</t>
  </si>
  <si>
    <t>PASS — 4A SALES-ONLY COMPLETE</t>
  </si>
  <si>
    <t>Return to 3C gate</t>
  </si>
  <si>
    <t>4B-01</t>
  </si>
  <si>
    <t>Summary!B40:AA40</t>
  </si>
  <si>
    <t>One financial row — monthly/annual sales</t>
  </si>
  <si>
    <t>12 monthly formulas; annual sales ₱5,682,935.05</t>
  </si>
  <si>
    <t>All months tie to Daily Sales; financial differences remain ₱0.00</t>
  </si>
  <si>
    <t>PASS — FINANCIAL-ONLY OVERRIDE</t>
  </si>
  <si>
    <t>4B-02</t>
  </si>
  <si>
    <t>Summary!B42:AA42</t>
  </si>
  <si>
    <t>One financial row — monthly/annual Total Cost</t>
  </si>
  <si>
    <t>12 monthly formulas; annual Total Cost ₱4012118.84</t>
  </si>
  <si>
    <t>4B-03</t>
  </si>
  <si>
    <t>Summary!B43:AA43</t>
  </si>
  <si>
    <t>One financial row — monthly/annual Agent Commission</t>
  </si>
  <si>
    <t>12 monthly formulas; annual Agent Commission ₱150211.23</t>
  </si>
  <si>
    <t>4B-04</t>
  </si>
  <si>
    <t>Summary!B48:AA48</t>
  </si>
  <si>
    <t>One financial row — monthly/annual Expenses</t>
  </si>
  <si>
    <t>12 monthly links; annual Expenses ₱1080483.13</t>
  </si>
  <si>
    <t>All months tie to Expenses controls; financial differences remain ₱0.00</t>
  </si>
  <si>
    <t>4B-05</t>
  </si>
  <si>
    <t>Summary!B41:AA41</t>
  </si>
  <si>
    <t>One financial row — monthly/annual Capital</t>
  </si>
  <si>
    <t>12 monthly formulas; annual Capital ₱4196363.14</t>
  </si>
  <si>
    <t>4B-06</t>
  </si>
  <si>
    <t>Summary!B49:AA49</t>
  </si>
  <si>
    <t>One derived row — Gross Income</t>
  </si>
  <si>
    <t>Sales − Capital − Agent Commission; annual ₱1336360.67</t>
  </si>
  <si>
    <t>All months recalculate consistently; financial differences remain ₱0.00</t>
  </si>
  <si>
    <t>4B-07</t>
  </si>
  <si>
    <t>Summary!B50:AA50</t>
  </si>
  <si>
    <t>One derived row — Net Income</t>
  </si>
  <si>
    <t>Gross Income − Expenses − manager incentives; annual ₱250759.20</t>
  </si>
  <si>
    <t>4B-08</t>
  </si>
  <si>
    <t>Summary!B51:AA51</t>
  </si>
  <si>
    <t>One derived row — Add On Capital</t>
  </si>
  <si>
    <t>Capital − Total Cost − Owner’s Allowance; annual ₱99000.28</t>
  </si>
  <si>
    <t>4B-09</t>
  </si>
  <si>
    <t>Summary!B52:AA52; Summary!B58:AA58</t>
  </si>
  <si>
    <t>Final derived rows — Overall and Bottomline</t>
  </si>
  <si>
    <t>Net Income + Add On Capital; annual Bottomline ₱349759.48</t>
  </si>
  <si>
    <t>All rebuilt rows and annual totals consistent; financial differences remain ₱0.00</t>
  </si>
  <si>
    <t>PASS — 4B FINANCIAL-ONLY COMPLETE</t>
  </si>
  <si>
    <t>4C owner confirmation</t>
  </si>
  <si>
    <t>4C-01</t>
  </si>
  <si>
    <t>Summary!B54:AA54</t>
  </si>
  <si>
    <t>Gross Margin — Total Cost basis</t>
  </si>
  <si>
    <t>Actual months use (Sales − Total Cost) ÷ Sales; Sep–Dec carry Aug margin</t>
  </si>
  <si>
    <t>12 consistent formulas; legacy shifts removed; financial differences ₱0.00</t>
  </si>
  <si>
    <t>4C-02</t>
  </si>
  <si>
    <t>Summary!B55:AA55</t>
  </si>
  <si>
    <t>Expenses ÷ Total Cost margin; Aug–Dec use July expense forecast</t>
  </si>
  <si>
    <t>12 consistent formulas; no DIV/0; financial differences remain ₱0.00</t>
  </si>
  <si>
    <t>4C-03</t>
  </si>
  <si>
    <t>Summary!B56:AA56; full check B54:AA56</t>
  </si>
  <si>
    <t>Sales Variance and full break-even verification</t>
  </si>
  <si>
    <t>Active months: actual sales − break-even; Sep–Dec: ₱1.5m target − ₱509,019.45 forecast break-even</t>
  </si>
  <si>
    <t>Rows 54–56 consistent; no DIV/0; financial differences remain ₱0.00</t>
  </si>
  <si>
    <t>PASS — 4C COMPLETE</t>
  </si>
  <si>
    <t>5A-01</t>
  </si>
  <si>
    <t>Report category blocks and linked summary cells</t>
  </si>
  <si>
    <t>One report sheet; 28 visible errors</t>
  </si>
  <si>
    <t>Category Sales ₱5682935.05; Capital ₱4196363.14; 0 visible errors</t>
  </si>
  <si>
    <t>Financial differences remain ₱0.00; inventory limitation retained</t>
  </si>
  <si>
    <t>PASS — REPORT-ONLY OVERRIDE</t>
  </si>
  <si>
    <t>5A-02 Client Record</t>
  </si>
  <si>
    <t>5A-02</t>
  </si>
  <si>
    <t>Client Record!PivotTable1</t>
  </si>
  <si>
    <t>One report sheet — client-by-month sales</t>
  </si>
  <si>
    <t>4742 positive-sale rows; 177 clients; 8 active months; total ₱5682935.05</t>
  </si>
  <si>
    <t>All client/month totals tie; stale #REF removed; financial differences ₱0.00</t>
  </si>
  <si>
    <t>5A-03 Sales Summary</t>
  </si>
  <si>
    <t>5A-03</t>
  </si>
  <si>
    <t>Sales Summary; full 5A verification</t>
  </si>
  <si>
    <t>Five pivots and three report sheets</t>
  </si>
  <si>
    <t>Pivot totals: Sales ₱5,682,935.05; Capital ₱4,196,363.14; Unit Cost ₱3,958,243.28; Total Cost ₱4,012,118.84</t>
  </si>
  <si>
    <t>Report/Client Record/Sales Summary visible errors: 0; financial differences ₱0.00</t>
  </si>
  <si>
    <t>PASS — 5A COMPLETE</t>
  </si>
  <si>
    <t>5B-01</t>
  </si>
  <si>
    <t>INDEX!R4:Y6</t>
  </si>
  <si>
    <t>Current-month Sales KPI</t>
  </si>
  <si>
    <t>August target ₱1500000.00; running sales ₱23680.00; progress 1.6%</t>
  </si>
  <si>
    <t>KPI ties to Summary; financial differences remain ₱0.00</t>
  </si>
  <si>
    <t>PASS — DASHBOARD-ONLY OVERRIDE</t>
  </si>
  <si>
    <t>5B-02 annual KPI</t>
  </si>
  <si>
    <t>5B-02</t>
  </si>
  <si>
    <t>INDEX!R7:AB9</t>
  </si>
  <si>
    <t>Annual Sales KPI</t>
  </si>
  <si>
    <t>Target ₱18000000.00; running ₱5682935.05; progress 31.6%; balance ₱12317064.95</t>
  </si>
  <si>
    <t>5B-03 bottomline KPI</t>
  </si>
  <si>
    <t>5B-03</t>
  </si>
  <si>
    <t>INDEX!R10:Y12</t>
  </si>
  <si>
    <t>Bottomline KPI</t>
  </si>
  <si>
    <t>Target ₱1107820.26; current ₱349759.48; margin 6.15%; progress 31.6%</t>
  </si>
  <si>
    <t>5B-04 broken source block</t>
  </si>
  <si>
    <t>5B-04</t>
  </si>
  <si>
    <t>INDEX!V38:W54</t>
  </si>
  <si>
    <t>Agent Commission source block</t>
  </si>
  <si>
    <t>15 aligned agent formulas; total ₱150211.23; INDEX visible formula errors 0</t>
  </si>
  <si>
    <t>Total ties to Daily Sales; financial differences remain ₱0.00</t>
  </si>
  <si>
    <t>5B-05 Chart 3</t>
  </si>
  <si>
    <t>5B-05</t>
  </si>
  <si>
    <t>INDEX!Chart 3; Summary!AE130:AI142</t>
  </si>
  <si>
    <t>Primary monthly chart</t>
  </si>
  <si>
    <t>4 series; 12 months; title updated to 2026; target on secondary axis</t>
  </si>
  <si>
    <t>Chart helper has 0 errors; financial differences remain ₱0.00</t>
  </si>
  <si>
    <t>5B-06 category chart</t>
  </si>
  <si>
    <t>5B-06</t>
  </si>
  <si>
    <t>02-Aug-2026 18:00 GMT+08</t>
  </si>
  <si>
    <t>INDEX!Chart 4</t>
  </si>
  <si>
    <t>Car Aircon category sales chart</t>
  </si>
  <si>
    <t>12 months; annual category sales ₱2,567,177.50; title updated to 2026</t>
  </si>
  <si>
    <t>Series ties to Sales Summary; financial differences remain ₱0.00</t>
  </si>
  <si>
    <t>5B-07 General chart</t>
  </si>
  <si>
    <t>5B-07</t>
  </si>
  <si>
    <t>INDEX!Chart 5</t>
  </si>
  <si>
    <t>General Items category sales chart</t>
  </si>
  <si>
    <t>12 months; annual category sales ₱2,042,806.55; title updated to 2026</t>
  </si>
  <si>
    <t>5B-08 Installation chart</t>
  </si>
  <si>
    <t>5B-08</t>
  </si>
  <si>
    <t>INDEX!Chart 6</t>
  </si>
  <si>
    <t>Installation Materials category chart</t>
  </si>
  <si>
    <t>12 months; annual category sales ₱1,033,707.00; title updated to 2026</t>
  </si>
  <si>
    <t>5B-09 Tools chart</t>
  </si>
  <si>
    <t>5B-09</t>
  </si>
  <si>
    <t>INDEX!Chart 7</t>
  </si>
  <si>
    <t>Tools category sales chart</t>
  </si>
  <si>
    <t>12 months; annual category sales ₱39,244.00; title updated to 2026</t>
  </si>
  <si>
    <t>5B-10 Store chart</t>
  </si>
  <si>
    <t>5B-10</t>
  </si>
  <si>
    <t>INDEX!Chart 2</t>
  </si>
  <si>
    <t>Store Monthly Sales chart</t>
  </si>
  <si>
    <t>12 months; annual Store sales ₱3,824,899.05; title updated to 2026</t>
  </si>
  <si>
    <t>5B-11 Running Sales chart</t>
  </si>
  <si>
    <t>5B-11</t>
  </si>
  <si>
    <t>INDEX!Chart 13; Summary!AE130:AJ142</t>
  </si>
  <si>
    <t>Monthly Sales versus Target chart</t>
  </si>
  <si>
    <t>Reduced 14 stale series to 2; 12 months; annual sales ₱5,682,935.05</t>
  </si>
  <si>
    <t>Chart source has 0 errors; financial differences remain ₱0.00</t>
  </si>
  <si>
    <t>5B-12 Chart 14</t>
  </si>
  <si>
    <t>5B-12</t>
  </si>
  <si>
    <t>INDEX dashboard full verification</t>
  </si>
  <si>
    <t>Retired stale Chart 14 and audited seven retained charts</t>
  </si>
  <si>
    <t>7 charts retained; visible formula errors 0; chart overlaps 0</t>
  </si>
  <si>
    <t>PASS — 5B COMPLETE</t>
  </si>
  <si>
    <t>6A-01</t>
  </si>
  <si>
    <t>Sales pivot workspace</t>
  </si>
  <si>
    <t>Retired two redundant pivots; cleared rows 97–1035</t>
  </si>
  <si>
    <t>Used range reduced from Sales!B2:APK1035 to Sales!B2:APK96; live PivotTable1 preserved</t>
  </si>
  <si>
    <t>364 Summary dependencies and financial differences unchanged</t>
  </si>
  <si>
    <t>PASS — SUPPORT-AREA OVERRIDE</t>
  </si>
  <si>
    <t>6A-02 Daily Inventory</t>
  </si>
  <si>
    <t>6A-02</t>
  </si>
  <si>
    <t>Daily Inventory pivot workspace</t>
  </si>
  <si>
    <t>Retired obsolete 368-column pivot</t>
  </si>
  <si>
    <t>Used range reduced from A1:NE6 to 'Daily Inventory'!A1:KF1; Inventory formulas unchanged</t>
  </si>
  <si>
    <t>Movement formula errors 0; financial differences remain ₱0.00</t>
  </si>
  <si>
    <t>PASS — 6A COMPLETE</t>
  </si>
  <si>
    <t>6B-01</t>
  </si>
  <si>
    <t>Operating Guide!A1:H27; Workbook Map updates</t>
  </si>
  <si>
    <t>Operator quick-start section</t>
  </si>
  <si>
    <t>6 workflows; 7 live controls; 364-stock-deficit warning retained</t>
  </si>
  <si>
    <t>Guide formulas link live to Audit; financial differences remain ₱0.00</t>
  </si>
  <si>
    <t>PASS — HANDOVER OVERRIDE</t>
  </si>
  <si>
    <t>6B-02 procedures</t>
  </si>
  <si>
    <t>RULE UPDATE</t>
  </si>
  <si>
    <t>Summary!B44:AA44</t>
  </si>
  <si>
    <t>Manager Incentive = 1% of gross sales</t>
  </si>
  <si>
    <t>Annual manager incentive ₱56829.35</t>
  </si>
  <si>
    <t>Dependent financial outputs recalculated; sales/cost/commission differences remain ₱0.00</t>
  </si>
  <si>
    <t>Continue post-audit remediation</t>
  </si>
  <si>
    <t>DASHBOARD RULE</t>
  </si>
  <si>
    <t>MASTER SELECTOR</t>
  </si>
  <si>
    <t>02-Aug-2026 19:00 GMT+08</t>
  </si>
  <si>
    <t>Executive Summary!C4</t>
  </si>
  <si>
    <t>Drives INDEX and Summary month views</t>
  </si>
  <si>
    <t>Selected June 2026: Sales ₱1011665.00; Commission ₱22464.04</t>
  </si>
  <si>
    <t>All linked tables agree; financial differences remain ₱0.00</t>
  </si>
  <si>
    <t>Change only Executive Summary!C4</t>
  </si>
  <si>
    <t>Displayed errors</t>
  </si>
  <si>
    <t>Broken formulas</t>
  </si>
  <si>
    <t>Error-bearing cells</t>
  </si>
  <si>
    <t>Required action</t>
  </si>
  <si>
    <t>A1:H27</t>
  </si>
  <si>
    <t>No action</t>
  </si>
  <si>
    <t>Documentation text excluded</t>
  </si>
  <si>
    <t>Audit</t>
  </si>
  <si>
    <t>A1:H209</t>
  </si>
  <si>
    <t>B1:AJ174</t>
  </si>
  <si>
    <t>Repair D141:D144 and E136:E139</t>
  </si>
  <si>
    <t>B1:AG87</t>
  </si>
  <si>
    <t>Remove stale #N/A in B85</t>
  </si>
  <si>
    <t>A1:AA2224</t>
  </si>
  <si>
    <t>Repair legacy No/P-PRICE/markup references</t>
  </si>
  <si>
    <t>Stock Exceptions</t>
  </si>
  <si>
    <t>A1:N373</t>
  </si>
  <si>
    <t>364 source exceptions remain operationally open</t>
  </si>
  <si>
    <t>A1:L10</t>
  </si>
  <si>
    <t>No validated purchase rows yet</t>
  </si>
  <si>
    <t>Repair Address, SI Price and % markup references</t>
  </si>
  <si>
    <t>B3:AH241</t>
  </si>
  <si>
    <t>C6:K390</t>
  </si>
  <si>
    <t>B2:APK96</t>
  </si>
  <si>
    <t>Live PivotTable1 preserved</t>
  </si>
  <si>
    <t>FULL-AUDIT CONTROL</t>
  </si>
  <si>
    <t>Interpretation</t>
  </si>
  <si>
    <t>Live error-bearing cells</t>
  </si>
  <si>
    <t>Handover blocked until repaired; financial controls remain reconciled</t>
  </si>
  <si>
    <t>SAN PEDRO AC</t>
  </si>
  <si>
    <t>GLORIKAR ENGINEERING</t>
  </si>
  <si>
    <t>BIB</t>
  </si>
  <si>
    <t>MR FIX ALL</t>
  </si>
  <si>
    <t>AirCooled</t>
  </si>
  <si>
    <t>COOL TIME</t>
  </si>
  <si>
    <t>EXPENSE LIST — 2026</t>
  </si>
  <si>
    <t>Live summary of expense items and monthly amounts from the Expenses sheet</t>
  </si>
  <si>
    <t>Expense Item</t>
  </si>
  <si>
    <t>YTD Total</t>
  </si>
  <si>
    <t>0102-01</t>
  </si>
  <si>
    <t>0102-02</t>
  </si>
  <si>
    <t>0102-03</t>
  </si>
  <si>
    <t>0102-04</t>
  </si>
  <si>
    <t>0102-05</t>
  </si>
  <si>
    <t>0102-06</t>
  </si>
  <si>
    <t>0102-07</t>
  </si>
  <si>
    <t>0102-08</t>
  </si>
  <si>
    <t>0103-01</t>
  </si>
  <si>
    <t>0103-02</t>
  </si>
  <si>
    <t>0103-03</t>
  </si>
  <si>
    <t>0103-04</t>
  </si>
  <si>
    <t>0103-05</t>
  </si>
  <si>
    <t>0103-06</t>
  </si>
  <si>
    <t>0103-07</t>
  </si>
  <si>
    <t>0103-08</t>
  </si>
  <si>
    <t>0103-09</t>
  </si>
  <si>
    <t>0103-10</t>
  </si>
  <si>
    <t>0105-01</t>
  </si>
  <si>
    <t>0105-02</t>
  </si>
  <si>
    <t>0105-03</t>
  </si>
  <si>
    <t>0105-04</t>
  </si>
  <si>
    <t>0105-05</t>
  </si>
  <si>
    <t>0105-06</t>
  </si>
  <si>
    <t>0105-07</t>
  </si>
  <si>
    <t>0105-08</t>
  </si>
  <si>
    <t>0105-09</t>
  </si>
  <si>
    <t>0106-01</t>
  </si>
  <si>
    <t>0106-02</t>
  </si>
  <si>
    <t>0106-03</t>
  </si>
  <si>
    <t>0106-04</t>
  </si>
  <si>
    <t>0106-05</t>
  </si>
  <si>
    <t>0106-06</t>
  </si>
  <si>
    <t>0106-07</t>
  </si>
  <si>
    <t>0107-01</t>
  </si>
  <si>
    <t>0107-02</t>
  </si>
  <si>
    <t>0107-03</t>
  </si>
  <si>
    <t>0107-04</t>
  </si>
  <si>
    <t>0107-05</t>
  </si>
  <si>
    <t>0107-06</t>
  </si>
  <si>
    <t>0107-07</t>
  </si>
  <si>
    <t>0108-01</t>
  </si>
  <si>
    <t>0108-02</t>
  </si>
  <si>
    <t>0108-03</t>
  </si>
  <si>
    <t>0108-04</t>
  </si>
  <si>
    <t>0108-05</t>
  </si>
  <si>
    <t>0108-06</t>
  </si>
  <si>
    <t>0109-01</t>
  </si>
  <si>
    <t>0109-02</t>
  </si>
  <si>
    <t>0109-03</t>
  </si>
  <si>
    <t>0109-04</t>
  </si>
  <si>
    <t>0110-01</t>
  </si>
  <si>
    <t>0110-02</t>
  </si>
  <si>
    <t>0110-03</t>
  </si>
  <si>
    <t>0110-04</t>
  </si>
  <si>
    <t>0110-05</t>
  </si>
  <si>
    <t>0110-06</t>
  </si>
  <si>
    <t>0110-07</t>
  </si>
  <si>
    <t>0110-08</t>
  </si>
  <si>
    <t>0110-09</t>
  </si>
  <si>
    <t>0110-10</t>
  </si>
  <si>
    <t>0110-11</t>
  </si>
  <si>
    <t>0110-12</t>
  </si>
  <si>
    <t>0112-01</t>
  </si>
  <si>
    <t>0112-02</t>
  </si>
  <si>
    <t>0112-03</t>
  </si>
  <si>
    <t>0112-04</t>
  </si>
  <si>
    <t>0113-01</t>
  </si>
  <si>
    <t>0113-02</t>
  </si>
  <si>
    <t>0113-03</t>
  </si>
  <si>
    <t>0113-04</t>
  </si>
  <si>
    <t>0113-05</t>
  </si>
  <si>
    <t>0114-01</t>
  </si>
  <si>
    <t>0114-02</t>
  </si>
  <si>
    <t>0114-03</t>
  </si>
  <si>
    <t>0114-04</t>
  </si>
  <si>
    <t>0114-05</t>
  </si>
  <si>
    <t>0114-06</t>
  </si>
  <si>
    <t>0114-07</t>
  </si>
  <si>
    <t>0114-08</t>
  </si>
  <si>
    <t>0114-09</t>
  </si>
  <si>
    <t>0114-10</t>
  </si>
  <si>
    <t>0114-11</t>
  </si>
  <si>
    <t>0115-01</t>
  </si>
  <si>
    <t>0115-02</t>
  </si>
  <si>
    <t>0115-03</t>
  </si>
  <si>
    <t>0115-04</t>
  </si>
  <si>
    <t>0115-05</t>
  </si>
  <si>
    <t>0115-06</t>
  </si>
  <si>
    <t>0115-07</t>
  </si>
  <si>
    <t>0116-01</t>
  </si>
  <si>
    <t>0116-02</t>
  </si>
  <si>
    <t>0116-03</t>
  </si>
  <si>
    <t>0116-04</t>
  </si>
  <si>
    <t>0116-05</t>
  </si>
  <si>
    <t>0116-06</t>
  </si>
  <si>
    <t>0116-07</t>
  </si>
  <si>
    <t>0117-01</t>
  </si>
  <si>
    <t>0117-02</t>
  </si>
  <si>
    <t>0117-03</t>
  </si>
  <si>
    <t>0117-04</t>
  </si>
  <si>
    <t>0117-05</t>
  </si>
  <si>
    <t>0117-06</t>
  </si>
  <si>
    <t>0119-01</t>
  </si>
  <si>
    <t>0119-02</t>
  </si>
  <si>
    <t>0119-03</t>
  </si>
  <si>
    <t>0119-04</t>
  </si>
  <si>
    <t>0119-05</t>
  </si>
  <si>
    <t>0119-06</t>
  </si>
  <si>
    <t>0120-01</t>
  </si>
  <si>
    <t>0120-02</t>
  </si>
  <si>
    <t>0120-03</t>
  </si>
  <si>
    <t>0120-04</t>
  </si>
  <si>
    <t>0120-05</t>
  </si>
  <si>
    <t>0120-06</t>
  </si>
  <si>
    <t>0120-07</t>
  </si>
  <si>
    <t>0120-08</t>
  </si>
  <si>
    <t>0120-09</t>
  </si>
  <si>
    <t>0121-01</t>
  </si>
  <si>
    <t>0121-02</t>
  </si>
  <si>
    <t>0121-03</t>
  </si>
  <si>
    <t>0121-04</t>
  </si>
  <si>
    <t>0122-01</t>
  </si>
  <si>
    <t>0122-02</t>
  </si>
  <si>
    <t>0122-03</t>
  </si>
  <si>
    <t>0122-04</t>
  </si>
  <si>
    <t>0122-05</t>
  </si>
  <si>
    <t>0122-06</t>
  </si>
  <si>
    <t>0122-07</t>
  </si>
  <si>
    <t>0122-08</t>
  </si>
  <si>
    <t>0122-09</t>
  </si>
  <si>
    <t>0123-01</t>
  </si>
  <si>
    <t>0123-02</t>
  </si>
  <si>
    <t>0123-03</t>
  </si>
  <si>
    <t>0123-04</t>
  </si>
  <si>
    <t>0123-05</t>
  </si>
  <si>
    <t>0123-06</t>
  </si>
  <si>
    <t>0123-07</t>
  </si>
  <si>
    <t>0123-08</t>
  </si>
  <si>
    <t>0123-09</t>
  </si>
  <si>
    <t>0124-01</t>
  </si>
  <si>
    <t>0124-02</t>
  </si>
  <si>
    <t>0124-03</t>
  </si>
  <si>
    <t>0124-04</t>
  </si>
  <si>
    <t>0124-05</t>
  </si>
  <si>
    <t>0124-06</t>
  </si>
  <si>
    <t>0124-07</t>
  </si>
  <si>
    <t>0124-08</t>
  </si>
  <si>
    <t>0124-09</t>
  </si>
  <si>
    <t>0124-10</t>
  </si>
  <si>
    <t>0124-11</t>
  </si>
  <si>
    <t>0125-01</t>
  </si>
  <si>
    <t>0125-02</t>
  </si>
  <si>
    <t>0126-01</t>
  </si>
  <si>
    <t>0126-02</t>
  </si>
  <si>
    <t>0126-03</t>
  </si>
  <si>
    <t>0126-04</t>
  </si>
  <si>
    <t>0126-05</t>
  </si>
  <si>
    <t>0126-06</t>
  </si>
  <si>
    <t>0126-07</t>
  </si>
  <si>
    <t>0126-08</t>
  </si>
  <si>
    <t>0127-01</t>
  </si>
  <si>
    <t>0127-02</t>
  </si>
  <si>
    <t>0127-03</t>
  </si>
  <si>
    <t>0127-04</t>
  </si>
  <si>
    <t>0127-05</t>
  </si>
  <si>
    <t>0127-06</t>
  </si>
  <si>
    <t>0127-07</t>
  </si>
  <si>
    <t>0128-01</t>
  </si>
  <si>
    <t>0128-02</t>
  </si>
  <si>
    <t>0128-03</t>
  </si>
  <si>
    <t>0128-04</t>
  </si>
  <si>
    <t>0128-05</t>
  </si>
  <si>
    <t>0128-06</t>
  </si>
  <si>
    <t>0128-07</t>
  </si>
  <si>
    <t>0128-08</t>
  </si>
  <si>
    <t>0128-09</t>
  </si>
  <si>
    <t>0128-10</t>
  </si>
  <si>
    <t>0128-11</t>
  </si>
  <si>
    <t>0129-01</t>
  </si>
  <si>
    <t>0129-02</t>
  </si>
  <si>
    <t>0129-03</t>
  </si>
  <si>
    <t>0129-04</t>
  </si>
  <si>
    <t>0129-05</t>
  </si>
  <si>
    <t>0129-06</t>
  </si>
  <si>
    <t>0129-07</t>
  </si>
  <si>
    <t>0129-08</t>
  </si>
  <si>
    <t>0129-09</t>
  </si>
  <si>
    <t>0129-10</t>
  </si>
  <si>
    <t>0130-01</t>
  </si>
  <si>
    <t>0130-02</t>
  </si>
  <si>
    <t>0130-03</t>
  </si>
  <si>
    <t>0131-01</t>
  </si>
  <si>
    <t>0131-02</t>
  </si>
  <si>
    <t>0131-03</t>
  </si>
  <si>
    <t>0131-04</t>
  </si>
  <si>
    <t>0131-05</t>
  </si>
  <si>
    <t>0202-01</t>
  </si>
  <si>
    <t>0202-02</t>
  </si>
  <si>
    <t>0202-03</t>
  </si>
  <si>
    <t>0202-04</t>
  </si>
  <si>
    <t>0202-05</t>
  </si>
  <si>
    <t>0202-06</t>
  </si>
  <si>
    <t>0202-07</t>
  </si>
  <si>
    <t>0202-08</t>
  </si>
  <si>
    <t>0202-09</t>
  </si>
  <si>
    <t>0202-10</t>
  </si>
  <si>
    <t>0203-01</t>
  </si>
  <si>
    <t>0203-02</t>
  </si>
  <si>
    <t>0203-03</t>
  </si>
  <si>
    <t>0203-04</t>
  </si>
  <si>
    <t>0203-05</t>
  </si>
  <si>
    <t>0203-06</t>
  </si>
  <si>
    <t>0203-07</t>
  </si>
  <si>
    <t>0204-01</t>
  </si>
  <si>
    <t>0204-02</t>
  </si>
  <si>
    <t>0204-03</t>
  </si>
  <si>
    <t>0204-04</t>
  </si>
  <si>
    <t>0204-05</t>
  </si>
  <si>
    <t>0205-01</t>
  </si>
  <si>
    <t>0205-02</t>
  </si>
  <si>
    <t>0205-03</t>
  </si>
  <si>
    <t>0206-01</t>
  </si>
  <si>
    <t>0206-02</t>
  </si>
  <si>
    <t>0206-03</t>
  </si>
  <si>
    <t>0206-04</t>
  </si>
  <si>
    <t>0206-05</t>
  </si>
  <si>
    <t>0207-01</t>
  </si>
  <si>
    <t>0207-02</t>
  </si>
  <si>
    <t>0207-03</t>
  </si>
  <si>
    <t>0207-04</t>
  </si>
  <si>
    <t>0207-05</t>
  </si>
  <si>
    <t>0207-06</t>
  </si>
  <si>
    <t>0207-07</t>
  </si>
  <si>
    <t>0209-01</t>
  </si>
  <si>
    <t>0209-02</t>
  </si>
  <si>
    <t>0209-03</t>
  </si>
  <si>
    <t>0209-04</t>
  </si>
  <si>
    <t>0209-05</t>
  </si>
  <si>
    <t>0209-06</t>
  </si>
  <si>
    <t>0209-07</t>
  </si>
  <si>
    <t>0209-08</t>
  </si>
  <si>
    <t>0210-01</t>
  </si>
  <si>
    <t>0210-02</t>
  </si>
  <si>
    <t>0210-03</t>
  </si>
  <si>
    <t>0210-04</t>
  </si>
  <si>
    <t>0210-05</t>
  </si>
  <si>
    <t>0210-06</t>
  </si>
  <si>
    <t>0210-07</t>
  </si>
  <si>
    <t>0211-01</t>
  </si>
  <si>
    <t>0211-02</t>
  </si>
  <si>
    <t>0211-03</t>
  </si>
  <si>
    <t>0211-04</t>
  </si>
  <si>
    <t>0211-05</t>
  </si>
  <si>
    <t>0211-06</t>
  </si>
  <si>
    <t>0211-07</t>
  </si>
  <si>
    <t>0211-08</t>
  </si>
  <si>
    <t>0211-09</t>
  </si>
  <si>
    <t>0211-10</t>
  </si>
  <si>
    <t>0211-11</t>
  </si>
  <si>
    <t>0211-12</t>
  </si>
  <si>
    <t>0212-01</t>
  </si>
  <si>
    <t>0212-02</t>
  </si>
  <si>
    <t>0212-03</t>
  </si>
  <si>
    <t>0212-04</t>
  </si>
  <si>
    <t>0212-05</t>
  </si>
  <si>
    <t>0212-06</t>
  </si>
  <si>
    <t>0213-01</t>
  </si>
  <si>
    <t>0213-02</t>
  </si>
  <si>
    <t>0213-03</t>
  </si>
  <si>
    <t>0213-04</t>
  </si>
  <si>
    <t>0213-05</t>
  </si>
  <si>
    <t>0213-06</t>
  </si>
  <si>
    <t>0213-07</t>
  </si>
  <si>
    <t>0214-01</t>
  </si>
  <si>
    <t>0214-02</t>
  </si>
  <si>
    <t>0214-03</t>
  </si>
  <si>
    <t>0214-04</t>
  </si>
  <si>
    <t>0214-05</t>
  </si>
  <si>
    <t>0214-06</t>
  </si>
  <si>
    <t>0214-07</t>
  </si>
  <si>
    <t>0214-08</t>
  </si>
  <si>
    <t>0216-01</t>
  </si>
  <si>
    <t>0216-02</t>
  </si>
  <si>
    <t>0216-03</t>
  </si>
  <si>
    <t>0216-04</t>
  </si>
  <si>
    <t>0216-05</t>
  </si>
  <si>
    <t>0216-06</t>
  </si>
  <si>
    <t>0217-01</t>
  </si>
  <si>
    <t>0217-02</t>
  </si>
  <si>
    <t>0217-03</t>
  </si>
  <si>
    <t>0217-04</t>
  </si>
  <si>
    <t>0217-05</t>
  </si>
  <si>
    <t>0217-06</t>
  </si>
  <si>
    <t>0217-07</t>
  </si>
  <si>
    <t>0217-08</t>
  </si>
  <si>
    <t>0217-09</t>
  </si>
  <si>
    <t>0217-10</t>
  </si>
  <si>
    <t>0218-01</t>
  </si>
  <si>
    <t>0218-02</t>
  </si>
  <si>
    <t>0218-03</t>
  </si>
  <si>
    <t>0218-04</t>
  </si>
  <si>
    <t>0218-05</t>
  </si>
  <si>
    <t>0218-06</t>
  </si>
  <si>
    <t>0218-07</t>
  </si>
  <si>
    <t>0219-01</t>
  </si>
  <si>
    <t>0219-02</t>
  </si>
  <si>
    <t>0219-03</t>
  </si>
  <si>
    <t>0219-04</t>
  </si>
  <si>
    <t>0219-05</t>
  </si>
  <si>
    <t>0219-06</t>
  </si>
  <si>
    <t>0219-07</t>
  </si>
  <si>
    <t>0219-08</t>
  </si>
  <si>
    <t>0220-01</t>
  </si>
  <si>
    <t>0220-02</t>
  </si>
  <si>
    <t>0220-03</t>
  </si>
  <si>
    <t>0220-04</t>
  </si>
  <si>
    <t>0220-05</t>
  </si>
  <si>
    <t>0220-06</t>
  </si>
  <si>
    <t>0220-07</t>
  </si>
  <si>
    <t>0220-08</t>
  </si>
  <si>
    <t>0221-01</t>
  </si>
  <si>
    <t>0221-02</t>
  </si>
  <si>
    <t>0221-03</t>
  </si>
  <si>
    <t>0221-04</t>
  </si>
  <si>
    <t>0221-05</t>
  </si>
  <si>
    <t>0221-06</t>
  </si>
  <si>
    <t>0221-07</t>
  </si>
  <si>
    <t>0221-08</t>
  </si>
  <si>
    <t>0221-09</t>
  </si>
  <si>
    <t>0221-10</t>
  </si>
  <si>
    <t>0223-01</t>
  </si>
  <si>
    <t>0223-02</t>
  </si>
  <si>
    <t>0223-03</t>
  </si>
  <si>
    <t>0223-04</t>
  </si>
  <si>
    <t>0223-05</t>
  </si>
  <si>
    <t>0223-06</t>
  </si>
  <si>
    <t>0223-07</t>
  </si>
  <si>
    <t>0223-08</t>
  </si>
  <si>
    <t>0223-09</t>
  </si>
  <si>
    <t>0223-10</t>
  </si>
  <si>
    <t>0223-11</t>
  </si>
  <si>
    <t>0223-12</t>
  </si>
  <si>
    <t>0223-13</t>
  </si>
  <si>
    <t>0224-01</t>
  </si>
  <si>
    <t>0224-02</t>
  </si>
  <si>
    <t>0224-03</t>
  </si>
  <si>
    <t>0224-04</t>
  </si>
  <si>
    <t>0224-05</t>
  </si>
  <si>
    <t>0224-06</t>
  </si>
  <si>
    <t>0224-07</t>
  </si>
  <si>
    <t>0224-08</t>
  </si>
  <si>
    <t>0224-09</t>
  </si>
  <si>
    <t>0225-01</t>
  </si>
  <si>
    <t>0225-02</t>
  </si>
  <si>
    <t>0225-03</t>
  </si>
  <si>
    <t>0225-04</t>
  </si>
  <si>
    <t>0225-05</t>
  </si>
  <si>
    <t>0225-06</t>
  </si>
  <si>
    <t>0226-01</t>
  </si>
  <si>
    <t>0226-02</t>
  </si>
  <si>
    <t>0226-03</t>
  </si>
  <si>
    <t>0226-04</t>
  </si>
  <si>
    <t>0226-05</t>
  </si>
  <si>
    <t>0226-06</t>
  </si>
  <si>
    <t>0226-07</t>
  </si>
  <si>
    <t>0226-08</t>
  </si>
  <si>
    <t>0226-09</t>
  </si>
  <si>
    <t>0226-10</t>
  </si>
  <si>
    <t>0226-11</t>
  </si>
  <si>
    <t>0226-12</t>
  </si>
  <si>
    <t>0226-13</t>
  </si>
  <si>
    <t>0226-14</t>
  </si>
  <si>
    <t>0226-15</t>
  </si>
  <si>
    <t>0226-16</t>
  </si>
  <si>
    <t>0227-01</t>
  </si>
  <si>
    <t>0227-02</t>
  </si>
  <si>
    <t>0227-03</t>
  </si>
  <si>
    <t>0227-04</t>
  </si>
  <si>
    <t>0227-05</t>
  </si>
  <si>
    <t>0227-06</t>
  </si>
  <si>
    <t>0227-07</t>
  </si>
  <si>
    <t>0227-08</t>
  </si>
  <si>
    <t>0227-09</t>
  </si>
  <si>
    <t>0228-01</t>
  </si>
  <si>
    <t>0228-02</t>
  </si>
  <si>
    <t>0228-03</t>
  </si>
  <si>
    <t>0228-04</t>
  </si>
  <si>
    <t>0228-05</t>
  </si>
  <si>
    <t>0228-06</t>
  </si>
  <si>
    <t>0228-07</t>
  </si>
  <si>
    <t>0228-08</t>
  </si>
  <si>
    <t>0302-01</t>
  </si>
  <si>
    <t>0302-02</t>
  </si>
  <si>
    <t>0302-03</t>
  </si>
  <si>
    <t>0302-04</t>
  </si>
  <si>
    <t>0302-05</t>
  </si>
  <si>
    <t>0302-06</t>
  </si>
  <si>
    <t>0302-07</t>
  </si>
  <si>
    <t>0302-08</t>
  </si>
  <si>
    <t>0302-09</t>
  </si>
  <si>
    <t>0302-10</t>
  </si>
  <si>
    <t>0302-11</t>
  </si>
  <si>
    <t>0303-01</t>
  </si>
  <si>
    <t>0303-02</t>
  </si>
  <si>
    <t>0303-03</t>
  </si>
  <si>
    <t>0303-04</t>
  </si>
  <si>
    <t>0303-05</t>
  </si>
  <si>
    <t>0303-06</t>
  </si>
  <si>
    <t>0303-07</t>
  </si>
  <si>
    <t>0303-08</t>
  </si>
  <si>
    <t>0303-09</t>
  </si>
  <si>
    <t>0304-01</t>
  </si>
  <si>
    <t>0304-02</t>
  </si>
  <si>
    <t>0304-03</t>
  </si>
  <si>
    <t>0304-04</t>
  </si>
  <si>
    <t>0304-05</t>
  </si>
  <si>
    <t>0304-06</t>
  </si>
  <si>
    <t>0304-07</t>
  </si>
  <si>
    <t>0304-08</t>
  </si>
  <si>
    <t>0304-09</t>
  </si>
  <si>
    <t>0305-01</t>
  </si>
  <si>
    <t>0305-02</t>
  </si>
  <si>
    <t>0305-03</t>
  </si>
  <si>
    <t>0305-04</t>
  </si>
  <si>
    <t>0305-05</t>
  </si>
  <si>
    <t>0305-06</t>
  </si>
  <si>
    <t>0305-07</t>
  </si>
  <si>
    <t>0305-08</t>
  </si>
  <si>
    <t>0305-09</t>
  </si>
  <si>
    <t>0306-01</t>
  </si>
  <si>
    <t>0306-02</t>
  </si>
  <si>
    <t>0306-03</t>
  </si>
  <si>
    <t>0306-04</t>
  </si>
  <si>
    <t>0306-05</t>
  </si>
  <si>
    <t>0306-06</t>
  </si>
  <si>
    <t>0306-07</t>
  </si>
  <si>
    <t>0306-08</t>
  </si>
  <si>
    <t>0306-09</t>
  </si>
  <si>
    <t>0306-10</t>
  </si>
  <si>
    <t>0306-11</t>
  </si>
  <si>
    <t>0306-12</t>
  </si>
  <si>
    <t>0306-13</t>
  </si>
  <si>
    <t>0307-01</t>
  </si>
  <si>
    <t>0307-02</t>
  </si>
  <si>
    <t>0307-03</t>
  </si>
  <si>
    <t>0307-04</t>
  </si>
  <si>
    <t>0307-05</t>
  </si>
  <si>
    <t>0307-06</t>
  </si>
  <si>
    <t>0307-07</t>
  </si>
  <si>
    <t>0307-08</t>
  </si>
  <si>
    <t>0307-09</t>
  </si>
  <si>
    <t>0307-10</t>
  </si>
  <si>
    <t>0307-11</t>
  </si>
  <si>
    <t>0307-12</t>
  </si>
  <si>
    <t>0307-13</t>
  </si>
  <si>
    <t>0307-14</t>
  </si>
  <si>
    <t>0307-15</t>
  </si>
  <si>
    <t>0309-01</t>
  </si>
  <si>
    <t>0309-02</t>
  </si>
  <si>
    <t>0309-03</t>
  </si>
  <si>
    <t>0309-04</t>
  </si>
  <si>
    <t>0309-05</t>
  </si>
  <si>
    <t>0309-06</t>
  </si>
  <si>
    <t>0309-07</t>
  </si>
  <si>
    <t>0309-08</t>
  </si>
  <si>
    <t>0309-09</t>
  </si>
  <si>
    <t>0309-10</t>
  </si>
  <si>
    <t>0309-11</t>
  </si>
  <si>
    <t>0309-12</t>
  </si>
  <si>
    <t>0310-01</t>
  </si>
  <si>
    <t>0310-02</t>
  </si>
  <si>
    <t>0310-03</t>
  </si>
  <si>
    <t>0310-04</t>
  </si>
  <si>
    <t>0310-05</t>
  </si>
  <si>
    <t>0310-06</t>
  </si>
  <si>
    <t>0310-07</t>
  </si>
  <si>
    <t>0311-01</t>
  </si>
  <si>
    <t>0311-02</t>
  </si>
  <si>
    <t>0311-03</t>
  </si>
  <si>
    <t>0311-04</t>
  </si>
  <si>
    <t>0312-01</t>
  </si>
  <si>
    <t>0312-02</t>
  </si>
  <si>
    <t>0312-03</t>
  </si>
  <si>
    <t>0312-04</t>
  </si>
  <si>
    <t>0312-05</t>
  </si>
  <si>
    <t>0312-06</t>
  </si>
  <si>
    <t>0312-07</t>
  </si>
  <si>
    <t>0313-01</t>
  </si>
  <si>
    <t>0313-02</t>
  </si>
  <si>
    <t>0313-03</t>
  </si>
  <si>
    <t>0313-04</t>
  </si>
  <si>
    <t>0313-05</t>
  </si>
  <si>
    <t>0313-06</t>
  </si>
  <si>
    <t>0313-07</t>
  </si>
  <si>
    <t>0313-08</t>
  </si>
  <si>
    <t>0313-09</t>
  </si>
  <si>
    <t>0313-10</t>
  </si>
  <si>
    <t>0313-11</t>
  </si>
  <si>
    <t>0313-12</t>
  </si>
  <si>
    <t>0313-13</t>
  </si>
  <si>
    <t>0314-01</t>
  </si>
  <si>
    <t>0314-02</t>
  </si>
  <si>
    <t>0314-03</t>
  </si>
  <si>
    <t>0314-04</t>
  </si>
  <si>
    <t>0314-05</t>
  </si>
  <si>
    <t>0314-06</t>
  </si>
  <si>
    <t>0314-07</t>
  </si>
  <si>
    <t>0314-08</t>
  </si>
  <si>
    <t>0316-01</t>
  </si>
  <si>
    <t>0316-02</t>
  </si>
  <si>
    <t>0316-03</t>
  </si>
  <si>
    <t>0316-04</t>
  </si>
  <si>
    <t>0316-05</t>
  </si>
  <si>
    <t>0317-01</t>
  </si>
  <si>
    <t>0317-02</t>
  </si>
  <si>
    <t>0317-03</t>
  </si>
  <si>
    <t>0317-04</t>
  </si>
  <si>
    <t>0317-05</t>
  </si>
  <si>
    <t>0317-06</t>
  </si>
  <si>
    <t>0317-07</t>
  </si>
  <si>
    <t>0318-01</t>
  </si>
  <si>
    <t>0318-02</t>
  </si>
  <si>
    <t>0318-03</t>
  </si>
  <si>
    <t>0318-04</t>
  </si>
  <si>
    <t>0318-05</t>
  </si>
  <si>
    <t>0318-06</t>
  </si>
  <si>
    <t>0318-07</t>
  </si>
  <si>
    <t>0319-01</t>
  </si>
  <si>
    <t>0319-02</t>
  </si>
  <si>
    <t>0319-03</t>
  </si>
  <si>
    <t>0319-04</t>
  </si>
  <si>
    <t>0319-05</t>
  </si>
  <si>
    <t>0319-06</t>
  </si>
  <si>
    <t>0319-07</t>
  </si>
  <si>
    <t>0319-08</t>
  </si>
  <si>
    <t>0319-09</t>
  </si>
  <si>
    <t>0319-10</t>
  </si>
  <si>
    <t>0319-11</t>
  </si>
  <si>
    <t>0320-01</t>
  </si>
  <si>
    <t>0320-02</t>
  </si>
  <si>
    <t>0320-03</t>
  </si>
  <si>
    <t>0320-04</t>
  </si>
  <si>
    <t>0320-05</t>
  </si>
  <si>
    <t>0321-01</t>
  </si>
  <si>
    <t>0321-02</t>
  </si>
  <si>
    <t>0321-03</t>
  </si>
  <si>
    <t>0321-04</t>
  </si>
  <si>
    <t>0321-05</t>
  </si>
  <si>
    <t>0321-06</t>
  </si>
  <si>
    <t>0321-07</t>
  </si>
  <si>
    <t>0321-08</t>
  </si>
  <si>
    <t>0323-01</t>
  </si>
  <si>
    <t>0323-02</t>
  </si>
  <si>
    <t>0323-03</t>
  </si>
  <si>
    <t>0323-04</t>
  </si>
  <si>
    <t>0323-05</t>
  </si>
  <si>
    <t>0324-01</t>
  </si>
  <si>
    <t>0324-02</t>
  </si>
  <si>
    <t>0324-03</t>
  </si>
  <si>
    <t>0324-04</t>
  </si>
  <si>
    <t>0324-05</t>
  </si>
  <si>
    <t>0325-01</t>
  </si>
  <si>
    <t>0325-02</t>
  </si>
  <si>
    <t>0325-03</t>
  </si>
  <si>
    <t>0325-04</t>
  </si>
  <si>
    <t>0325-05</t>
  </si>
  <si>
    <t>0325-06</t>
  </si>
  <si>
    <t>0325-07</t>
  </si>
  <si>
    <t>0325-08</t>
  </si>
  <si>
    <t>0326-01</t>
  </si>
  <si>
    <t>0326-02</t>
  </si>
  <si>
    <t>0326-03</t>
  </si>
  <si>
    <t>0326-04</t>
  </si>
  <si>
    <t>0326-05</t>
  </si>
  <si>
    <t>0326-06</t>
  </si>
  <si>
    <t>0326-07</t>
  </si>
  <si>
    <t>0327-01</t>
  </si>
  <si>
    <t>0327-02</t>
  </si>
  <si>
    <t>0327-03</t>
  </si>
  <si>
    <t>0327-04</t>
  </si>
  <si>
    <t>0327-05</t>
  </si>
  <si>
    <t>0327-06</t>
  </si>
  <si>
    <t>0327-07</t>
  </si>
  <si>
    <t>0327-08</t>
  </si>
  <si>
    <t>0327-09</t>
  </si>
  <si>
    <t>0328-01</t>
  </si>
  <si>
    <t>0328-02</t>
  </si>
  <si>
    <t>0328-03</t>
  </si>
  <si>
    <t>0328-04</t>
  </si>
  <si>
    <t>0328-05</t>
  </si>
  <si>
    <t>0328-06</t>
  </si>
  <si>
    <t>0328-07</t>
  </si>
  <si>
    <t>0328-08</t>
  </si>
  <si>
    <t>0328-09</t>
  </si>
  <si>
    <t>0328-10</t>
  </si>
  <si>
    <t>0328-11</t>
  </si>
  <si>
    <t>0328-12</t>
  </si>
  <si>
    <t>0329-01</t>
  </si>
  <si>
    <t>0330-01</t>
  </si>
  <si>
    <t>0330-02</t>
  </si>
  <si>
    <t>0330-03</t>
  </si>
  <si>
    <t>0330-04</t>
  </si>
  <si>
    <t>0330-05</t>
  </si>
  <si>
    <t>0330-06</t>
  </si>
  <si>
    <t>0330-07</t>
  </si>
  <si>
    <t>0330-08</t>
  </si>
  <si>
    <t>0331-01</t>
  </si>
  <si>
    <t>0331-02</t>
  </si>
  <si>
    <t>0331-03</t>
  </si>
  <si>
    <t>0331-04</t>
  </si>
  <si>
    <t>0331-05</t>
  </si>
  <si>
    <t>0331-06</t>
  </si>
  <si>
    <t>0331-07</t>
  </si>
  <si>
    <t>0331-08</t>
  </si>
  <si>
    <t>0331-09</t>
  </si>
  <si>
    <t>0401-01</t>
  </si>
  <si>
    <t>0401-02</t>
  </si>
  <si>
    <t>0401-03</t>
  </si>
  <si>
    <t>0401-04</t>
  </si>
  <si>
    <t>0401-05</t>
  </si>
  <si>
    <t>0401-06</t>
  </si>
  <si>
    <t>0401-07</t>
  </si>
  <si>
    <t>0401-08</t>
  </si>
  <si>
    <t>0401-09</t>
  </si>
  <si>
    <t>0401-10</t>
  </si>
  <si>
    <t>0401-11</t>
  </si>
  <si>
    <t>0401-12</t>
  </si>
  <si>
    <t>0401-13</t>
  </si>
  <si>
    <t>0401-14</t>
  </si>
  <si>
    <t>0404-01</t>
  </si>
  <si>
    <t>0404-02</t>
  </si>
  <si>
    <t>0404-03</t>
  </si>
  <si>
    <t>0404-04</t>
  </si>
  <si>
    <t>0404-05</t>
  </si>
  <si>
    <t>0404-06</t>
  </si>
  <si>
    <t>0404-07</t>
  </si>
  <si>
    <t>0406-01</t>
  </si>
  <si>
    <t>0406-02</t>
  </si>
  <si>
    <t>0406-03</t>
  </si>
  <si>
    <t>0406-04</t>
  </si>
  <si>
    <t>0406-05</t>
  </si>
  <si>
    <t>0406-06</t>
  </si>
  <si>
    <t>0406-07</t>
  </si>
  <si>
    <t>0406-08</t>
  </si>
  <si>
    <t>0406-09</t>
  </si>
  <si>
    <t>0406-10</t>
  </si>
  <si>
    <t>0406-11</t>
  </si>
  <si>
    <t>0406-12</t>
  </si>
  <si>
    <t>0407-01</t>
  </si>
  <si>
    <t>0407-02</t>
  </si>
  <si>
    <t>0407-03</t>
  </si>
  <si>
    <t>0407-04</t>
  </si>
  <si>
    <t>0407-05</t>
  </si>
  <si>
    <t>0407-06</t>
  </si>
  <si>
    <t>0407-07</t>
  </si>
  <si>
    <t>0407-08</t>
  </si>
  <si>
    <t>0407-09</t>
  </si>
  <si>
    <t>0407-10</t>
  </si>
  <si>
    <t>0407-11</t>
  </si>
  <si>
    <t>0407-12</t>
  </si>
  <si>
    <t>0407-13</t>
  </si>
  <si>
    <t>0407-14</t>
  </si>
  <si>
    <t>0407-15</t>
  </si>
  <si>
    <t>0407-16</t>
  </si>
  <si>
    <t>0407-17</t>
  </si>
  <si>
    <t>0408-01</t>
  </si>
  <si>
    <t>0408-02</t>
  </si>
  <si>
    <t>0408-03</t>
  </si>
  <si>
    <t>0408-04</t>
  </si>
  <si>
    <t>0408-05</t>
  </si>
  <si>
    <t>0408-06</t>
  </si>
  <si>
    <t>0408-07</t>
  </si>
  <si>
    <t>0408-08</t>
  </si>
  <si>
    <t>0409-01</t>
  </si>
  <si>
    <t>0409-02</t>
  </si>
  <si>
    <t>0409-03</t>
  </si>
  <si>
    <t>0409-04</t>
  </si>
  <si>
    <t>0409-05</t>
  </si>
  <si>
    <t>0409-06</t>
  </si>
  <si>
    <t>0409-07</t>
  </si>
  <si>
    <t>0409-08</t>
  </si>
  <si>
    <t>0409-09</t>
  </si>
  <si>
    <t>0409-10</t>
  </si>
  <si>
    <t>0409-11</t>
  </si>
  <si>
    <t>0409-12</t>
  </si>
  <si>
    <t>0409-13</t>
  </si>
  <si>
    <t>0409-14</t>
  </si>
  <si>
    <t>0409-15</t>
  </si>
  <si>
    <t>0410-01</t>
  </si>
  <si>
    <t>0410-02</t>
  </si>
  <si>
    <t>0410-03</t>
  </si>
  <si>
    <t>0410-04</t>
  </si>
  <si>
    <t>0410-05</t>
  </si>
  <si>
    <t>0410-06</t>
  </si>
  <si>
    <t>0410-07</t>
  </si>
  <si>
    <t>0410-08</t>
  </si>
  <si>
    <t>0410-09</t>
  </si>
  <si>
    <t>0410-10</t>
  </si>
  <si>
    <t>0410-11</t>
  </si>
  <si>
    <t>0410-12</t>
  </si>
  <si>
    <t>0410-13</t>
  </si>
  <si>
    <t>0410-14</t>
  </si>
  <si>
    <t>0411-01</t>
  </si>
  <si>
    <t>0411-02</t>
  </si>
  <si>
    <t>0411-03</t>
  </si>
  <si>
    <t>0411-04</t>
  </si>
  <si>
    <t>0411-05</t>
  </si>
  <si>
    <t>0411-06</t>
  </si>
  <si>
    <t>0411-07</t>
  </si>
  <si>
    <t>0411-08</t>
  </si>
  <si>
    <t>0411-09</t>
  </si>
  <si>
    <t>0411-10</t>
  </si>
  <si>
    <t>0411-11</t>
  </si>
  <si>
    <t>0413-01</t>
  </si>
  <si>
    <t>0413-02</t>
  </si>
  <si>
    <t>0413-03</t>
  </si>
  <si>
    <t>0413-04</t>
  </si>
  <si>
    <t>0413-05</t>
  </si>
  <si>
    <t>0413-06</t>
  </si>
  <si>
    <t>0414-01</t>
  </si>
  <si>
    <t>0414-02</t>
  </si>
  <si>
    <t>0414-03</t>
  </si>
  <si>
    <t>0414-04</t>
  </si>
  <si>
    <t>0414-05</t>
  </si>
  <si>
    <t>0414-06</t>
  </si>
  <si>
    <t>0414-07</t>
  </si>
  <si>
    <t>0414-08</t>
  </si>
  <si>
    <t>0414-09</t>
  </si>
  <si>
    <t>0414-10</t>
  </si>
  <si>
    <t>0414-11</t>
  </si>
  <si>
    <t>0414-12</t>
  </si>
  <si>
    <t>0414-13</t>
  </si>
  <si>
    <t>0415-01</t>
  </si>
  <si>
    <t>0415-02</t>
  </si>
  <si>
    <t>0415-03</t>
  </si>
  <si>
    <t>0415-04</t>
  </si>
  <si>
    <t>0415-05</t>
  </si>
  <si>
    <t>0415-06</t>
  </si>
  <si>
    <t>0415-07</t>
  </si>
  <si>
    <t>0415-08</t>
  </si>
  <si>
    <t>0415-09</t>
  </si>
  <si>
    <t>0415-10</t>
  </si>
  <si>
    <t>0415-11</t>
  </si>
  <si>
    <t>0415-12</t>
  </si>
  <si>
    <t>0415-13</t>
  </si>
  <si>
    <t>0416-01</t>
  </si>
  <si>
    <t>0416-02</t>
  </si>
  <si>
    <t>0416-03</t>
  </si>
  <si>
    <t>0416-04</t>
  </si>
  <si>
    <t>0416-05</t>
  </si>
  <si>
    <t>0416-06</t>
  </si>
  <si>
    <t>0416-07</t>
  </si>
  <si>
    <t>0416-08</t>
  </si>
  <si>
    <t>0416-09</t>
  </si>
  <si>
    <t>0417-01</t>
  </si>
  <si>
    <t>0417-02</t>
  </si>
  <si>
    <t>0417-03</t>
  </si>
  <si>
    <t>0417-04</t>
  </si>
  <si>
    <t>0417-05</t>
  </si>
  <si>
    <t>0417-06</t>
  </si>
  <si>
    <t>0417-07</t>
  </si>
  <si>
    <t>0417-08</t>
  </si>
  <si>
    <t>0417-09</t>
  </si>
  <si>
    <t>0417-10</t>
  </si>
  <si>
    <t>0418-01</t>
  </si>
  <si>
    <t>0418-02</t>
  </si>
  <si>
    <t>0418-03</t>
  </si>
  <si>
    <t>0418-04</t>
  </si>
  <si>
    <t>0418-05</t>
  </si>
  <si>
    <t>0418-06</t>
  </si>
  <si>
    <t>0418-07</t>
  </si>
  <si>
    <t>0418-08</t>
  </si>
  <si>
    <t>0418-09</t>
  </si>
  <si>
    <t>0418-10</t>
  </si>
  <si>
    <t>0418-11</t>
  </si>
  <si>
    <t>0418-12</t>
  </si>
  <si>
    <t>0418-13</t>
  </si>
  <si>
    <t>0419-01</t>
  </si>
  <si>
    <t>0420-01</t>
  </si>
  <si>
    <t>0420-02</t>
  </si>
  <si>
    <t>0420-03</t>
  </si>
  <si>
    <t>0420-04</t>
  </si>
  <si>
    <t>0420-05</t>
  </si>
  <si>
    <t>0420-06</t>
  </si>
  <si>
    <t>0420-07</t>
  </si>
  <si>
    <t>0421-01</t>
  </si>
  <si>
    <t>0421-02</t>
  </si>
  <si>
    <t>0421-03</t>
  </si>
  <si>
    <t>0421-04</t>
  </si>
  <si>
    <t>0421-05</t>
  </si>
  <si>
    <t>0421-06</t>
  </si>
  <si>
    <t>0421-07</t>
  </si>
  <si>
    <t>0421-08</t>
  </si>
  <si>
    <t>0421-09</t>
  </si>
  <si>
    <t>0421-10</t>
  </si>
  <si>
    <t>0421-11</t>
  </si>
  <si>
    <t>0421-12</t>
  </si>
  <si>
    <t>0421-13</t>
  </si>
  <si>
    <t>0421-14</t>
  </si>
  <si>
    <t>0421-15</t>
  </si>
  <si>
    <t>0421-16</t>
  </si>
  <si>
    <t>0421-17</t>
  </si>
  <si>
    <t>0422-01</t>
  </si>
  <si>
    <t>0422-02</t>
  </si>
  <si>
    <t>0422-03</t>
  </si>
  <si>
    <t>0422-04</t>
  </si>
  <si>
    <t>0422-05</t>
  </si>
  <si>
    <t>0422-06</t>
  </si>
  <si>
    <t>0422-07</t>
  </si>
  <si>
    <t>0422-08</t>
  </si>
  <si>
    <t>0422-09</t>
  </si>
  <si>
    <t>0422-10</t>
  </si>
  <si>
    <t>0422-11</t>
  </si>
  <si>
    <t>0422-12</t>
  </si>
  <si>
    <t>0423-01</t>
  </si>
  <si>
    <t>0423-02</t>
  </si>
  <si>
    <t>0423-03</t>
  </si>
  <si>
    <t>0423-04</t>
  </si>
  <si>
    <t>0423-05</t>
  </si>
  <si>
    <t>0423-06</t>
  </si>
  <si>
    <t>0424-01</t>
  </si>
  <si>
    <t>0424-02</t>
  </si>
  <si>
    <t>0424-03</t>
  </si>
  <si>
    <t>0424-04</t>
  </si>
  <si>
    <t>0424-05</t>
  </si>
  <si>
    <t>0424-06</t>
  </si>
  <si>
    <t>0424-07</t>
  </si>
  <si>
    <t>0424-08</t>
  </si>
  <si>
    <t>0424-09</t>
  </si>
  <si>
    <t>0424-10</t>
  </si>
  <si>
    <t>0424-11</t>
  </si>
  <si>
    <t>0424-12</t>
  </si>
  <si>
    <t>0424-13</t>
  </si>
  <si>
    <t>0425-01</t>
  </si>
  <si>
    <t>0425-02</t>
  </si>
  <si>
    <t>0425-03</t>
  </si>
  <si>
    <t>0425-04</t>
  </si>
  <si>
    <t>0425-05</t>
  </si>
  <si>
    <t>0425-06</t>
  </si>
  <si>
    <t>0425-07</t>
  </si>
  <si>
    <t>0427-01</t>
  </si>
  <si>
    <t>0427-02</t>
  </si>
  <si>
    <t>0427-03</t>
  </si>
  <si>
    <t>0427-04</t>
  </si>
  <si>
    <t>0427-05</t>
  </si>
  <si>
    <t>0427-06</t>
  </si>
  <si>
    <t>0427-07</t>
  </si>
  <si>
    <t>0427-08</t>
  </si>
  <si>
    <t>0427-09</t>
  </si>
  <si>
    <t>0427-10</t>
  </si>
  <si>
    <t>0427-11</t>
  </si>
  <si>
    <t>0428-01</t>
  </si>
  <si>
    <t>0428-02</t>
  </si>
  <si>
    <t>0428-03</t>
  </si>
  <si>
    <t>0428-04</t>
  </si>
  <si>
    <t>0428-05</t>
  </si>
  <si>
    <t>0428-06</t>
  </si>
  <si>
    <t>0428-07</t>
  </si>
  <si>
    <t>0428-08</t>
  </si>
  <si>
    <t>0428-09</t>
  </si>
  <si>
    <t>0428-10</t>
  </si>
  <si>
    <t>0428-11</t>
  </si>
  <si>
    <t>0428-12</t>
  </si>
  <si>
    <t>0428-13</t>
  </si>
  <si>
    <t>0428-14</t>
  </si>
  <si>
    <t>0428-15</t>
  </si>
  <si>
    <t>0428-16</t>
  </si>
  <si>
    <t>0428-17</t>
  </si>
  <si>
    <t>0429-01</t>
  </si>
  <si>
    <t>0429-02</t>
  </si>
  <si>
    <t>0429-03</t>
  </si>
  <si>
    <t>0429-04</t>
  </si>
  <si>
    <t>0429-05</t>
  </si>
  <si>
    <t>0429-06</t>
  </si>
  <si>
    <t>0429-07</t>
  </si>
  <si>
    <t>0429-08</t>
  </si>
  <si>
    <t>0429-09</t>
  </si>
  <si>
    <t>0429-10</t>
  </si>
  <si>
    <t>0429-11</t>
  </si>
  <si>
    <t>0430-01</t>
  </si>
  <si>
    <t>0430-02</t>
  </si>
  <si>
    <t>0430-03</t>
  </si>
  <si>
    <t>0430-04</t>
  </si>
  <si>
    <t>0430-05</t>
  </si>
  <si>
    <t>0430-06</t>
  </si>
  <si>
    <t>0430-07</t>
  </si>
  <si>
    <t>0430-08</t>
  </si>
  <si>
    <t>0430-09</t>
  </si>
  <si>
    <t>0502-01</t>
  </si>
  <si>
    <t>0502-02</t>
  </si>
  <si>
    <t>0502-03</t>
  </si>
  <si>
    <t>0502-04</t>
  </si>
  <si>
    <t>0502-05</t>
  </si>
  <si>
    <t>0502-06</t>
  </si>
  <si>
    <t>0502-07</t>
  </si>
  <si>
    <t>0502-08</t>
  </si>
  <si>
    <t>0502-09</t>
  </si>
  <si>
    <t>0502-10</t>
  </si>
  <si>
    <t>0504-01</t>
  </si>
  <si>
    <t>0504-02</t>
  </si>
  <si>
    <t>0504-03</t>
  </si>
  <si>
    <t>0504-04</t>
  </si>
  <si>
    <t>0504-05</t>
  </si>
  <si>
    <t>0504-06</t>
  </si>
  <si>
    <t>0504-07</t>
  </si>
  <si>
    <t>0504-08</t>
  </si>
  <si>
    <t>0504-09</t>
  </si>
  <si>
    <t>0504-10</t>
  </si>
  <si>
    <t>0505-01</t>
  </si>
  <si>
    <t>0505-02</t>
  </si>
  <si>
    <t>0505-03</t>
  </si>
  <si>
    <t>0505-04</t>
  </si>
  <si>
    <t>0505-05</t>
  </si>
  <si>
    <t>0505-06</t>
  </si>
  <si>
    <t>0505-07</t>
  </si>
  <si>
    <t>0506-01</t>
  </si>
  <si>
    <t>0506-02</t>
  </si>
  <si>
    <t>0506-03</t>
  </si>
  <si>
    <t>0506-04</t>
  </si>
  <si>
    <t>0506-05</t>
  </si>
  <si>
    <t>0506-06</t>
  </si>
  <si>
    <t>0506-07</t>
  </si>
  <si>
    <t>0506-08</t>
  </si>
  <si>
    <t>0506-09</t>
  </si>
  <si>
    <t>0506-10</t>
  </si>
  <si>
    <t>0506-11</t>
  </si>
  <si>
    <t>0506-12</t>
  </si>
  <si>
    <t>0506-13</t>
  </si>
  <si>
    <t>0506-14</t>
  </si>
  <si>
    <t>0506-15</t>
  </si>
  <si>
    <t>0507-01</t>
  </si>
  <si>
    <t>0507-02</t>
  </si>
  <si>
    <t>0507-03</t>
  </si>
  <si>
    <t>0507-04</t>
  </si>
  <si>
    <t>0507-05</t>
  </si>
  <si>
    <t>0507-06</t>
  </si>
  <si>
    <t>0507-07</t>
  </si>
  <si>
    <t>0507-08</t>
  </si>
  <si>
    <t>0508-01</t>
  </si>
  <si>
    <t>0508-02</t>
  </si>
  <si>
    <t>0508-03</t>
  </si>
  <si>
    <t>0508-04</t>
  </si>
  <si>
    <t>0508-05</t>
  </si>
  <si>
    <t>0508-06</t>
  </si>
  <si>
    <t>0508-07</t>
  </si>
  <si>
    <t>0508-08</t>
  </si>
  <si>
    <t>0508-09</t>
  </si>
  <si>
    <t>0508-10</t>
  </si>
  <si>
    <t>0508-11</t>
  </si>
  <si>
    <t>0508-12</t>
  </si>
  <si>
    <t>0508-13</t>
  </si>
  <si>
    <t>0509-01</t>
  </si>
  <si>
    <t>0509-02</t>
  </si>
  <si>
    <t>0509-03</t>
  </si>
  <si>
    <t>0509-04</t>
  </si>
  <si>
    <t>0509-05</t>
  </si>
  <si>
    <t>0509-06</t>
  </si>
  <si>
    <t>0509-07</t>
  </si>
  <si>
    <t>0509-08</t>
  </si>
  <si>
    <t>0509-09</t>
  </si>
  <si>
    <t>0509-10</t>
  </si>
  <si>
    <t>0509-11</t>
  </si>
  <si>
    <t>0509-12</t>
  </si>
  <si>
    <t>0509-13</t>
  </si>
  <si>
    <t>0509-14</t>
  </si>
  <si>
    <t>0509-15</t>
  </si>
  <si>
    <t>0509-16</t>
  </si>
  <si>
    <t>0511-01</t>
  </si>
  <si>
    <t>0511-02</t>
  </si>
  <si>
    <t>0511-03</t>
  </si>
  <si>
    <t>0511-04</t>
  </si>
  <si>
    <t>0511-05</t>
  </si>
  <si>
    <t>0511-06</t>
  </si>
  <si>
    <t>0511-07</t>
  </si>
  <si>
    <t>0511-08</t>
  </si>
  <si>
    <t>0511-09</t>
  </si>
  <si>
    <t>0511-10</t>
  </si>
  <si>
    <t>0511-11</t>
  </si>
  <si>
    <t>0511-12</t>
  </si>
  <si>
    <t>0511-13</t>
  </si>
  <si>
    <t>0511-14</t>
  </si>
  <si>
    <t>0511-15</t>
  </si>
  <si>
    <t>0511-16</t>
  </si>
  <si>
    <t>0511-17</t>
  </si>
  <si>
    <t>0511-18</t>
  </si>
  <si>
    <t>0511-19</t>
  </si>
  <si>
    <t>0512-01</t>
  </si>
  <si>
    <t>0512-02</t>
  </si>
  <si>
    <t>0512-03</t>
  </si>
  <si>
    <t>0512-04</t>
  </si>
  <si>
    <t>0512-05</t>
  </si>
  <si>
    <t>0512-06</t>
  </si>
  <si>
    <t>0512-07</t>
  </si>
  <si>
    <t>0512-08</t>
  </si>
  <si>
    <t>0512-09</t>
  </si>
  <si>
    <t>0512-10</t>
  </si>
  <si>
    <t>0512-11</t>
  </si>
  <si>
    <t>0512-12</t>
  </si>
  <si>
    <t>0514-01</t>
  </si>
  <si>
    <t>0514-02</t>
  </si>
  <si>
    <t>0514-03</t>
  </si>
  <si>
    <t>0514-04</t>
  </si>
  <si>
    <t>0514-05</t>
  </si>
  <si>
    <t>0514-06</t>
  </si>
  <si>
    <t>0514-07</t>
  </si>
  <si>
    <t>0514-08</t>
  </si>
  <si>
    <t>0514-09</t>
  </si>
  <si>
    <t>0514-10</t>
  </si>
  <si>
    <t>0515-01</t>
  </si>
  <si>
    <t>0515-02</t>
  </si>
  <si>
    <t>0515-03</t>
  </si>
  <si>
    <t>0515-04</t>
  </si>
  <si>
    <t>0515-05</t>
  </si>
  <si>
    <t>0515-06</t>
  </si>
  <si>
    <t>0515-07</t>
  </si>
  <si>
    <t>0515-08</t>
  </si>
  <si>
    <t>0515-09</t>
  </si>
  <si>
    <t>0515-10</t>
  </si>
  <si>
    <t>0515-11</t>
  </si>
  <si>
    <t>0516-01</t>
  </si>
  <si>
    <t>0516-02</t>
  </si>
  <si>
    <t>0516-03</t>
  </si>
  <si>
    <t>0516-04</t>
  </si>
  <si>
    <t>0516-05</t>
  </si>
  <si>
    <t>0516-06</t>
  </si>
  <si>
    <t>0516-07</t>
  </si>
  <si>
    <t>0516-08</t>
  </si>
  <si>
    <t>0516-09</t>
  </si>
  <si>
    <t>0516-10</t>
  </si>
  <si>
    <t>0518-01</t>
  </si>
  <si>
    <t>0518-02</t>
  </si>
  <si>
    <t>0518-03</t>
  </si>
  <si>
    <t>0518-04</t>
  </si>
  <si>
    <t>0518-05</t>
  </si>
  <si>
    <t>0518-06</t>
  </si>
  <si>
    <t>0518-07</t>
  </si>
  <si>
    <t>0518-08</t>
  </si>
  <si>
    <t>0518-09</t>
  </si>
  <si>
    <t>0518-10</t>
  </si>
  <si>
    <t>0518-11</t>
  </si>
  <si>
    <t>0518-12</t>
  </si>
  <si>
    <t>0518-13</t>
  </si>
  <si>
    <t>0518-14</t>
  </si>
  <si>
    <t>0518-15</t>
  </si>
  <si>
    <t>0518-16</t>
  </si>
  <si>
    <t>0519-01</t>
  </si>
  <si>
    <t>0519-02</t>
  </si>
  <si>
    <t>0519-03</t>
  </si>
  <si>
    <t>0519-04</t>
  </si>
  <si>
    <t>0519-05</t>
  </si>
  <si>
    <t>0519-06</t>
  </si>
  <si>
    <t>0519-07</t>
  </si>
  <si>
    <t>0519-08</t>
  </si>
  <si>
    <t>0519-09</t>
  </si>
  <si>
    <t>0519-10</t>
  </si>
  <si>
    <t>0519-11</t>
  </si>
  <si>
    <t>0520-01</t>
  </si>
  <si>
    <t>0520-02</t>
  </si>
  <si>
    <t>0520-03</t>
  </si>
  <si>
    <t>0520-04</t>
  </si>
  <si>
    <t>0520-05</t>
  </si>
  <si>
    <t>0520-06</t>
  </si>
  <si>
    <t>0520-07</t>
  </si>
  <si>
    <t>0520-08</t>
  </si>
  <si>
    <t>0520-09</t>
  </si>
  <si>
    <t>0521-01</t>
  </si>
  <si>
    <t>0521-02</t>
  </si>
  <si>
    <t>0521-03</t>
  </si>
  <si>
    <t>0521-04</t>
  </si>
  <si>
    <t>0521-05</t>
  </si>
  <si>
    <t>0521-06</t>
  </si>
  <si>
    <t>0521-07</t>
  </si>
  <si>
    <t>0521-08</t>
  </si>
  <si>
    <t>0521-09</t>
  </si>
  <si>
    <t>0521-10</t>
  </si>
  <si>
    <t>0521-11</t>
  </si>
  <si>
    <t>0522-01</t>
  </si>
  <si>
    <t>0522-02</t>
  </si>
  <si>
    <t>0522-03</t>
  </si>
  <si>
    <t>0522-04</t>
  </si>
  <si>
    <t>0522-05</t>
  </si>
  <si>
    <t>0522-06</t>
  </si>
  <si>
    <t>0522-07</t>
  </si>
  <si>
    <t>0522-08</t>
  </si>
  <si>
    <t>0522-09</t>
  </si>
  <si>
    <t>0522-10</t>
  </si>
  <si>
    <t>0522-11</t>
  </si>
  <si>
    <t>0523-01</t>
  </si>
  <si>
    <t>0523-02</t>
  </si>
  <si>
    <t>0523-03</t>
  </si>
  <si>
    <t>0523-04</t>
  </si>
  <si>
    <t>0523-05</t>
  </si>
  <si>
    <t>0523-06</t>
  </si>
  <si>
    <t>0523-07</t>
  </si>
  <si>
    <t>0523-08</t>
  </si>
  <si>
    <t>0523-09</t>
  </si>
  <si>
    <t>0523-10</t>
  </si>
  <si>
    <t>0523-11</t>
  </si>
  <si>
    <t>0523-12</t>
  </si>
  <si>
    <t>0523-13</t>
  </si>
  <si>
    <t>0523-14</t>
  </si>
  <si>
    <t>0525-01</t>
  </si>
  <si>
    <t>0525-02</t>
  </si>
  <si>
    <t>0525-03</t>
  </si>
  <si>
    <t>0525-04</t>
  </si>
  <si>
    <t>0525-05</t>
  </si>
  <si>
    <t>0525-06</t>
  </si>
  <si>
    <t>0525-07</t>
  </si>
  <si>
    <t>0525-08</t>
  </si>
  <si>
    <t>0525-09</t>
  </si>
  <si>
    <t>0525-10</t>
  </si>
  <si>
    <t>0525-11</t>
  </si>
  <si>
    <t>0525-12</t>
  </si>
  <si>
    <t>0525-13</t>
  </si>
  <si>
    <t>0525-14</t>
  </si>
  <si>
    <t>0526-01</t>
  </si>
  <si>
    <t>0526-02</t>
  </si>
  <si>
    <t>0526-03</t>
  </si>
  <si>
    <t>0526-04</t>
  </si>
  <si>
    <t>0526-05</t>
  </si>
  <si>
    <t>0526-06</t>
  </si>
  <si>
    <t>0526-07</t>
  </si>
  <si>
    <t>0526-08</t>
  </si>
  <si>
    <t>0526-09</t>
  </si>
  <si>
    <t>0526-10</t>
  </si>
  <si>
    <t>0526-11</t>
  </si>
  <si>
    <t>0527-01</t>
  </si>
  <si>
    <t>0527-02</t>
  </si>
  <si>
    <t>0527-03</t>
  </si>
  <si>
    <t>0527-04</t>
  </si>
  <si>
    <t>0527-05</t>
  </si>
  <si>
    <t>0527-06</t>
  </si>
  <si>
    <t>0527-07</t>
  </si>
  <si>
    <t>0527-08</t>
  </si>
  <si>
    <t>0527-09</t>
  </si>
  <si>
    <t>0527-10</t>
  </si>
  <si>
    <t>0528-01</t>
  </si>
  <si>
    <t>0528-02</t>
  </si>
  <si>
    <t>0528-03</t>
  </si>
  <si>
    <t>0528-04</t>
  </si>
  <si>
    <t>0528-05</t>
  </si>
  <si>
    <t>0528-06</t>
  </si>
  <si>
    <t>0528-07</t>
  </si>
  <si>
    <t>0528-08</t>
  </si>
  <si>
    <t>0528-09</t>
  </si>
  <si>
    <t>0528-10</t>
  </si>
  <si>
    <t>0528-11</t>
  </si>
  <si>
    <t>0528-12</t>
  </si>
  <si>
    <t>0528-13</t>
  </si>
  <si>
    <t>0528-14</t>
  </si>
  <si>
    <t>0528-15</t>
  </si>
  <si>
    <t>0528-16</t>
  </si>
  <si>
    <t>0528-17</t>
  </si>
  <si>
    <t>0528-18</t>
  </si>
  <si>
    <t>0529-01</t>
  </si>
  <si>
    <t>0529-02</t>
  </si>
  <si>
    <t>0529-03</t>
  </si>
  <si>
    <t>0529-04</t>
  </si>
  <si>
    <t>0529-05</t>
  </si>
  <si>
    <t>0529-06</t>
  </si>
  <si>
    <t>0529-07</t>
  </si>
  <si>
    <t>0529-08</t>
  </si>
  <si>
    <t>0529-09</t>
  </si>
  <si>
    <t>0529-10</t>
  </si>
  <si>
    <t>0530-01</t>
  </si>
  <si>
    <t>0530-02</t>
  </si>
  <si>
    <t>0530-03</t>
  </si>
  <si>
    <t>0530-04</t>
  </si>
  <si>
    <t>0530-05</t>
  </si>
  <si>
    <t>0530-06</t>
  </si>
  <si>
    <t>0530-07</t>
  </si>
  <si>
    <t>0530-08</t>
  </si>
  <si>
    <t>0530-09</t>
  </si>
  <si>
    <t>0530-10</t>
  </si>
  <si>
    <t>0530-11</t>
  </si>
  <si>
    <t>0530-12</t>
  </si>
  <si>
    <t>0601-01</t>
  </si>
  <si>
    <t>0601-02</t>
  </si>
  <si>
    <t>0601-03</t>
  </si>
  <si>
    <t>0601-04</t>
  </si>
  <si>
    <t>0601-05</t>
  </si>
  <si>
    <t>0601-06</t>
  </si>
  <si>
    <t>0601-07</t>
  </si>
  <si>
    <t>0601-08</t>
  </si>
  <si>
    <t>0601-09</t>
  </si>
  <si>
    <t>0601-10</t>
  </si>
  <si>
    <t>0602-01</t>
  </si>
  <si>
    <t>0602-02</t>
  </si>
  <si>
    <t>0602-03</t>
  </si>
  <si>
    <t>0602-04</t>
  </si>
  <si>
    <t>0602-05</t>
  </si>
  <si>
    <t>0602-06</t>
  </si>
  <si>
    <t>0602-07</t>
  </si>
  <si>
    <t>0602-08</t>
  </si>
  <si>
    <t>0602-09</t>
  </si>
  <si>
    <t>0602-10</t>
  </si>
  <si>
    <t>0602-11</t>
  </si>
  <si>
    <t>0602-12</t>
  </si>
  <si>
    <t>0603-01</t>
  </si>
  <si>
    <t>0603-02</t>
  </si>
  <si>
    <t>0603-03</t>
  </si>
  <si>
    <t>0603-04</t>
  </si>
  <si>
    <t>0603-05</t>
  </si>
  <si>
    <t>0603-06</t>
  </si>
  <si>
    <t>0603-07</t>
  </si>
  <si>
    <t>0603-08</t>
  </si>
  <si>
    <t>0603-09</t>
  </si>
  <si>
    <t>0603-10</t>
  </si>
  <si>
    <t>0603-11</t>
  </si>
  <si>
    <t>0603-12</t>
  </si>
  <si>
    <t>0603-13</t>
  </si>
  <si>
    <t>0604-01</t>
  </si>
  <si>
    <t>0604-02</t>
  </si>
  <si>
    <t>0604-03</t>
  </si>
  <si>
    <t>0604-04</t>
  </si>
  <si>
    <t>0604-05</t>
  </si>
  <si>
    <t>0604-06</t>
  </si>
  <si>
    <t>0604-07</t>
  </si>
  <si>
    <t>0604-08</t>
  </si>
  <si>
    <t>0604-09</t>
  </si>
  <si>
    <t>0604-10</t>
  </si>
  <si>
    <t>0604-11</t>
  </si>
  <si>
    <t>0604-12</t>
  </si>
  <si>
    <t>0605-01</t>
  </si>
  <si>
    <t>0605-02</t>
  </si>
  <si>
    <t>0605-03</t>
  </si>
  <si>
    <t>0605-04</t>
  </si>
  <si>
    <t>0605-05</t>
  </si>
  <si>
    <t>0605-06</t>
  </si>
  <si>
    <t>0605-07</t>
  </si>
  <si>
    <t>0605-08</t>
  </si>
  <si>
    <t>0605-09</t>
  </si>
  <si>
    <t>0606-01</t>
  </si>
  <si>
    <t>0606-02</t>
  </si>
  <si>
    <t>0606-03</t>
  </si>
  <si>
    <t>0606-04</t>
  </si>
  <si>
    <t>0606-05</t>
  </si>
  <si>
    <t>0606-06</t>
  </si>
  <si>
    <t>0606-07</t>
  </si>
  <si>
    <t>0606-08</t>
  </si>
  <si>
    <t>0608-01</t>
  </si>
  <si>
    <t>0608-02</t>
  </si>
  <si>
    <t>0608-03</t>
  </si>
  <si>
    <t>0608-04</t>
  </si>
  <si>
    <t>0608-05</t>
  </si>
  <si>
    <t>0608-06</t>
  </si>
  <si>
    <t>0608-07</t>
  </si>
  <si>
    <t>0608-08</t>
  </si>
  <si>
    <t>0608-09</t>
  </si>
  <si>
    <t>0608-10</t>
  </si>
  <si>
    <t>0608-11</t>
  </si>
  <si>
    <t>0608-12</t>
  </si>
  <si>
    <t>0609-01</t>
  </si>
  <si>
    <t>0609-02</t>
  </si>
  <si>
    <t>0609-03</t>
  </si>
  <si>
    <t>0609-04</t>
  </si>
  <si>
    <t>0609-05</t>
  </si>
  <si>
    <t>0609-06</t>
  </si>
  <si>
    <t>0609-07</t>
  </si>
  <si>
    <t>0609-08</t>
  </si>
  <si>
    <t>0609-09</t>
  </si>
  <si>
    <t>0609-10</t>
  </si>
  <si>
    <t>0609-11</t>
  </si>
  <si>
    <t>0609-12</t>
  </si>
  <si>
    <t>0609-13</t>
  </si>
  <si>
    <t>0609-14</t>
  </si>
  <si>
    <t>0609-15</t>
  </si>
  <si>
    <t>0609-16</t>
  </si>
  <si>
    <t>0609-17</t>
  </si>
  <si>
    <t>0609-18</t>
  </si>
  <si>
    <t>0610-01</t>
  </si>
  <si>
    <t>0610-02</t>
  </si>
  <si>
    <t>0610-03</t>
  </si>
  <si>
    <t>0610-04</t>
  </si>
  <si>
    <t>0610-05</t>
  </si>
  <si>
    <t>0610-06</t>
  </si>
  <si>
    <t>0610-07</t>
  </si>
  <si>
    <t>0610-08</t>
  </si>
  <si>
    <t>0610-09</t>
  </si>
  <si>
    <t>0610-10</t>
  </si>
  <si>
    <t>0610-11</t>
  </si>
  <si>
    <t>0610-12</t>
  </si>
  <si>
    <t>0610-13</t>
  </si>
  <si>
    <t>0610-14</t>
  </si>
  <si>
    <t>0611-01</t>
  </si>
  <si>
    <t>0611-02</t>
  </si>
  <si>
    <t>0611-03</t>
  </si>
  <si>
    <t>0611-04</t>
  </si>
  <si>
    <t>0611-05</t>
  </si>
  <si>
    <t>0611-06</t>
  </si>
  <si>
    <t>0611-07</t>
  </si>
  <si>
    <t>0611-08</t>
  </si>
  <si>
    <t>0612-01</t>
  </si>
  <si>
    <t>0612-02</t>
  </si>
  <si>
    <t>0612-03</t>
  </si>
  <si>
    <t>0612-04</t>
  </si>
  <si>
    <t>0612-05</t>
  </si>
  <si>
    <t>0612-06</t>
  </si>
  <si>
    <t>0612-07</t>
  </si>
  <si>
    <t>0612-08</t>
  </si>
  <si>
    <t>0612-09</t>
  </si>
  <si>
    <t>0612-10</t>
  </si>
  <si>
    <t>0612-11</t>
  </si>
  <si>
    <t>0612-12</t>
  </si>
  <si>
    <t>0613-01</t>
  </si>
  <si>
    <t>0613-02</t>
  </si>
  <si>
    <t>0613-03</t>
  </si>
  <si>
    <t>0613-04</t>
  </si>
  <si>
    <t>0613-05</t>
  </si>
  <si>
    <t>0613-06</t>
  </si>
  <si>
    <t>0613-07</t>
  </si>
  <si>
    <t>0613-08</t>
  </si>
  <si>
    <t>0613-09</t>
  </si>
  <si>
    <t>0613-10</t>
  </si>
  <si>
    <t>0613-11</t>
  </si>
  <si>
    <t>0613-12</t>
  </si>
  <si>
    <t>0613-13</t>
  </si>
  <si>
    <t>0613-14</t>
  </si>
  <si>
    <t>0613-15</t>
  </si>
  <si>
    <t>0613-16</t>
  </si>
  <si>
    <t>0615-01</t>
  </si>
  <si>
    <t>0615-02</t>
  </si>
  <si>
    <t>0615-03</t>
  </si>
  <si>
    <t>0615-04</t>
  </si>
  <si>
    <t>0615-05</t>
  </si>
  <si>
    <t>0615-06</t>
  </si>
  <si>
    <t>0615-07</t>
  </si>
  <si>
    <t>0615-08</t>
  </si>
  <si>
    <t>0615-09</t>
  </si>
  <si>
    <t>0615-10</t>
  </si>
  <si>
    <t>0615-11</t>
  </si>
  <si>
    <t>0615-12</t>
  </si>
  <si>
    <t>0615-13</t>
  </si>
  <si>
    <t>0616-01</t>
  </si>
  <si>
    <t>0616-02</t>
  </si>
  <si>
    <t>0616-03</t>
  </si>
  <si>
    <t>0616-04</t>
  </si>
  <si>
    <t>0616-05</t>
  </si>
  <si>
    <t>0616-06</t>
  </si>
  <si>
    <t>0616-07</t>
  </si>
  <si>
    <t>0616-08</t>
  </si>
  <si>
    <t>0616-09</t>
  </si>
  <si>
    <t>0616-10</t>
  </si>
  <si>
    <t>0617-01</t>
  </si>
  <si>
    <t>0617-02</t>
  </si>
  <si>
    <t>0617-03</t>
  </si>
  <si>
    <t>0617-04</t>
  </si>
  <si>
    <t>0617-05</t>
  </si>
  <si>
    <t>0617-06</t>
  </si>
  <si>
    <t>0617-07</t>
  </si>
  <si>
    <t>0617-08</t>
  </si>
  <si>
    <t>0617-09</t>
  </si>
  <si>
    <t>0617-10</t>
  </si>
  <si>
    <t>0617-11</t>
  </si>
  <si>
    <t>0617-12</t>
  </si>
  <si>
    <t>0617-13</t>
  </si>
  <si>
    <t>0618-01</t>
  </si>
  <si>
    <t>0618-02</t>
  </si>
  <si>
    <t>0618-03</t>
  </si>
  <si>
    <t>0618-04</t>
  </si>
  <si>
    <t>0618-05</t>
  </si>
  <si>
    <t>0618-06</t>
  </si>
  <si>
    <t>0618-07</t>
  </si>
  <si>
    <t>0618-08</t>
  </si>
  <si>
    <t>0618-09</t>
  </si>
  <si>
    <t>0618-10</t>
  </si>
  <si>
    <t>0619-01</t>
  </si>
  <si>
    <t>0619-02</t>
  </si>
  <si>
    <t>0619-03</t>
  </si>
  <si>
    <t>0619-04</t>
  </si>
  <si>
    <t>0619-05</t>
  </si>
  <si>
    <t>0619-06</t>
  </si>
  <si>
    <t>0619-07</t>
  </si>
  <si>
    <t>0619-08</t>
  </si>
  <si>
    <t>0620-01</t>
  </si>
  <si>
    <t>0620-02</t>
  </si>
  <si>
    <t>0620-03</t>
  </si>
  <si>
    <t>0620-04</t>
  </si>
  <si>
    <t>0620-05</t>
  </si>
  <si>
    <t>0620-06</t>
  </si>
  <si>
    <t>0620-07</t>
  </si>
  <si>
    <t>0620-08</t>
  </si>
  <si>
    <t>0620-09</t>
  </si>
  <si>
    <t>0620-10</t>
  </si>
  <si>
    <t>0620-11</t>
  </si>
  <si>
    <t>0622-01</t>
  </si>
  <si>
    <t>0622-02</t>
  </si>
  <si>
    <t>0622-03</t>
  </si>
  <si>
    <t>0622-04</t>
  </si>
  <si>
    <t>0622-05</t>
  </si>
  <si>
    <t>0622-06</t>
  </si>
  <si>
    <t>0622-07</t>
  </si>
  <si>
    <t>0622-08</t>
  </si>
  <si>
    <t>0622-09</t>
  </si>
  <si>
    <t>0622-10</t>
  </si>
  <si>
    <t>0622-11</t>
  </si>
  <si>
    <t>0622-12</t>
  </si>
  <si>
    <t>0622-13</t>
  </si>
  <si>
    <t>0622-14</t>
  </si>
  <si>
    <t>0622-15</t>
  </si>
  <si>
    <t>0622-16</t>
  </si>
  <si>
    <t>0623-01</t>
  </si>
  <si>
    <t>0623-02</t>
  </si>
  <si>
    <t>0623-03</t>
  </si>
  <si>
    <t>0623-04</t>
  </si>
  <si>
    <t>0623-05</t>
  </si>
  <si>
    <t>0623-06</t>
  </si>
  <si>
    <t>0623-07</t>
  </si>
  <si>
    <t>0623-08</t>
  </si>
  <si>
    <t>0623-09</t>
  </si>
  <si>
    <t>0623-10</t>
  </si>
  <si>
    <t>0623-11</t>
  </si>
  <si>
    <t>0624-01</t>
  </si>
  <si>
    <t>0624-02</t>
  </si>
  <si>
    <t>0624-03</t>
  </si>
  <si>
    <t>0624-04</t>
  </si>
  <si>
    <t>0624-05</t>
  </si>
  <si>
    <t>0624-06</t>
  </si>
  <si>
    <t>0624-07</t>
  </si>
  <si>
    <t>0624-08</t>
  </si>
  <si>
    <t>0624-09</t>
  </si>
  <si>
    <t>0624-10</t>
  </si>
  <si>
    <t>0624-11</t>
  </si>
  <si>
    <t>0624-12</t>
  </si>
  <si>
    <t>0624-13</t>
  </si>
  <si>
    <t>0624-14</t>
  </si>
  <si>
    <t>0624-15</t>
  </si>
  <si>
    <t>0625-01</t>
  </si>
  <si>
    <t>0625-02</t>
  </si>
  <si>
    <t>0625-03</t>
  </si>
  <si>
    <t>0626-01</t>
  </si>
  <si>
    <t>0626-02</t>
  </si>
  <si>
    <t>0626-03</t>
  </si>
  <si>
    <t>0626-04</t>
  </si>
  <si>
    <t>0626-05</t>
  </si>
  <si>
    <t>0626-06</t>
  </si>
  <si>
    <t>0626-07</t>
  </si>
  <si>
    <t>0626-08</t>
  </si>
  <si>
    <t>0626-09</t>
  </si>
  <si>
    <t>0626-10</t>
  </si>
  <si>
    <t>0627-01</t>
  </si>
  <si>
    <t>0627-02</t>
  </si>
  <si>
    <t>0627-03</t>
  </si>
  <si>
    <t>0627-04</t>
  </si>
  <si>
    <t>0627-05</t>
  </si>
  <si>
    <t>0627-06</t>
  </si>
  <si>
    <t>0627-07</t>
  </si>
  <si>
    <t>0627-08</t>
  </si>
  <si>
    <t>0627-09</t>
  </si>
  <si>
    <t>0627-10</t>
  </si>
  <si>
    <t>0627-11</t>
  </si>
  <si>
    <t>0629-01</t>
  </si>
  <si>
    <t>0629-02</t>
  </si>
  <si>
    <t>0629-03</t>
  </si>
  <si>
    <t>0629-04</t>
  </si>
  <si>
    <t>0629-05</t>
  </si>
  <si>
    <t>0629-06</t>
  </si>
  <si>
    <t>0629-07</t>
  </si>
  <si>
    <t>0629-08</t>
  </si>
  <si>
    <t>0629-09</t>
  </si>
  <si>
    <t>0630-01</t>
  </si>
  <si>
    <t>0630-02</t>
  </si>
  <si>
    <t>0630-03</t>
  </si>
  <si>
    <t>0630-04</t>
  </si>
  <si>
    <t>0630-05</t>
  </si>
  <si>
    <t>0701-01</t>
  </si>
  <si>
    <t>0701-02</t>
  </si>
  <si>
    <t>0701-03</t>
  </si>
  <si>
    <t>0701-04</t>
  </si>
  <si>
    <t>0701-05</t>
  </si>
  <si>
    <t>0701-06</t>
  </si>
  <si>
    <t>0702-01</t>
  </si>
  <si>
    <t>0702-02</t>
  </si>
  <si>
    <t>0702-03</t>
  </si>
  <si>
    <t>0702-04</t>
  </si>
  <si>
    <t>0702-05</t>
  </si>
  <si>
    <t>0702-06</t>
  </si>
  <si>
    <t>0702-07</t>
  </si>
  <si>
    <t>0702-08</t>
  </si>
  <si>
    <t>0703-01</t>
  </si>
  <si>
    <t>0703-02</t>
  </si>
  <si>
    <t>0703-03</t>
  </si>
  <si>
    <t>0703-04</t>
  </si>
  <si>
    <t>0703-05</t>
  </si>
  <si>
    <t>0703-06</t>
  </si>
  <si>
    <t>0704-01</t>
  </si>
  <si>
    <t>0704-02</t>
  </si>
  <si>
    <t>0704-03</t>
  </si>
  <si>
    <t>0704-04</t>
  </si>
  <si>
    <t>0704-05</t>
  </si>
  <si>
    <t>0704-06</t>
  </si>
  <si>
    <t>0704-07</t>
  </si>
  <si>
    <t>0704-08</t>
  </si>
  <si>
    <t>0704-09</t>
  </si>
  <si>
    <t>0704-10</t>
  </si>
  <si>
    <t>0704-11</t>
  </si>
  <si>
    <t>0704-12</t>
  </si>
  <si>
    <t>0704-13</t>
  </si>
  <si>
    <t>0704-14</t>
  </si>
  <si>
    <t>0706-01</t>
  </si>
  <si>
    <t>0706-02</t>
  </si>
  <si>
    <t>0706-03</t>
  </si>
  <si>
    <t>0706-04</t>
  </si>
  <si>
    <t>0706-05</t>
  </si>
  <si>
    <t>0706-06</t>
  </si>
  <si>
    <t>0706-07</t>
  </si>
  <si>
    <t>0706-08</t>
  </si>
  <si>
    <t>0706-09</t>
  </si>
  <si>
    <t>0706-10</t>
  </si>
  <si>
    <t>0707-01</t>
  </si>
  <si>
    <t>0707-02</t>
  </si>
  <si>
    <t>0707-03</t>
  </si>
  <si>
    <t>0707-04</t>
  </si>
  <si>
    <t>0707-05</t>
  </si>
  <si>
    <t>0707-06</t>
  </si>
  <si>
    <t>0707-07</t>
  </si>
  <si>
    <t>0707-08</t>
  </si>
  <si>
    <t>0707-09</t>
  </si>
  <si>
    <t>0708-01</t>
  </si>
  <si>
    <t>0708-02</t>
  </si>
  <si>
    <t>0708-03</t>
  </si>
  <si>
    <t>0708-04</t>
  </si>
  <si>
    <t>0708-05</t>
  </si>
  <si>
    <t>0708-06</t>
  </si>
  <si>
    <t>0708-07</t>
  </si>
  <si>
    <t>0708-08</t>
  </si>
  <si>
    <t>0708-09</t>
  </si>
  <si>
    <t>0709-01</t>
  </si>
  <si>
    <t>0709-02</t>
  </si>
  <si>
    <t>0709-03</t>
  </si>
  <si>
    <t>0709-04</t>
  </si>
  <si>
    <t>0709-05</t>
  </si>
  <si>
    <t>0709-06</t>
  </si>
  <si>
    <t>0709-07</t>
  </si>
  <si>
    <t>0709-08</t>
  </si>
  <si>
    <t>0709-09</t>
  </si>
  <si>
    <t>0709-10</t>
  </si>
  <si>
    <t>0709-11</t>
  </si>
  <si>
    <t>0709-12</t>
  </si>
  <si>
    <t>0710-01</t>
  </si>
  <si>
    <t>0710-02</t>
  </si>
  <si>
    <t>0710-03</t>
  </si>
  <si>
    <t>0710-04</t>
  </si>
  <si>
    <t>0710-05</t>
  </si>
  <si>
    <t>0710-06</t>
  </si>
  <si>
    <t>0710-07</t>
  </si>
  <si>
    <t>0710-08</t>
  </si>
  <si>
    <t>0710-09</t>
  </si>
  <si>
    <t>0710-10</t>
  </si>
  <si>
    <t>0710-11</t>
  </si>
  <si>
    <t>0710-12</t>
  </si>
  <si>
    <t>0710-13</t>
  </si>
  <si>
    <t>0710-14</t>
  </si>
  <si>
    <t>0710-15</t>
  </si>
  <si>
    <t>0710-16</t>
  </si>
  <si>
    <t>0710-17</t>
  </si>
  <si>
    <t>0711-01</t>
  </si>
  <si>
    <t>0711-02</t>
  </si>
  <si>
    <t>0711-03</t>
  </si>
  <si>
    <t>0711-04</t>
  </si>
  <si>
    <t>0711-05</t>
  </si>
  <si>
    <t>0711-06</t>
  </si>
  <si>
    <t>0711-07</t>
  </si>
  <si>
    <t>0711-08</t>
  </si>
  <si>
    <t>0711-09</t>
  </si>
  <si>
    <t>0711-10</t>
  </si>
  <si>
    <t>0713-01</t>
  </si>
  <si>
    <t>0713-02</t>
  </si>
  <si>
    <t>0713-03</t>
  </si>
  <si>
    <t>0713-04</t>
  </si>
  <si>
    <t>0713-05</t>
  </si>
  <si>
    <t>0713-06</t>
  </si>
  <si>
    <t>0714-01</t>
  </si>
  <si>
    <t>0714-02</t>
  </si>
  <si>
    <t>0714-03</t>
  </si>
  <si>
    <t>0714-04</t>
  </si>
  <si>
    <t>0714-05</t>
  </si>
  <si>
    <t>0714-06</t>
  </si>
  <si>
    <t>0715-01</t>
  </si>
  <si>
    <t>0715-02</t>
  </si>
  <si>
    <t>0715-03</t>
  </si>
  <si>
    <t>0715-04</t>
  </si>
  <si>
    <t>0715-05</t>
  </si>
  <si>
    <t>0715-06</t>
  </si>
  <si>
    <t>0715-07</t>
  </si>
  <si>
    <t>0715-08</t>
  </si>
  <si>
    <t>0715-09</t>
  </si>
  <si>
    <t>0715-10</t>
  </si>
  <si>
    <t>0715-11</t>
  </si>
  <si>
    <t>0715-12</t>
  </si>
  <si>
    <t>0716-01</t>
  </si>
  <si>
    <t>0716-02</t>
  </si>
  <si>
    <t>0716-03</t>
  </si>
  <si>
    <t>0716-04</t>
  </si>
  <si>
    <t>0716-05</t>
  </si>
  <si>
    <t>0716-06</t>
  </si>
  <si>
    <t>0716-07</t>
  </si>
  <si>
    <t>0717-01</t>
  </si>
  <si>
    <t>0717-02</t>
  </si>
  <si>
    <t>0717-03</t>
  </si>
  <si>
    <t>0717-04</t>
  </si>
  <si>
    <t>0717-05</t>
  </si>
  <si>
    <t>0717-06</t>
  </si>
  <si>
    <t>0717-07</t>
  </si>
  <si>
    <t>0717-08</t>
  </si>
  <si>
    <t>0717-09</t>
  </si>
  <si>
    <t>0717-10</t>
  </si>
  <si>
    <t>0717-11</t>
  </si>
  <si>
    <t>0717-12</t>
  </si>
  <si>
    <t>0717-13</t>
  </si>
  <si>
    <t>0718-01</t>
  </si>
  <si>
    <t>0718-02</t>
  </si>
  <si>
    <t>0718-03</t>
  </si>
  <si>
    <t>0718-04</t>
  </si>
  <si>
    <t>0718-05</t>
  </si>
  <si>
    <t>0718-06</t>
  </si>
  <si>
    <t>0718-07</t>
  </si>
  <si>
    <t>0718-08</t>
  </si>
  <si>
    <t>0718-09</t>
  </si>
  <si>
    <t>0719-01</t>
  </si>
  <si>
    <t>0720-01</t>
  </si>
  <si>
    <t>0720-02</t>
  </si>
  <si>
    <t>0720-03</t>
  </si>
  <si>
    <t>0720-04</t>
  </si>
  <si>
    <t>0720-05</t>
  </si>
  <si>
    <t>0720-06</t>
  </si>
  <si>
    <t>0720-07</t>
  </si>
  <si>
    <t>0720-08</t>
  </si>
  <si>
    <t>0720-09</t>
  </si>
  <si>
    <t>0720-10</t>
  </si>
  <si>
    <t>0720-11</t>
  </si>
  <si>
    <t>0720-12</t>
  </si>
  <si>
    <t>0720-13</t>
  </si>
  <si>
    <t>0720-14</t>
  </si>
  <si>
    <t>0721-01</t>
  </si>
  <si>
    <t>0721-02</t>
  </si>
  <si>
    <t>0721-03</t>
  </si>
  <si>
    <t>0721-04</t>
  </si>
  <si>
    <t>0721-05</t>
  </si>
  <si>
    <t>0721-06</t>
  </si>
  <si>
    <t>0721-07</t>
  </si>
  <si>
    <t>0721-08</t>
  </si>
  <si>
    <t>0721-09</t>
  </si>
  <si>
    <t>0721-10</t>
  </si>
  <si>
    <t>0721-11</t>
  </si>
  <si>
    <t>0721-12</t>
  </si>
  <si>
    <t>0722-01</t>
  </si>
  <si>
    <t>0722-02</t>
  </si>
  <si>
    <t>0722-03</t>
  </si>
  <si>
    <t>0722-04</t>
  </si>
  <si>
    <t>0722-05</t>
  </si>
  <si>
    <t>0722-06</t>
  </si>
  <si>
    <t>0722-07</t>
  </si>
  <si>
    <t>0722-08</t>
  </si>
  <si>
    <t>0723-01</t>
  </si>
  <si>
    <t>0723-02</t>
  </si>
  <si>
    <t>0723-03</t>
  </si>
  <si>
    <t>0723-04</t>
  </si>
  <si>
    <t>0723-05</t>
  </si>
  <si>
    <t>0723-06</t>
  </si>
  <si>
    <t>0723-07</t>
  </si>
  <si>
    <t>0723-08</t>
  </si>
  <si>
    <t>0723-09</t>
  </si>
  <si>
    <t>0723-10</t>
  </si>
  <si>
    <t>0723-11</t>
  </si>
  <si>
    <t>0723-12</t>
  </si>
  <si>
    <t>0723-13</t>
  </si>
  <si>
    <t>0723-14</t>
  </si>
  <si>
    <t>0724-01</t>
  </si>
  <si>
    <t>0724-02</t>
  </si>
  <si>
    <t>0724-03</t>
  </si>
  <si>
    <t>0724-04</t>
  </si>
  <si>
    <t>0724-05</t>
  </si>
  <si>
    <t>0724-06</t>
  </si>
  <si>
    <t>0724-07</t>
  </si>
  <si>
    <t>0724-08</t>
  </si>
  <si>
    <t>0724-09</t>
  </si>
  <si>
    <t>0724-10</t>
  </si>
  <si>
    <t>0725-01</t>
  </si>
  <si>
    <t>0725-02</t>
  </si>
  <si>
    <t>0725-03</t>
  </si>
  <si>
    <t>0725-04</t>
  </si>
  <si>
    <t>0725-05</t>
  </si>
  <si>
    <t>0725-06</t>
  </si>
  <si>
    <t>0725-07</t>
  </si>
  <si>
    <t>0725-08</t>
  </si>
  <si>
    <t>0725-09</t>
  </si>
  <si>
    <t>0725-10</t>
  </si>
  <si>
    <t>0725-11</t>
  </si>
  <si>
    <t>0727-01</t>
  </si>
  <si>
    <t>0727-02</t>
  </si>
  <si>
    <t>0727-03</t>
  </si>
  <si>
    <t>0727-04</t>
  </si>
  <si>
    <t>0727-05</t>
  </si>
  <si>
    <t>0727-06</t>
  </si>
  <si>
    <t>0727-07</t>
  </si>
  <si>
    <t>0727-08</t>
  </si>
  <si>
    <t>0728-01</t>
  </si>
  <si>
    <t>0728-02</t>
  </si>
  <si>
    <t>0728-03</t>
  </si>
  <si>
    <t>0728-04</t>
  </si>
  <si>
    <t>0728-05</t>
  </si>
  <si>
    <t>0728-06</t>
  </si>
  <si>
    <t>0728-07</t>
  </si>
  <si>
    <t>0728-08</t>
  </si>
  <si>
    <t>0728-09</t>
  </si>
  <si>
    <t>0728-10</t>
  </si>
  <si>
    <t>0729-01</t>
  </si>
  <si>
    <t>0729-02</t>
  </si>
  <si>
    <t>0729-03</t>
  </si>
  <si>
    <t>0729-04</t>
  </si>
  <si>
    <t>0729-05</t>
  </si>
  <si>
    <t>0729-06</t>
  </si>
  <si>
    <t>0730-01</t>
  </si>
  <si>
    <t>0730-02</t>
  </si>
  <si>
    <t>0730-03</t>
  </si>
  <si>
    <t>0730-04</t>
  </si>
  <si>
    <t>0730-05</t>
  </si>
  <si>
    <t>0731-01</t>
  </si>
  <si>
    <t>0731-02</t>
  </si>
  <si>
    <t>0731-03</t>
  </si>
  <si>
    <t>0731-04</t>
  </si>
  <si>
    <t>0731-05</t>
  </si>
  <si>
    <t>0731-06</t>
  </si>
  <si>
    <t>0731-07</t>
  </si>
  <si>
    <t>0801-01</t>
  </si>
  <si>
    <t>0801-02</t>
  </si>
  <si>
    <t>0801-03</t>
  </si>
  <si>
    <t>0801-04</t>
  </si>
  <si>
    <t>0801-05</t>
  </si>
  <si>
    <t>0801-06</t>
  </si>
  <si>
    <t>0803-01</t>
  </si>
  <si>
    <t>0803-02</t>
  </si>
  <si>
    <t>0803-03</t>
  </si>
  <si>
    <t>0803-04</t>
  </si>
  <si>
    <t>0803-05</t>
  </si>
  <si>
    <t>0804-01</t>
  </si>
  <si>
    <t>0804-02</t>
  </si>
  <si>
    <t>0804-03</t>
  </si>
  <si>
    <t>0804-04</t>
  </si>
  <si>
    <t>0804-05</t>
  </si>
  <si>
    <t>0804-06</t>
  </si>
  <si>
    <t>0804-07</t>
  </si>
  <si>
    <t>0804-08</t>
  </si>
  <si>
    <t>0804-09</t>
  </si>
  <si>
    <t>0805-01</t>
  </si>
  <si>
    <t>0805-02</t>
  </si>
  <si>
    <t>0805-03</t>
  </si>
  <si>
    <t>0805-04</t>
  </si>
  <si>
    <t>0805-05</t>
  </si>
  <si>
    <t>0805-06</t>
  </si>
  <si>
    <t>0806-01</t>
  </si>
  <si>
    <t>0806-02</t>
  </si>
  <si>
    <t>0806-03</t>
  </si>
  <si>
    <t>0806-04</t>
  </si>
  <si>
    <t>0806-05</t>
  </si>
  <si>
    <t>0806-06</t>
  </si>
  <si>
    <t>0806-07</t>
  </si>
  <si>
    <t>0806-08</t>
  </si>
  <si>
    <t>0806-09</t>
  </si>
  <si>
    <t>0806-10</t>
  </si>
  <si>
    <t>0807-01</t>
  </si>
  <si>
    <t>0807-02</t>
  </si>
  <si>
    <t>0807-03</t>
  </si>
  <si>
    <t>0807-04</t>
  </si>
  <si>
    <t>0807-05</t>
  </si>
  <si>
    <t>0807-06</t>
  </si>
  <si>
    <t>0807-07</t>
  </si>
  <si>
    <t>0808-01</t>
  </si>
  <si>
    <t>0808-02</t>
  </si>
  <si>
    <t>0808-03</t>
  </si>
  <si>
    <t>0808-04</t>
  </si>
  <si>
    <t>0808-05</t>
  </si>
  <si>
    <t>0808-06</t>
  </si>
  <si>
    <t>0808-07</t>
  </si>
  <si>
    <t>0808-08</t>
  </si>
  <si>
    <t>0810-01</t>
  </si>
  <si>
    <t>0810-02</t>
  </si>
  <si>
    <t>0810-03</t>
  </si>
  <si>
    <t>0811-01</t>
  </si>
  <si>
    <t>0811-02</t>
  </si>
  <si>
    <t>0811-03</t>
  </si>
  <si>
    <t>0811-04</t>
  </si>
  <si>
    <t>0811-05</t>
  </si>
  <si>
    <t>0811-06</t>
  </si>
  <si>
    <t>0812-01</t>
  </si>
  <si>
    <t>0812-02</t>
  </si>
  <si>
    <t>0812-03</t>
  </si>
  <si>
    <t>0812-04</t>
  </si>
  <si>
    <t>0812-05</t>
  </si>
  <si>
    <t>0812-06</t>
  </si>
  <si>
    <t>0812-07</t>
  </si>
  <si>
    <t>0812-08</t>
  </si>
  <si>
    <t>0812-09</t>
  </si>
  <si>
    <t>0813-01</t>
  </si>
  <si>
    <t>0813-02</t>
  </si>
  <si>
    <t>0813-03</t>
  </si>
  <si>
    <t>0813-04</t>
  </si>
  <si>
    <t>0813-05</t>
  </si>
  <si>
    <t>0813-06</t>
  </si>
  <si>
    <t>0813-07</t>
  </si>
  <si>
    <t>0813-08</t>
  </si>
  <si>
    <t>0813-09</t>
  </si>
  <si>
    <t>0814-01</t>
  </si>
  <si>
    <t>0814-02</t>
  </si>
  <si>
    <t>0814-03</t>
  </si>
  <si>
    <t>0815-01</t>
  </si>
  <si>
    <t>0815-02</t>
  </si>
  <si>
    <t>0815-03</t>
  </si>
  <si>
    <t>0815-04</t>
  </si>
  <si>
    <t>0815-05</t>
  </si>
  <si>
    <t>0815-06</t>
  </si>
  <si>
    <t>0815-07</t>
  </si>
  <si>
    <t>0815-08</t>
  </si>
  <si>
    <t>0815-09</t>
  </si>
  <si>
    <t>0816-01</t>
  </si>
  <si>
    <t>0817-01</t>
  </si>
  <si>
    <t>0817-02</t>
  </si>
  <si>
    <t>0817-03</t>
  </si>
  <si>
    <t>0817-04</t>
  </si>
  <si>
    <t>0817-05</t>
  </si>
  <si>
    <t>0817-06</t>
  </si>
  <si>
    <t>0817-07</t>
  </si>
  <si>
    <t>0818-01</t>
  </si>
  <si>
    <t>0818-02</t>
  </si>
  <si>
    <t>0818-03</t>
  </si>
  <si>
    <t>0818-04</t>
  </si>
  <si>
    <t>0818-05</t>
  </si>
  <si>
    <t>0818-06</t>
  </si>
  <si>
    <t>0818-07</t>
  </si>
  <si>
    <t>0818-08</t>
  </si>
  <si>
    <t>0818-09</t>
  </si>
  <si>
    <t>0819-01</t>
  </si>
  <si>
    <t>0819-02</t>
  </si>
  <si>
    <t>0819-03</t>
  </si>
  <si>
    <t>0819-04</t>
  </si>
  <si>
    <t>0819-05</t>
  </si>
  <si>
    <t>0820-01</t>
  </si>
  <si>
    <t>0820-02</t>
  </si>
  <si>
    <t>0820-03</t>
  </si>
  <si>
    <t>0820-04</t>
  </si>
  <si>
    <t>0820-05</t>
  </si>
  <si>
    <t>0820-06</t>
  </si>
  <si>
    <t>0820-07</t>
  </si>
  <si>
    <t>0820-08</t>
  </si>
  <si>
    <t>0820-09</t>
  </si>
  <si>
    <t>0820-10</t>
  </si>
  <si>
    <t>0821-01</t>
  </si>
  <si>
    <t>0821-02</t>
  </si>
  <si>
    <t>0821-03</t>
  </si>
  <si>
    <t>0821-04</t>
  </si>
  <si>
    <t>0821-05</t>
  </si>
  <si>
    <t>0821-06</t>
  </si>
  <si>
    <t>0821-07</t>
  </si>
  <si>
    <t>0821-08</t>
  </si>
  <si>
    <t>0821-09</t>
  </si>
  <si>
    <t>0822-01</t>
  </si>
  <si>
    <t>0822-02</t>
  </si>
  <si>
    <t>0822-03</t>
  </si>
  <si>
    <t>0822-04</t>
  </si>
  <si>
    <t>0822-05</t>
  </si>
  <si>
    <t>0822-06</t>
  </si>
  <si>
    <t>0822-07</t>
  </si>
  <si>
    <t>0824-01</t>
  </si>
  <si>
    <t>0824-02</t>
  </si>
  <si>
    <t>0824-03</t>
  </si>
  <si>
    <t>0824-04</t>
  </si>
  <si>
    <t>0824-05</t>
  </si>
  <si>
    <t>0824-06</t>
  </si>
  <si>
    <t>0824-07</t>
  </si>
  <si>
    <t>0824-08</t>
  </si>
  <si>
    <t>0824-09</t>
  </si>
  <si>
    <t>0824-10</t>
  </si>
  <si>
    <t>0824-11</t>
  </si>
  <si>
    <t>0824-12</t>
  </si>
  <si>
    <t>0824-13</t>
  </si>
  <si>
    <t>0824-14</t>
  </si>
  <si>
    <t>0825-01</t>
  </si>
  <si>
    <t>0825-02</t>
  </si>
  <si>
    <t>0825-03</t>
  </si>
  <si>
    <t>0825-04</t>
  </si>
  <si>
    <t>0825-05</t>
  </si>
  <si>
    <t>0825-06</t>
  </si>
  <si>
    <t>0825-07</t>
  </si>
  <si>
    <t>0825-08</t>
  </si>
  <si>
    <t>0825-09</t>
  </si>
  <si>
    <t>0825-10</t>
  </si>
  <si>
    <t>0825-11</t>
  </si>
  <si>
    <t>0826-01</t>
  </si>
  <si>
    <t>0826-02</t>
  </si>
  <si>
    <t>0826-03</t>
  </si>
  <si>
    <t>0826-04</t>
  </si>
  <si>
    <t>0826-05</t>
  </si>
  <si>
    <t>0826-06</t>
  </si>
  <si>
    <t>0826-07</t>
  </si>
  <si>
    <t>0826-08</t>
  </si>
  <si>
    <t>0826-09</t>
  </si>
  <si>
    <t>0827-01</t>
  </si>
  <si>
    <t>0827-02</t>
  </si>
  <si>
    <t>0827-03</t>
  </si>
  <si>
    <t>0827-04</t>
  </si>
  <si>
    <t>0827-05</t>
  </si>
  <si>
    <t>0827-06</t>
  </si>
  <si>
    <t>0828-01</t>
  </si>
  <si>
    <t>0828-02</t>
  </si>
  <si>
    <t>0828-03</t>
  </si>
  <si>
    <t>0828-04</t>
  </si>
  <si>
    <t>0828-05</t>
  </si>
  <si>
    <t>0829-01</t>
  </si>
  <si>
    <t>0829-02</t>
  </si>
  <si>
    <t>0829-03</t>
  </si>
  <si>
    <t>0829-04</t>
  </si>
  <si>
    <t>0829-05</t>
  </si>
  <si>
    <t>0831-01</t>
  </si>
  <si>
    <t>0831-02</t>
  </si>
  <si>
    <t>0831-03</t>
  </si>
  <si>
    <t>0831-04</t>
  </si>
  <si>
    <t>0831-05</t>
  </si>
  <si>
    <t>0831-06</t>
  </si>
  <si>
    <t>0831-07</t>
  </si>
  <si>
    <t>0831-08</t>
  </si>
  <si>
    <t>0901-01</t>
  </si>
  <si>
    <t>0901-02</t>
  </si>
  <si>
    <t>0901-03</t>
  </si>
  <si>
    <t>0901-04</t>
  </si>
  <si>
    <t>0901-05</t>
  </si>
  <si>
    <t>0901-06</t>
  </si>
  <si>
    <t>0901-07</t>
  </si>
  <si>
    <t>0901-08</t>
  </si>
  <si>
    <t>0902-01</t>
  </si>
  <si>
    <t>0902-02</t>
  </si>
  <si>
    <t>0902-03</t>
  </si>
  <si>
    <t>0902-04</t>
  </si>
  <si>
    <t>0902-05</t>
  </si>
  <si>
    <t>0902-06</t>
  </si>
  <si>
    <t>0902-07</t>
  </si>
  <si>
    <t>0902-08</t>
  </si>
  <si>
    <t>0902-09</t>
  </si>
  <si>
    <t>0902-10</t>
  </si>
  <si>
    <t>0902-11</t>
  </si>
  <si>
    <t>0903-01</t>
  </si>
  <si>
    <t>0903-02</t>
  </si>
  <si>
    <t>0903-03</t>
  </si>
  <si>
    <t>0903-04</t>
  </si>
  <si>
    <t>0903-05</t>
  </si>
  <si>
    <t>0903-06</t>
  </si>
  <si>
    <t>0903-07</t>
  </si>
  <si>
    <t>0903-08</t>
  </si>
  <si>
    <t>0903-09</t>
  </si>
  <si>
    <t>0903-10</t>
  </si>
  <si>
    <t>0903-11</t>
  </si>
  <si>
    <t>0903-12</t>
  </si>
  <si>
    <t>0903-13</t>
  </si>
  <si>
    <t>0903-14</t>
  </si>
  <si>
    <t>0904-01</t>
  </si>
  <si>
    <t>0904-02</t>
  </si>
  <si>
    <t>0904-03</t>
  </si>
  <si>
    <t>0904-04</t>
  </si>
  <si>
    <t>0904-05</t>
  </si>
  <si>
    <t>0904-06</t>
  </si>
  <si>
    <t>0904-07</t>
  </si>
  <si>
    <t>0904-08</t>
  </si>
  <si>
    <t>0904-09</t>
  </si>
  <si>
    <t>0904-10</t>
  </si>
  <si>
    <t>0904-11</t>
  </si>
  <si>
    <t>0904-12</t>
  </si>
  <si>
    <t>0904-13</t>
  </si>
  <si>
    <t>0904-14</t>
  </si>
  <si>
    <t>0905-01</t>
  </si>
  <si>
    <t>0905-02</t>
  </si>
  <si>
    <t>0905-03</t>
  </si>
  <si>
    <t>0905-04</t>
  </si>
  <si>
    <t>0905-05</t>
  </si>
  <si>
    <t>0905-06</t>
  </si>
  <si>
    <t>0905-07</t>
  </si>
  <si>
    <t>0905-08</t>
  </si>
  <si>
    <t>0905-09</t>
  </si>
  <si>
    <t>0905-10</t>
  </si>
  <si>
    <t>0905-11</t>
  </si>
  <si>
    <t>0905-12</t>
  </si>
  <si>
    <t>0907-01</t>
  </si>
  <si>
    <t>0907-02</t>
  </si>
  <si>
    <t>0907-03</t>
  </si>
  <si>
    <t>0907-04</t>
  </si>
  <si>
    <t>0907-05</t>
  </si>
  <si>
    <t>0907-06</t>
  </si>
  <si>
    <t>0908-01</t>
  </si>
  <si>
    <t>0908-02</t>
  </si>
  <si>
    <t>0908-03</t>
  </si>
  <si>
    <t>0908-04</t>
  </si>
  <si>
    <t>0908-05</t>
  </si>
  <si>
    <t>0909-01</t>
  </si>
  <si>
    <t>0909-02</t>
  </si>
  <si>
    <t>0909-03</t>
  </si>
  <si>
    <t>0909-04</t>
  </si>
  <si>
    <t>0909-05</t>
  </si>
  <si>
    <t>0909-06</t>
  </si>
  <si>
    <t>0909-07</t>
  </si>
  <si>
    <t>0909-08</t>
  </si>
  <si>
    <t>0909-09</t>
  </si>
  <si>
    <t>0910-01</t>
  </si>
  <si>
    <t>0910-02</t>
  </si>
  <si>
    <t>0910-03</t>
  </si>
  <si>
    <t>0910-04</t>
  </si>
  <si>
    <t>0910-05</t>
  </si>
  <si>
    <t>0911-01</t>
  </si>
  <si>
    <t>0911-02</t>
  </si>
  <si>
    <t>0911-03</t>
  </si>
  <si>
    <t>0911-04</t>
  </si>
  <si>
    <t>0911-05</t>
  </si>
  <si>
    <t>0911-06</t>
  </si>
  <si>
    <t>0911-07</t>
  </si>
  <si>
    <t>0911-08</t>
  </si>
  <si>
    <t>0912-01</t>
  </si>
  <si>
    <t>0912-02</t>
  </si>
  <si>
    <t>0912-03</t>
  </si>
  <si>
    <t>0912-04</t>
  </si>
  <si>
    <t>0912-05</t>
  </si>
  <si>
    <t>0912-06</t>
  </si>
  <si>
    <t>0912-07</t>
  </si>
  <si>
    <t>0912-08</t>
  </si>
  <si>
    <t>0912-09</t>
  </si>
  <si>
    <t>0914-01</t>
  </si>
  <si>
    <t>0914-02</t>
  </si>
  <si>
    <t>0914-03</t>
  </si>
  <si>
    <t>0914-04</t>
  </si>
  <si>
    <t>0914-05</t>
  </si>
  <si>
    <t>0914-06</t>
  </si>
  <si>
    <t>0914-07</t>
  </si>
  <si>
    <t>0915-01</t>
  </si>
  <si>
    <t>0915-02</t>
  </si>
  <si>
    <t>0915-03</t>
  </si>
  <si>
    <t>0915-04</t>
  </si>
  <si>
    <t>0915-05</t>
  </si>
  <si>
    <t>0915-06</t>
  </si>
  <si>
    <t>0916-01</t>
  </si>
  <si>
    <t>0916-02</t>
  </si>
  <si>
    <t>0916-03</t>
  </si>
  <si>
    <t>0916-04</t>
  </si>
  <si>
    <t>0916-05</t>
  </si>
  <si>
    <t>0916-06</t>
  </si>
  <si>
    <t>0916-07</t>
  </si>
  <si>
    <t>0916-08</t>
  </si>
  <si>
    <t>0916-09</t>
  </si>
  <si>
    <t>0916-10</t>
  </si>
  <si>
    <t>0916-11</t>
  </si>
  <si>
    <t>0917-01</t>
  </si>
  <si>
    <t>0917-02</t>
  </si>
  <si>
    <t>0917-03</t>
  </si>
  <si>
    <t>0917-04</t>
  </si>
  <si>
    <t>0918-01</t>
  </si>
  <si>
    <t>0918-02</t>
  </si>
  <si>
    <t>0918-03</t>
  </si>
  <si>
    <t>0918-04</t>
  </si>
  <si>
    <t>0919-01</t>
  </si>
  <si>
    <t>0919-02</t>
  </si>
  <si>
    <t>0919-03</t>
  </si>
  <si>
    <t>0919-04</t>
  </si>
  <si>
    <t>0919-05</t>
  </si>
  <si>
    <t>0919-06</t>
  </si>
  <si>
    <t>0919-07</t>
  </si>
  <si>
    <t>0919-08</t>
  </si>
  <si>
    <t>0921-01</t>
  </si>
  <si>
    <t>0921-02</t>
  </si>
  <si>
    <t>0921-03</t>
  </si>
  <si>
    <t>0921-04</t>
  </si>
  <si>
    <t>0921-05</t>
  </si>
  <si>
    <t>0921-06</t>
  </si>
  <si>
    <t>0921-07</t>
  </si>
  <si>
    <t>0921-08</t>
  </si>
  <si>
    <t>0921-09</t>
  </si>
  <si>
    <t>0921-10</t>
  </si>
  <si>
    <t>0921-11</t>
  </si>
  <si>
    <t>0922-01</t>
  </si>
  <si>
    <t>0922-02</t>
  </si>
  <si>
    <t>0922-03</t>
  </si>
  <si>
    <t>0923-01</t>
  </si>
  <si>
    <t>0923-02</t>
  </si>
  <si>
    <t>0923-03</t>
  </si>
  <si>
    <t>0923-04</t>
  </si>
  <si>
    <t>0923-05</t>
  </si>
  <si>
    <t>0923-06</t>
  </si>
  <si>
    <t>0923-07</t>
  </si>
  <si>
    <t>0923-08</t>
  </si>
  <si>
    <t>0923-09</t>
  </si>
  <si>
    <t>0923-10</t>
  </si>
  <si>
    <t>0923-11</t>
  </si>
  <si>
    <t>0923-12</t>
  </si>
  <si>
    <t>0924-01</t>
  </si>
  <si>
    <t>0924-02</t>
  </si>
  <si>
    <t>0924-03</t>
  </si>
  <si>
    <t>0924-04</t>
  </si>
  <si>
    <t>0924-05</t>
  </si>
  <si>
    <t>0924-06</t>
  </si>
  <si>
    <t>0924-07</t>
  </si>
  <si>
    <t>0924-08</t>
  </si>
  <si>
    <t>0924-09</t>
  </si>
  <si>
    <t>0924-10</t>
  </si>
  <si>
    <t>0925-01</t>
  </si>
  <si>
    <t>0925-02</t>
  </si>
  <si>
    <t>0925-03</t>
  </si>
  <si>
    <t>0925-04</t>
  </si>
  <si>
    <t>0925-05</t>
  </si>
  <si>
    <t>0925-06</t>
  </si>
  <si>
    <t>0925-07</t>
  </si>
  <si>
    <t>0925-08</t>
  </si>
  <si>
    <t>0925-09</t>
  </si>
  <si>
    <t>0925-10</t>
  </si>
  <si>
    <t>0926-01</t>
  </si>
  <si>
    <t>0926-02</t>
  </si>
  <si>
    <t>0926-03</t>
  </si>
  <si>
    <t>0926-04</t>
  </si>
  <si>
    <t>0926-05</t>
  </si>
  <si>
    <t>0926-06</t>
  </si>
  <si>
    <t>0926-07</t>
  </si>
  <si>
    <t>0926-08</t>
  </si>
  <si>
    <t>0926-09</t>
  </si>
  <si>
    <t>0926-10</t>
  </si>
  <si>
    <t>0926-11</t>
  </si>
  <si>
    <t>0926-12</t>
  </si>
  <si>
    <t>0926-13</t>
  </si>
  <si>
    <t>0928-01</t>
  </si>
  <si>
    <t>0928-02</t>
  </si>
  <si>
    <t>0928-03</t>
  </si>
  <si>
    <t>0928-04</t>
  </si>
  <si>
    <t>0928-05</t>
  </si>
  <si>
    <t>0928-06</t>
  </si>
  <si>
    <t>0929-01</t>
  </si>
  <si>
    <t>0929-02</t>
  </si>
  <si>
    <t>0929-03</t>
  </si>
  <si>
    <t>0929-04</t>
  </si>
  <si>
    <t>0929-05</t>
  </si>
  <si>
    <t>0929-06</t>
  </si>
  <si>
    <t>0930-01</t>
  </si>
  <si>
    <t>0930-02</t>
  </si>
  <si>
    <t>0930-03</t>
  </si>
  <si>
    <t>0930-04</t>
  </si>
  <si>
    <t>0930-05</t>
  </si>
  <si>
    <t>0930-06</t>
  </si>
  <si>
    <t>0930-07</t>
  </si>
  <si>
    <t>0930-08</t>
  </si>
  <si>
    <t>0930-09</t>
  </si>
  <si>
    <t>0930-10</t>
  </si>
  <si>
    <t>0930-11</t>
  </si>
  <si>
    <t>0930-12</t>
  </si>
  <si>
    <t>1001-01</t>
  </si>
  <si>
    <t>1001-02</t>
  </si>
  <si>
    <t>1001-03</t>
  </si>
  <si>
    <t>1001-04</t>
  </si>
  <si>
    <t>1001-05</t>
  </si>
  <si>
    <t>1001-06</t>
  </si>
  <si>
    <t>1001-07</t>
  </si>
  <si>
    <t>DR SALES RECORD — 2026</t>
  </si>
  <si>
    <t>One consolidated record per delivery receipt, grouped by transaction date and client</t>
  </si>
  <si>
    <t>TOTAL DR</t>
  </si>
  <si>
    <t>AGENT COMM.</t>
  </si>
  <si>
    <t>AVG. DR SALE</t>
  </si>
  <si>
    <t>DR Number</t>
  </si>
  <si>
    <t>Line Items</t>
  </si>
  <si>
    <t>Total Qty</t>
  </si>
  <si>
    <t>Markup</t>
  </si>
  <si>
    <t>DR SALES SUMMARY</t>
  </si>
  <si>
    <t>September 01 - September 30</t>
  </si>
  <si>
    <t/>
  </si>
  <si>
    <t>ASSIGNED</t>
  </si>
  <si>
    <t>Assigned Agent</t>
  </si>
  <si>
    <t>Assignment Status</t>
  </si>
  <si>
    <t>Agents Found</t>
  </si>
  <si>
    <t>DR Count</t>
  </si>
  <si>
    <t>Latest Sale</t>
  </si>
  <si>
    <t>PHILVENT</t>
  </si>
  <si>
    <t>SPVC</t>
  </si>
  <si>
    <t>CLIENT MASTER &amp; AGENT ASSIGNMENTS — 2026</t>
  </si>
  <si>
    <t>Aligned to the supplied customer codes; unmatched active names are flagged for review.</t>
  </si>
  <si>
    <t>TOTAL ACCOUNTS</t>
  </si>
  <si>
    <t>MATCHED</t>
  </si>
  <si>
    <t>UNMATCHED</t>
  </si>
  <si>
    <t>Customer</t>
  </si>
  <si>
    <t>Terms</t>
  </si>
  <si>
    <t>Credit Limit</t>
  </si>
  <si>
    <t>Action</t>
  </si>
  <si>
    <t>CUS-PILI-00001</t>
  </si>
  <si>
    <t>—</t>
  </si>
  <si>
    <t>Active</t>
  </si>
  <si>
    <t>Edit / Deactivate</t>
  </si>
  <si>
    <t>CUS-PILI-00002</t>
  </si>
  <si>
    <t>CUS-PILI-00003</t>
  </si>
  <si>
    <t>CUS-PILI-00004</t>
  </si>
  <si>
    <t>CUS-PILI-00005</t>
  </si>
  <si>
    <t>CUS-PILI-00006</t>
  </si>
  <si>
    <t>CUS-PILI-00007</t>
  </si>
  <si>
    <t>CUS-PILI-00009</t>
  </si>
  <si>
    <t>CUS-PILI-00015</t>
  </si>
  <si>
    <t>CUS-PILI-00018</t>
  </si>
  <si>
    <t>CUS-PILI-00019</t>
  </si>
  <si>
    <t>CUS-PILI-00022</t>
  </si>
  <si>
    <t>CUS-PILI-00024</t>
  </si>
  <si>
    <t>CUS-PILI-00027</t>
  </si>
  <si>
    <t>CUS-PILI-00029</t>
  </si>
  <si>
    <t>CUS-PILI-00030</t>
  </si>
  <si>
    <t>CUS-PILI-00032</t>
  </si>
  <si>
    <t>CUS-PILI-00033</t>
  </si>
  <si>
    <t>CUS-PILI-00035</t>
  </si>
  <si>
    <t>CUS-PILI-00038</t>
  </si>
  <si>
    <t>CUS-PILI-00039</t>
  </si>
  <si>
    <t>CUS-PILI-00040</t>
  </si>
  <si>
    <t>CUS-PILI-00041</t>
  </si>
  <si>
    <t>CUS-PILI-00042</t>
  </si>
  <si>
    <t>CUS-PILI-00046</t>
  </si>
  <si>
    <t>CUS-PILI-00048</t>
  </si>
  <si>
    <t>CUS-PILI-00049</t>
  </si>
  <si>
    <t>CUS-PILI-00051</t>
  </si>
  <si>
    <t>CUS-PILI-00054</t>
  </si>
  <si>
    <t>CUS-PILI-00055</t>
  </si>
  <si>
    <t>CUS-PILI-00056</t>
  </si>
  <si>
    <t>CUS-PILI-00057</t>
  </si>
  <si>
    <t>CUS-PILI-00059</t>
  </si>
  <si>
    <t>CUS-PILI-00061</t>
  </si>
  <si>
    <t>CUS-PILI-00062</t>
  </si>
  <si>
    <t>CUS-PILI-00063</t>
  </si>
  <si>
    <t>CUS-PILI-00064</t>
  </si>
  <si>
    <t>CUS-PILI-00065</t>
  </si>
  <si>
    <t>CUS-PILI-00066</t>
  </si>
  <si>
    <t>CUS-PILI-00067</t>
  </si>
  <si>
    <t>CUS-PILI-00068</t>
  </si>
  <si>
    <t>CUS-PILI-00069</t>
  </si>
  <si>
    <t>CUS-PILI-00071</t>
  </si>
  <si>
    <t>CUS-PILI-00072</t>
  </si>
  <si>
    <t>CUS-PILI-00073</t>
  </si>
  <si>
    <t>CUS-PILI-00074</t>
  </si>
  <si>
    <t>CUS-PILI-00076</t>
  </si>
  <si>
    <t>CUS-PILI-00077</t>
  </si>
  <si>
    <t>CUS-PILI-00079</t>
  </si>
  <si>
    <t>CUS-PILI-00080</t>
  </si>
  <si>
    <t>CUS-PILI-00082</t>
  </si>
  <si>
    <t>CUS-PILI-00083</t>
  </si>
  <si>
    <t>CUS-PILI-00084</t>
  </si>
  <si>
    <t>CUS-PILI-00086</t>
  </si>
  <si>
    <t>CUS-PILI-00087</t>
  </si>
  <si>
    <t>CUS-PILI-00088</t>
  </si>
  <si>
    <t>CUS-PILI-00089</t>
  </si>
  <si>
    <t>CUS-PILI-00090</t>
  </si>
  <si>
    <t>CUS-PILI-00091</t>
  </si>
  <si>
    <t>CUS-PILI-00092</t>
  </si>
  <si>
    <t>CUS-PILI-00093</t>
  </si>
  <si>
    <t>CUS-PILI-00095</t>
  </si>
  <si>
    <t>CUS-PILI-00096</t>
  </si>
  <si>
    <t>CUS-PILI-00097</t>
  </si>
  <si>
    <t>CUS-PILI-00098</t>
  </si>
  <si>
    <t>CUS-PILI-00099</t>
  </si>
  <si>
    <t>CUS-PILI-00100</t>
  </si>
  <si>
    <t>CUS-PILI-00101</t>
  </si>
  <si>
    <t>CUS-PILI-00104</t>
  </si>
  <si>
    <t>CUS-PILI-00105</t>
  </si>
  <si>
    <t>CUS-PILI-00106</t>
  </si>
  <si>
    <t>CUS-PILI-00107</t>
  </si>
  <si>
    <t>CUS-PILI-00108</t>
  </si>
  <si>
    <t>CUS-PILI-00110</t>
  </si>
  <si>
    <t>CUS-PILI-00113</t>
  </si>
  <si>
    <t>CUS-PILI-00115</t>
  </si>
  <si>
    <t>CUS-PILI-00116</t>
  </si>
  <si>
    <t>CUS-PILI-00117</t>
  </si>
  <si>
    <t>CUS-PILI-00118</t>
  </si>
  <si>
    <t>CUS-PILI-00119</t>
  </si>
  <si>
    <t>CUS-PILI-00124</t>
  </si>
  <si>
    <t>CUS-PILI-00125</t>
  </si>
  <si>
    <t>CUS-PILI-00127</t>
  </si>
  <si>
    <t>CUS-PILI-00131</t>
  </si>
  <si>
    <t>CUS-PILI-00132</t>
  </si>
  <si>
    <t>CUS-PILI-00133</t>
  </si>
  <si>
    <t>CUS-PILI-00134</t>
  </si>
  <si>
    <t>CUS-PILI-00135</t>
  </si>
  <si>
    <t>CUS-PILI-00138</t>
  </si>
  <si>
    <t>CUS-PILI-00141</t>
  </si>
  <si>
    <t>CUS-PILI-00142</t>
  </si>
  <si>
    <t>CUS-PILI-00144</t>
  </si>
  <si>
    <t>CUS-PILI-00146</t>
  </si>
  <si>
    <t>CUS-PILI-00147</t>
  </si>
  <si>
    <t>CUS-PILI-00149</t>
  </si>
  <si>
    <t>CUS-PILI-00150</t>
  </si>
  <si>
    <t>CUS-PILI-00151</t>
  </si>
  <si>
    <t>CUS-PILI-00153</t>
  </si>
  <si>
    <t>CUS-PILI-00155</t>
  </si>
  <si>
    <t>CUS-PILI-00156</t>
  </si>
  <si>
    <t>CUS-PILI-00157</t>
  </si>
  <si>
    <t>CUS-PILI-00158</t>
  </si>
  <si>
    <t>CUS-PILI-00161</t>
  </si>
  <si>
    <t>CUS-PILI-00162</t>
  </si>
  <si>
    <t>CUS-PILI-00164</t>
  </si>
  <si>
    <t>CUS-PILI-00165</t>
  </si>
  <si>
    <t>CUS-PILI-00171</t>
  </si>
  <si>
    <t>CUS-PILI-00173</t>
  </si>
  <si>
    <t>CUS-PILI-00174</t>
  </si>
  <si>
    <t>CUS-PILI-00175</t>
  </si>
  <si>
    <t>CUS-PILI-00176</t>
  </si>
  <si>
    <t>CUS-PILI-00177</t>
  </si>
  <si>
    <t>CUS-PILI-00178</t>
  </si>
  <si>
    <t>CUS-PILI-00180</t>
  </si>
  <si>
    <t>CUS-PILI-00181</t>
  </si>
  <si>
    <t>CUS-PILI-00183</t>
  </si>
  <si>
    <t>CUS-PILI-00184</t>
  </si>
  <si>
    <t>CUS-PILI-00185</t>
  </si>
  <si>
    <t>CUS-PILI-00187</t>
  </si>
  <si>
    <t>CUS-PILI-00189</t>
  </si>
  <si>
    <t>CUS-PILI-00191</t>
  </si>
  <si>
    <t>CUS-PILI-00195</t>
  </si>
  <si>
    <t>CUS-PILI-00199</t>
  </si>
  <si>
    <t>CUS-PILI-00201</t>
  </si>
  <si>
    <t>CUS-PILI-00202</t>
  </si>
  <si>
    <t>CUS-PILI-00205</t>
  </si>
  <si>
    <t>CUS-PILI-00209</t>
  </si>
  <si>
    <t>CUS-PILI-00210</t>
  </si>
  <si>
    <t>CUS-PILI-00212</t>
  </si>
  <si>
    <t>CUS-PILI-00216</t>
  </si>
  <si>
    <t>CUS-PILI-00217</t>
  </si>
  <si>
    <t>CUS-PILI-00218</t>
  </si>
  <si>
    <t>CUS-PILI-00219</t>
  </si>
  <si>
    <t>CUS-PILI-00220</t>
  </si>
  <si>
    <t>CUS-PILI-00221</t>
  </si>
  <si>
    <t>CUS-PILI-00222</t>
  </si>
  <si>
    <t>CUS-PILI-00225</t>
  </si>
  <si>
    <t>CUS-PILI-00226</t>
  </si>
  <si>
    <t>CUS-PILI-00228</t>
  </si>
  <si>
    <t>CUS-PILI-00036</t>
  </si>
  <si>
    <t>CUS-PILI-00233</t>
  </si>
  <si>
    <t>CUS-PILI-00234</t>
  </si>
  <si>
    <t>CUS-PILI-00237</t>
  </si>
  <si>
    <t>CUS-PILI-00239</t>
  </si>
  <si>
    <t>CUS-PILI-00240</t>
  </si>
  <si>
    <t>CUS-PILI-00244</t>
  </si>
  <si>
    <t>CUS-PILI-00246</t>
  </si>
  <si>
    <t>CUS-PILI-00247</t>
  </si>
  <si>
    <t>CUS-PILI-00251</t>
  </si>
  <si>
    <t>CUS-PILI-00252</t>
  </si>
  <si>
    <t>CUS-PILI-00254</t>
  </si>
  <si>
    <t>CUS-PILI-00255</t>
  </si>
  <si>
    <t>CUS-PILI-00260</t>
  </si>
  <si>
    <t>CUS-PILI-00261</t>
  </si>
  <si>
    <t>CUS-PILI-00263</t>
  </si>
  <si>
    <t>CUS-PILI-00264</t>
  </si>
  <si>
    <t>CUS-PILI-00265</t>
  </si>
  <si>
    <t>CUS-PILI-00269</t>
  </si>
  <si>
    <t>CUS-PILI-00272</t>
  </si>
  <si>
    <t>CUS-PILI-00274</t>
  </si>
  <si>
    <t>CUS-PILI-00276</t>
  </si>
  <si>
    <t>CUS-PILI-00278</t>
  </si>
  <si>
    <t>CUS-PILI-00281</t>
  </si>
  <si>
    <t>CUS-PILI-00285</t>
  </si>
  <si>
    <t>CUS-PILI-00300</t>
  </si>
  <si>
    <t>CUS-PILI-00301</t>
  </si>
  <si>
    <t>CUS-PILI-00303</t>
  </si>
  <si>
    <t>CUS-PILI-00305</t>
  </si>
  <si>
    <t>CUS-PILI-00311</t>
  </si>
  <si>
    <t>CUS-PILI-00312</t>
  </si>
  <si>
    <t>CUS-PILI-00313</t>
  </si>
  <si>
    <t>CUS-PILI-00314</t>
  </si>
  <si>
    <t>CUS-PILI-00322</t>
  </si>
  <si>
    <t>CUS-PILI-00330</t>
  </si>
  <si>
    <t>CUS-PILI-00333</t>
  </si>
  <si>
    <t>CUS-PILI-00334</t>
  </si>
  <si>
    <t>CUS-PILI-00336</t>
  </si>
  <si>
    <t>CUS-PILI-00344</t>
  </si>
  <si>
    <t>CUS-PILI-00346</t>
  </si>
  <si>
    <t>CUS-PILI-00349</t>
  </si>
  <si>
    <t>CUS-PILI-00351</t>
  </si>
  <si>
    <t>CUS-PILI-00353</t>
  </si>
  <si>
    <t>CUS-PILI-00355</t>
  </si>
  <si>
    <t>CUS-PILI-00359</t>
  </si>
  <si>
    <t>CUS-PILI-00360</t>
  </si>
  <si>
    <t>CUS-PILI-00361</t>
  </si>
  <si>
    <t>CUS-PILI-00362</t>
  </si>
  <si>
    <t>WALKIN-PILI</t>
  </si>
  <si>
    <t>Walk-in customer</t>
  </si>
  <si>
    <t>CUS-PILI-00365</t>
  </si>
  <si>
    <t>CUS-PILI-00367</t>
  </si>
  <si>
    <t>CUS-PILI-00369</t>
  </si>
  <si>
    <t>CUS-PILI-00370</t>
  </si>
  <si>
    <t>CUS-PILI-00375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</si>
</sst>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8" formatCode="&quot;₱&quot;#,##0.00;[Red]\-&quot;₱&quot;#,##0.00"/>
    <numFmt numFmtId="43" formatCode="_-* #,##0.00_-;\-* #,##0.00_-;_-* &quot;-&quot;??_-;_-@_-"/>
    <numFmt numFmtId="164" formatCode="_(* #,##0.00_);_(* \(#,##0.00\);_(* &quot;-&quot;??_);_(@_)"/>
    <numFmt numFmtId="165" formatCode="dd\-mmm\-yyyy"/>
    <numFmt numFmtId="166" formatCode="&quot;₱&quot;#,##0.00"/>
    <numFmt numFmtId="167" formatCode="_-* #,##0_-;\-* #,##0_-;_-* &quot;-&quot;??_-;_-@_-"/>
    <numFmt numFmtId="168" formatCode="0.0%"/>
    <numFmt numFmtId="170" formatCode="mmmm\ yyyy"/>
    <numFmt numFmtId="173" formatCode="mmm\ yyyy"/>
    <numFmt numFmtId="175" formatCode="[$-3409]mmmm\ dd\,\ yyyy;@"/>
    <numFmt numFmtId="178" formatCode="[$-3409]dd\-mmm\-yy;@"/>
    <numFmt numFmtId="179" formatCode="mmmm"/>
    <numFmt numFmtId="180" formatCode="ddd"/>
    <numFmt numFmtId="181" formatCode="00"/>
    <numFmt numFmtId="182" formatCode="_(* #,##0_);_(* \(#,##0\);_(* &quot;-&quot;??_);_(@_)"/>
    <numFmt numFmtId="183" formatCode="mmmm\ dd\,\ yyyy"/>
    <numFmt numFmtId="184" formatCode="[$-3409]mmmm\ dd"/>
    <numFmt numFmtId="188" formatCode="dd\-mmm\,\ ddd"/>
    <numFmt numFmtId="189" formatCode="\₱#,##0.00;[Red]\-\₱#,##0.00;\–"/>
    <numFmt numFmtId="190" formatCode="\₱#,##0.00"/>
  </numFmts>
  <fonts count="73">
    <font>
      <sz val="11"/>
      <color theme="1"/>
      <name val="Arial"/>
      <charset val="134"/>
    </font>
    <font>
      <b/>
      <u/>
      <sz val="24"/>
      <color rgb="FFFF0000"/>
      <name val="Arial"/>
      <family val="2"/>
    </font>
    <font>
      <b/>
      <sz val="18"/>
      <color rgb="FFFFFFFF"/>
      <name val="Arial"/>
      <family val="2"/>
    </font>
    <font>
      <i/>
      <sz val="10"/>
      <color rgb="FF666666"/>
      <name val="Arial"/>
      <family val="2"/>
    </font>
    <font>
      <b/>
      <sz val="11"/>
      <color rgb="FFFFFFFF"/>
      <name val="Arial"/>
      <family val="2"/>
    </font>
    <font>
      <b/>
      <sz val="11"/>
      <color theme="1"/>
      <name val="Arial"/>
      <family val="2"/>
    </font>
    <font>
      <b/>
      <sz val="18"/>
      <color rgb="FFFFFFFF"/>
      <name val="Aptos"/>
      <family val="2"/>
    </font>
    <font>
      <i/>
      <sz val="11"/>
      <color rgb="FF666666"/>
      <name val="Aptos"/>
      <family val="2"/>
    </font>
    <font>
      <sz val="11"/>
      <color theme="1"/>
      <name val="Aptos"/>
      <family val="2"/>
    </font>
    <font>
      <b/>
      <sz val="11"/>
      <color rgb="FFFFFFFF"/>
      <name val="Aptos"/>
      <family val="2"/>
    </font>
    <font>
      <sz val="9"/>
      <color theme="1"/>
      <name val="Aptos"/>
      <family val="2"/>
    </font>
    <font>
      <b/>
      <sz val="11"/>
      <color theme="1"/>
      <name val="Aptos"/>
      <family val="2"/>
    </font>
    <font>
      <b/>
      <sz val="16"/>
      <color rgb="FFFFFFFF"/>
      <name val="Aptos"/>
      <family val="2"/>
    </font>
    <font>
      <b/>
      <sz val="14"/>
      <color rgb="FFFFFFFF"/>
      <name val="Arial"/>
      <family val="2"/>
    </font>
    <font>
      <i/>
      <sz val="11"/>
      <color rgb="FF555555"/>
      <name val="Arial"/>
      <family val="2"/>
    </font>
    <font>
      <b/>
      <sz val="11"/>
      <color rgb="FF9C0006"/>
      <name val="Arial"/>
      <family val="2"/>
    </font>
    <font>
      <b/>
      <sz val="10"/>
      <color rgb="FFFFFFFF"/>
      <name val="Aptos"/>
      <family val="2"/>
    </font>
    <font>
      <i/>
      <sz val="10"/>
      <color rgb="FF44546A"/>
      <name val="Aptos"/>
      <family val="2"/>
    </font>
    <font>
      <b/>
      <sz val="10"/>
      <color rgb="FF7F6000"/>
      <name val="Aptos"/>
      <family val="2"/>
    </font>
    <font>
      <sz val="10"/>
      <color theme="1"/>
      <name val="Aptos"/>
      <family val="2"/>
    </font>
    <font>
      <b/>
      <sz val="10"/>
      <color rgb="FF7F0000"/>
      <name val="Aptos"/>
      <family val="2"/>
    </font>
    <font>
      <sz val="10"/>
      <color rgb="FF7F0000"/>
      <name val="Aptos"/>
      <family val="2"/>
    </font>
    <font>
      <b/>
      <sz val="10"/>
      <color rgb="FF375623"/>
      <name val="Aptos"/>
      <family val="2"/>
    </font>
    <font>
      <b/>
      <sz val="12"/>
      <color rgb="FFFFFFFF"/>
      <name val="Arial"/>
      <family val="2"/>
    </font>
    <font>
      <b/>
      <sz val="11"/>
      <color rgb="FF375623"/>
      <name val="Arial"/>
      <family val="2"/>
    </font>
    <font>
      <b/>
      <u/>
      <sz val="11"/>
      <color theme="10"/>
      <name val="Arial"/>
      <family val="2"/>
    </font>
    <font>
      <u/>
      <sz val="11"/>
      <color theme="10"/>
      <name val="Arial"/>
      <family val="2"/>
    </font>
    <font>
      <b/>
      <u val="singleAccounting"/>
      <sz val="11"/>
      <color rgb="FFFF0000"/>
      <name val="Arial"/>
      <family val="2"/>
    </font>
    <font>
      <b/>
      <sz val="11"/>
      <color rgb="FFFF0000"/>
      <name val="Arial"/>
      <family val="2"/>
    </font>
    <font>
      <b/>
      <sz val="10"/>
      <color theme="1" tint="0.499984740745262"/>
      <name val="Arial"/>
      <family val="2"/>
    </font>
    <font>
      <sz val="11"/>
      <color rgb="FF7030A0"/>
      <name val="Arial"/>
      <family val="2"/>
    </font>
    <font>
      <sz val="11"/>
      <color theme="1" tint="0.499984740745262"/>
      <name val="Arial"/>
      <family val="2"/>
    </font>
    <font>
      <b/>
      <u val="singleAccounting"/>
      <sz val="11"/>
      <color rgb="FF7030A0"/>
      <name val="Arial"/>
      <family val="2"/>
    </font>
    <font>
      <sz val="11"/>
      <color theme="1"/>
      <name val="Calibri"/>
      <family val="2"/>
      <scheme val="minor"/>
    </font>
    <font>
      <b/>
      <sz val="11"/>
      <color theme="0"/>
      <name val="Calibri"/>
      <family val="2"/>
    </font>
    <font>
      <sz val="11"/>
      <color theme="1"/>
      <name val="Calibri"/>
      <family val="2"/>
    </font>
    <font>
      <sz val="11"/>
      <color rgb="FFFF0000"/>
      <name val="Arial"/>
      <family val="2"/>
    </font>
    <font>
      <sz val="11"/>
      <color rgb="FF000000"/>
      <name val="Calibri"/>
      <family val="2"/>
    </font>
    <font>
      <b/>
      <u/>
      <sz val="11"/>
      <color theme="1"/>
      <name val="Arial"/>
      <family val="2"/>
    </font>
    <font>
      <b/>
      <sz val="11"/>
      <color rgb="FF0070C0"/>
      <name val="Arial"/>
      <family val="2"/>
    </font>
    <font>
      <b/>
      <u val="singleAccounting"/>
      <sz val="11"/>
      <color rgb="FF0070C0"/>
      <name val="Arial"/>
      <family val="2"/>
    </font>
    <font>
      <b/>
      <u val="singleAccounting"/>
      <sz val="14"/>
      <color rgb="FF0070C0"/>
      <name val="Arial"/>
      <family val="2"/>
    </font>
    <font>
      <sz val="22"/>
      <color theme="1"/>
      <name val="Arial"/>
      <family val="2"/>
    </font>
    <font>
      <b/>
      <sz val="18"/>
      <color rgb="FF002060"/>
      <name val="Arial"/>
      <family val="2"/>
    </font>
    <font>
      <sz val="11"/>
      <color rgb="FFFF0000"/>
      <name val="Calibri"/>
      <family val="2"/>
    </font>
    <font>
      <b/>
      <u val="singleAccounting"/>
      <sz val="14"/>
      <color rgb="FFFF0000"/>
      <name val="Calibri"/>
      <family val="2"/>
    </font>
    <font>
      <b/>
      <sz val="11"/>
      <color rgb="FF002060"/>
      <name val="Calibri"/>
      <family val="2"/>
    </font>
    <font>
      <b/>
      <sz val="11"/>
      <name val="Calibri"/>
      <family val="2"/>
    </font>
    <font>
      <sz val="11"/>
      <color rgb="FF002060"/>
      <name val="Calibri"/>
      <family val="2"/>
    </font>
    <font>
      <b/>
      <u val="singleAccounting"/>
      <sz val="11"/>
      <color theme="1"/>
      <name val="Arial"/>
      <family val="2"/>
    </font>
    <font>
      <sz val="11"/>
      <color rgb="FF0070C0"/>
      <name val="Arial"/>
      <family val="2"/>
    </font>
    <font>
      <sz val="11"/>
      <name val="Arial"/>
      <family val="2"/>
    </font>
    <font>
      <b/>
      <sz val="11"/>
      <name val="Arial"/>
      <family val="2"/>
    </font>
    <font>
      <sz val="11"/>
      <color theme="0"/>
      <name val="Arial"/>
      <family val="2"/>
    </font>
    <font>
      <b/>
      <sz val="10"/>
      <color rgb="FF7030A0"/>
      <name val="Arial"/>
      <family val="2"/>
    </font>
    <font>
      <b/>
      <sz val="11"/>
      <color theme="1" tint="0.499984740745262"/>
      <name val="Arial"/>
      <family val="2"/>
    </font>
    <font>
      <b/>
      <u/>
      <sz val="11"/>
      <color rgb="FFFF0000"/>
      <name val="Arial"/>
      <family val="2"/>
    </font>
    <font>
      <sz val="11"/>
      <color rgb="FF7F6000"/>
      <name val="Arial"/>
      <family val="2"/>
    </font>
    <font>
      <sz val="11"/>
      <color rgb="FF9C0006"/>
      <name val="Arial"/>
      <family val="2"/>
    </font>
    <font>
      <sz val="11"/>
      <color rgb="FF375623"/>
      <name val="Arial"/>
      <family val="2"/>
    </font>
    <font>
      <sz val="11"/>
      <color theme="1"/>
      <name val="Arial"/>
      <family val="2"/>
    </font>
    <font>
      <b/>
      <sz val="18"/>
      <color rgb="FFFFFFFF"/>
      <name val="Arial"/>
      <charset val="134"/>
    </font>
    <font>
      <sz val="11"/>
      <color rgb="FF666666"/>
      <name val="Arial"/>
      <charset val="134"/>
    </font>
    <font>
      <sz val="11"/>
      <color theme="1"/>
      <name val="Aptos"/>
    </font>
    <font>
      <sz val="10"/>
      <color theme="1"/>
      <name val="Aptos"/>
    </font>
    <font>
      <b/>
      <sz val="10"/>
      <color rgb="FFFFFFFF"/>
      <name val="Aptos"/>
    </font>
    <font>
      <b/>
      <sz val="20"/>
      <color rgb="FFFFFFFF"/>
      <name val="Aptos"/>
    </font>
    <font>
      <i/>
      <sz val="10"/>
      <color rgb="FF53657A"/>
      <name val="Aptos"/>
    </font>
    <font>
      <b/>
      <sz val="10"/>
      <color rgb="FF17365D"/>
      <name val="Aptos"/>
    </font>
    <font>
      <b/>
      <sz val="12"/>
      <color rgb="FF17365D"/>
      <name val="Aptos"/>
    </font>
    <font>
      <b/>
      <u/>
      <sz val="24"/>
      <color rgb="FF17365D"/>
      <name val="Arial"/>
      <family val="2"/>
    </font>
    <font>
      <b/>
      <sz val="18"/>
      <color rgb="FFFFFFFF"/>
      <name val="Aptos"/>
    </font>
    <font>
      <b/>
      <sz val="12"/>
      <color theme="1"/>
      <name val="Aptos"/>
    </font>
  </fonts>
  <fills count="24">
    <fill>
      <patternFill patternType="none"/>
    </fill>
    <fill>
      <patternFill patternType="gray125"/>
    </fill>
    <fill>
      <patternFill patternType="solid">
        <fgColor theme="9" tint="0.39677114169743949"/>
        <bgColor indexed="64"/>
      </patternFill>
    </fill>
    <fill>
      <patternFill patternType="solid">
        <fgColor rgb="FF1F4E78"/>
        <bgColor indexed="64"/>
      </patternFill>
    </fill>
    <fill>
      <patternFill patternType="solid">
        <fgColor rgb="FF5B9BD5"/>
        <bgColor indexed="64"/>
      </patternFill>
    </fill>
    <fill>
      <patternFill patternType="solid">
        <fgColor rgb="FFD9EAF7"/>
        <bgColor indexed="64"/>
      </patternFill>
    </fill>
    <fill>
      <patternFill patternType="solid">
        <fgColor rgb="FF2F75B5"/>
        <bgColor indexed="64"/>
      </patternFill>
    </fill>
    <fill>
      <patternFill patternType="solid">
        <fgColor rgb="FFF5F9FC"/>
        <bgColor indexed="64"/>
      </patternFill>
    </fill>
    <fill>
      <patternFill patternType="solid">
        <fgColor rgb="FFFCE4D6"/>
        <bgColor indexed="64"/>
      </patternFill>
    </fill>
    <fill>
      <patternFill patternType="solid">
        <fgColor rgb="FF17365D"/>
        <bgColor indexed="64"/>
      </patternFill>
    </fill>
    <fill>
      <patternFill patternType="solid">
        <fgColor rgb="FFFFF2CC"/>
        <bgColor indexed="64"/>
      </patternFill>
    </fill>
    <fill>
      <patternFill patternType="solid">
        <fgColor rgb="FFFCE8E6"/>
        <bgColor indexed="64"/>
      </patternFill>
    </fill>
    <fill>
      <patternFill patternType="solid">
        <fgColor rgb="FFC00000"/>
        <bgColor indexed="64"/>
      </patternFill>
    </fill>
    <fill>
      <patternFill patternType="solid">
        <fgColor rgb="FFC6E0B4"/>
        <bgColor indexed="64"/>
      </patternFill>
    </fill>
    <fill>
      <patternFill patternType="solid">
        <fgColor rgb="FFE2F0D9"/>
        <bgColor indexed="64"/>
      </patternFill>
    </fill>
    <fill>
      <patternFill patternType="solid">
        <fgColor theme="9" tint="0.7993408001953185"/>
        <bgColor indexed="64"/>
      </patternFill>
    </fill>
    <fill>
      <patternFill patternType="solid">
        <fgColor theme="8" tint="0.7993408001953185"/>
        <bgColor indexed="64"/>
      </patternFill>
    </fill>
    <fill>
      <patternFill patternType="solid">
        <fgColor rgb="FFFFFF00"/>
        <bgColor indexed="64"/>
      </patternFill>
    </fill>
    <fill>
      <patternFill patternType="solid">
        <fgColor theme="8" tint="0.39677114169743949"/>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rgb="FFDCE6F1"/>
        <bgColor indexed="64"/>
      </patternFill>
    </fill>
    <fill>
      <patternFill patternType="solid">
        <fgColor rgb="FFF4F7FA"/>
        <bgColor indexed="64"/>
      </patternFill>
    </fill>
  </fills>
  <borders count="48">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rgb="FFD9E1F2"/>
      </bottom>
      <diagonal/>
    </border>
    <border>
      <left/>
      <right/>
      <top style="thin">
        <color rgb="FFD9E1F2"/>
      </top>
      <bottom style="thin">
        <color rgb="FFD9E1F2"/>
      </bottom>
      <diagonal/>
    </border>
    <border>
      <left/>
      <right/>
      <top style="thin">
        <color rgb="FFD9E1F2"/>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style="thin">
        <color rgb="FF1F4E78"/>
      </top>
      <bottom style="thin">
        <color rgb="FFD9E2F3"/>
      </bottom>
      <diagonal/>
    </border>
    <border>
      <left/>
      <right/>
      <top style="thin">
        <color rgb="FFD9E2F3"/>
      </top>
      <bottom style="thin">
        <color rgb="FFD9E2F3"/>
      </bottom>
      <diagonal/>
    </border>
    <border>
      <left/>
      <right/>
      <top style="thin">
        <color rgb="FFD9E2F3"/>
      </top>
      <bottom style="thin">
        <color rgb="FFA6A6A6"/>
      </bottom>
      <diagonal/>
    </border>
    <border>
      <left/>
      <right/>
      <top style="thin">
        <color rgb="FFC00000"/>
      </top>
      <bottom/>
      <diagonal/>
    </border>
    <border>
      <left/>
      <right/>
      <top style="thin">
        <color rgb="FFC00000"/>
      </top>
      <bottom style="thin">
        <color rgb="FFC00000"/>
      </bottom>
      <diagonal/>
    </border>
    <border>
      <left/>
      <right/>
      <top/>
      <bottom style="thin">
        <color rgb="FFD9E2F3"/>
      </bottom>
      <diagonal/>
    </border>
    <border>
      <left/>
      <right/>
      <top style="thin">
        <color rgb="FFD9E2F3"/>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top style="thin">
        <color auto="1"/>
      </top>
      <bottom/>
      <diagonal/>
    </border>
    <border>
      <left style="thin">
        <color auto="1"/>
      </left>
      <right style="thin">
        <color auto="1"/>
      </right>
      <top/>
      <bottom style="medium">
        <color auto="1"/>
      </bottom>
      <diagonal/>
    </border>
    <border>
      <left style="thin">
        <color auto="1"/>
      </left>
      <right/>
      <top style="medium">
        <color auto="1"/>
      </top>
      <bottom style="medium">
        <color auto="1"/>
      </bottom>
      <diagonal/>
    </border>
    <border>
      <left style="thin">
        <color auto="1"/>
      </left>
      <right/>
      <top/>
      <bottom style="hair">
        <color auto="1"/>
      </bottom>
      <diagonal/>
    </border>
    <border>
      <left style="thin">
        <color auto="1"/>
      </left>
      <right style="hair">
        <color auto="1"/>
      </right>
      <top/>
      <bottom style="hair">
        <color auto="1"/>
      </bottom>
      <diagonal/>
    </border>
    <border>
      <left style="thin">
        <color auto="1"/>
      </left>
      <right/>
      <top style="hair">
        <color auto="1"/>
      </top>
      <bottom style="hair">
        <color auto="1"/>
      </bottom>
      <diagonal/>
    </border>
    <border>
      <left style="thin">
        <color auto="1"/>
      </left>
      <right style="hair">
        <color auto="1"/>
      </right>
      <top style="hair">
        <color auto="1"/>
      </top>
      <bottom style="hair">
        <color auto="1"/>
      </bottom>
      <diagonal/>
    </border>
    <border>
      <left style="medium">
        <color auto="1"/>
      </left>
      <right style="thin">
        <color auto="1"/>
      </right>
      <top style="thin">
        <color auto="1"/>
      </top>
      <bottom/>
      <diagonal/>
    </border>
    <border>
      <left style="thin">
        <color auto="1"/>
      </left>
      <right/>
      <top style="hair">
        <color auto="1"/>
      </top>
      <bottom/>
      <diagonal/>
    </border>
    <border>
      <left style="thin">
        <color auto="1"/>
      </left>
      <right style="hair">
        <color auto="1"/>
      </right>
      <top style="hair">
        <color auto="1"/>
      </top>
      <bottom/>
      <diagonal/>
    </border>
    <border>
      <left/>
      <right style="thin">
        <color auto="1"/>
      </right>
      <top style="thin">
        <color auto="1"/>
      </top>
      <bottom/>
      <diagonal/>
    </border>
  </borders>
  <cellStyleXfs count="11">
    <xf numFmtId="0" fontId="0" fillId="0" borderId="0"/>
    <xf numFmtId="43" fontId="60" fillId="0" borderId="0" applyFont="0" applyFill="0" applyBorder="0" applyAlignment="0" applyProtection="0"/>
    <xf numFmtId="9" fontId="60" fillId="0" borderId="0" applyFont="0" applyFill="0" applyBorder="0" applyAlignment="0" applyProtection="0"/>
    <xf numFmtId="0" fontId="26" fillId="0" borderId="0" applyNumberForma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0" fontId="60" fillId="0" borderId="0"/>
    <xf numFmtId="0" fontId="60" fillId="0" borderId="0"/>
    <xf numFmtId="0" fontId="60" fillId="0" borderId="0"/>
    <xf numFmtId="0" fontId="33" fillId="0" borderId="0"/>
    <xf numFmtId="9" fontId="60" fillId="0" borderId="0" applyFont="0" applyFill="0" applyBorder="0" applyAlignment="0" applyProtection="0"/>
  </cellStyleXfs>
  <cellXfs count="304">
    <xf numFmtId="0" fontId="0" fillId="0" borderId="0" xfId="0"/>
    <xf numFmtId="43" fontId="0" fillId="0" borderId="0" xfId="1" applyFont="1" applyAlignment="1"/>
    <xf numFmtId="0" fontId="0" fillId="0" borderId="0" xfId="0" applyAlignment="1">
      <alignment wrapText="1"/>
    </xf>
    <xf numFmtId="0" fontId="1" fillId="2" borderId="0" xfId="3" applyFont="1" applyFill="1" applyAlignment="1">
      <alignment horizontal="center" vertical="center"/>
    </xf>
    <xf numFmtId="14" fontId="0" fillId="0" borderId="0" xfId="0" applyNumberFormat="1"/>
    <xf numFmtId="0" fontId="0" fillId="0" borderId="0" xfId="0" applyAlignment="1">
      <alignment horizontal="left"/>
    </xf>
    <xf numFmtId="0" fontId="0" fillId="0" borderId="2" xfId="0" applyBorder="1" applyAlignment="1">
      <alignment horizontal="center"/>
    </xf>
    <xf numFmtId="8" fontId="0" fillId="0" borderId="2" xfId="0" applyNumberFormat="1" applyBorder="1" applyAlignment="1">
      <alignment horizontal="center"/>
    </xf>
    <xf numFmtId="8" fontId="0" fillId="0" borderId="0" xfId="0" applyNumberFormat="1"/>
    <xf numFmtId="0" fontId="0" fillId="0" borderId="0" xfId="0" applyAlignment="1">
      <alignment horizontal="center" vertical="center"/>
    </xf>
    <xf numFmtId="43" fontId="0" fillId="0" borderId="0" xfId="0" applyNumberFormat="1"/>
    <xf numFmtId="43" fontId="0" fillId="0" borderId="0" xfId="0" applyNumberFormat="1" applyAlignment="1">
      <alignment horizontal="center" vertical="center"/>
    </xf>
    <xf numFmtId="0" fontId="8" fillId="0" borderId="0" xfId="0" applyFont="1"/>
    <xf numFmtId="0" fontId="9" fillId="6" borderId="0" xfId="0" applyFont="1" applyFill="1"/>
    <xf numFmtId="0" fontId="8" fillId="0" borderId="0" xfId="0" applyFont="1" applyAlignment="1">
      <alignment wrapText="1"/>
    </xf>
    <xf numFmtId="0" fontId="9" fillId="6" borderId="4" xfId="0" applyFont="1" applyFill="1" applyBorder="1"/>
    <xf numFmtId="0" fontId="8" fillId="0" borderId="4" xfId="0" applyFont="1" applyBorder="1"/>
    <xf numFmtId="0" fontId="8" fillId="7" borderId="5" xfId="0" applyFont="1" applyFill="1" applyBorder="1"/>
    <xf numFmtId="3" fontId="8" fillId="7" borderId="5" xfId="0" applyNumberFormat="1" applyFont="1" applyFill="1" applyBorder="1"/>
    <xf numFmtId="0" fontId="8" fillId="7" borderId="5" xfId="0" applyFont="1" applyFill="1" applyBorder="1" applyAlignment="1">
      <alignment horizontal="center"/>
    </xf>
    <xf numFmtId="0" fontId="8" fillId="0" borderId="5" xfId="0" applyFont="1" applyBorder="1"/>
    <xf numFmtId="166" fontId="8" fillId="7" borderId="5" xfId="0" applyNumberFormat="1" applyFont="1" applyFill="1" applyBorder="1"/>
    <xf numFmtId="0" fontId="9" fillId="6" borderId="5" xfId="0" applyFont="1" applyFill="1" applyBorder="1"/>
    <xf numFmtId="166" fontId="8" fillId="0" borderId="5" xfId="0" applyNumberFormat="1" applyFont="1" applyBorder="1"/>
    <xf numFmtId="8" fontId="8" fillId="0" borderId="5" xfId="0" applyNumberFormat="1" applyFont="1" applyBorder="1"/>
    <xf numFmtId="0" fontId="8" fillId="0" borderId="5" xfId="0" applyFont="1" applyBorder="1" applyAlignment="1">
      <alignment horizontal="center"/>
    </xf>
    <xf numFmtId="3" fontId="8" fillId="0" borderId="5" xfId="0" applyNumberFormat="1" applyFont="1" applyBorder="1"/>
    <xf numFmtId="3" fontId="0" fillId="0" borderId="5" xfId="0" applyNumberFormat="1" applyBorder="1"/>
    <xf numFmtId="0" fontId="8" fillId="0" borderId="5" xfId="0" applyFont="1" applyBorder="1" applyAlignment="1">
      <alignment wrapText="1"/>
    </xf>
    <xf numFmtId="16" fontId="8" fillId="0" borderId="5" xfId="0" applyNumberFormat="1" applyFont="1" applyBorder="1" applyAlignment="1">
      <alignment wrapText="1"/>
    </xf>
    <xf numFmtId="0" fontId="10" fillId="0" borderId="5" xfId="0" applyFont="1" applyBorder="1"/>
    <xf numFmtId="16" fontId="10" fillId="0" borderId="5" xfId="0" applyNumberFormat="1" applyFont="1" applyBorder="1"/>
    <xf numFmtId="0" fontId="11" fillId="5" borderId="6" xfId="0" applyFont="1" applyFill="1" applyBorder="1"/>
    <xf numFmtId="3" fontId="11" fillId="5" borderId="6" xfId="0" applyNumberFormat="1" applyFont="1" applyFill="1" applyBorder="1"/>
    <xf numFmtId="0" fontId="8" fillId="0" borderId="4" xfId="0" applyFont="1" applyBorder="1" applyAlignment="1">
      <alignment wrapText="1"/>
    </xf>
    <xf numFmtId="0" fontId="8" fillId="0" borderId="6" xfId="0" applyFont="1" applyBorder="1" applyAlignment="1">
      <alignment wrapText="1"/>
    </xf>
    <xf numFmtId="0" fontId="4" fillId="6" borderId="0" xfId="0" applyFont="1" applyFill="1"/>
    <xf numFmtId="0" fontId="4" fillId="6" borderId="0" xfId="0" applyFont="1" applyFill="1" applyAlignment="1">
      <alignment wrapText="1"/>
    </xf>
    <xf numFmtId="0" fontId="5" fillId="5" borderId="0" xfId="0" applyFont="1" applyFill="1" applyAlignment="1">
      <alignment wrapText="1"/>
    </xf>
    <xf numFmtId="8" fontId="0" fillId="0" borderId="0" xfId="0" applyNumberFormat="1" applyAlignment="1">
      <alignment wrapText="1"/>
    </xf>
    <xf numFmtId="3" fontId="0" fillId="0" borderId="0" xfId="0" applyNumberFormat="1" applyAlignment="1">
      <alignment wrapText="1"/>
    </xf>
    <xf numFmtId="0" fontId="4" fillId="3" borderId="0" xfId="0" applyFont="1" applyFill="1" applyAlignment="1">
      <alignment horizontal="center"/>
    </xf>
    <xf numFmtId="0" fontId="5" fillId="5" borderId="2" xfId="0" applyFont="1" applyFill="1" applyBorder="1"/>
    <xf numFmtId="0" fontId="5" fillId="5" borderId="2" xfId="0" applyFont="1" applyFill="1" applyBorder="1" applyAlignment="1">
      <alignment horizontal="center"/>
    </xf>
    <xf numFmtId="8" fontId="0" fillId="0" borderId="2" xfId="0" applyNumberFormat="1" applyBorder="1"/>
    <xf numFmtId="8" fontId="5" fillId="5" borderId="2" xfId="0" applyNumberFormat="1" applyFont="1" applyFill="1" applyBorder="1"/>
    <xf numFmtId="0" fontId="0" fillId="0" borderId="2" xfId="0" applyBorder="1"/>
    <xf numFmtId="0" fontId="0" fillId="0" borderId="7" xfId="0" applyBorder="1" applyAlignment="1">
      <alignment horizontal="center"/>
    </xf>
    <xf numFmtId="0" fontId="0" fillId="0" borderId="7" xfId="0" applyBorder="1"/>
    <xf numFmtId="0" fontId="0" fillId="0" borderId="7" xfId="0" applyBorder="1" applyAlignment="1">
      <alignment wrapText="1"/>
    </xf>
    <xf numFmtId="8" fontId="0" fillId="0" borderId="7" xfId="0" applyNumberFormat="1" applyBorder="1" applyAlignment="1">
      <alignment horizontal="right"/>
    </xf>
    <xf numFmtId="0" fontId="0" fillId="0" borderId="8" xfId="0" applyBorder="1" applyAlignment="1">
      <alignment horizontal="center"/>
    </xf>
    <xf numFmtId="0" fontId="0" fillId="0" borderId="8" xfId="0" applyBorder="1"/>
    <xf numFmtId="0" fontId="0" fillId="0" borderId="8" xfId="0" applyBorder="1" applyAlignment="1">
      <alignment wrapText="1"/>
    </xf>
    <xf numFmtId="8" fontId="0" fillId="0" borderId="8" xfId="0" applyNumberFormat="1" applyBorder="1" applyAlignment="1">
      <alignment horizontal="right"/>
    </xf>
    <xf numFmtId="0" fontId="0" fillId="0" borderId="9" xfId="0" applyBorder="1"/>
    <xf numFmtId="0" fontId="4" fillId="4" borderId="0" xfId="0" applyFont="1" applyFill="1" applyAlignment="1">
      <alignment horizontal="center"/>
    </xf>
    <xf numFmtId="0" fontId="15" fillId="8" borderId="0" xfId="0" applyFont="1" applyFill="1"/>
    <xf numFmtId="0" fontId="19" fillId="0" borderId="0" xfId="0" applyFont="1" applyAlignment="1">
      <alignment vertical="center" wrapText="1"/>
    </xf>
    <xf numFmtId="0" fontId="16" fillId="4" borderId="0" xfId="0" applyFont="1" applyFill="1" applyAlignment="1">
      <alignment horizontal="center" vertical="center" wrapText="1"/>
    </xf>
    <xf numFmtId="0" fontId="19" fillId="0" borderId="10" xfId="0" applyFont="1" applyBorder="1" applyAlignment="1">
      <alignment horizontal="center" vertical="center" wrapText="1"/>
    </xf>
    <xf numFmtId="0" fontId="19" fillId="0" borderId="10" xfId="0" applyFont="1" applyBorder="1" applyAlignment="1">
      <alignment vertical="center" wrapText="1"/>
    </xf>
    <xf numFmtId="0" fontId="19" fillId="0" borderId="11" xfId="0" applyFont="1" applyBorder="1" applyAlignment="1">
      <alignment horizontal="center" vertical="center" wrapText="1"/>
    </xf>
    <xf numFmtId="0" fontId="19" fillId="0" borderId="11" xfId="0" applyFont="1" applyBorder="1" applyAlignment="1">
      <alignment vertical="center" wrapText="1"/>
    </xf>
    <xf numFmtId="0" fontId="19" fillId="0" borderId="12" xfId="0" applyFont="1" applyBorder="1" applyAlignment="1">
      <alignment horizontal="center" vertical="center" wrapText="1"/>
    </xf>
    <xf numFmtId="0" fontId="19" fillId="0" borderId="12" xfId="0" applyFont="1" applyBorder="1" applyAlignment="1">
      <alignment vertical="center" wrapText="1"/>
    </xf>
    <xf numFmtId="0" fontId="20" fillId="11" borderId="13" xfId="0" applyFont="1" applyFill="1" applyBorder="1" applyAlignment="1">
      <alignment horizontal="center" vertical="center" wrapText="1"/>
    </xf>
    <xf numFmtId="0" fontId="20" fillId="11" borderId="13" xfId="0" applyFont="1" applyFill="1" applyBorder="1" applyAlignment="1">
      <alignment vertical="center" wrapText="1"/>
    </xf>
    <xf numFmtId="0" fontId="21" fillId="11" borderId="13" xfId="0" applyFont="1" applyFill="1" applyBorder="1" applyAlignment="1">
      <alignment vertical="center" wrapText="1"/>
    </xf>
    <xf numFmtId="0" fontId="16" fillId="12" borderId="13" xfId="0" applyFont="1" applyFill="1" applyBorder="1" applyAlignment="1">
      <alignment horizontal="center" vertical="center" wrapText="1"/>
    </xf>
    <xf numFmtId="0" fontId="22" fillId="13" borderId="13" xfId="0" applyFont="1" applyFill="1" applyBorder="1" applyAlignment="1">
      <alignment vertical="center" wrapText="1"/>
    </xf>
    <xf numFmtId="0" fontId="20" fillId="11" borderId="14" xfId="0" applyFont="1" applyFill="1" applyBorder="1" applyAlignment="1">
      <alignment horizontal="center" vertical="center" wrapText="1"/>
    </xf>
    <xf numFmtId="0" fontId="20" fillId="11" borderId="14" xfId="0" applyFont="1" applyFill="1" applyBorder="1" applyAlignment="1">
      <alignment vertical="center" wrapText="1"/>
    </xf>
    <xf numFmtId="0" fontId="21" fillId="11" borderId="14" xfId="0" applyFont="1" applyFill="1" applyBorder="1" applyAlignment="1">
      <alignment vertical="center" wrapText="1"/>
    </xf>
    <xf numFmtId="0" fontId="16" fillId="12" borderId="14" xfId="0" applyFont="1" applyFill="1" applyBorder="1" applyAlignment="1">
      <alignment horizontal="center" vertical="center" wrapText="1"/>
    </xf>
    <xf numFmtId="0" fontId="22" fillId="13" borderId="14" xfId="0" applyFont="1" applyFill="1" applyBorder="1" applyAlignment="1">
      <alignment vertical="center" wrapText="1"/>
    </xf>
    <xf numFmtId="0" fontId="19" fillId="0" borderId="15" xfId="0" applyFont="1" applyBorder="1" applyAlignment="1">
      <alignment horizontal="center" vertical="center" wrapText="1"/>
    </xf>
    <xf numFmtId="0" fontId="19" fillId="0" borderId="15" xfId="0" applyFont="1" applyBorder="1" applyAlignment="1">
      <alignment vertical="center" wrapText="1"/>
    </xf>
    <xf numFmtId="0" fontId="0" fillId="0" borderId="15" xfId="0" applyBorder="1" applyAlignment="1">
      <alignment wrapText="1"/>
    </xf>
    <xf numFmtId="0" fontId="0" fillId="0" borderId="11" xfId="0" applyBorder="1" applyAlignment="1">
      <alignment wrapText="1"/>
    </xf>
    <xf numFmtId="0" fontId="0" fillId="0" borderId="16" xfId="0" applyBorder="1" applyAlignment="1">
      <alignment wrapText="1"/>
    </xf>
    <xf numFmtId="167" fontId="0" fillId="0" borderId="0" xfId="0" applyNumberFormat="1"/>
    <xf numFmtId="0" fontId="60" fillId="0" borderId="0" xfId="7"/>
    <xf numFmtId="0" fontId="5" fillId="0" borderId="0" xfId="7" applyFont="1" applyAlignment="1">
      <alignment horizontal="left" vertical="center"/>
    </xf>
    <xf numFmtId="8" fontId="60" fillId="0" borderId="0" xfId="7" applyNumberFormat="1"/>
    <xf numFmtId="9" fontId="60" fillId="0" borderId="0" xfId="7" applyNumberFormat="1"/>
    <xf numFmtId="0" fontId="5" fillId="0" borderId="0" xfId="7" applyFont="1"/>
    <xf numFmtId="0" fontId="60" fillId="0" borderId="0" xfId="7" applyAlignment="1">
      <alignment horizontal="center" vertical="center"/>
    </xf>
    <xf numFmtId="43" fontId="60" fillId="0" borderId="0" xfId="7" applyNumberFormat="1"/>
    <xf numFmtId="0" fontId="60" fillId="0" borderId="0" xfId="7" applyAlignment="1">
      <alignment horizontal="left" vertical="center"/>
    </xf>
    <xf numFmtId="0" fontId="25" fillId="0" borderId="0" xfId="3" applyFont="1" applyAlignment="1">
      <alignment horizontal="left" vertical="center"/>
    </xf>
    <xf numFmtId="0" fontId="26" fillId="0" borderId="0" xfId="3" applyAlignment="1">
      <alignment horizontal="left" vertical="center"/>
    </xf>
    <xf numFmtId="0" fontId="60" fillId="0" borderId="0" xfId="7" applyAlignment="1">
      <alignment horizontal="left" vertical="center" indent="1"/>
    </xf>
    <xf numFmtId="168" fontId="0" fillId="0" borderId="0" xfId="10" applyNumberFormat="1" applyFont="1" applyAlignment="1"/>
    <xf numFmtId="0" fontId="60" fillId="0" borderId="0" xfId="7" applyAlignment="1">
      <alignment horizontal="left" indent="1"/>
    </xf>
    <xf numFmtId="0" fontId="5" fillId="0" borderId="0" xfId="7" applyFont="1" applyAlignment="1">
      <alignment horizontal="left"/>
    </xf>
    <xf numFmtId="0" fontId="60" fillId="0" borderId="0" xfId="7" applyAlignment="1">
      <alignment horizontal="left"/>
    </xf>
    <xf numFmtId="43" fontId="60" fillId="0" borderId="0" xfId="7" applyNumberFormat="1" applyAlignment="1">
      <alignment horizontal="left"/>
    </xf>
    <xf numFmtId="4" fontId="60" fillId="0" borderId="0" xfId="7" applyNumberFormat="1"/>
    <xf numFmtId="8" fontId="0" fillId="0" borderId="7" xfId="0" applyNumberFormat="1" applyBorder="1"/>
    <xf numFmtId="8" fontId="0" fillId="0" borderId="8" xfId="0" applyNumberFormat="1" applyBorder="1"/>
    <xf numFmtId="0" fontId="4" fillId="3" borderId="0" xfId="0" applyFont="1" applyFill="1"/>
    <xf numFmtId="173" fontId="0" fillId="0" borderId="2" xfId="0" applyNumberFormat="1" applyBorder="1" applyAlignment="1">
      <alignment horizontal="center" vertical="center"/>
    </xf>
    <xf numFmtId="167" fontId="0" fillId="0" borderId="2" xfId="0" applyNumberFormat="1" applyBorder="1" applyAlignment="1">
      <alignment horizontal="center" vertical="center"/>
    </xf>
    <xf numFmtId="10" fontId="0" fillId="0" borderId="0" xfId="2" applyNumberFormat="1" applyFont="1" applyAlignment="1"/>
    <xf numFmtId="43" fontId="0" fillId="0" borderId="0" xfId="1" applyFont="1" applyAlignment="1">
      <alignment horizontal="center" vertical="center"/>
    </xf>
    <xf numFmtId="9" fontId="0" fillId="0" borderId="0" xfId="2" applyFont="1" applyAlignment="1"/>
    <xf numFmtId="0" fontId="0" fillId="0" borderId="26" xfId="0" applyBorder="1"/>
    <xf numFmtId="43" fontId="0" fillId="0" borderId="2" xfId="0" applyNumberFormat="1" applyBorder="1"/>
    <xf numFmtId="43" fontId="0" fillId="0" borderId="2" xfId="1" applyFont="1" applyBorder="1" applyAlignment="1"/>
    <xf numFmtId="0" fontId="0" fillId="0" borderId="0" xfId="0" applyAlignment="1">
      <alignment horizontal="center"/>
    </xf>
    <xf numFmtId="0" fontId="0" fillId="20" borderId="2" xfId="0" applyFill="1" applyBorder="1"/>
    <xf numFmtId="167" fontId="0" fillId="0" borderId="0" xfId="1" applyNumberFormat="1" applyFont="1" applyAlignment="1">
      <alignment horizontal="center" vertical="center"/>
    </xf>
    <xf numFmtId="0" fontId="5" fillId="0" borderId="2" xfId="0" applyFont="1" applyBorder="1"/>
    <xf numFmtId="170" fontId="34" fillId="21" borderId="2" xfId="0" applyNumberFormat="1" applyFont="1" applyFill="1" applyBorder="1" applyAlignment="1">
      <alignment horizontal="center" vertical="center"/>
    </xf>
    <xf numFmtId="0" fontId="0" fillId="0" borderId="30" xfId="0" applyBorder="1"/>
    <xf numFmtId="0" fontId="36" fillId="0" borderId="0" xfId="0" applyFont="1"/>
    <xf numFmtId="0" fontId="38" fillId="0" borderId="0" xfId="0" applyFont="1"/>
    <xf numFmtId="178" fontId="0" fillId="0" borderId="0" xfId="0" applyNumberFormat="1" applyAlignment="1">
      <alignment horizontal="center" vertical="center"/>
    </xf>
    <xf numFmtId="0" fontId="28" fillId="0" borderId="17" xfId="0" applyFont="1" applyBorder="1" applyAlignment="1">
      <alignment horizontal="center"/>
    </xf>
    <xf numFmtId="170" fontId="35" fillId="19" borderId="2" xfId="0" applyNumberFormat="1" applyFont="1" applyFill="1" applyBorder="1" applyAlignment="1">
      <alignment horizontal="center"/>
    </xf>
    <xf numFmtId="170" fontId="35" fillId="20" borderId="3" xfId="0" applyNumberFormat="1" applyFont="1" applyFill="1" applyBorder="1" applyAlignment="1">
      <alignment horizontal="center"/>
    </xf>
    <xf numFmtId="170" fontId="44" fillId="19" borderId="2" xfId="0" applyNumberFormat="1" applyFont="1" applyFill="1" applyBorder="1" applyAlignment="1">
      <alignment horizontal="center"/>
    </xf>
    <xf numFmtId="170" fontId="44" fillId="20" borderId="2" xfId="0" applyNumberFormat="1" applyFont="1" applyFill="1" applyBorder="1" applyAlignment="1">
      <alignment horizontal="center"/>
    </xf>
    <xf numFmtId="170" fontId="35" fillId="20" borderId="2" xfId="0" applyNumberFormat="1" applyFont="1" applyFill="1" applyBorder="1" applyAlignment="1">
      <alignment horizontal="center"/>
    </xf>
    <xf numFmtId="43" fontId="44" fillId="0" borderId="2" xfId="1" applyFont="1" applyBorder="1" applyAlignment="1">
      <alignment horizontal="center"/>
    </xf>
    <xf numFmtId="43" fontId="35" fillId="0" borderId="3" xfId="1" applyFont="1" applyBorder="1" applyAlignment="1">
      <alignment horizontal="center"/>
    </xf>
    <xf numFmtId="180" fontId="46" fillId="0" borderId="0" xfId="1" applyNumberFormat="1" applyFont="1" applyFill="1" applyBorder="1" applyAlignment="1">
      <alignment horizontal="left" vertical="center"/>
    </xf>
    <xf numFmtId="181" fontId="47" fillId="0" borderId="1" xfId="0" applyNumberFormat="1" applyFont="1" applyBorder="1" applyAlignment="1">
      <alignment horizontal="center"/>
    </xf>
    <xf numFmtId="43" fontId="48" fillId="0" borderId="2" xfId="1" applyFont="1" applyFill="1" applyBorder="1" applyAlignment="1">
      <alignment horizontal="center" vertical="center"/>
    </xf>
    <xf numFmtId="43" fontId="48" fillId="0" borderId="2" xfId="1" applyFont="1" applyBorder="1" applyAlignment="1">
      <alignment horizontal="center"/>
    </xf>
    <xf numFmtId="9" fontId="0" fillId="0" borderId="0" xfId="0" applyNumberFormat="1"/>
    <xf numFmtId="43" fontId="49" fillId="0" borderId="0" xfId="0" applyNumberFormat="1" applyFont="1"/>
    <xf numFmtId="167" fontId="0" fillId="0" borderId="0" xfId="1" applyNumberFormat="1" applyFont="1" applyAlignment="1">
      <alignment horizontal="left" indent="2"/>
    </xf>
    <xf numFmtId="168" fontId="46" fillId="0" borderId="0" xfId="2" applyNumberFormat="1" applyFont="1" applyFill="1" applyBorder="1" applyAlignment="1">
      <alignment horizontal="left" vertical="center"/>
    </xf>
    <xf numFmtId="167" fontId="49" fillId="0" borderId="0" xfId="1" applyNumberFormat="1" applyFont="1" applyAlignment="1">
      <alignment horizontal="left" indent="2"/>
    </xf>
    <xf numFmtId="0" fontId="5" fillId="20" borderId="2" xfId="0" applyFont="1" applyFill="1" applyBorder="1" applyAlignment="1">
      <alignment horizontal="center" vertical="center"/>
    </xf>
    <xf numFmtId="8" fontId="50" fillId="0" borderId="2" xfId="0" applyNumberFormat="1" applyFont="1" applyBorder="1"/>
    <xf numFmtId="0" fontId="37" fillId="0" borderId="0" xfId="0" applyFont="1"/>
    <xf numFmtId="0" fontId="51" fillId="0" borderId="2" xfId="0" applyFont="1" applyBorder="1"/>
    <xf numFmtId="43" fontId="50" fillId="0" borderId="2" xfId="0" applyNumberFormat="1" applyFont="1" applyBorder="1"/>
    <xf numFmtId="0" fontId="50" fillId="0" borderId="0" xfId="0" applyFont="1"/>
    <xf numFmtId="164" fontId="0" fillId="0" borderId="0" xfId="0" applyNumberFormat="1"/>
    <xf numFmtId="10" fontId="50" fillId="0" borderId="0" xfId="0" applyNumberFormat="1" applyFont="1"/>
    <xf numFmtId="10" fontId="0" fillId="0" borderId="0" xfId="0" applyNumberFormat="1"/>
    <xf numFmtId="8" fontId="0" fillId="0" borderId="0" xfId="2" applyNumberFormat="1" applyFont="1" applyAlignment="1"/>
    <xf numFmtId="0" fontId="52" fillId="18" borderId="0" xfId="0" applyFont="1" applyFill="1"/>
    <xf numFmtId="8" fontId="52" fillId="18" borderId="0" xfId="0" applyNumberFormat="1" applyFont="1" applyFill="1"/>
    <xf numFmtId="167" fontId="27" fillId="0" borderId="0" xfId="0" applyNumberFormat="1" applyFont="1"/>
    <xf numFmtId="43" fontId="27" fillId="0" borderId="0" xfId="1" applyFont="1" applyFill="1" applyAlignment="1"/>
    <xf numFmtId="182" fontId="0" fillId="0" borderId="0" xfId="0" applyNumberFormat="1"/>
    <xf numFmtId="164" fontId="53" fillId="0" borderId="0" xfId="0" applyNumberFormat="1" applyFont="1"/>
    <xf numFmtId="0" fontId="53" fillId="0" borderId="0" xfId="0" applyFont="1"/>
    <xf numFmtId="43" fontId="53" fillId="0" borderId="0" xfId="0" applyNumberFormat="1" applyFont="1"/>
    <xf numFmtId="167" fontId="53" fillId="0" borderId="0" xfId="1" applyNumberFormat="1" applyFont="1"/>
    <xf numFmtId="170" fontId="0" fillId="0" borderId="0" xfId="0" applyNumberFormat="1"/>
    <xf numFmtId="168" fontId="0" fillId="0" borderId="0" xfId="0" applyNumberFormat="1"/>
    <xf numFmtId="9" fontId="0" fillId="0" borderId="0" xfId="0" applyNumberFormat="1" applyAlignment="1">
      <alignment horizontal="center" vertical="center"/>
    </xf>
    <xf numFmtId="0" fontId="5" fillId="0" borderId="0" xfId="0" applyFont="1" applyAlignment="1">
      <alignment horizontal="center" vertical="center"/>
    </xf>
    <xf numFmtId="167" fontId="49" fillId="0" borderId="0" xfId="1" applyNumberFormat="1" applyFont="1"/>
    <xf numFmtId="43" fontId="0" fillId="0" borderId="0" xfId="1" applyFont="1"/>
    <xf numFmtId="8" fontId="0" fillId="0" borderId="9" xfId="0" applyNumberFormat="1" applyBorder="1"/>
    <xf numFmtId="9" fontId="0" fillId="0" borderId="33" xfId="0" applyNumberFormat="1" applyBorder="1" applyAlignment="1">
      <alignment horizontal="left"/>
    </xf>
    <xf numFmtId="43" fontId="0" fillId="0" borderId="31" xfId="0" applyNumberFormat="1" applyBorder="1"/>
    <xf numFmtId="43" fontId="0" fillId="0" borderId="33" xfId="0" applyNumberFormat="1" applyBorder="1"/>
    <xf numFmtId="0" fontId="5" fillId="2" borderId="29" xfId="0" applyFont="1" applyFill="1" applyBorder="1" applyAlignment="1">
      <alignment horizontal="center" vertical="center"/>
    </xf>
    <xf numFmtId="170" fontId="34" fillId="21" borderId="2" xfId="0" applyNumberFormat="1" applyFont="1" applyFill="1" applyBorder="1"/>
    <xf numFmtId="0" fontId="29" fillId="2" borderId="35" xfId="0" applyFont="1" applyFill="1" applyBorder="1" applyAlignment="1">
      <alignment horizontal="center" vertical="center" wrapText="1"/>
    </xf>
    <xf numFmtId="14" fontId="5" fillId="2" borderId="28" xfId="0" applyNumberFormat="1" applyFont="1" applyFill="1" applyBorder="1" applyAlignment="1">
      <alignment horizontal="center" vertical="center"/>
    </xf>
    <xf numFmtId="184" fontId="54" fillId="2" borderId="37" xfId="0" applyNumberFormat="1" applyFont="1" applyFill="1" applyBorder="1" applyAlignment="1">
      <alignment vertical="center"/>
    </xf>
    <xf numFmtId="0" fontId="55" fillId="2" borderId="38" xfId="0" applyFont="1" applyFill="1" applyBorder="1" applyAlignment="1">
      <alignment horizontal="center" vertical="center" wrapText="1"/>
    </xf>
    <xf numFmtId="8" fontId="0" fillId="0" borderId="29" xfId="0" applyNumberFormat="1" applyBorder="1"/>
    <xf numFmtId="43" fontId="30" fillId="0" borderId="25" xfId="1" applyFont="1" applyBorder="1" applyAlignment="1"/>
    <xf numFmtId="8" fontId="31" fillId="0" borderId="29" xfId="1" applyNumberFormat="1" applyFont="1" applyBorder="1" applyAlignment="1"/>
    <xf numFmtId="8" fontId="31" fillId="0" borderId="2" xfId="1" applyNumberFormat="1" applyFont="1" applyBorder="1" applyAlignment="1"/>
    <xf numFmtId="0" fontId="5" fillId="0" borderId="23" xfId="0" applyFont="1" applyBorder="1"/>
    <xf numFmtId="8" fontId="49" fillId="0" borderId="24" xfId="0" applyNumberFormat="1" applyFont="1" applyBorder="1"/>
    <xf numFmtId="43" fontId="49" fillId="0" borderId="39" xfId="0" applyNumberFormat="1" applyFont="1" applyBorder="1"/>
    <xf numFmtId="8" fontId="49" fillId="0" borderId="39" xfId="0" applyNumberFormat="1" applyFont="1" applyBorder="1"/>
    <xf numFmtId="0" fontId="5" fillId="16" borderId="2" xfId="0" applyFont="1" applyFill="1" applyBorder="1"/>
    <xf numFmtId="0" fontId="38" fillId="16" borderId="2" xfId="0" applyFont="1" applyFill="1" applyBorder="1"/>
    <xf numFmtId="43" fontId="38" fillId="0" borderId="31" xfId="1" applyFont="1" applyBorder="1" applyAlignment="1"/>
    <xf numFmtId="43" fontId="38" fillId="0" borderId="0" xfId="1" applyFont="1" applyAlignment="1"/>
    <xf numFmtId="43" fontId="0" fillId="0" borderId="40" xfId="1" applyFont="1" applyBorder="1" applyAlignment="1"/>
    <xf numFmtId="43" fontId="0" fillId="0" borderId="41" xfId="1" applyFont="1" applyBorder="1" applyAlignment="1"/>
    <xf numFmtId="43" fontId="0" fillId="0" borderId="42" xfId="1" applyFont="1" applyBorder="1" applyAlignment="1"/>
    <xf numFmtId="43" fontId="0" fillId="0" borderId="43" xfId="1" applyFont="1" applyBorder="1" applyAlignment="1"/>
    <xf numFmtId="0" fontId="0" fillId="0" borderId="44" xfId="0" applyBorder="1"/>
    <xf numFmtId="0" fontId="0" fillId="0" borderId="27" xfId="0" applyBorder="1"/>
    <xf numFmtId="43" fontId="0" fillId="0" borderId="45" xfId="1" applyFont="1" applyBorder="1" applyAlignment="1"/>
    <xf numFmtId="43" fontId="0" fillId="0" borderId="46" xfId="1" applyFont="1" applyBorder="1" applyAlignment="1"/>
    <xf numFmtId="173" fontId="0" fillId="0" borderId="0" xfId="0" applyNumberFormat="1"/>
    <xf numFmtId="0" fontId="56" fillId="0" borderId="0" xfId="0" applyFont="1" applyAlignment="1">
      <alignment horizontal="left"/>
    </xf>
    <xf numFmtId="0" fontId="0" fillId="0" borderId="33" xfId="0" applyBorder="1"/>
    <xf numFmtId="8" fontId="0" fillId="0" borderId="32" xfId="0" applyNumberFormat="1" applyBorder="1"/>
    <xf numFmtId="0" fontId="0" fillId="0" borderId="32" xfId="0" applyBorder="1"/>
    <xf numFmtId="0" fontId="0" fillId="0" borderId="25" xfId="0" applyBorder="1" applyAlignment="1">
      <alignment wrapText="1"/>
    </xf>
    <xf numFmtId="0" fontId="0" fillId="0" borderId="1" xfId="0" applyBorder="1"/>
    <xf numFmtId="0" fontId="0" fillId="0" borderId="3" xfId="0" applyBorder="1" applyAlignment="1">
      <alignment wrapText="1"/>
    </xf>
    <xf numFmtId="4" fontId="0" fillId="0" borderId="2" xfId="0" applyNumberFormat="1" applyBorder="1"/>
    <xf numFmtId="0" fontId="0" fillId="0" borderId="47" xfId="0" applyBorder="1"/>
    <xf numFmtId="4" fontId="0" fillId="0" borderId="30" xfId="0" applyNumberFormat="1" applyBorder="1"/>
    <xf numFmtId="0" fontId="0" fillId="0" borderId="37" xfId="0" applyBorder="1" applyAlignment="1">
      <alignment wrapText="1"/>
    </xf>
    <xf numFmtId="0" fontId="0" fillId="0" borderId="0" xfId="0" quotePrefix="1"/>
    <xf numFmtId="9" fontId="50" fillId="0" borderId="0" xfId="0" quotePrefix="1" applyNumberFormat="1" applyFont="1"/>
    <xf numFmtId="0" fontId="60" fillId="0" borderId="0" xfId="7" quotePrefix="1" applyAlignment="1">
      <alignment horizontal="center" vertical="center"/>
    </xf>
    <xf numFmtId="189" fontId="0" fillId="0" borderId="0" xfId="0" applyNumberFormat="1"/>
    <xf numFmtId="3" fontId="0" fillId="0" borderId="0" xfId="0" applyNumberFormat="1" applyAlignment="1">
      <alignment horizontal="center" vertical="center"/>
    </xf>
    <xf numFmtId="0" fontId="61" fillId="9" borderId="0" xfId="0" applyFont="1" applyFill="1"/>
    <xf numFmtId="0" fontId="62" fillId="0" borderId="0" xfId="0" applyFont="1"/>
    <xf numFmtId="0" fontId="4" fillId="3" borderId="0" xfId="0" applyFont="1" applyFill="1" applyAlignment="1">
      <alignment horizontal="center"/>
    </xf>
    <xf numFmtId="0" fontId="58" fillId="8" borderId="0" xfId="0" applyFont="1" applyFill="1" applyAlignment="1">
      <alignment wrapText="1"/>
    </xf>
    <xf numFmtId="0" fontId="59" fillId="14" borderId="0" xfId="0" applyFont="1" applyFill="1" applyAlignment="1">
      <alignment wrapText="1"/>
    </xf>
    <xf numFmtId="0" fontId="57" fillId="10" borderId="0" xfId="0" applyFont="1" applyFill="1" applyAlignment="1">
      <alignment wrapText="1"/>
    </xf>
    <xf numFmtId="0" fontId="2" fillId="3" borderId="0" xfId="0" applyFont="1" applyFill="1"/>
    <xf numFmtId="0" fontId="3" fillId="0" borderId="0" xfId="0" applyFont="1"/>
    <xf numFmtId="0" fontId="4" fillId="4" borderId="0" xfId="0" applyFont="1" applyFill="1"/>
    <xf numFmtId="43" fontId="42" fillId="15" borderId="20" xfId="2" applyNumberFormat="1" applyFont="1" applyFill="1" applyBorder="1" applyAlignment="1">
      <alignment horizontal="center" vertical="center"/>
    </xf>
    <xf numFmtId="10" fontId="42" fillId="15" borderId="21" xfId="2" applyNumberFormat="1" applyFont="1" applyFill="1" applyBorder="1" applyAlignment="1">
      <alignment horizontal="center" vertical="center"/>
    </xf>
    <xf numFmtId="10" fontId="42" fillId="15" borderId="22" xfId="2" applyNumberFormat="1" applyFont="1" applyFill="1" applyBorder="1" applyAlignment="1">
      <alignment horizontal="center" vertical="center"/>
    </xf>
    <xf numFmtId="8" fontId="32" fillId="0" borderId="3" xfId="0" applyNumberFormat="1" applyFont="1" applyBorder="1" applyAlignment="1">
      <alignment horizontal="center"/>
    </xf>
    <xf numFmtId="8" fontId="32" fillId="0" borderId="1" xfId="0" applyNumberFormat="1" applyFont="1" applyBorder="1" applyAlignment="1">
      <alignment horizontal="center"/>
    </xf>
    <xf numFmtId="43" fontId="32" fillId="0" borderId="1" xfId="0" applyNumberFormat="1" applyFont="1" applyBorder="1" applyAlignment="1">
      <alignment horizontal="center"/>
    </xf>
    <xf numFmtId="179" fontId="43" fillId="17" borderId="32" xfId="0" applyNumberFormat="1" applyFont="1" applyFill="1" applyBorder="1" applyAlignment="1">
      <alignment horizontal="center" vertical="center"/>
    </xf>
    <xf numFmtId="179" fontId="43" fillId="17" borderId="2" xfId="0" applyNumberFormat="1" applyFont="1" applyFill="1" applyBorder="1" applyAlignment="1">
      <alignment horizontal="center" vertical="center"/>
    </xf>
    <xf numFmtId="183" fontId="28" fillId="2" borderId="34" xfId="0" applyNumberFormat="1" applyFont="1" applyFill="1" applyBorder="1" applyAlignment="1">
      <alignment horizontal="center" vertical="center" wrapText="1"/>
    </xf>
    <xf numFmtId="175" fontId="28" fillId="2" borderId="36" xfId="0" applyNumberFormat="1" applyFont="1" applyFill="1" applyBorder="1" applyAlignment="1">
      <alignment horizontal="center" vertical="center" wrapText="1"/>
    </xf>
    <xf numFmtId="0" fontId="35" fillId="0" borderId="32" xfId="0" applyFont="1" applyBorder="1" applyAlignment="1">
      <alignment horizontal="center" vertical="center"/>
    </xf>
    <xf numFmtId="0" fontId="35" fillId="0" borderId="2" xfId="0" applyFont="1" applyBorder="1" applyAlignment="1">
      <alignment horizontal="center" vertical="center"/>
    </xf>
    <xf numFmtId="0" fontId="0" fillId="16" borderId="30" xfId="0" applyFill="1" applyBorder="1" applyAlignment="1">
      <alignment horizontal="center" vertical="center"/>
    </xf>
    <xf numFmtId="0" fontId="0" fillId="16" borderId="32" xfId="0" applyFill="1" applyBorder="1" applyAlignment="1">
      <alignment horizontal="center" vertical="center"/>
    </xf>
    <xf numFmtId="43" fontId="41" fillId="0" borderId="20" xfId="0" applyNumberFormat="1" applyFont="1" applyBorder="1" applyAlignment="1">
      <alignment horizontal="center"/>
    </xf>
    <xf numFmtId="43" fontId="41" fillId="0" borderId="22" xfId="0" applyNumberFormat="1" applyFont="1" applyBorder="1" applyAlignment="1">
      <alignment horizontal="center"/>
    </xf>
    <xf numFmtId="43" fontId="45" fillId="0" borderId="20" xfId="1" applyFont="1" applyBorder="1" applyAlignment="1">
      <alignment horizontal="center" vertical="center"/>
    </xf>
    <xf numFmtId="43" fontId="45" fillId="0" borderId="22" xfId="1" applyFont="1" applyBorder="1" applyAlignment="1">
      <alignment horizontal="center" vertical="center"/>
    </xf>
    <xf numFmtId="8" fontId="0" fillId="0" borderId="3" xfId="0" applyNumberFormat="1" applyBorder="1" applyAlignment="1">
      <alignment horizontal="center"/>
    </xf>
    <xf numFmtId="8" fontId="0" fillId="0" borderId="1" xfId="0" applyNumberFormat="1" applyBorder="1" applyAlignment="1">
      <alignment horizontal="center"/>
    </xf>
    <xf numFmtId="43" fontId="0" fillId="0" borderId="1" xfId="0" applyNumberFormat="1" applyBorder="1" applyAlignment="1">
      <alignment horizontal="center"/>
    </xf>
    <xf numFmtId="8" fontId="51" fillId="0" borderId="3" xfId="0" applyNumberFormat="1" applyFont="1" applyBorder="1" applyAlignment="1">
      <alignment horizontal="center"/>
    </xf>
    <xf numFmtId="8" fontId="51" fillId="0" borderId="1" xfId="0" applyNumberFormat="1" applyFont="1" applyBorder="1" applyAlignment="1">
      <alignment horizontal="center"/>
    </xf>
    <xf numFmtId="43" fontId="51" fillId="0" borderId="1" xfId="0" applyNumberFormat="1" applyFont="1" applyBorder="1" applyAlignment="1">
      <alignment horizontal="center"/>
    </xf>
    <xf numFmtId="43" fontId="0" fillId="0" borderId="3" xfId="0" applyNumberFormat="1" applyBorder="1" applyAlignment="1">
      <alignment horizontal="center"/>
    </xf>
    <xf numFmtId="8" fontId="5" fillId="0" borderId="3" xfId="0" applyNumberFormat="1" applyFont="1" applyBorder="1" applyAlignment="1">
      <alignment horizontal="center"/>
    </xf>
    <xf numFmtId="8" fontId="5" fillId="0" borderId="1" xfId="0" applyNumberFormat="1" applyFont="1" applyBorder="1" applyAlignment="1">
      <alignment horizontal="center"/>
    </xf>
    <xf numFmtId="43" fontId="5" fillId="0" borderId="1" xfId="0" applyNumberFormat="1" applyFont="1" applyBorder="1" applyAlignment="1">
      <alignment horizontal="center"/>
    </xf>
    <xf numFmtId="181" fontId="35" fillId="20" borderId="3" xfId="0" applyNumberFormat="1" applyFont="1" applyFill="1" applyBorder="1" applyAlignment="1">
      <alignment horizontal="center"/>
    </xf>
    <xf numFmtId="181" fontId="35" fillId="20" borderId="8" xfId="0" applyNumberFormat="1" applyFont="1" applyFill="1" applyBorder="1" applyAlignment="1">
      <alignment horizontal="center"/>
    </xf>
    <xf numFmtId="170" fontId="34" fillId="21" borderId="2" xfId="0" applyNumberFormat="1" applyFont="1" applyFill="1" applyBorder="1" applyAlignment="1">
      <alignment horizontal="right"/>
    </xf>
    <xf numFmtId="170" fontId="34" fillId="21" borderId="2" xfId="0" applyNumberFormat="1" applyFont="1" applyFill="1" applyBorder="1" applyAlignment="1">
      <alignment horizontal="center"/>
    </xf>
    <xf numFmtId="170" fontId="34" fillId="21" borderId="3" xfId="0" applyNumberFormat="1" applyFont="1" applyFill="1" applyBorder="1" applyAlignment="1">
      <alignment horizontal="center"/>
    </xf>
    <xf numFmtId="170" fontId="34" fillId="21" borderId="32" xfId="0" applyNumberFormat="1" applyFont="1" applyFill="1" applyBorder="1" applyAlignment="1">
      <alignment horizontal="center"/>
    </xf>
    <xf numFmtId="10" fontId="39" fillId="0" borderId="18" xfId="2" applyNumberFormat="1" applyFont="1" applyBorder="1" applyAlignment="1">
      <alignment horizontal="center"/>
    </xf>
    <xf numFmtId="10" fontId="39" fillId="0" borderId="19" xfId="2" applyNumberFormat="1" applyFont="1" applyBorder="1" applyAlignment="1">
      <alignment horizontal="center"/>
    </xf>
    <xf numFmtId="0" fontId="5" fillId="17" borderId="18" xfId="0" applyFont="1" applyFill="1" applyBorder="1" applyAlignment="1">
      <alignment horizontal="center"/>
    </xf>
    <xf numFmtId="0" fontId="5" fillId="17" borderId="19" xfId="0" applyFont="1" applyFill="1" applyBorder="1" applyAlignment="1">
      <alignment horizontal="center"/>
    </xf>
    <xf numFmtId="0" fontId="5" fillId="0" borderId="18" xfId="0" applyFont="1" applyBorder="1" applyAlignment="1">
      <alignment horizontal="center"/>
    </xf>
    <xf numFmtId="0" fontId="5" fillId="0" borderId="19" xfId="0" applyFont="1" applyBorder="1" applyAlignment="1">
      <alignment horizontal="center"/>
    </xf>
    <xf numFmtId="43" fontId="27" fillId="0" borderId="18" xfId="0" applyNumberFormat="1" applyFont="1" applyBorder="1" applyAlignment="1">
      <alignment horizontal="center" vertical="center"/>
    </xf>
    <xf numFmtId="43" fontId="27" fillId="0" borderId="19" xfId="0" applyNumberFormat="1" applyFont="1" applyBorder="1" applyAlignment="1">
      <alignment horizontal="center" vertical="center"/>
    </xf>
    <xf numFmtId="43" fontId="40" fillId="0" borderId="18" xfId="0" applyNumberFormat="1" applyFont="1" applyBorder="1" applyAlignment="1">
      <alignment horizontal="center" vertical="center"/>
    </xf>
    <xf numFmtId="43" fontId="40" fillId="0" borderId="19" xfId="0" applyNumberFormat="1" applyFont="1" applyBorder="1" applyAlignment="1">
      <alignment horizontal="center" vertical="center"/>
    </xf>
    <xf numFmtId="10" fontId="42" fillId="17" borderId="21" xfId="2" applyNumberFormat="1" applyFont="1" applyFill="1" applyBorder="1" applyAlignment="1">
      <alignment horizontal="center" vertical="center"/>
    </xf>
    <xf numFmtId="10" fontId="42" fillId="17" borderId="22" xfId="2" applyNumberFormat="1" applyFont="1" applyFill="1" applyBorder="1" applyAlignment="1">
      <alignment horizontal="center" vertical="center"/>
    </xf>
    <xf numFmtId="0" fontId="5" fillId="0" borderId="30" xfId="0" applyFont="1" applyBorder="1" applyAlignment="1">
      <alignment horizontal="center"/>
    </xf>
    <xf numFmtId="0" fontId="5" fillId="0" borderId="2" xfId="0" applyFont="1" applyBorder="1" applyAlignment="1">
      <alignment horizontal="center"/>
    </xf>
    <xf numFmtId="0" fontId="16" fillId="6" borderId="0" xfId="0" applyFont="1" applyFill="1" applyAlignment="1">
      <alignment vertical="center" wrapText="1"/>
    </xf>
    <xf numFmtId="0" fontId="22" fillId="14" borderId="0" xfId="0" applyFont="1" applyFill="1" applyAlignment="1">
      <alignment vertical="center" wrapText="1"/>
    </xf>
    <xf numFmtId="0" fontId="23" fillId="6" borderId="0" xfId="0" applyFont="1" applyFill="1"/>
    <xf numFmtId="0" fontId="24" fillId="14" borderId="0" xfId="0" applyFont="1" applyFill="1" applyAlignment="1">
      <alignment wrapText="1"/>
    </xf>
    <xf numFmtId="0" fontId="16" fillId="9" borderId="0" xfId="0" applyFont="1" applyFill="1" applyAlignment="1">
      <alignment horizontal="left" vertical="center" wrapText="1"/>
    </xf>
    <xf numFmtId="0" fontId="17" fillId="5" borderId="0" xfId="0" applyFont="1" applyFill="1" applyAlignment="1">
      <alignment vertical="center" wrapText="1"/>
    </xf>
    <xf numFmtId="0" fontId="18" fillId="10" borderId="0" xfId="0" applyFont="1" applyFill="1" applyAlignment="1">
      <alignment vertical="center" wrapText="1"/>
    </xf>
    <xf numFmtId="0" fontId="13" fillId="3" borderId="8" xfId="0" applyFont="1" applyFill="1" applyBorder="1"/>
    <xf numFmtId="0" fontId="14" fillId="0" borderId="9" xfId="0" applyFont="1" applyBorder="1" applyAlignment="1">
      <alignment wrapText="1"/>
    </xf>
    <xf numFmtId="0" fontId="12" fillId="3" borderId="0" xfId="0" applyFont="1" applyFill="1"/>
    <xf numFmtId="0" fontId="7" fillId="0" borderId="0" xfId="0" applyFont="1" applyAlignment="1">
      <alignment wrapText="1"/>
    </xf>
    <xf numFmtId="0" fontId="9" fillId="6" borderId="0" xfId="0" applyFont="1" applyFill="1"/>
    <xf numFmtId="0" fontId="13" fillId="3" borderId="0" xfId="0" applyFont="1" applyFill="1"/>
    <xf numFmtId="0" fontId="14" fillId="0" borderId="0" xfId="0" applyFont="1" applyAlignment="1">
      <alignment wrapText="1"/>
    </xf>
    <xf numFmtId="0" fontId="6" fillId="3" borderId="0" xfId="0" applyFont="1" applyFill="1"/>
    <xf numFmtId="0" fontId="7" fillId="0" borderId="0" xfId="0" applyFont="1"/>
    <xf numFmtId="0" fontId="8" fillId="0" borderId="0" xfId="0" applyFont="1" applyAlignment="1">
      <alignment wrapText="1"/>
    </xf>
    <xf numFmtId="0" fontId="11" fillId="5" borderId="6" xfId="0" applyFont="1" applyFill="1" applyBorder="1"/>
    <xf numFmtId="0" fontId="63" fillId="0" borderId="0" xfId="0" applyFont="1"/>
    <xf numFmtId="0" fontId="63" fillId="0" borderId="0" xfId="0" applyFont="1"/>
    <xf numFmtId="0" fontId="64" fillId="0" borderId="0" xfId="0" applyFont="1"/>
    <xf numFmtId="0" fontId="64" fillId="0" borderId="0" xfId="0" applyFont="1" applyAlignment="1">
      <alignment vertical="center"/>
    </xf>
    <xf numFmtId="0" fontId="66" fillId="9" borderId="0" xfId="0" applyFont="1" applyFill="1" applyAlignment="1">
      <alignment vertical="center"/>
    </xf>
    <xf numFmtId="0" fontId="67" fillId="0" borderId="0" xfId="0" applyFont="1" applyAlignment="1">
      <alignment vertical="center"/>
    </xf>
    <xf numFmtId="0" fontId="68" fillId="22" borderId="0" xfId="0" applyFont="1" applyFill="1" applyAlignment="1">
      <alignment vertical="center"/>
    </xf>
    <xf numFmtId="0" fontId="65" fillId="6" borderId="0" xfId="0" applyFont="1" applyFill="1" applyAlignment="1">
      <alignment horizontal="center" vertical="center"/>
    </xf>
    <xf numFmtId="3" fontId="69" fillId="23" borderId="0" xfId="0" applyNumberFormat="1" applyFont="1" applyFill="1" applyAlignment="1">
      <alignment vertical="center"/>
    </xf>
    <xf numFmtId="190" fontId="69" fillId="23" borderId="0" xfId="0" applyNumberFormat="1" applyFont="1" applyFill="1" applyAlignment="1">
      <alignment vertical="center"/>
    </xf>
    <xf numFmtId="0" fontId="64" fillId="0" borderId="0" xfId="0" applyFont="1" applyAlignment="1">
      <alignment horizontal="center" vertical="center"/>
    </xf>
    <xf numFmtId="165" fontId="64" fillId="0" borderId="0" xfId="0" applyNumberFormat="1" applyFont="1" applyAlignment="1">
      <alignment horizontal="right" vertical="center"/>
    </xf>
    <xf numFmtId="4" fontId="64" fillId="0" borderId="0" xfId="0" applyNumberFormat="1" applyFont="1" applyAlignment="1">
      <alignment horizontal="right" vertical="center"/>
    </xf>
    <xf numFmtId="189" fontId="64" fillId="0" borderId="0" xfId="0" applyNumberFormat="1" applyFont="1" applyAlignment="1">
      <alignment horizontal="right" vertical="center"/>
    </xf>
    <xf numFmtId="168" fontId="64" fillId="0" borderId="0" xfId="0" applyNumberFormat="1" applyFont="1" applyAlignment="1">
      <alignment horizontal="right" vertical="center"/>
    </xf>
    <xf numFmtId="0" fontId="70" fillId="2" borderId="0" xfId="3" applyFont="1" applyFill="1" applyAlignment="1">
      <alignment horizontal="center" vertical="center"/>
    </xf>
    <xf numFmtId="0" fontId="71" fillId="9" borderId="0" xfId="0" applyFont="1" applyFill="1"/>
    <xf numFmtId="0" fontId="68" fillId="22" borderId="0" xfId="0" applyFont="1" applyFill="1"/>
    <xf numFmtId="0" fontId="72" fillId="23" borderId="0" xfId="0" applyFont="1" applyFill="1"/>
    <xf numFmtId="190" fontId="63" fillId="0" borderId="0" xfId="0" applyNumberFormat="1" applyFont="1"/>
    <xf numFmtId="165" fontId="63" fillId="0" borderId="0" xfId="0" applyNumberFormat="1" applyFont="1"/>
  </cellXfs>
  <cellStyles count="11">
    <cellStyle name="Comma" xfId="1" builtinId="3"/>
    <cellStyle name="Comma 2" xfId="4" xr:uid="{00000000-0005-0000-0000-000031000000}"/>
    <cellStyle name="Comma 2 2" xfId="5" xr:uid="{00000000-0005-0000-0000-000032000000}"/>
    <cellStyle name="Hyperlink" xfId="3" builtinId="8"/>
    <cellStyle name="Normal" xfId="0" builtinId="0"/>
    <cellStyle name="Normal 2" xfId="6" xr:uid="{00000000-0005-0000-0000-000033000000}"/>
    <cellStyle name="Normal 2 2" xfId="7" xr:uid="{00000000-0005-0000-0000-000034000000}"/>
    <cellStyle name="Normal 3 2" xfId="8" xr:uid="{00000000-0005-0000-0000-000035000000}"/>
    <cellStyle name="Normal 4" xfId="9" xr:uid="{00000000-0005-0000-0000-000036000000}"/>
    <cellStyle name="Percent" xfId="2" builtinId="5"/>
    <cellStyle name="Percent 2" xfId="10" xr:uid="{00000000-0005-0000-0000-000037000000}"/>
  </cellStyles>
  <dxfs count="83">
    <dxf>
      <font>
        <color rgb="FF595959"/>
      </font>
      <fill>
        <patternFill patternType="solid">
          <bgColor rgb="FFE7E6E6"/>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CE4D6"/>
        </patternFill>
      </fill>
    </dxf>
    <dxf>
      <font>
        <color rgb="FF006100"/>
      </font>
      <fill>
        <patternFill patternType="solid">
          <bgColor rgb="FFE2F0D9"/>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FF00"/>
      </font>
      <fill>
        <patternFill patternType="solid">
          <bgColor rgb="FF002060"/>
        </patternFill>
      </fill>
    </dxf>
    <dxf>
      <font>
        <b/>
        <i val="0"/>
        <color rgb="FFFF0000"/>
      </font>
      <fill>
        <patternFill patternType="solid">
          <bgColor theme="7" tint="0.7993408001953185"/>
        </patternFill>
      </fill>
    </dxf>
    <dxf>
      <font>
        <b/>
        <i val="0"/>
        <color rgb="FFFFFF00"/>
      </font>
      <fill>
        <patternFill patternType="solid">
          <bgColor rgb="FF002060"/>
        </patternFill>
      </fill>
    </dxf>
    <dxf>
      <font>
        <color rgb="FF9C0006"/>
      </font>
      <fill>
        <patternFill patternType="solid">
          <bgColor rgb="FFFCE4D6"/>
        </patternFill>
      </fill>
    </dxf>
    <dxf>
      <font>
        <color rgb="FF006100"/>
      </font>
      <fill>
        <patternFill patternType="solid">
          <bgColor rgb="FFE2F0D9"/>
        </patternFill>
      </fill>
    </dxf>
    <dxf>
      <font>
        <name val="Aptos"/>
      </font>
      <numFmt numFmtId="190" formatCode="\₱#,##0.00"/>
    </dxf>
    <dxf>
      <font>
        <name val="Aptos"/>
      </font>
      <numFmt numFmtId="190" formatCode="\₱#,##0.00"/>
    </dxf>
    <dxf>
      <font>
        <name val="Aptos"/>
      </font>
      <numFmt numFmtId="165" formatCode="dd\-mmm\-yyyy"/>
    </dxf>
    <dxf>
      <font>
        <name val="Aptos"/>
      </font>
      <numFmt numFmtId="190" formatCode="\₱#,##0.00"/>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89" formatCode="\₱#,##0.00;[Red]\-\₱#,##0.00;\–"/>
    </dxf>
    <dxf>
      <numFmt numFmtId="189" formatCode="\₱#,##0.00;[Red]\-\₱#,##0.00;\–"/>
    </dxf>
    <dxf>
      <numFmt numFmtId="189" formatCode="\₱#,##0.00;[Red]\-\₱#,##0.00;\–"/>
    </dxf>
    <dxf>
      <numFmt numFmtId="189" formatCode="\₱#,##0.00;[Red]\-\₱#,##0.00;\–"/>
    </dxf>
    <dxf>
      <numFmt numFmtId="189" formatCode="\₱#,##0.00;[Red]\-\₱#,##0.00;\–"/>
    </dxf>
    <dxf>
      <numFmt numFmtId="189" formatCode="\₱#,##0.00;[Red]\-\₱#,##0.00;\–"/>
    </dxf>
    <dxf>
      <numFmt numFmtId="189" formatCode="\₱#,##0.00;[Red]\-\₱#,##0.00;\–"/>
    </dxf>
    <dxf>
      <numFmt numFmtId="189" formatCode="\₱#,##0.00;[Red]\-\₱#,##0.00;\–"/>
    </dxf>
    <dxf>
      <numFmt numFmtId="189" formatCode="\₱#,##0.00;[Red]\-\₱#,##0.00;\–"/>
    </dxf>
    <dxf>
      <numFmt numFmtId="189" formatCode="\₱#,##0.00;[Red]\-\₱#,##0.00;\–"/>
    </dxf>
    <dxf>
      <numFmt numFmtId="189" formatCode="\₱#,##0.00;[Red]\-\₱#,##0.00;\–"/>
    </dxf>
    <dxf>
      <numFmt numFmtId="189" formatCode="\₱#,##0.00;[Red]\-\₱#,##0.00;\–"/>
    </dxf>
    <dxf>
      <numFmt numFmtId="189" formatCode="\₱#,##0.00;[Red]\-\₱#,##0.0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35" formatCode="_-* #,##0.00_-;\-* #,##0.00_-;_-* &quot;-&quot;??_-;_-@_-"/>
    </dxf>
  </dxfs>
  <tableStyles count="0" defaultTableStyle="TableStyleMedium2" defaultPivotStyle="PivotStyleLight16"/>
  <colors>
    <mruColors>
      <color rgb="FFFF99FF"/>
      <color rgb="FF00CC66"/>
      <color rgb="FFFC8EDD"/>
      <color rgb="FF66FFFF"/>
      <color rgb="FFEDE777"/>
      <color rgb="FF00BC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baseline="0">
                <a:solidFill>
                  <a:srgbClr val="002060"/>
                </a:solidFill>
                <a:latin typeface="+mn-lt"/>
                <a:ea typeface="+mn-ea"/>
                <a:cs typeface="+mn-cs"/>
              </a:defRPr>
            </a:pPr>
            <a:r>
              <a:rPr lang="en-PH" sz="1600" b="1" u="none">
                <a:solidFill>
                  <a:srgbClr val="002060"/>
                </a:solidFill>
              </a:rPr>
              <a:t>Running Monthly Sales</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lang="en-US" sz="1600" b="1" i="0" u="none" strike="noStrike" baseline="0">
              <a:solidFill>
                <a:srgbClr val="002060"/>
              </a:solidFill>
              <a:latin typeface="+mn-lt"/>
              <a:ea typeface="+mn-ea"/>
              <a:cs typeface="+mn-cs"/>
            </a:defRPr>
          </a:pPr>
          <a:endParaRPr lang="en-PH"/>
        </a:p>
      </c:txPr>
    </c:title>
    <c:autoTitleDeleted val="0"/>
    <c:plotArea>
      <c:layout/>
      <c:lineChart>
        <c:grouping val="standard"/>
        <c:varyColors val="0"/>
        <c:ser>
          <c:idx val="8"/>
          <c:order val="0"/>
          <c:tx>
            <c:strRef>
              <c:f>45951</c:f>
              <c:strCache>
                <c:ptCount val="1"/>
                <c:pt idx="0">
                  <c:v>45951</c:v>
                </c:pt>
              </c:strCache>
            </c:strRef>
          </c:tx>
          <c:spPr>
            <a:ln w="28575" cap="rnd">
              <a:solidFill>
                <a:srgbClr val="002060"/>
              </a:solidFill>
              <a:round/>
            </a:ln>
            <a:effectLst/>
          </c:spPr>
          <c:marker>
            <c:symbol val="circle"/>
            <c:size val="5"/>
            <c:spPr>
              <a:solidFill>
                <a:schemeClr val="accent3">
                  <a:lumMod val="60000"/>
                </a:schemeClr>
              </a:solidFill>
              <a:ln w="9525">
                <a:solidFill>
                  <a:srgbClr val="002060"/>
                </a:solidFill>
              </a:ln>
              <a:effectLst/>
            </c:spPr>
          </c:marker>
          <c:trendline>
            <c:spPr>
              <a:ln w="19050" cap="rnd">
                <a:solidFill>
                  <a:srgbClr val="FF0000"/>
                </a:solidFill>
                <a:prstDash val="sysDash"/>
              </a:ln>
              <a:effectLst/>
            </c:spPr>
            <c:trendlineType val="linear"/>
            <c:dispRSqr val="0"/>
            <c:dispEq val="0"/>
          </c:trendline>
          <c:val>
            <c:numRef>
              <c:f>Summary!$W$7:$W$37</c:f>
              <c:numCache>
                <c:formatCode>_(* #,##0.00_);_(* \(#,##0.00\);_(* "-"??_);_(@_)</c:formatCode>
                <c:ptCount val="31"/>
                <c:pt idx="0">
                  <c:v>34615</c:v>
                </c:pt>
                <c:pt idx="1">
                  <c:v>34615</c:v>
                </c:pt>
                <c:pt idx="2">
                  <c:v>34615</c:v>
                </c:pt>
                <c:pt idx="3">
                  <c:v>34615</c:v>
                </c:pt>
                <c:pt idx="4">
                  <c:v>34615</c:v>
                </c:pt>
                <c:pt idx="5">
                  <c:v>34615</c:v>
                </c:pt>
                <c:pt idx="6">
                  <c:v>34615</c:v>
                </c:pt>
                <c:pt idx="7">
                  <c:v>34615</c:v>
                </c:pt>
                <c:pt idx="8">
                  <c:v>34615</c:v>
                </c:pt>
                <c:pt idx="9">
                  <c:v>34615</c:v>
                </c:pt>
                <c:pt idx="10">
                  <c:v>34615</c:v>
                </c:pt>
                <c:pt idx="11">
                  <c:v>34615</c:v>
                </c:pt>
                <c:pt idx="12">
                  <c:v>34615</c:v>
                </c:pt>
                <c:pt idx="13">
                  <c:v>34615</c:v>
                </c:pt>
                <c:pt idx="14">
                  <c:v>34615</c:v>
                </c:pt>
                <c:pt idx="15">
                  <c:v>34615</c:v>
                </c:pt>
                <c:pt idx="16">
                  <c:v>34615</c:v>
                </c:pt>
                <c:pt idx="17">
                  <c:v>34615</c:v>
                </c:pt>
                <c:pt idx="18">
                  <c:v>34615</c:v>
                </c:pt>
                <c:pt idx="19">
                  <c:v>34615</c:v>
                </c:pt>
                <c:pt idx="20">
                  <c:v>34615</c:v>
                </c:pt>
                <c:pt idx="21">
                  <c:v>34615</c:v>
                </c:pt>
                <c:pt idx="22">
                  <c:v>34615</c:v>
                </c:pt>
                <c:pt idx="23">
                  <c:v>34615</c:v>
                </c:pt>
                <c:pt idx="24">
                  <c:v>34615</c:v>
                </c:pt>
                <c:pt idx="25">
                  <c:v>34615</c:v>
                </c:pt>
                <c:pt idx="26">
                  <c:v>34615</c:v>
                </c:pt>
                <c:pt idx="27">
                  <c:v>34615</c:v>
                </c:pt>
                <c:pt idx="28">
                  <c:v>34615</c:v>
                </c:pt>
                <c:pt idx="29">
                  <c:v>34615</c:v>
                </c:pt>
                <c:pt idx="30">
                  <c:v>34615</c:v>
                </c:pt>
              </c:numCache>
            </c:numRef>
          </c:val>
          <c:smooth val="0"/>
          <c:extLst>
            <c:ext xmlns:c16="http://schemas.microsoft.com/office/drawing/2014/chart" uri="{C3380CC4-5D6E-409C-BE32-E72D297353CC}">
              <c16:uniqueId val="{00000001-5628-4ADA-B7B2-707C20779299}"/>
            </c:ext>
          </c:extLst>
        </c:ser>
        <c:ser>
          <c:idx val="7"/>
          <c:order val="1"/>
          <c:tx>
            <c:strRef>
              <c:f>44440</c:f>
              <c:strCache>
                <c:ptCount val="1"/>
                <c:pt idx="0">
                  <c:v>44440</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val>
            <c:numRef>
              <c:f>Summary!$U$7:$U$37</c:f>
              <c:numCache>
                <c:formatCode>_(* #,##0.00_);_(* \(#,##0.00\);_(* "-"??_);_(@_)</c:formatCode>
                <c:ptCount val="31"/>
                <c:pt idx="0">
                  <c:v>18288</c:v>
                </c:pt>
                <c:pt idx="1">
                  <c:v>50158</c:v>
                </c:pt>
                <c:pt idx="2">
                  <c:v>81246.5</c:v>
                </c:pt>
                <c:pt idx="3">
                  <c:v>123647.5</c:v>
                </c:pt>
                <c:pt idx="4">
                  <c:v>182018.5</c:v>
                </c:pt>
                <c:pt idx="5">
                  <c:v>182018.5</c:v>
                </c:pt>
                <c:pt idx="6">
                  <c:v>196216.5</c:v>
                </c:pt>
                <c:pt idx="7">
                  <c:v>211979.5</c:v>
                </c:pt>
                <c:pt idx="8">
                  <c:v>226234.5</c:v>
                </c:pt>
                <c:pt idx="9">
                  <c:v>242684.5</c:v>
                </c:pt>
                <c:pt idx="10">
                  <c:v>258064.5</c:v>
                </c:pt>
                <c:pt idx="11">
                  <c:v>287926.5</c:v>
                </c:pt>
                <c:pt idx="12">
                  <c:v>287926.5</c:v>
                </c:pt>
                <c:pt idx="13">
                  <c:v>301947.5</c:v>
                </c:pt>
                <c:pt idx="14">
                  <c:v>317842.5</c:v>
                </c:pt>
                <c:pt idx="15">
                  <c:v>348182.5</c:v>
                </c:pt>
                <c:pt idx="16">
                  <c:v>359727.5</c:v>
                </c:pt>
                <c:pt idx="17">
                  <c:v>364504.5</c:v>
                </c:pt>
                <c:pt idx="18">
                  <c:v>389278.5</c:v>
                </c:pt>
                <c:pt idx="19">
                  <c:v>389278.5</c:v>
                </c:pt>
                <c:pt idx="20">
                  <c:v>425552.5</c:v>
                </c:pt>
                <c:pt idx="21">
                  <c:v>437812.5</c:v>
                </c:pt>
                <c:pt idx="22">
                  <c:v>473812.5</c:v>
                </c:pt>
                <c:pt idx="23">
                  <c:v>499262.5</c:v>
                </c:pt>
                <c:pt idx="24">
                  <c:v>515303.5</c:v>
                </c:pt>
                <c:pt idx="25">
                  <c:v>566140.5</c:v>
                </c:pt>
                <c:pt idx="26">
                  <c:v>566140.5</c:v>
                </c:pt>
                <c:pt idx="27">
                  <c:v>579790.5</c:v>
                </c:pt>
                <c:pt idx="28">
                  <c:v>601120.5</c:v>
                </c:pt>
                <c:pt idx="29">
                  <c:v>650755.5</c:v>
                </c:pt>
                <c:pt idx="30">
                  <c:v>650755.5</c:v>
                </c:pt>
              </c:numCache>
            </c:numRef>
          </c:val>
          <c:smooth val="0"/>
          <c:extLst>
            <c:ext xmlns:c16="http://schemas.microsoft.com/office/drawing/2014/chart" uri="{C3380CC4-5D6E-409C-BE32-E72D297353CC}">
              <c16:uniqueId val="{00000002-5628-4ADA-B7B2-707C20779299}"/>
            </c:ext>
          </c:extLst>
        </c:ser>
        <c:ser>
          <c:idx val="6"/>
          <c:order val="2"/>
          <c:tx>
            <c:strRef>
              <c:f>44409</c:f>
              <c:strCache>
                <c:ptCount val="1"/>
                <c:pt idx="0">
                  <c:v>44409</c:v>
                </c:pt>
              </c:strCache>
            </c:strRef>
          </c:tx>
          <c:spPr>
            <a:ln w="19050" cap="rnd">
              <a:solidFill>
                <a:schemeClr val="tx2">
                  <a:lumMod val="50000"/>
                  <a:lumOff val="50000"/>
                </a:schemeClr>
              </a:solidFill>
              <a:round/>
            </a:ln>
            <a:effectLst/>
          </c:spPr>
          <c:marker>
            <c:symbol val="diamond"/>
            <c:size val="4"/>
            <c:spPr>
              <a:solidFill>
                <a:schemeClr val="tx2">
                  <a:lumMod val="50000"/>
                  <a:lumOff val="50000"/>
                </a:schemeClr>
              </a:solidFill>
              <a:ln w="9525">
                <a:solidFill>
                  <a:schemeClr val="tx2">
                    <a:lumMod val="50000"/>
                    <a:lumOff val="50000"/>
                  </a:schemeClr>
                </a:solidFill>
              </a:ln>
              <a:effectLst/>
            </c:spPr>
          </c:marker>
          <c:val>
            <c:numRef>
              <c:f>Summary!$S$7:$S$37</c:f>
              <c:numCache>
                <c:formatCode>_(* #,##0.00_);_(* \(#,##0.00\);_(* "-"??_);_(@_)</c:formatCode>
                <c:ptCount val="31"/>
                <c:pt idx="0">
                  <c:v>23680</c:v>
                </c:pt>
                <c:pt idx="1">
                  <c:v>23680</c:v>
                </c:pt>
                <c:pt idx="2">
                  <c:v>34248</c:v>
                </c:pt>
                <c:pt idx="3">
                  <c:v>64958</c:v>
                </c:pt>
                <c:pt idx="4">
                  <c:v>75665.5</c:v>
                </c:pt>
                <c:pt idx="5">
                  <c:v>121625.5</c:v>
                </c:pt>
                <c:pt idx="6">
                  <c:v>149719.5</c:v>
                </c:pt>
                <c:pt idx="7">
                  <c:v>180705.5</c:v>
                </c:pt>
                <c:pt idx="8">
                  <c:v>180705.5</c:v>
                </c:pt>
                <c:pt idx="9">
                  <c:v>185305.5</c:v>
                </c:pt>
                <c:pt idx="10">
                  <c:v>201203.5</c:v>
                </c:pt>
                <c:pt idx="11">
                  <c:v>217868.5</c:v>
                </c:pt>
                <c:pt idx="12">
                  <c:v>251440.5</c:v>
                </c:pt>
                <c:pt idx="13">
                  <c:v>254950.5</c:v>
                </c:pt>
                <c:pt idx="14">
                  <c:v>281777.5</c:v>
                </c:pt>
                <c:pt idx="15">
                  <c:v>281977.5</c:v>
                </c:pt>
                <c:pt idx="16">
                  <c:v>291267.5</c:v>
                </c:pt>
                <c:pt idx="17">
                  <c:v>311083.5</c:v>
                </c:pt>
                <c:pt idx="18">
                  <c:v>319053.5</c:v>
                </c:pt>
                <c:pt idx="19">
                  <c:v>351202.5</c:v>
                </c:pt>
                <c:pt idx="20">
                  <c:v>372752.5</c:v>
                </c:pt>
                <c:pt idx="21">
                  <c:v>393431.5</c:v>
                </c:pt>
                <c:pt idx="22">
                  <c:v>393431.5</c:v>
                </c:pt>
                <c:pt idx="23">
                  <c:v>436887.5</c:v>
                </c:pt>
                <c:pt idx="24">
                  <c:v>468902.5</c:v>
                </c:pt>
                <c:pt idx="25">
                  <c:v>490402.5</c:v>
                </c:pt>
                <c:pt idx="26">
                  <c:v>504865.5</c:v>
                </c:pt>
                <c:pt idx="27">
                  <c:v>526905.5</c:v>
                </c:pt>
                <c:pt idx="28">
                  <c:v>536615.5</c:v>
                </c:pt>
                <c:pt idx="29">
                  <c:v>536615.5</c:v>
                </c:pt>
                <c:pt idx="30">
                  <c:v>554620.5</c:v>
                </c:pt>
              </c:numCache>
            </c:numRef>
          </c:val>
          <c:smooth val="0"/>
          <c:extLst>
            <c:ext xmlns:c16="http://schemas.microsoft.com/office/drawing/2014/chart" uri="{C3380CC4-5D6E-409C-BE32-E72D297353CC}">
              <c16:uniqueId val="{00000003-5628-4ADA-B7B2-707C20779299}"/>
            </c:ext>
          </c:extLst>
        </c:ser>
        <c:ser>
          <c:idx val="5"/>
          <c:order val="3"/>
          <c:tx>
            <c:strRef>
              <c:f>44378</c:f>
              <c:strCache>
                <c:ptCount val="1"/>
                <c:pt idx="0">
                  <c:v>44378</c:v>
                </c:pt>
              </c:strCache>
            </c:strRef>
          </c:tx>
          <c:spPr>
            <a:ln w="12700" cap="rnd">
              <a:solidFill>
                <a:schemeClr val="tx1">
                  <a:lumMod val="50000"/>
                  <a:lumOff val="50000"/>
                </a:schemeClr>
              </a:solidFill>
              <a:prstDash val="solid"/>
              <a:round/>
            </a:ln>
            <a:effectLst/>
          </c:spPr>
          <c:marker>
            <c:symbol val="circle"/>
            <c:size val="3"/>
            <c:spPr>
              <a:solidFill>
                <a:schemeClr val="tx1">
                  <a:lumMod val="50000"/>
                  <a:lumOff val="50000"/>
                </a:schemeClr>
              </a:solidFill>
              <a:ln w="9525">
                <a:solidFill>
                  <a:schemeClr val="tx1">
                    <a:lumMod val="50000"/>
                    <a:lumOff val="50000"/>
                  </a:schemeClr>
                </a:solidFill>
                <a:prstDash val="solid"/>
              </a:ln>
              <a:effectLst/>
            </c:spPr>
          </c:marker>
          <c:val>
            <c:numRef>
              <c:f>Summary!$Q$7:$Q$37</c:f>
              <c:numCache>
                <c:formatCode>_(* #,##0.00_);_(* \(#,##0.00\);_(* "-"??_);_(@_)</c:formatCode>
                <c:ptCount val="31"/>
                <c:pt idx="0">
                  <c:v>22046</c:v>
                </c:pt>
                <c:pt idx="1">
                  <c:v>52060</c:v>
                </c:pt>
                <c:pt idx="2">
                  <c:v>90991</c:v>
                </c:pt>
                <c:pt idx="3">
                  <c:v>137186</c:v>
                </c:pt>
                <c:pt idx="4">
                  <c:v>137186</c:v>
                </c:pt>
                <c:pt idx="5">
                  <c:v>167599</c:v>
                </c:pt>
                <c:pt idx="6">
                  <c:v>209914</c:v>
                </c:pt>
                <c:pt idx="7">
                  <c:v>242249</c:v>
                </c:pt>
                <c:pt idx="8">
                  <c:v>279614</c:v>
                </c:pt>
                <c:pt idx="9">
                  <c:v>318212</c:v>
                </c:pt>
                <c:pt idx="10">
                  <c:v>354778</c:v>
                </c:pt>
                <c:pt idx="11">
                  <c:v>354778</c:v>
                </c:pt>
                <c:pt idx="12">
                  <c:v>383007</c:v>
                </c:pt>
                <c:pt idx="13">
                  <c:v>395988</c:v>
                </c:pt>
                <c:pt idx="14">
                  <c:v>432177</c:v>
                </c:pt>
                <c:pt idx="15">
                  <c:v>456142</c:v>
                </c:pt>
                <c:pt idx="16">
                  <c:v>497270</c:v>
                </c:pt>
                <c:pt idx="17">
                  <c:v>518891</c:v>
                </c:pt>
                <c:pt idx="18">
                  <c:v>519391</c:v>
                </c:pt>
                <c:pt idx="19">
                  <c:v>551911</c:v>
                </c:pt>
                <c:pt idx="20">
                  <c:v>595123</c:v>
                </c:pt>
                <c:pt idx="21">
                  <c:v>618808</c:v>
                </c:pt>
                <c:pt idx="22">
                  <c:v>692298</c:v>
                </c:pt>
                <c:pt idx="23">
                  <c:v>733227</c:v>
                </c:pt>
                <c:pt idx="24">
                  <c:v>771819</c:v>
                </c:pt>
                <c:pt idx="25">
                  <c:v>771819</c:v>
                </c:pt>
                <c:pt idx="26">
                  <c:v>787474</c:v>
                </c:pt>
                <c:pt idx="27">
                  <c:v>817726</c:v>
                </c:pt>
                <c:pt idx="28">
                  <c:v>825994</c:v>
                </c:pt>
                <c:pt idx="29">
                  <c:v>834799</c:v>
                </c:pt>
                <c:pt idx="30">
                  <c:v>855759</c:v>
                </c:pt>
              </c:numCache>
            </c:numRef>
          </c:val>
          <c:smooth val="0"/>
          <c:extLst>
            <c:ext xmlns:c16="http://schemas.microsoft.com/office/drawing/2014/chart" uri="{C3380CC4-5D6E-409C-BE32-E72D297353CC}">
              <c16:uniqueId val="{00000004-5628-4ADA-B7B2-707C20779299}"/>
            </c:ext>
          </c:extLst>
        </c:ser>
        <c:ser>
          <c:idx val="4"/>
          <c:order val="4"/>
          <c:tx>
            <c:strRef>
              <c:f>44348</c:f>
              <c:strCache>
                <c:ptCount val="1"/>
                <c:pt idx="0">
                  <c:v>44348</c:v>
                </c:pt>
              </c:strCache>
            </c:strRef>
          </c:tx>
          <c:spPr>
            <a:ln w="12700" cap="rnd">
              <a:solidFill>
                <a:schemeClr val="tx1">
                  <a:lumMod val="50000"/>
                  <a:lumOff val="50000"/>
                </a:schemeClr>
              </a:solidFill>
              <a:round/>
            </a:ln>
            <a:effectLst/>
          </c:spPr>
          <c:marker>
            <c:symbol val="square"/>
            <c:size val="3"/>
            <c:spPr>
              <a:solidFill>
                <a:schemeClr val="tx1">
                  <a:lumMod val="50000"/>
                  <a:lumOff val="50000"/>
                </a:schemeClr>
              </a:solidFill>
              <a:ln w="9525">
                <a:solidFill>
                  <a:schemeClr val="tx1">
                    <a:lumMod val="50000"/>
                    <a:lumOff val="50000"/>
                  </a:schemeClr>
                </a:solidFill>
              </a:ln>
              <a:effectLst/>
            </c:spPr>
          </c:marker>
          <c:val>
            <c:numRef>
              <c:f>Summary!$O$7:$O$37</c:f>
              <c:numCache>
                <c:formatCode>_(* #,##0.00_);_(* \(#,##0.00\);_(* "-"??_);_(@_)</c:formatCode>
                <c:ptCount val="31"/>
                <c:pt idx="0">
                  <c:v>56723</c:v>
                </c:pt>
                <c:pt idx="1">
                  <c:v>101355</c:v>
                </c:pt>
                <c:pt idx="2">
                  <c:v>140870</c:v>
                </c:pt>
                <c:pt idx="3">
                  <c:v>165577</c:v>
                </c:pt>
                <c:pt idx="4">
                  <c:v>192712</c:v>
                </c:pt>
                <c:pt idx="5">
                  <c:v>224430</c:v>
                </c:pt>
                <c:pt idx="6">
                  <c:v>224430</c:v>
                </c:pt>
                <c:pt idx="7">
                  <c:v>243514</c:v>
                </c:pt>
                <c:pt idx="8">
                  <c:v>288770</c:v>
                </c:pt>
                <c:pt idx="9">
                  <c:v>316855</c:v>
                </c:pt>
                <c:pt idx="10">
                  <c:v>341133</c:v>
                </c:pt>
                <c:pt idx="11">
                  <c:v>378656</c:v>
                </c:pt>
                <c:pt idx="12">
                  <c:v>436650</c:v>
                </c:pt>
                <c:pt idx="13">
                  <c:v>436650</c:v>
                </c:pt>
                <c:pt idx="14">
                  <c:v>472236</c:v>
                </c:pt>
                <c:pt idx="15">
                  <c:v>505496</c:v>
                </c:pt>
                <c:pt idx="16">
                  <c:v>560061</c:v>
                </c:pt>
                <c:pt idx="17">
                  <c:v>614457</c:v>
                </c:pt>
                <c:pt idx="18">
                  <c:v>646411</c:v>
                </c:pt>
                <c:pt idx="19">
                  <c:v>685679</c:v>
                </c:pt>
                <c:pt idx="20">
                  <c:v>685679</c:v>
                </c:pt>
                <c:pt idx="21">
                  <c:v>754685</c:v>
                </c:pt>
                <c:pt idx="22">
                  <c:v>778426</c:v>
                </c:pt>
                <c:pt idx="23">
                  <c:v>814852</c:v>
                </c:pt>
                <c:pt idx="24">
                  <c:v>821592</c:v>
                </c:pt>
                <c:pt idx="25">
                  <c:v>872387</c:v>
                </c:pt>
                <c:pt idx="26">
                  <c:v>931249</c:v>
                </c:pt>
                <c:pt idx="27">
                  <c:v>931249</c:v>
                </c:pt>
                <c:pt idx="28">
                  <c:v>1003761</c:v>
                </c:pt>
                <c:pt idx="29">
                  <c:v>1011665</c:v>
                </c:pt>
                <c:pt idx="30">
                  <c:v>1011665</c:v>
                </c:pt>
              </c:numCache>
            </c:numRef>
          </c:val>
          <c:smooth val="0"/>
          <c:extLst>
            <c:ext xmlns:c16="http://schemas.microsoft.com/office/drawing/2014/chart" uri="{C3380CC4-5D6E-409C-BE32-E72D297353CC}">
              <c16:uniqueId val="{00000005-5628-4ADA-B7B2-707C20779299}"/>
            </c:ext>
          </c:extLst>
        </c:ser>
        <c:ser>
          <c:idx val="1"/>
          <c:order val="5"/>
          <c:tx>
            <c:strRef>
              <c:f>Summary!$L$4</c:f>
              <c:strCache>
                <c:ptCount val="1"/>
                <c:pt idx="0">
                  <c:v>May 2026</c:v>
                </c:pt>
              </c:strCache>
            </c:strRef>
          </c:tx>
          <c:spPr>
            <a:ln w="12700" cap="rnd">
              <a:solidFill>
                <a:schemeClr val="tx1">
                  <a:lumMod val="50000"/>
                  <a:lumOff val="50000"/>
                </a:schemeClr>
              </a:solidFill>
              <a:prstDash val="sysDot"/>
              <a:round/>
            </a:ln>
            <a:effectLst/>
          </c:spPr>
          <c:marker>
            <c:symbol val="circle"/>
            <c:size val="3"/>
            <c:spPr>
              <a:solidFill>
                <a:schemeClr val="tx1">
                  <a:lumMod val="50000"/>
                  <a:lumOff val="50000"/>
                </a:schemeClr>
              </a:solidFill>
              <a:ln w="9525">
                <a:solidFill>
                  <a:schemeClr val="tx1">
                    <a:lumMod val="50000"/>
                    <a:lumOff val="50000"/>
                  </a:schemeClr>
                </a:solidFill>
                <a:prstDash val="sysDot"/>
              </a:ln>
              <a:effectLst/>
            </c:spPr>
          </c:marker>
          <c:val>
            <c:numRef>
              <c:f>Summary!$M$7:$M$37</c:f>
              <c:numCache>
                <c:formatCode>_(* #,##0.00_);_(* \(#,##0.00\);_(* "-"??_);_(@_)</c:formatCode>
                <c:ptCount val="31"/>
                <c:pt idx="0">
                  <c:v>0</c:v>
                </c:pt>
                <c:pt idx="1">
                  <c:v>31324</c:v>
                </c:pt>
                <c:pt idx="2">
                  <c:v>31324</c:v>
                </c:pt>
                <c:pt idx="3">
                  <c:v>69533</c:v>
                </c:pt>
                <c:pt idx="4">
                  <c:v>90809</c:v>
                </c:pt>
                <c:pt idx="5">
                  <c:v>131028</c:v>
                </c:pt>
                <c:pt idx="6">
                  <c:v>147842</c:v>
                </c:pt>
                <c:pt idx="7">
                  <c:v>172674</c:v>
                </c:pt>
                <c:pt idx="8">
                  <c:v>237016</c:v>
                </c:pt>
                <c:pt idx="9">
                  <c:v>237016</c:v>
                </c:pt>
                <c:pt idx="10">
                  <c:v>293958</c:v>
                </c:pt>
                <c:pt idx="11">
                  <c:v>326568</c:v>
                </c:pt>
                <c:pt idx="12">
                  <c:v>326568</c:v>
                </c:pt>
                <c:pt idx="13">
                  <c:v>349828</c:v>
                </c:pt>
                <c:pt idx="14">
                  <c:v>406133</c:v>
                </c:pt>
                <c:pt idx="15">
                  <c:v>434260</c:v>
                </c:pt>
                <c:pt idx="16">
                  <c:v>434260</c:v>
                </c:pt>
                <c:pt idx="17">
                  <c:v>478341</c:v>
                </c:pt>
                <c:pt idx="18">
                  <c:v>503038</c:v>
                </c:pt>
                <c:pt idx="19">
                  <c:v>550018</c:v>
                </c:pt>
                <c:pt idx="20">
                  <c:v>574132</c:v>
                </c:pt>
                <c:pt idx="21">
                  <c:v>618865</c:v>
                </c:pt>
                <c:pt idx="22">
                  <c:v>700210</c:v>
                </c:pt>
                <c:pt idx="23">
                  <c:v>700210</c:v>
                </c:pt>
                <c:pt idx="24">
                  <c:v>753428</c:v>
                </c:pt>
                <c:pt idx="25">
                  <c:v>780879</c:v>
                </c:pt>
                <c:pt idx="26">
                  <c:v>815350</c:v>
                </c:pt>
                <c:pt idx="27">
                  <c:v>890145</c:v>
                </c:pt>
                <c:pt idx="28">
                  <c:v>931313</c:v>
                </c:pt>
                <c:pt idx="29">
                  <c:v>973933</c:v>
                </c:pt>
                <c:pt idx="30">
                  <c:v>973933</c:v>
                </c:pt>
              </c:numCache>
            </c:numRef>
          </c:val>
          <c:smooth val="0"/>
          <c:extLst>
            <c:ext xmlns:c16="http://schemas.microsoft.com/office/drawing/2014/chart" uri="{C3380CC4-5D6E-409C-BE32-E72D297353CC}">
              <c16:uniqueId val="{00000006-5628-4ADA-B7B2-707C20779299}"/>
            </c:ext>
          </c:extLst>
        </c:ser>
        <c:ser>
          <c:idx val="0"/>
          <c:order val="6"/>
          <c:tx>
            <c:strRef>
              <c:f>Summary!$J$4</c:f>
              <c:strCache>
                <c:ptCount val="1"/>
                <c:pt idx="0">
                  <c:v>April 2026</c:v>
                </c:pt>
              </c:strCache>
            </c:strRef>
          </c:tx>
          <c:spPr>
            <a:ln w="19050" cap="rnd">
              <a:solidFill>
                <a:schemeClr val="tx1">
                  <a:lumMod val="50000"/>
                  <a:lumOff val="50000"/>
                </a:schemeClr>
              </a:solidFill>
              <a:prstDash val="sysDot"/>
              <a:round/>
            </a:ln>
            <a:effectLst/>
          </c:spPr>
          <c:marker>
            <c:symbol val="circle"/>
            <c:size val="3"/>
            <c:spPr>
              <a:solidFill>
                <a:schemeClr val="tx1">
                  <a:lumMod val="50000"/>
                  <a:lumOff val="50000"/>
                </a:schemeClr>
              </a:solidFill>
              <a:ln w="9525">
                <a:solidFill>
                  <a:schemeClr val="tx1">
                    <a:lumMod val="50000"/>
                    <a:lumOff val="50000"/>
                  </a:schemeClr>
                </a:solidFill>
                <a:prstDash val="sysDot"/>
              </a:ln>
              <a:effectLst/>
            </c:spPr>
          </c:marker>
          <c:cat>
            <c:numRef>
              <c:f>Summary!$C$7:$C$37</c:f>
              <c:numCache>
                <c:formatCode>00</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Summary!$K$7:$K$37</c:f>
              <c:numCache>
                <c:formatCode>_(* #,##0.00_);_(* \(#,##0.00\);_(* "-"??_);_(@_)</c:formatCode>
                <c:ptCount val="31"/>
                <c:pt idx="0">
                  <c:v>51239</c:v>
                </c:pt>
                <c:pt idx="1">
                  <c:v>51239</c:v>
                </c:pt>
                <c:pt idx="2">
                  <c:v>51239</c:v>
                </c:pt>
                <c:pt idx="3">
                  <c:v>75896</c:v>
                </c:pt>
                <c:pt idx="4">
                  <c:v>75896</c:v>
                </c:pt>
                <c:pt idx="5">
                  <c:v>106681</c:v>
                </c:pt>
                <c:pt idx="6">
                  <c:v>176339</c:v>
                </c:pt>
                <c:pt idx="7">
                  <c:v>199602</c:v>
                </c:pt>
                <c:pt idx="8">
                  <c:v>240877</c:v>
                </c:pt>
                <c:pt idx="9">
                  <c:v>289054</c:v>
                </c:pt>
                <c:pt idx="10">
                  <c:v>317155</c:v>
                </c:pt>
                <c:pt idx="11">
                  <c:v>317155</c:v>
                </c:pt>
                <c:pt idx="12">
                  <c:v>332555</c:v>
                </c:pt>
                <c:pt idx="13">
                  <c:v>360410</c:v>
                </c:pt>
                <c:pt idx="14">
                  <c:v>482069</c:v>
                </c:pt>
                <c:pt idx="15">
                  <c:v>495354</c:v>
                </c:pt>
                <c:pt idx="16">
                  <c:v>515882</c:v>
                </c:pt>
                <c:pt idx="17">
                  <c:v>537155</c:v>
                </c:pt>
                <c:pt idx="18">
                  <c:v>537505</c:v>
                </c:pt>
                <c:pt idx="19">
                  <c:v>556310</c:v>
                </c:pt>
                <c:pt idx="20">
                  <c:v>624404</c:v>
                </c:pt>
                <c:pt idx="21">
                  <c:v>662688</c:v>
                </c:pt>
                <c:pt idx="22">
                  <c:v>671706</c:v>
                </c:pt>
                <c:pt idx="23">
                  <c:v>697611</c:v>
                </c:pt>
                <c:pt idx="24">
                  <c:v>733279</c:v>
                </c:pt>
                <c:pt idx="25">
                  <c:v>733279</c:v>
                </c:pt>
                <c:pt idx="26">
                  <c:v>749257</c:v>
                </c:pt>
                <c:pt idx="27">
                  <c:v>801106</c:v>
                </c:pt>
                <c:pt idx="28">
                  <c:v>835501</c:v>
                </c:pt>
                <c:pt idx="29">
                  <c:v>860127</c:v>
                </c:pt>
                <c:pt idx="30">
                  <c:v>860127</c:v>
                </c:pt>
              </c:numCache>
            </c:numRef>
          </c:val>
          <c:smooth val="0"/>
          <c:extLst>
            <c:ext xmlns:c16="http://schemas.microsoft.com/office/drawing/2014/chart" uri="{C3380CC4-5D6E-409C-BE32-E72D297353CC}">
              <c16:uniqueId val="{00000007-5628-4ADA-B7B2-707C20779299}"/>
            </c:ext>
          </c:extLst>
        </c:ser>
        <c:ser>
          <c:idx val="2"/>
          <c:order val="7"/>
          <c:tx>
            <c:strRef>
              <c:f>Summary!#REF!</c:f>
              <c:strCache>
                <c:ptCount val="1"/>
                <c:pt idx="0">
                  <c:v>#REF!</c:v>
                </c:pt>
              </c:strCache>
            </c:strRef>
          </c:tx>
          <c:spPr>
            <a:ln w="19050" cap="rnd">
              <a:solidFill>
                <a:schemeClr val="accent3"/>
              </a:solidFill>
              <a:round/>
            </a:ln>
            <a:effectLst/>
          </c:spPr>
          <c:marker>
            <c:symbol val="circle"/>
            <c:size val="3"/>
            <c:spPr>
              <a:solidFill>
                <a:schemeClr val="accent3"/>
              </a:solidFill>
              <a:ln w="9525">
                <a:solidFill>
                  <a:schemeClr val="lt1"/>
                </a:solidFill>
              </a:ln>
              <a:effectLst/>
            </c:spPr>
          </c:marker>
          <c:val>
            <c:numRef>
              <c:f>Summary!#REF!</c:f>
              <c:numCache>
                <c:formatCode>General</c:formatCode>
                <c:ptCount val="1"/>
                <c:pt idx="0">
                  <c:v>1</c:v>
                </c:pt>
              </c:numCache>
            </c:numRef>
          </c:val>
          <c:smooth val="0"/>
          <c:extLst>
            <c:ext xmlns:c16="http://schemas.microsoft.com/office/drawing/2014/chart" uri="{C3380CC4-5D6E-409C-BE32-E72D297353CC}">
              <c16:uniqueId val="{00000008-5628-4ADA-B7B2-707C20779299}"/>
            </c:ext>
          </c:extLst>
        </c:ser>
        <c:ser>
          <c:idx val="3"/>
          <c:order val="8"/>
          <c:tx>
            <c:v>Target</c:v>
          </c:tx>
          <c:spPr>
            <a:ln w="28575" cap="rnd">
              <a:solidFill>
                <a:srgbClr val="00B050"/>
              </a:solidFill>
              <a:prstDash val="solid"/>
              <a:round/>
            </a:ln>
            <a:effectLst/>
          </c:spPr>
          <c:marker>
            <c:symbol val="none"/>
          </c:marker>
          <c:val>
            <c:numRef>
              <c:f>Summary!$AE$7:$AE$37</c:f>
              <c:numCache>
                <c:formatCode>_(* #,##0.00_);_(* \(#,##0.00\);_(* "-"??_);_(@_)</c:formatCode>
                <c:ptCount val="31"/>
                <c:pt idx="0">
                  <c:v>1500000</c:v>
                </c:pt>
                <c:pt idx="1">
                  <c:v>1500000</c:v>
                </c:pt>
                <c:pt idx="2">
                  <c:v>1500000</c:v>
                </c:pt>
                <c:pt idx="3">
                  <c:v>1500000</c:v>
                </c:pt>
                <c:pt idx="4">
                  <c:v>1500000</c:v>
                </c:pt>
                <c:pt idx="5">
                  <c:v>1500000</c:v>
                </c:pt>
                <c:pt idx="6">
                  <c:v>1500000</c:v>
                </c:pt>
                <c:pt idx="7">
                  <c:v>1500000</c:v>
                </c:pt>
                <c:pt idx="8">
                  <c:v>1500000</c:v>
                </c:pt>
                <c:pt idx="9">
                  <c:v>1500000</c:v>
                </c:pt>
                <c:pt idx="10">
                  <c:v>1500000</c:v>
                </c:pt>
                <c:pt idx="11">
                  <c:v>1500000</c:v>
                </c:pt>
                <c:pt idx="12">
                  <c:v>1500000</c:v>
                </c:pt>
                <c:pt idx="13">
                  <c:v>1500000</c:v>
                </c:pt>
                <c:pt idx="14">
                  <c:v>1500000</c:v>
                </c:pt>
                <c:pt idx="15">
                  <c:v>1500000</c:v>
                </c:pt>
                <c:pt idx="16">
                  <c:v>1500000</c:v>
                </c:pt>
                <c:pt idx="17">
                  <c:v>1500000</c:v>
                </c:pt>
                <c:pt idx="18">
                  <c:v>1500000</c:v>
                </c:pt>
                <c:pt idx="19">
                  <c:v>1500000</c:v>
                </c:pt>
                <c:pt idx="20">
                  <c:v>1500000</c:v>
                </c:pt>
                <c:pt idx="21">
                  <c:v>1500000</c:v>
                </c:pt>
                <c:pt idx="22">
                  <c:v>1500000</c:v>
                </c:pt>
                <c:pt idx="23">
                  <c:v>1500000</c:v>
                </c:pt>
                <c:pt idx="24">
                  <c:v>1500000</c:v>
                </c:pt>
                <c:pt idx="25">
                  <c:v>1500000</c:v>
                </c:pt>
                <c:pt idx="26">
                  <c:v>1500000</c:v>
                </c:pt>
                <c:pt idx="27">
                  <c:v>1500000</c:v>
                </c:pt>
                <c:pt idx="28">
                  <c:v>1500000</c:v>
                </c:pt>
                <c:pt idx="29">
                  <c:v>1500000</c:v>
                </c:pt>
                <c:pt idx="30">
                  <c:v>1500000</c:v>
                </c:pt>
              </c:numCache>
            </c:numRef>
          </c:val>
          <c:smooth val="0"/>
          <c:extLst>
            <c:ext xmlns:c16="http://schemas.microsoft.com/office/drawing/2014/chart" uri="{C3380CC4-5D6E-409C-BE32-E72D297353CC}">
              <c16:uniqueId val="{00000009-5628-4ADA-B7B2-707C20779299}"/>
            </c:ext>
          </c:extLst>
        </c:ser>
        <c:dLbls>
          <c:showLegendKey val="0"/>
          <c:showVal val="0"/>
          <c:showCatName val="0"/>
          <c:showSerName val="0"/>
          <c:showPercent val="0"/>
          <c:showBubbleSize val="0"/>
        </c:dLbls>
        <c:marker val="1"/>
        <c:smooth val="0"/>
        <c:axId val="1614371632"/>
        <c:axId val="1614384688"/>
      </c:lineChart>
      <c:catAx>
        <c:axId val="1614371632"/>
        <c:scaling>
          <c:orientation val="minMax"/>
        </c:scaling>
        <c:delete val="0"/>
        <c:axPos val="b"/>
        <c:title>
          <c:tx>
            <c:rich>
              <a:bodyPr rot="0" spcFirstLastPara="1" vertOverflow="ellipsis" vert="horz" wrap="square" anchor="ctr" anchorCtr="1"/>
              <a:lstStyle/>
              <a:p>
                <a:pPr>
                  <a:defRPr lang="en-US" sz="900" b="0" i="0" u="none" strike="noStrike" baseline="0">
                    <a:solidFill>
                      <a:srgbClr val="002060"/>
                    </a:solidFill>
                    <a:latin typeface="+mn-lt"/>
                    <a:ea typeface="+mn-ea"/>
                    <a:cs typeface="+mn-cs"/>
                  </a:defRPr>
                </a:pPr>
                <a:r>
                  <a:rPr lang="en-PH">
                    <a:solidFill>
                      <a:srgbClr val="002060"/>
                    </a:solidFill>
                  </a:rPr>
                  <a:t>Day of the Month</a:t>
                </a:r>
              </a:p>
            </c:rich>
          </c:tx>
          <c:overlay val="0"/>
          <c:spPr>
            <a:noFill/>
            <a:ln>
              <a:noFill/>
            </a:ln>
            <a:effectLst/>
          </c:spPr>
          <c:txPr>
            <a:bodyPr rot="0" spcFirstLastPara="1" vertOverflow="ellipsis" vert="horz" wrap="square" anchor="ctr" anchorCtr="1"/>
            <a:lstStyle/>
            <a:p>
              <a:pPr>
                <a:defRPr lang="en-US" sz="900" b="0" i="0" u="none" strike="noStrike" baseline="0">
                  <a:solidFill>
                    <a:srgbClr val="002060"/>
                  </a:solidFill>
                  <a:latin typeface="+mn-lt"/>
                  <a:ea typeface="+mn-ea"/>
                  <a:cs typeface="+mn-cs"/>
                </a:defRPr>
              </a:pPr>
              <a:endParaRPr lang="en-PH"/>
            </a:p>
          </c:txPr>
        </c:title>
        <c:numFmt formatCode="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baseline="0">
                <a:solidFill>
                  <a:srgbClr val="002060"/>
                </a:solidFill>
                <a:latin typeface="+mn-lt"/>
                <a:ea typeface="+mn-ea"/>
                <a:cs typeface="+mn-cs"/>
              </a:defRPr>
            </a:pPr>
            <a:endParaRPr lang="en-US"/>
          </a:p>
        </c:txPr>
        <c:crossAx val="1614384688"/>
        <c:crosses val="autoZero"/>
        <c:auto val="1"/>
        <c:lblAlgn val="ctr"/>
        <c:lblOffset val="100"/>
        <c:noMultiLvlLbl val="0"/>
      </c:catAx>
      <c:valAx>
        <c:axId val="161438468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baseline="0">
                <a:solidFill>
                  <a:srgbClr val="002060"/>
                </a:solidFill>
                <a:latin typeface="+mn-lt"/>
                <a:ea typeface="+mn-ea"/>
                <a:cs typeface="+mn-cs"/>
              </a:defRPr>
            </a:pPr>
            <a:endParaRPr lang="en-US"/>
          </a:p>
        </c:txPr>
        <c:crossAx val="1614371632"/>
        <c:crosses val="autoZero"/>
        <c:crossBetween val="between"/>
        <c:dispUnits>
          <c:builtInUnit val="thousands"/>
          <c:dispUnitsLbl>
            <c:layout>
              <c:manualLayout>
                <c:xMode val="edge"/>
                <c:yMode val="edge"/>
                <c:x val="2.9547132037873802E-2"/>
                <c:y val="0.46849276789181199"/>
              </c:manualLayout>
            </c:layout>
            <c:spPr>
              <a:noFill/>
              <a:ln>
                <a:noFill/>
              </a:ln>
              <a:effectLst/>
            </c:spPr>
            <c:txPr>
              <a:bodyPr rot="-5400000" spcFirstLastPara="1" vertOverflow="ellipsis" vert="horz" wrap="square" anchor="ctr" anchorCtr="1">
                <a:spAutoFit/>
              </a:bodyPr>
              <a:lstStyle/>
              <a:p>
                <a:pPr>
                  <a:defRPr lang="en-US" sz="900" b="0" i="0" u="none" strike="noStrike"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f8d35443-bca0-4e0b-b4ec-2670f4a1be9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baseline="0">
                <a:solidFill>
                  <a:schemeClr val="tx1">
                    <a:lumMod val="65000"/>
                    <a:lumOff val="35000"/>
                  </a:schemeClr>
                </a:solidFill>
                <a:latin typeface="+mn-lt"/>
                <a:ea typeface="+mn-ea"/>
                <a:cs typeface="+mn-cs"/>
              </a:defRPr>
            </a:pPr>
            <a:r>
              <a:rPr lang="en-PH"/>
              <a:t>Daily</a:t>
            </a:r>
            <a:r>
              <a:rPr lang="en-PH" baseline="0"/>
              <a:t> Sales</a:t>
            </a:r>
            <a:endParaRPr lang="en-PH"/>
          </a:p>
        </c:rich>
      </c:tx>
      <c:overlay val="0"/>
      <c:spPr>
        <a:noFill/>
        <a:ln>
          <a:noFill/>
        </a:ln>
        <a:effectLst/>
      </c:spPr>
      <c:txPr>
        <a:bodyPr rot="0" spcFirstLastPara="1" vertOverflow="ellipsis" vert="horz" wrap="square" anchor="ctr" anchorCtr="1"/>
        <a:lstStyle/>
        <a:p>
          <a:pPr>
            <a:defRPr lang="en-US" sz="1400" b="0" i="0" u="none" strike="noStrike"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5"/>
          <c:order val="0"/>
          <c:tx>
            <c:v>July Daily</c:v>
          </c:tx>
          <c:spPr>
            <a:solidFill>
              <a:schemeClr val="accent2"/>
            </a:solidFill>
            <a:ln>
              <a:solidFill>
                <a:schemeClr val="accent2"/>
              </a:solidFill>
            </a:ln>
            <a:effectLst/>
          </c:spPr>
          <c:invertIfNegative val="0"/>
          <c:val>
            <c:numRef>
              <c:f>Summary!$P$7:$P$37</c:f>
              <c:numCache>
                <c:formatCode>_(* #,##0.00_);_(* \(#,##0.00\);_(* "-"??_);_(@_)</c:formatCode>
                <c:ptCount val="31"/>
                <c:pt idx="0">
                  <c:v>22046</c:v>
                </c:pt>
                <c:pt idx="1">
                  <c:v>30014</c:v>
                </c:pt>
                <c:pt idx="2">
                  <c:v>38931</c:v>
                </c:pt>
                <c:pt idx="3">
                  <c:v>46195</c:v>
                </c:pt>
                <c:pt idx="4">
                  <c:v>0</c:v>
                </c:pt>
                <c:pt idx="5">
                  <c:v>30413</c:v>
                </c:pt>
                <c:pt idx="6">
                  <c:v>42315</c:v>
                </c:pt>
                <c:pt idx="7">
                  <c:v>32335</c:v>
                </c:pt>
                <c:pt idx="8">
                  <c:v>37365</c:v>
                </c:pt>
                <c:pt idx="9">
                  <c:v>38598</c:v>
                </c:pt>
                <c:pt idx="10">
                  <c:v>36566</c:v>
                </c:pt>
                <c:pt idx="11">
                  <c:v>0</c:v>
                </c:pt>
                <c:pt idx="12">
                  <c:v>28229</c:v>
                </c:pt>
                <c:pt idx="13">
                  <c:v>12981</c:v>
                </c:pt>
                <c:pt idx="14">
                  <c:v>36189</c:v>
                </c:pt>
                <c:pt idx="15">
                  <c:v>23965</c:v>
                </c:pt>
                <c:pt idx="16">
                  <c:v>41128</c:v>
                </c:pt>
                <c:pt idx="17">
                  <c:v>21621</c:v>
                </c:pt>
                <c:pt idx="18">
                  <c:v>500</c:v>
                </c:pt>
                <c:pt idx="19">
                  <c:v>32520</c:v>
                </c:pt>
                <c:pt idx="20">
                  <c:v>43212</c:v>
                </c:pt>
                <c:pt idx="21">
                  <c:v>23685</c:v>
                </c:pt>
                <c:pt idx="22">
                  <c:v>73490</c:v>
                </c:pt>
                <c:pt idx="23">
                  <c:v>40929</c:v>
                </c:pt>
                <c:pt idx="24">
                  <c:v>38592</c:v>
                </c:pt>
                <c:pt idx="25">
                  <c:v>0</c:v>
                </c:pt>
                <c:pt idx="26">
                  <c:v>15655</c:v>
                </c:pt>
                <c:pt idx="27">
                  <c:v>30252</c:v>
                </c:pt>
                <c:pt idx="28">
                  <c:v>8268</c:v>
                </c:pt>
                <c:pt idx="29">
                  <c:v>8805</c:v>
                </c:pt>
                <c:pt idx="30">
                  <c:v>20960</c:v>
                </c:pt>
              </c:numCache>
            </c:numRef>
          </c:val>
          <c:extLst>
            <c:ext xmlns:c16="http://schemas.microsoft.com/office/drawing/2014/chart" uri="{C3380CC4-5D6E-409C-BE32-E72D297353CC}">
              <c16:uniqueId val="{00000000-88D7-41E2-9AC6-818D539749B9}"/>
            </c:ext>
          </c:extLst>
        </c:ser>
        <c:ser>
          <c:idx val="4"/>
          <c:order val="1"/>
          <c:tx>
            <c:v>June Daily</c:v>
          </c:tx>
          <c:spPr>
            <a:solidFill>
              <a:schemeClr val="accent5"/>
            </a:solidFill>
            <a:ln>
              <a:noFill/>
            </a:ln>
            <a:effectLst/>
          </c:spPr>
          <c:invertIfNegative val="0"/>
          <c:val>
            <c:numRef>
              <c:f>Summary!$L$7:$L$37</c:f>
              <c:numCache>
                <c:formatCode>_(* #,##0.00_);_(* \(#,##0.00\);_(* "-"??_);_(@_)</c:formatCode>
                <c:ptCount val="31"/>
                <c:pt idx="0">
                  <c:v>0</c:v>
                </c:pt>
                <c:pt idx="1">
                  <c:v>31324</c:v>
                </c:pt>
                <c:pt idx="2">
                  <c:v>0</c:v>
                </c:pt>
                <c:pt idx="3">
                  <c:v>38209</c:v>
                </c:pt>
                <c:pt idx="4">
                  <c:v>21276</c:v>
                </c:pt>
                <c:pt idx="5">
                  <c:v>40219</c:v>
                </c:pt>
                <c:pt idx="6">
                  <c:v>16814</c:v>
                </c:pt>
                <c:pt idx="7">
                  <c:v>24832</c:v>
                </c:pt>
                <c:pt idx="8">
                  <c:v>64342</c:v>
                </c:pt>
                <c:pt idx="9">
                  <c:v>0</c:v>
                </c:pt>
                <c:pt idx="10">
                  <c:v>56942</c:v>
                </c:pt>
                <c:pt idx="11">
                  <c:v>32610</c:v>
                </c:pt>
                <c:pt idx="12">
                  <c:v>0</c:v>
                </c:pt>
                <c:pt idx="13">
                  <c:v>23260</c:v>
                </c:pt>
                <c:pt idx="14">
                  <c:v>56305</c:v>
                </c:pt>
                <c:pt idx="15">
                  <c:v>28127</c:v>
                </c:pt>
                <c:pt idx="16">
                  <c:v>0</c:v>
                </c:pt>
                <c:pt idx="17">
                  <c:v>44081</c:v>
                </c:pt>
                <c:pt idx="18">
                  <c:v>24697</c:v>
                </c:pt>
                <c:pt idx="19">
                  <c:v>46980</c:v>
                </c:pt>
                <c:pt idx="20">
                  <c:v>24114</c:v>
                </c:pt>
                <c:pt idx="21">
                  <c:v>44733</c:v>
                </c:pt>
                <c:pt idx="22">
                  <c:v>81345</c:v>
                </c:pt>
                <c:pt idx="23">
                  <c:v>0</c:v>
                </c:pt>
                <c:pt idx="24">
                  <c:v>53218</c:v>
                </c:pt>
                <c:pt idx="25">
                  <c:v>27451</c:v>
                </c:pt>
                <c:pt idx="26">
                  <c:v>34471</c:v>
                </c:pt>
                <c:pt idx="27">
                  <c:v>74795</c:v>
                </c:pt>
                <c:pt idx="28">
                  <c:v>41168</c:v>
                </c:pt>
                <c:pt idx="29">
                  <c:v>42620</c:v>
                </c:pt>
                <c:pt idx="30">
                  <c:v>0</c:v>
                </c:pt>
              </c:numCache>
            </c:numRef>
          </c:val>
          <c:extLst>
            <c:ext xmlns:c16="http://schemas.microsoft.com/office/drawing/2014/chart" uri="{C3380CC4-5D6E-409C-BE32-E72D297353CC}">
              <c16:uniqueId val="{00000001-88D7-41E2-9AC6-818D539749B9}"/>
            </c:ext>
          </c:extLst>
        </c:ser>
        <c:ser>
          <c:idx val="2"/>
          <c:order val="2"/>
          <c:tx>
            <c:v>April Daily</c:v>
          </c:tx>
          <c:spPr>
            <a:solidFill>
              <a:schemeClr val="tx1">
                <a:lumMod val="50000"/>
                <a:lumOff val="50000"/>
              </a:schemeClr>
            </a:solidFill>
            <a:ln>
              <a:solidFill>
                <a:schemeClr val="tx1">
                  <a:lumMod val="50000"/>
                  <a:lumOff val="50000"/>
                </a:schemeClr>
              </a:solidFill>
            </a:ln>
            <a:effectLst/>
          </c:spPr>
          <c:invertIfNegative val="0"/>
          <c:val>
            <c:numRef>
              <c:f>Summary!$J$7:$J$37</c:f>
              <c:numCache>
                <c:formatCode>_(* #,##0.00_);_(* \(#,##0.00\);_(* "-"??_);_(@_)</c:formatCode>
                <c:ptCount val="31"/>
                <c:pt idx="0">
                  <c:v>51239</c:v>
                </c:pt>
                <c:pt idx="1">
                  <c:v>0</c:v>
                </c:pt>
                <c:pt idx="2">
                  <c:v>0</c:v>
                </c:pt>
                <c:pt idx="3">
                  <c:v>24657</c:v>
                </c:pt>
                <c:pt idx="4">
                  <c:v>0</c:v>
                </c:pt>
                <c:pt idx="5">
                  <c:v>30785</c:v>
                </c:pt>
                <c:pt idx="6">
                  <c:v>69658</c:v>
                </c:pt>
                <c:pt idx="7">
                  <c:v>23263</c:v>
                </c:pt>
                <c:pt idx="8">
                  <c:v>41275</c:v>
                </c:pt>
                <c:pt idx="9">
                  <c:v>48177</c:v>
                </c:pt>
                <c:pt idx="10">
                  <c:v>28101</c:v>
                </c:pt>
                <c:pt idx="11">
                  <c:v>0</c:v>
                </c:pt>
                <c:pt idx="12">
                  <c:v>15400</c:v>
                </c:pt>
                <c:pt idx="13">
                  <c:v>27855</c:v>
                </c:pt>
                <c:pt idx="14">
                  <c:v>121659</c:v>
                </c:pt>
                <c:pt idx="15">
                  <c:v>13285</c:v>
                </c:pt>
                <c:pt idx="16">
                  <c:v>20528</c:v>
                </c:pt>
                <c:pt idx="17">
                  <c:v>21273</c:v>
                </c:pt>
                <c:pt idx="18">
                  <c:v>350</c:v>
                </c:pt>
                <c:pt idx="19">
                  <c:v>18805</c:v>
                </c:pt>
                <c:pt idx="20">
                  <c:v>68094</c:v>
                </c:pt>
                <c:pt idx="21">
                  <c:v>38284</c:v>
                </c:pt>
                <c:pt idx="22">
                  <c:v>9018</c:v>
                </c:pt>
                <c:pt idx="23">
                  <c:v>25905</c:v>
                </c:pt>
                <c:pt idx="24">
                  <c:v>35668</c:v>
                </c:pt>
                <c:pt idx="25">
                  <c:v>0</c:v>
                </c:pt>
                <c:pt idx="26">
                  <c:v>15978</c:v>
                </c:pt>
                <c:pt idx="27">
                  <c:v>51849</c:v>
                </c:pt>
                <c:pt idx="28">
                  <c:v>34395</c:v>
                </c:pt>
                <c:pt idx="29">
                  <c:v>24626</c:v>
                </c:pt>
                <c:pt idx="30">
                  <c:v>0</c:v>
                </c:pt>
              </c:numCache>
            </c:numRef>
          </c:val>
          <c:extLst>
            <c:ext xmlns:c16="http://schemas.microsoft.com/office/drawing/2014/chart" uri="{C3380CC4-5D6E-409C-BE32-E72D297353CC}">
              <c16:uniqueId val="{00000002-88D7-41E2-9AC6-818D539749B9}"/>
            </c:ext>
          </c:extLst>
        </c:ser>
        <c:ser>
          <c:idx val="3"/>
          <c:order val="3"/>
          <c:tx>
            <c:v>May Daily</c:v>
          </c:tx>
          <c:spPr>
            <a:solidFill>
              <a:srgbClr val="00B050"/>
            </a:solidFill>
            <a:ln>
              <a:solidFill>
                <a:srgbClr val="00B050"/>
              </a:solidFill>
            </a:ln>
            <a:effectLst/>
          </c:spPr>
          <c:invertIfNegative val="0"/>
          <c:val>
            <c:numRef>
              <c:f>Summary!$L$7:$L$37</c:f>
              <c:numCache>
                <c:formatCode>_(* #,##0.00_);_(* \(#,##0.00\);_(* "-"??_);_(@_)</c:formatCode>
                <c:ptCount val="31"/>
                <c:pt idx="0">
                  <c:v>0</c:v>
                </c:pt>
                <c:pt idx="1">
                  <c:v>31324</c:v>
                </c:pt>
                <c:pt idx="2">
                  <c:v>0</c:v>
                </c:pt>
                <c:pt idx="3">
                  <c:v>38209</c:v>
                </c:pt>
                <c:pt idx="4">
                  <c:v>21276</c:v>
                </c:pt>
                <c:pt idx="5">
                  <c:v>40219</c:v>
                </c:pt>
                <c:pt idx="6">
                  <c:v>16814</c:v>
                </c:pt>
                <c:pt idx="7">
                  <c:v>24832</c:v>
                </c:pt>
                <c:pt idx="8">
                  <c:v>64342</c:v>
                </c:pt>
                <c:pt idx="9">
                  <c:v>0</c:v>
                </c:pt>
                <c:pt idx="10">
                  <c:v>56942</c:v>
                </c:pt>
                <c:pt idx="11">
                  <c:v>32610</c:v>
                </c:pt>
                <c:pt idx="12">
                  <c:v>0</c:v>
                </c:pt>
                <c:pt idx="13">
                  <c:v>23260</c:v>
                </c:pt>
                <c:pt idx="14">
                  <c:v>56305</c:v>
                </c:pt>
                <c:pt idx="15">
                  <c:v>28127</c:v>
                </c:pt>
                <c:pt idx="16">
                  <c:v>0</c:v>
                </c:pt>
                <c:pt idx="17">
                  <c:v>44081</c:v>
                </c:pt>
                <c:pt idx="18">
                  <c:v>24697</c:v>
                </c:pt>
                <c:pt idx="19">
                  <c:v>46980</c:v>
                </c:pt>
                <c:pt idx="20">
                  <c:v>24114</c:v>
                </c:pt>
                <c:pt idx="21">
                  <c:v>44733</c:v>
                </c:pt>
                <c:pt idx="22">
                  <c:v>81345</c:v>
                </c:pt>
                <c:pt idx="23">
                  <c:v>0</c:v>
                </c:pt>
                <c:pt idx="24">
                  <c:v>53218</c:v>
                </c:pt>
                <c:pt idx="25">
                  <c:v>27451</c:v>
                </c:pt>
                <c:pt idx="26">
                  <c:v>34471</c:v>
                </c:pt>
                <c:pt idx="27">
                  <c:v>74795</c:v>
                </c:pt>
                <c:pt idx="28">
                  <c:v>41168</c:v>
                </c:pt>
                <c:pt idx="29">
                  <c:v>42620</c:v>
                </c:pt>
                <c:pt idx="30">
                  <c:v>0</c:v>
                </c:pt>
              </c:numCache>
            </c:numRef>
          </c:val>
          <c:extLst>
            <c:ext xmlns:c16="http://schemas.microsoft.com/office/drawing/2014/chart" uri="{C3380CC4-5D6E-409C-BE32-E72D297353CC}">
              <c16:uniqueId val="{00000003-88D7-41E2-9AC6-818D539749B9}"/>
            </c:ext>
          </c:extLst>
        </c:ser>
        <c:dLbls>
          <c:showLegendKey val="0"/>
          <c:showVal val="0"/>
          <c:showCatName val="0"/>
          <c:showSerName val="0"/>
          <c:showPercent val="0"/>
          <c:showBubbleSize val="0"/>
        </c:dLbls>
        <c:gapWidth val="150"/>
        <c:axId val="1614377072"/>
        <c:axId val="1614378160"/>
      </c:barChart>
      <c:lineChart>
        <c:grouping val="standard"/>
        <c:varyColors val="0"/>
        <c:ser>
          <c:idx val="0"/>
          <c:order val="4"/>
          <c:tx>
            <c:v>Break-even</c:v>
          </c:tx>
          <c:spPr>
            <a:ln w="28575" cap="rnd">
              <a:solidFill>
                <a:srgbClr val="FF0000"/>
              </a:solidFill>
              <a:round/>
            </a:ln>
            <a:effectLst/>
          </c:spPr>
          <c:marker>
            <c:symbol val="none"/>
          </c:marker>
          <c:val>
            <c:numRef>
              <c:f>Summary!$AF$7:$AF$37</c:f>
              <c:numCache>
                <c:formatCode>_(* #,##0.00_);_(* \(#,##0.00\);_(* "-"??_);_(@_)</c:formatCode>
                <c:ptCount val="31"/>
                <c:pt idx="0">
                  <c:v>75000</c:v>
                </c:pt>
                <c:pt idx="1">
                  <c:v>75000</c:v>
                </c:pt>
                <c:pt idx="2">
                  <c:v>75000</c:v>
                </c:pt>
                <c:pt idx="3">
                  <c:v>75000</c:v>
                </c:pt>
                <c:pt idx="4">
                  <c:v>75000</c:v>
                </c:pt>
                <c:pt idx="5">
                  <c:v>75000</c:v>
                </c:pt>
                <c:pt idx="6">
                  <c:v>75000</c:v>
                </c:pt>
                <c:pt idx="7">
                  <c:v>75000</c:v>
                </c:pt>
                <c:pt idx="8">
                  <c:v>75000</c:v>
                </c:pt>
                <c:pt idx="9">
                  <c:v>75000</c:v>
                </c:pt>
                <c:pt idx="10">
                  <c:v>75000</c:v>
                </c:pt>
                <c:pt idx="11">
                  <c:v>75000</c:v>
                </c:pt>
                <c:pt idx="12">
                  <c:v>75000</c:v>
                </c:pt>
                <c:pt idx="13">
                  <c:v>75000</c:v>
                </c:pt>
                <c:pt idx="14">
                  <c:v>75000</c:v>
                </c:pt>
                <c:pt idx="15">
                  <c:v>75000</c:v>
                </c:pt>
                <c:pt idx="16">
                  <c:v>75000</c:v>
                </c:pt>
                <c:pt idx="17">
                  <c:v>75000</c:v>
                </c:pt>
                <c:pt idx="18">
                  <c:v>75000</c:v>
                </c:pt>
                <c:pt idx="19">
                  <c:v>75000</c:v>
                </c:pt>
                <c:pt idx="20">
                  <c:v>75000</c:v>
                </c:pt>
                <c:pt idx="21">
                  <c:v>75000</c:v>
                </c:pt>
                <c:pt idx="22">
                  <c:v>75000</c:v>
                </c:pt>
                <c:pt idx="23">
                  <c:v>75000</c:v>
                </c:pt>
                <c:pt idx="24">
                  <c:v>75000</c:v>
                </c:pt>
                <c:pt idx="25">
                  <c:v>75000</c:v>
                </c:pt>
                <c:pt idx="26">
                  <c:v>75000</c:v>
                </c:pt>
                <c:pt idx="27">
                  <c:v>75000</c:v>
                </c:pt>
                <c:pt idx="28">
                  <c:v>75000</c:v>
                </c:pt>
                <c:pt idx="29">
                  <c:v>75000</c:v>
                </c:pt>
                <c:pt idx="30">
                  <c:v>75000</c:v>
                </c:pt>
              </c:numCache>
            </c:numRef>
          </c:val>
          <c:smooth val="0"/>
          <c:extLst>
            <c:ext xmlns:c16="http://schemas.microsoft.com/office/drawing/2014/chart" uri="{C3380CC4-5D6E-409C-BE32-E72D297353CC}">
              <c16:uniqueId val="{00000004-88D7-41E2-9AC6-818D539749B9}"/>
            </c:ext>
          </c:extLst>
        </c:ser>
        <c:ser>
          <c:idx val="1"/>
          <c:order val="5"/>
          <c:tx>
            <c:v>Actual Average</c:v>
          </c:tx>
          <c:spPr>
            <a:ln w="28575" cap="rnd">
              <a:solidFill>
                <a:srgbClr val="0070C0"/>
              </a:solidFill>
              <a:round/>
            </a:ln>
            <a:effectLst/>
          </c:spPr>
          <c:marker>
            <c:symbol val="none"/>
          </c:marker>
          <c:val>
            <c:numRef>
              <c:f>Summary!$AG$7:$AG$37</c:f>
              <c:numCache>
                <c:formatCode>_(* #,##0.00_);_(* \(#,##0.00\);_(* "-"??_);_(@_)</c:formatCode>
                <c:ptCount val="31"/>
                <c:pt idx="0">
                  <c:v>27605.129032258064</c:v>
                </c:pt>
                <c:pt idx="1">
                  <c:v>27605.129032258064</c:v>
                </c:pt>
                <c:pt idx="2">
                  <c:v>27605.129032258064</c:v>
                </c:pt>
                <c:pt idx="3">
                  <c:v>27605.129032258064</c:v>
                </c:pt>
                <c:pt idx="4">
                  <c:v>27605.129032258064</c:v>
                </c:pt>
                <c:pt idx="5">
                  <c:v>27605.129032258064</c:v>
                </c:pt>
                <c:pt idx="6">
                  <c:v>27605.129032258064</c:v>
                </c:pt>
                <c:pt idx="7">
                  <c:v>27605.129032258064</c:v>
                </c:pt>
                <c:pt idx="8">
                  <c:v>27605.129032258064</c:v>
                </c:pt>
                <c:pt idx="9">
                  <c:v>27605.129032258064</c:v>
                </c:pt>
                <c:pt idx="10">
                  <c:v>27605.129032258064</c:v>
                </c:pt>
                <c:pt idx="11">
                  <c:v>27605.129032258064</c:v>
                </c:pt>
                <c:pt idx="12">
                  <c:v>27605.129032258064</c:v>
                </c:pt>
                <c:pt idx="13">
                  <c:v>27605.129032258064</c:v>
                </c:pt>
                <c:pt idx="14">
                  <c:v>27605.129032258064</c:v>
                </c:pt>
                <c:pt idx="15">
                  <c:v>27605.129032258064</c:v>
                </c:pt>
                <c:pt idx="16">
                  <c:v>27605.129032258064</c:v>
                </c:pt>
                <c:pt idx="17">
                  <c:v>27605.129032258064</c:v>
                </c:pt>
                <c:pt idx="18">
                  <c:v>27605.129032258064</c:v>
                </c:pt>
                <c:pt idx="19">
                  <c:v>27605.129032258064</c:v>
                </c:pt>
                <c:pt idx="20">
                  <c:v>27605.129032258064</c:v>
                </c:pt>
                <c:pt idx="21">
                  <c:v>27605.129032258064</c:v>
                </c:pt>
                <c:pt idx="22">
                  <c:v>27605.129032258064</c:v>
                </c:pt>
                <c:pt idx="23">
                  <c:v>27605.129032258064</c:v>
                </c:pt>
                <c:pt idx="24">
                  <c:v>27605.129032258064</c:v>
                </c:pt>
                <c:pt idx="25">
                  <c:v>27605.129032258064</c:v>
                </c:pt>
                <c:pt idx="26">
                  <c:v>27605.129032258064</c:v>
                </c:pt>
                <c:pt idx="27">
                  <c:v>27605.129032258064</c:v>
                </c:pt>
                <c:pt idx="28">
                  <c:v>27605.129032258064</c:v>
                </c:pt>
                <c:pt idx="29">
                  <c:v>27605.129032258064</c:v>
                </c:pt>
                <c:pt idx="30">
                  <c:v>27605.129032258064</c:v>
                </c:pt>
              </c:numCache>
            </c:numRef>
          </c:val>
          <c:smooth val="0"/>
          <c:extLst>
            <c:ext xmlns:c16="http://schemas.microsoft.com/office/drawing/2014/chart" uri="{C3380CC4-5D6E-409C-BE32-E72D297353CC}">
              <c16:uniqueId val="{00000005-88D7-41E2-9AC6-818D539749B9}"/>
            </c:ext>
          </c:extLst>
        </c:ser>
        <c:dLbls>
          <c:showLegendKey val="0"/>
          <c:showVal val="0"/>
          <c:showCatName val="0"/>
          <c:showSerName val="0"/>
          <c:showPercent val="0"/>
          <c:showBubbleSize val="0"/>
        </c:dLbls>
        <c:marker val="1"/>
        <c:smooth val="0"/>
        <c:axId val="1614377072"/>
        <c:axId val="1614378160"/>
      </c:lineChart>
      <c:catAx>
        <c:axId val="1614377072"/>
        <c:scaling>
          <c:orientation val="minMax"/>
        </c:scaling>
        <c:delete val="0"/>
        <c:axPos val="b"/>
        <c:title>
          <c:tx>
            <c:rich>
              <a:bodyPr rot="0" spcFirstLastPara="1" vertOverflow="ellipsis" vert="horz" wrap="square" anchor="ctr" anchorCtr="1"/>
              <a:lstStyle/>
              <a:p>
                <a:pPr>
                  <a:defRPr lang="en-US" sz="900" b="0" i="0" u="none" strike="noStrike" baseline="0">
                    <a:solidFill>
                      <a:schemeClr val="tx1">
                        <a:lumMod val="65000"/>
                        <a:lumOff val="35000"/>
                      </a:schemeClr>
                    </a:solidFill>
                    <a:latin typeface="+mn-lt"/>
                    <a:ea typeface="+mn-ea"/>
                    <a:cs typeface="+mn-cs"/>
                  </a:defRPr>
                </a:pPr>
                <a:r>
                  <a:rPr lang="en-PH"/>
                  <a:t>day</a:t>
                </a:r>
                <a:r>
                  <a:rPr lang="en-PH" baseline="0"/>
                  <a:t> of the Month</a:t>
                </a:r>
                <a:endParaRPr lang="en-PH"/>
              </a:p>
            </c:rich>
          </c:tx>
          <c:overlay val="0"/>
          <c:spPr>
            <a:noFill/>
            <a:ln>
              <a:noFill/>
            </a:ln>
            <a:effectLst/>
          </c:spPr>
          <c:txPr>
            <a:bodyPr rot="0" spcFirstLastPara="1" vertOverflow="ellipsis" vert="horz" wrap="square" anchor="ctr" anchorCtr="1"/>
            <a:lstStyle/>
            <a:p>
              <a:pPr>
                <a:defRPr lang="en-US" sz="900" b="0" i="0" u="none" strike="noStrike" baseline="0">
                  <a:solidFill>
                    <a:schemeClr val="tx1">
                      <a:lumMod val="65000"/>
                      <a:lumOff val="35000"/>
                    </a:schemeClr>
                  </a:solidFill>
                  <a:latin typeface="+mn-lt"/>
                  <a:ea typeface="+mn-ea"/>
                  <a:cs typeface="+mn-cs"/>
                </a:defRPr>
              </a:pPr>
              <a:endParaRPr lang="en-PH"/>
            </a:p>
          </c:txPr>
        </c:title>
        <c:numFmt formatCode="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baseline="0">
                <a:solidFill>
                  <a:schemeClr val="tx1">
                    <a:lumMod val="65000"/>
                    <a:lumOff val="35000"/>
                  </a:schemeClr>
                </a:solidFill>
                <a:latin typeface="+mn-lt"/>
                <a:ea typeface="+mn-ea"/>
                <a:cs typeface="+mn-cs"/>
              </a:defRPr>
            </a:pPr>
            <a:endParaRPr lang="en-US"/>
          </a:p>
        </c:txPr>
        <c:crossAx val="1614378160"/>
        <c:crosses val="autoZero"/>
        <c:auto val="1"/>
        <c:lblAlgn val="ctr"/>
        <c:lblOffset val="100"/>
        <c:noMultiLvlLbl val="0"/>
      </c:catAx>
      <c:valAx>
        <c:axId val="1614378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900" b="0" i="0" u="none" strike="noStrike" baseline="0">
                    <a:solidFill>
                      <a:schemeClr val="tx1">
                        <a:lumMod val="65000"/>
                        <a:lumOff val="35000"/>
                      </a:schemeClr>
                    </a:solidFill>
                    <a:latin typeface="+mn-lt"/>
                    <a:ea typeface="+mn-ea"/>
                    <a:cs typeface="+mn-cs"/>
                  </a:defRPr>
                </a:pPr>
                <a:r>
                  <a:rPr lang="en-PH"/>
                  <a:t>sales</a:t>
                </a:r>
                <a:r>
                  <a:rPr lang="en-PH" baseline="0"/>
                  <a:t> amount</a:t>
                </a:r>
                <a:endParaRPr lang="en-PH"/>
              </a:p>
            </c:rich>
          </c:tx>
          <c:overlay val="0"/>
          <c:spPr>
            <a:noFill/>
            <a:ln>
              <a:noFill/>
            </a:ln>
            <a:effectLst/>
          </c:spPr>
          <c:txPr>
            <a:bodyPr rot="-5400000" spcFirstLastPara="1" vertOverflow="ellipsis" vert="horz" wrap="square" anchor="ctr" anchorCtr="1"/>
            <a:lstStyle/>
            <a:p>
              <a:pPr>
                <a:defRPr lang="en-US" sz="900" b="0" i="0" u="none" strike="noStrike" baseline="0">
                  <a:solidFill>
                    <a:schemeClr val="tx1">
                      <a:lumMod val="65000"/>
                      <a:lumOff val="35000"/>
                    </a:schemeClr>
                  </a:solidFill>
                  <a:latin typeface="+mn-lt"/>
                  <a:ea typeface="+mn-ea"/>
                  <a:cs typeface="+mn-cs"/>
                </a:defRPr>
              </a:pPr>
              <a:endParaRPr lang="en-PH"/>
            </a:p>
          </c:txPr>
        </c:title>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baseline="0">
                <a:solidFill>
                  <a:schemeClr val="tx1">
                    <a:lumMod val="65000"/>
                    <a:lumOff val="35000"/>
                  </a:schemeClr>
                </a:solidFill>
                <a:latin typeface="+mn-lt"/>
                <a:ea typeface="+mn-ea"/>
                <a:cs typeface="+mn-cs"/>
              </a:defRPr>
            </a:pPr>
            <a:endParaRPr lang="en-US"/>
          </a:p>
        </c:txPr>
        <c:crossAx val="1614377072"/>
        <c:crosses val="autoZero"/>
        <c:crossBetween val="between"/>
      </c:valAx>
      <c:spPr>
        <a:noFill/>
        <a:ln>
          <a:noFill/>
        </a:ln>
        <a:effectLst/>
      </c:spPr>
    </c:plotArea>
    <c:legend>
      <c:legendPos val="r"/>
      <c:layout>
        <c:manualLayout>
          <c:xMode val="edge"/>
          <c:yMode val="edge"/>
          <c:x val="0.823613773435656"/>
          <c:y val="0.15045546928689399"/>
          <c:w val="0.16476788629761599"/>
          <c:h val="0.417821058326388"/>
        </c:manualLayout>
      </c:layout>
      <c:overlay val="0"/>
      <c:spPr>
        <a:noFill/>
        <a:ln>
          <a:noFill/>
        </a:ln>
        <a:effectLst/>
      </c:spPr>
      <c:txPr>
        <a:bodyPr rot="0" spcFirstLastPara="1" vertOverflow="ellipsis" vert="horz" wrap="square" anchor="ctr" anchorCtr="1"/>
        <a:lstStyle/>
        <a:p>
          <a:pPr>
            <a:defRPr lang="en-US"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9559dadb-578c-4f7e-99cc-b49e3ddf6aa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400" b="1" i="0" u="sng" strike="noStrike" kern="1200" spc="0" baseline="0">
                <a:solidFill>
                  <a:srgbClr val="FF0000"/>
                </a:solidFill>
                <a:latin typeface="+mn-lt"/>
                <a:ea typeface="+mn-ea"/>
                <a:cs typeface="+mn-cs"/>
              </a:defRPr>
            </a:pPr>
            <a:r>
              <a:rPr lang="en-PH" sz="2400" b="1" u="sng">
                <a:solidFill>
                  <a:srgbClr val="FF0000"/>
                </a:solidFill>
              </a:rPr>
              <a:t>Monthly</a:t>
            </a:r>
            <a:r>
              <a:rPr lang="en-PH" sz="2400" b="1" u="sng" baseline="0">
                <a:solidFill>
                  <a:srgbClr val="FF0000"/>
                </a:solidFill>
              </a:rPr>
              <a:t> Sales 2021</a:t>
            </a:r>
            <a:endParaRPr lang="en-PH" sz="2400" b="1" u="sng">
              <a:solidFill>
                <a:srgbClr val="FF0000"/>
              </a:solidFill>
            </a:endParaRPr>
          </a:p>
        </c:rich>
      </c:tx>
      <c:overlay val="0"/>
      <c:spPr>
        <a:noFill/>
        <a:ln>
          <a:noFill/>
        </a:ln>
        <a:effectLst/>
      </c:spPr>
      <c:txPr>
        <a:bodyPr rot="0" spcFirstLastPara="1" vertOverflow="ellipsis" vert="horz" wrap="square" anchor="ctr" anchorCtr="1"/>
        <a:lstStyle/>
        <a:p>
          <a:pPr>
            <a:defRPr lang="en-US" sz="2400" b="1" i="0" u="sng" strike="noStrike" kern="1200" spc="0" baseline="0">
              <a:solidFill>
                <a:srgbClr val="FF0000"/>
              </a:solidFill>
              <a:latin typeface="+mn-lt"/>
              <a:ea typeface="+mn-ea"/>
              <a:cs typeface="+mn-cs"/>
            </a:defRPr>
          </a:pPr>
          <a:endParaRPr lang="en-PH"/>
        </a:p>
      </c:txPr>
    </c:title>
    <c:autoTitleDeleted val="0"/>
    <c:plotArea>
      <c:layout>
        <c:manualLayout>
          <c:layoutTarget val="inner"/>
          <c:xMode val="edge"/>
          <c:yMode val="edge"/>
          <c:x val="0.120821383806249"/>
          <c:y val="0.141441816486823"/>
          <c:w val="0.68527618745492103"/>
          <c:h val="0.79613128519454301"/>
        </c:manualLayout>
      </c:layout>
      <c:barChart>
        <c:barDir val="col"/>
        <c:grouping val="clustered"/>
        <c:varyColors val="0"/>
        <c:ser>
          <c:idx val="3"/>
          <c:order val="0"/>
          <c:tx>
            <c:v>BREAKEVEN</c:v>
          </c:tx>
          <c:spPr>
            <a:solidFill>
              <a:srgbClr val="FF99FF"/>
            </a:solidFill>
            <a:ln>
              <a:noFill/>
            </a:ln>
            <a:effectLst/>
          </c:spPr>
          <c:invertIfNegative val="0"/>
          <c:dLbls>
            <c:dLbl>
              <c:idx val="5"/>
              <c:layout>
                <c:manualLayout>
                  <c:x val="-6.33461587852713E-17"/>
                  <c:y val="1.29969437737885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621-40B0-A832-CD37AACAAABB}"/>
                </c:ext>
              </c:extLst>
            </c:dLbl>
            <c:dLbl>
              <c:idx val="8"/>
              <c:layout>
                <c:manualLayout>
                  <c:x val="1.58824290061665E-3"/>
                  <c:y val="8.27560501514685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21-40B0-A832-CD37AACAAABB}"/>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FF99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0"/>
              <c:pt idx="0">
                <c:v>194513.69633844699</c:v>
              </c:pt>
              <c:pt idx="1">
                <c:v>384571.817112213</c:v>
              </c:pt>
              <c:pt idx="2">
                <c:v>431273.35046670301</c:v>
              </c:pt>
              <c:pt idx="3">
                <c:v>567877.98604596895</c:v>
              </c:pt>
              <c:pt idx="4">
                <c:v>683408.77219980804</c:v>
              </c:pt>
              <c:pt idx="5">
                <c:v>520958.54517372698</c:v>
              </c:pt>
              <c:pt idx="6">
                <c:v>520958.54517372698</c:v>
              </c:pt>
              <c:pt idx="7">
                <c:v>461898.921336714</c:v>
              </c:pt>
              <c:pt idx="8">
                <c:v>626137.59298843995</c:v>
              </c:pt>
              <c:pt idx="9">
                <c:v>432550.01510874799</c:v>
              </c:pt>
            </c:numLit>
          </c:val>
          <c:extLst>
            <c:ext xmlns:c16="http://schemas.microsoft.com/office/drawing/2014/chart" uri="{C3380CC4-5D6E-409C-BE32-E72D297353CC}">
              <c16:uniqueId val="{00000002-4621-40B0-A832-CD37AACAAABB}"/>
            </c:ext>
          </c:extLst>
        </c:ser>
        <c:ser>
          <c:idx val="0"/>
          <c:order val="1"/>
          <c:tx>
            <c:v>RUNNING SALES</c:v>
          </c:tx>
          <c:spPr>
            <a:solidFill>
              <a:schemeClr val="tx1">
                <a:lumMod val="75000"/>
                <a:lumOff val="25000"/>
              </a:schemeClr>
            </a:solidFill>
            <a:ln>
              <a:noFill/>
            </a:ln>
            <a:effectLst/>
          </c:spPr>
          <c:invertIfNegative val="0"/>
          <c:dPt>
            <c:idx val="0"/>
            <c:invertIfNegative val="0"/>
            <c:bubble3D val="0"/>
            <c:extLst>
              <c:ext xmlns:c16="http://schemas.microsoft.com/office/drawing/2014/chart" uri="{C3380CC4-5D6E-409C-BE32-E72D297353CC}">
                <c16:uniqueId val="{00000003-4621-40B0-A832-CD37AACAAABB}"/>
              </c:ext>
            </c:extLst>
          </c:dPt>
          <c:dPt>
            <c:idx val="1"/>
            <c:invertIfNegative val="0"/>
            <c:bubble3D val="0"/>
            <c:extLst>
              <c:ext xmlns:c16="http://schemas.microsoft.com/office/drawing/2014/chart" uri="{C3380CC4-5D6E-409C-BE32-E72D297353CC}">
                <c16:uniqueId val="{00000004-4621-40B0-A832-CD37AACAAABB}"/>
              </c:ext>
            </c:extLst>
          </c:dPt>
          <c:dPt>
            <c:idx val="2"/>
            <c:invertIfNegative val="0"/>
            <c:bubble3D val="0"/>
            <c:extLst>
              <c:ext xmlns:c16="http://schemas.microsoft.com/office/drawing/2014/chart" uri="{C3380CC4-5D6E-409C-BE32-E72D297353CC}">
                <c16:uniqueId val="{00000005-4621-40B0-A832-CD37AACAAABB}"/>
              </c:ext>
            </c:extLst>
          </c:dPt>
          <c:dPt>
            <c:idx val="3"/>
            <c:invertIfNegative val="0"/>
            <c:bubble3D val="0"/>
            <c:extLst>
              <c:ext xmlns:c16="http://schemas.microsoft.com/office/drawing/2014/chart" uri="{C3380CC4-5D6E-409C-BE32-E72D297353CC}">
                <c16:uniqueId val="{00000006-4621-40B0-A832-CD37AACAAABB}"/>
              </c:ext>
            </c:extLst>
          </c:dPt>
          <c:dPt>
            <c:idx val="4"/>
            <c:invertIfNegative val="0"/>
            <c:bubble3D val="0"/>
            <c:extLst>
              <c:ext xmlns:c16="http://schemas.microsoft.com/office/drawing/2014/chart" uri="{C3380CC4-5D6E-409C-BE32-E72D297353CC}">
                <c16:uniqueId val="{00000007-4621-40B0-A832-CD37AACAAABB}"/>
              </c:ext>
            </c:extLst>
          </c:dPt>
          <c:dPt>
            <c:idx val="5"/>
            <c:invertIfNegative val="0"/>
            <c:bubble3D val="0"/>
            <c:extLst>
              <c:ext xmlns:c16="http://schemas.microsoft.com/office/drawing/2014/chart" uri="{C3380CC4-5D6E-409C-BE32-E72D297353CC}">
                <c16:uniqueId val="{00000008-4621-40B0-A832-CD37AACAAABB}"/>
              </c:ext>
            </c:extLst>
          </c:dPt>
          <c:dPt>
            <c:idx val="6"/>
            <c:invertIfNegative val="0"/>
            <c:bubble3D val="0"/>
            <c:extLst>
              <c:ext xmlns:c16="http://schemas.microsoft.com/office/drawing/2014/chart" uri="{C3380CC4-5D6E-409C-BE32-E72D297353CC}">
                <c16:uniqueId val="{00000009-4621-40B0-A832-CD37AACAAABB}"/>
              </c:ext>
            </c:extLst>
          </c:dPt>
          <c:dPt>
            <c:idx val="7"/>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B-4621-40B0-A832-CD37AACAAABB}"/>
              </c:ext>
            </c:extLst>
          </c:dPt>
          <c:dPt>
            <c:idx val="8"/>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D-4621-40B0-A832-CD37AACAAABB}"/>
              </c:ext>
            </c:extLst>
          </c:dPt>
          <c:dPt>
            <c:idx val="9"/>
            <c:invertIfNegative val="0"/>
            <c:bubble3D val="0"/>
            <c:extLst>
              <c:ext xmlns:c16="http://schemas.microsoft.com/office/drawing/2014/chart" uri="{C3380CC4-5D6E-409C-BE32-E72D297353CC}">
                <c16:uniqueId val="{0000000E-4621-40B0-A832-CD37AACAAABB}"/>
              </c:ext>
            </c:extLst>
          </c:dPt>
          <c:dLbls>
            <c:dLbl>
              <c:idx val="0"/>
              <c:layout>
                <c:manualLayout>
                  <c:x val="0"/>
                  <c:y val="5.9649133294250402E-2"/>
                </c:manualLayout>
              </c:layout>
              <c:spPr>
                <a:solidFill>
                  <a:schemeClr val="bg1">
                    <a:lumMod val="65000"/>
                  </a:schemeClr>
                </a:solid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21-40B0-A832-CD37AACAAABB}"/>
                </c:ext>
              </c:extLst>
            </c:dLbl>
            <c:dLbl>
              <c:idx val="1"/>
              <c:layout>
                <c:manualLayout>
                  <c:x val="0"/>
                  <c:y val="7.3205754497489103E-2"/>
                </c:manualLayout>
              </c:layout>
              <c:spPr>
                <a:solidFill>
                  <a:schemeClr val="bg1">
                    <a:lumMod val="65000"/>
                  </a:schemeClr>
                </a:solid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21-40B0-A832-CD37AACAAABB}"/>
                </c:ext>
              </c:extLst>
            </c:dLbl>
            <c:dLbl>
              <c:idx val="2"/>
              <c:layout>
                <c:manualLayout>
                  <c:x val="-1.72764246996833E-3"/>
                  <c:y val="5.6937809053602698E-2"/>
                </c:manualLayout>
              </c:layout>
              <c:spPr>
                <a:solidFill>
                  <a:schemeClr val="bg1">
                    <a:lumMod val="65000"/>
                  </a:schemeClr>
                </a:solid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21-40B0-A832-CD37AACAAABB}"/>
                </c:ext>
              </c:extLst>
            </c:dLbl>
            <c:dLbl>
              <c:idx val="3"/>
              <c:layout>
                <c:manualLayout>
                  <c:x val="0"/>
                  <c:y val="5.42264848129549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621-40B0-A832-CD37AACAAABB}"/>
                </c:ext>
              </c:extLst>
            </c:dLbl>
            <c:dLbl>
              <c:idx val="4"/>
              <c:layout>
                <c:manualLayout>
                  <c:x val="-6.33461587852713E-17"/>
                  <c:y val="6.2552847120137797E-2"/>
                </c:manualLayout>
              </c:layout>
              <c:spPr>
                <a:solidFill>
                  <a:schemeClr val="bg1">
                    <a:lumMod val="65000"/>
                  </a:schemeClr>
                </a:solid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621-40B0-A832-CD37AACAAABB}"/>
                </c:ext>
              </c:extLst>
            </c:dLbl>
            <c:dLbl>
              <c:idx val="5"/>
              <c:layout>
                <c:manualLayout>
                  <c:x val="0"/>
                  <c:y val="5.4746873897699701E-2"/>
                </c:manualLayout>
              </c:layout>
              <c:spPr>
                <a:solidFill>
                  <a:schemeClr val="bg1">
                    <a:lumMod val="65000"/>
                  </a:schemeClr>
                </a:solid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621-40B0-A832-CD37AACAAABB}"/>
                </c:ext>
              </c:extLst>
            </c:dLbl>
            <c:dLbl>
              <c:idx val="6"/>
              <c:layout>
                <c:manualLayout>
                  <c:x val="3.4552849399364701E-3"/>
                  <c:y val="5.4224520726197503E-2"/>
                </c:manualLayout>
              </c:layout>
              <c:spPr>
                <a:solidFill>
                  <a:schemeClr val="bg1">
                    <a:lumMod val="65000"/>
                  </a:schemeClr>
                </a:solid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621-40B0-A832-CD37AACAAABB}"/>
                </c:ext>
              </c:extLst>
            </c:dLbl>
            <c:dLbl>
              <c:idx val="7"/>
              <c:layout>
                <c:manualLayout>
                  <c:x val="7.1601816736921496E-4"/>
                  <c:y val="6.021158107881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621-40B0-A832-CD37AACAAABB}"/>
                </c:ext>
              </c:extLst>
            </c:dLbl>
            <c:dLbl>
              <c:idx val="8"/>
              <c:layout>
                <c:manualLayout>
                  <c:x val="2.46807798250518E-3"/>
                  <c:y val="5.5813653885538501E-2"/>
                </c:manualLayout>
              </c:layout>
              <c:spPr>
                <a:solidFill>
                  <a:schemeClr val="bg1">
                    <a:lumMod val="75000"/>
                  </a:schemeClr>
                </a:solid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621-40B0-A832-CD37AACAAABB}"/>
                </c:ext>
              </c:extLst>
            </c:dLbl>
            <c:dLbl>
              <c:idx val="9"/>
              <c:layout>
                <c:manualLayout>
                  <c:x val="2.70535826832839E-3"/>
                  <c:y val="5.4356525736316899E-3"/>
                </c:manualLayout>
              </c:layout>
              <c:spPr>
                <a:solidFill>
                  <a:schemeClr val="bg1">
                    <a:lumMod val="75000"/>
                  </a:schemeClr>
                </a:solid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621-40B0-A832-CD37AACAAABB}"/>
                </c:ext>
              </c:extLst>
            </c:dLbl>
            <c:spPr>
              <a:solidFill>
                <a:schemeClr val="bg1">
                  <a:lumMod val="65000"/>
                </a:schemeClr>
              </a:solid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FF0000"/>
                      </a:solidFill>
                      <a:round/>
                    </a:ln>
                    <a:effectLst/>
                  </c:spPr>
                </c15:leaderLines>
              </c:ext>
            </c:extLst>
          </c:dLbls>
          <c:cat>
            <c:numLit>
              <c:formatCode>General</c:formatCode>
              <c:ptCount val="10"/>
              <c:pt idx="0">
                <c:v>44256</c:v>
              </c:pt>
              <c:pt idx="1">
                <c:v>44288</c:v>
              </c:pt>
              <c:pt idx="2">
                <c:v>44318</c:v>
              </c:pt>
              <c:pt idx="3">
                <c:v>44349</c:v>
              </c:pt>
              <c:pt idx="4">
                <c:v>44379</c:v>
              </c:pt>
              <c:pt idx="5">
                <c:v>44410</c:v>
              </c:pt>
              <c:pt idx="6">
                <c:v>44441</c:v>
              </c:pt>
              <c:pt idx="7">
                <c:v>44471</c:v>
              </c:pt>
              <c:pt idx="8">
                <c:v>44502</c:v>
              </c:pt>
              <c:pt idx="9">
                <c:v>44532</c:v>
              </c:pt>
            </c:numLit>
          </c:cat>
          <c:val>
            <c:numLit>
              <c:formatCode>General</c:formatCode>
              <c:ptCount val="10"/>
              <c:pt idx="0">
                <c:v>203187.245</c:v>
              </c:pt>
              <c:pt idx="1">
                <c:v>306367</c:v>
              </c:pt>
              <c:pt idx="2">
                <c:v>891933.5</c:v>
              </c:pt>
              <c:pt idx="3">
                <c:v>854495.47058823495</c:v>
              </c:pt>
              <c:pt idx="4">
                <c:v>930910</c:v>
              </c:pt>
              <c:pt idx="5">
                <c:v>855021</c:v>
              </c:pt>
              <c:pt idx="6">
                <c:v>1117506</c:v>
              </c:pt>
              <c:pt idx="7">
                <c:v>1157835.58333333</c:v>
              </c:pt>
              <c:pt idx="8">
                <c:v>2459420.94</c:v>
              </c:pt>
              <c:pt idx="9">
                <c:v>795450</c:v>
              </c:pt>
            </c:numLit>
          </c:val>
          <c:extLst>
            <c:ext xmlns:c16="http://schemas.microsoft.com/office/drawing/2014/chart" uri="{C3380CC4-5D6E-409C-BE32-E72D297353CC}">
              <c16:uniqueId val="{0000000F-4621-40B0-A832-CD37AACAAABB}"/>
            </c:ext>
          </c:extLst>
        </c:ser>
        <c:ser>
          <c:idx val="4"/>
          <c:order val="2"/>
          <c:tx>
            <c:v>EXPENSES</c:v>
          </c:tx>
          <c:spPr>
            <a:solidFill>
              <a:srgbClr val="7030A0"/>
            </a:solidFill>
            <a:ln>
              <a:noFill/>
            </a:ln>
            <a:effectLst/>
          </c:spPr>
          <c:invertIfNegative val="0"/>
          <c:dLbls>
            <c:dLbl>
              <c:idx val="8"/>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10-4621-40B0-A832-CD37AACAAABB}"/>
                </c:ext>
              </c:extLst>
            </c:dLbl>
            <c:dLbl>
              <c:idx val="9"/>
              <c:layout>
                <c:manualLayout>
                  <c:x val="-1.09643996423321E-16"/>
                  <c:y val="-8.1532631135624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621-40B0-A832-CD37AACAAABB}"/>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0"/>
              <c:pt idx="0">
                <c:v>-25000</c:v>
              </c:pt>
              <c:pt idx="1">
                <c:v>-66591.14</c:v>
              </c:pt>
              <c:pt idx="2">
                <c:v>-65012.78</c:v>
              </c:pt>
              <c:pt idx="3">
                <c:v>-85000</c:v>
              </c:pt>
              <c:pt idx="4">
                <c:v>-73538</c:v>
              </c:pt>
              <c:pt idx="5">
                <c:v>-72435</c:v>
              </c:pt>
              <c:pt idx="6">
                <c:v>-63532</c:v>
              </c:pt>
              <c:pt idx="7">
                <c:v>-80227</c:v>
              </c:pt>
              <c:pt idx="8">
                <c:v>-75000</c:v>
              </c:pt>
              <c:pt idx="9">
                <c:v>-76217</c:v>
              </c:pt>
            </c:numLit>
          </c:val>
          <c:extLst>
            <c:ext xmlns:c16="http://schemas.microsoft.com/office/drawing/2014/chart" uri="{C3380CC4-5D6E-409C-BE32-E72D297353CC}">
              <c16:uniqueId val="{00000012-4621-40B0-A832-CD37AACAAABB}"/>
            </c:ext>
          </c:extLst>
        </c:ser>
        <c:ser>
          <c:idx val="1"/>
          <c:order val="3"/>
          <c:tx>
            <c:v>NET INCOME</c:v>
          </c:tx>
          <c:spPr>
            <a:solidFill>
              <a:schemeClr val="accent2">
                <a:lumMod val="75000"/>
              </a:schemeClr>
            </a:solidFill>
            <a:ln>
              <a:noFill/>
            </a:ln>
            <a:effectLst/>
          </c:spPr>
          <c:invertIfNegative val="0"/>
          <c:dPt>
            <c:idx val="6"/>
            <c:invertIfNegative val="0"/>
            <c:bubble3D val="0"/>
            <c:extLst>
              <c:ext xmlns:c16="http://schemas.microsoft.com/office/drawing/2014/chart" uri="{C3380CC4-5D6E-409C-BE32-E72D297353CC}">
                <c16:uniqueId val="{00000013-4621-40B0-A832-CD37AACAAABB}"/>
              </c:ext>
            </c:extLst>
          </c:dPt>
          <c:dPt>
            <c:idx val="7"/>
            <c:invertIfNegative val="0"/>
            <c:bubble3D val="0"/>
            <c:extLst>
              <c:ext xmlns:c16="http://schemas.microsoft.com/office/drawing/2014/chart" uri="{C3380CC4-5D6E-409C-BE32-E72D297353CC}">
                <c16:uniqueId val="{00000014-4621-40B0-A832-CD37AACAAABB}"/>
              </c:ext>
            </c:extLst>
          </c:dPt>
          <c:dPt>
            <c:idx val="8"/>
            <c:invertIfNegative val="0"/>
            <c:bubble3D val="0"/>
            <c:extLst>
              <c:ext xmlns:c16="http://schemas.microsoft.com/office/drawing/2014/chart" uri="{C3380CC4-5D6E-409C-BE32-E72D297353CC}">
                <c16:uniqueId val="{00000015-4621-40B0-A832-CD37AACAAABB}"/>
              </c:ext>
            </c:extLst>
          </c:dPt>
          <c:dPt>
            <c:idx val="9"/>
            <c:invertIfNegative val="0"/>
            <c:bubble3D val="0"/>
            <c:extLst>
              <c:ext xmlns:c16="http://schemas.microsoft.com/office/drawing/2014/chart" uri="{C3380CC4-5D6E-409C-BE32-E72D297353CC}">
                <c16:uniqueId val="{00000016-4621-40B0-A832-CD37AACAAABB}"/>
              </c:ext>
            </c:extLst>
          </c:dPt>
          <c:dLbls>
            <c:dLbl>
              <c:idx val="5"/>
              <c:layout>
                <c:manualLayout>
                  <c:x val="-6.33461587852713E-17"/>
                  <c:y val="2.599388754757799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621-40B0-A832-CD37AACAAABB}"/>
                </c:ext>
              </c:extLst>
            </c:dLbl>
            <c:dLbl>
              <c:idx val="6"/>
              <c:layout>
                <c:manualLayout>
                  <c:x val="3.4552849399366002E-3"/>
                  <c:y val="8.4386618982601196E-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621-40B0-A832-CD37AACAAABB}"/>
                </c:ext>
              </c:extLst>
            </c:dLbl>
            <c:dLbl>
              <c:idx val="7"/>
              <c:layout>
                <c:manualLayout>
                  <c:x val="2.5700500657957499E-3"/>
                  <c:y val="6.7035378957052696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4621-40B0-A832-CD37AACAAABB}"/>
                </c:ext>
              </c:extLst>
            </c:dLbl>
            <c:dLbl>
              <c:idx val="8"/>
              <c:layout>
                <c:manualLayout>
                  <c:x val="7.0190235316236905E-4"/>
                  <c:y val="5.7566544464377504E-3"/>
                </c:manualLayout>
              </c:layout>
              <c:spPr>
                <a:solidFill>
                  <a:schemeClr val="bg1">
                    <a:lumMod val="75000"/>
                  </a:schemeClr>
                </a:solid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621-40B0-A832-CD37AACAAABB}"/>
                </c:ext>
              </c:extLst>
            </c:dLbl>
            <c:dLbl>
              <c:idx val="9"/>
              <c:layout>
                <c:manualLayout>
                  <c:x val="-2.5373655621476301E-4"/>
                  <c:y val="2.71782628681575E-3"/>
                </c:manualLayout>
              </c:layout>
              <c:spPr>
                <a:solidFill>
                  <a:schemeClr val="bg1">
                    <a:lumMod val="75000"/>
                  </a:schemeClr>
                </a:solid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4621-40B0-A832-CD37AACAAABB}"/>
                </c:ext>
              </c:extLst>
            </c:dLbl>
            <c:spPr>
              <a:solidFill>
                <a:schemeClr val="bg1">
                  <a:lumMod val="65000"/>
                </a:schemeClr>
              </a:solid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FF0000"/>
                      </a:solidFill>
                      <a:round/>
                    </a:ln>
                    <a:effectLst/>
                  </c:spPr>
                </c15:leaderLines>
              </c:ext>
            </c:extLst>
          </c:dLbls>
          <c:val>
            <c:numLit>
              <c:formatCode>General</c:formatCode>
              <c:ptCount val="10"/>
              <c:pt idx="0">
                <c:v>1114.77351271726</c:v>
              </c:pt>
              <c:pt idx="1">
                <c:v>-13541.678545503501</c:v>
              </c:pt>
              <c:pt idx="2">
                <c:v>69442.725649443499</c:v>
              </c:pt>
              <c:pt idx="3">
                <c:v>38607.227756211199</c:v>
              </c:pt>
              <c:pt idx="4">
                <c:v>59219.249449641196</c:v>
              </c:pt>
              <c:pt idx="5">
                <c:v>40039.349626792398</c:v>
              </c:pt>
              <c:pt idx="6">
                <c:v>69595.605707468494</c:v>
              </c:pt>
              <c:pt idx="7">
                <c:v>94770.891805955107</c:v>
              </c:pt>
              <c:pt idx="8">
                <c:v>158887.47742501399</c:v>
              </c:pt>
              <c:pt idx="9">
                <c:v>43601.159676738498</c:v>
              </c:pt>
            </c:numLit>
          </c:val>
          <c:extLst>
            <c:ext xmlns:c16="http://schemas.microsoft.com/office/drawing/2014/chart" uri="{C3380CC4-5D6E-409C-BE32-E72D297353CC}">
              <c16:uniqueId val="{00000018-4621-40B0-A832-CD37AACAAABB}"/>
            </c:ext>
          </c:extLst>
        </c:ser>
        <c:dLbls>
          <c:showLegendKey val="0"/>
          <c:showVal val="0"/>
          <c:showCatName val="0"/>
          <c:showSerName val="0"/>
          <c:showPercent val="0"/>
          <c:showBubbleSize val="0"/>
        </c:dLbls>
        <c:gapWidth val="0"/>
        <c:overlap val="100"/>
        <c:axId val="1567939808"/>
        <c:axId val="1567942528"/>
      </c:barChart>
      <c:lineChart>
        <c:grouping val="standard"/>
        <c:varyColors val="0"/>
        <c:ser>
          <c:idx val="2"/>
          <c:order val="4"/>
          <c:tx>
            <c:v>TARGET SALES</c:v>
          </c:tx>
          <c:spPr>
            <a:ln w="28575" cap="rnd">
              <a:solidFill>
                <a:srgbClr val="FF0000"/>
              </a:solidFill>
              <a:prstDash val="lgDashDot"/>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9-4621-40B0-A832-CD37AACAAABB}"/>
                </c:ext>
              </c:extLst>
            </c:dLbl>
            <c:dLbl>
              <c:idx val="1"/>
              <c:delete val="1"/>
              <c:extLst>
                <c:ext xmlns:c15="http://schemas.microsoft.com/office/drawing/2012/chart" uri="{CE6537A1-D6FC-4f65-9D91-7224C49458BB}"/>
                <c:ext xmlns:c16="http://schemas.microsoft.com/office/drawing/2014/chart" uri="{C3380CC4-5D6E-409C-BE32-E72D297353CC}">
                  <c16:uniqueId val="{0000001A-4621-40B0-A832-CD37AACAAABB}"/>
                </c:ext>
              </c:extLst>
            </c:dLbl>
            <c:dLbl>
              <c:idx val="2"/>
              <c:delete val="1"/>
              <c:extLst>
                <c:ext xmlns:c15="http://schemas.microsoft.com/office/drawing/2012/chart" uri="{CE6537A1-D6FC-4f65-9D91-7224C49458BB}"/>
                <c:ext xmlns:c16="http://schemas.microsoft.com/office/drawing/2014/chart" uri="{C3380CC4-5D6E-409C-BE32-E72D297353CC}">
                  <c16:uniqueId val="{0000001B-4621-40B0-A832-CD37AACAAABB}"/>
                </c:ext>
              </c:extLst>
            </c:dLbl>
            <c:dLbl>
              <c:idx val="3"/>
              <c:delete val="1"/>
              <c:extLst>
                <c:ext xmlns:c15="http://schemas.microsoft.com/office/drawing/2012/chart" uri="{CE6537A1-D6FC-4f65-9D91-7224C49458BB}"/>
                <c:ext xmlns:c16="http://schemas.microsoft.com/office/drawing/2014/chart" uri="{C3380CC4-5D6E-409C-BE32-E72D297353CC}">
                  <c16:uniqueId val="{0000001C-4621-40B0-A832-CD37AACAAABB}"/>
                </c:ext>
              </c:extLst>
            </c:dLbl>
            <c:dLbl>
              <c:idx val="4"/>
              <c:delete val="1"/>
              <c:extLst>
                <c:ext xmlns:c15="http://schemas.microsoft.com/office/drawing/2012/chart" uri="{CE6537A1-D6FC-4f65-9D91-7224C49458BB}"/>
                <c:ext xmlns:c16="http://schemas.microsoft.com/office/drawing/2014/chart" uri="{C3380CC4-5D6E-409C-BE32-E72D297353CC}">
                  <c16:uniqueId val="{0000001D-4621-40B0-A832-CD37AACAAABB}"/>
                </c:ext>
              </c:extLst>
            </c:dLbl>
            <c:dLbl>
              <c:idx val="5"/>
              <c:delete val="1"/>
              <c:extLst>
                <c:ext xmlns:c15="http://schemas.microsoft.com/office/drawing/2012/chart" uri="{CE6537A1-D6FC-4f65-9D91-7224C49458BB}"/>
                <c:ext xmlns:c16="http://schemas.microsoft.com/office/drawing/2014/chart" uri="{C3380CC4-5D6E-409C-BE32-E72D297353CC}">
                  <c16:uniqueId val="{0000001E-4621-40B0-A832-CD37AACAAABB}"/>
                </c:ext>
              </c:extLst>
            </c:dLbl>
            <c:dLbl>
              <c:idx val="6"/>
              <c:delete val="1"/>
              <c:extLst>
                <c:ext xmlns:c15="http://schemas.microsoft.com/office/drawing/2012/chart" uri="{CE6537A1-D6FC-4f65-9D91-7224C49458BB}"/>
                <c:ext xmlns:c16="http://schemas.microsoft.com/office/drawing/2014/chart" uri="{C3380CC4-5D6E-409C-BE32-E72D297353CC}">
                  <c16:uniqueId val="{0000001F-4621-40B0-A832-CD37AACAAABB}"/>
                </c:ext>
              </c:extLst>
            </c:dLbl>
            <c:dLbl>
              <c:idx val="7"/>
              <c:delete val="1"/>
              <c:extLst>
                <c:ext xmlns:c15="http://schemas.microsoft.com/office/drawing/2012/chart" uri="{CE6537A1-D6FC-4f65-9D91-7224C49458BB}"/>
                <c:ext xmlns:c16="http://schemas.microsoft.com/office/drawing/2014/chart" uri="{C3380CC4-5D6E-409C-BE32-E72D297353CC}">
                  <c16:uniqueId val="{00000020-4621-40B0-A832-CD37AACAAABB}"/>
                </c:ext>
              </c:extLst>
            </c:dLbl>
            <c:dLbl>
              <c:idx val="8"/>
              <c:delete val="1"/>
              <c:extLst>
                <c:ext xmlns:c15="http://schemas.microsoft.com/office/drawing/2012/chart" uri="{CE6537A1-D6FC-4f65-9D91-7224C49458BB}"/>
                <c:ext xmlns:c16="http://schemas.microsoft.com/office/drawing/2014/chart" uri="{C3380CC4-5D6E-409C-BE32-E72D297353CC}">
                  <c16:uniqueId val="{00000021-4621-40B0-A832-CD37AACAAABB}"/>
                </c:ext>
              </c:extLst>
            </c:dLbl>
            <c:dLbl>
              <c:idx val="9"/>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4621-40B0-A832-CD37AACAAABB}"/>
                </c:ext>
              </c:extLst>
            </c:dLbl>
            <c:spPr>
              <a:solidFill>
                <a:schemeClr val="accent2">
                  <a:lumMod val="40000"/>
                  <a:lumOff val="60000"/>
                </a:schemeClr>
              </a:solid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FF0000"/>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0"/>
              <c:pt idx="0">
                <c:v>750000</c:v>
              </c:pt>
              <c:pt idx="1">
                <c:v>750000</c:v>
              </c:pt>
              <c:pt idx="2">
                <c:v>750000</c:v>
              </c:pt>
              <c:pt idx="3">
                <c:v>750000</c:v>
              </c:pt>
              <c:pt idx="4">
                <c:v>750000</c:v>
              </c:pt>
              <c:pt idx="5">
                <c:v>750000</c:v>
              </c:pt>
              <c:pt idx="6">
                <c:v>750000</c:v>
              </c:pt>
              <c:pt idx="7">
                <c:v>750000</c:v>
              </c:pt>
              <c:pt idx="8">
                <c:v>750000</c:v>
              </c:pt>
              <c:pt idx="9">
                <c:v>750000</c:v>
              </c:pt>
            </c:numLit>
          </c:val>
          <c:smooth val="0"/>
          <c:extLst>
            <c:ext xmlns:c16="http://schemas.microsoft.com/office/drawing/2014/chart" uri="{C3380CC4-5D6E-409C-BE32-E72D297353CC}">
              <c16:uniqueId val="{00000023-4621-40B0-A832-CD37AACAAABB}"/>
            </c:ext>
          </c:extLst>
        </c:ser>
        <c:dLbls>
          <c:showLegendKey val="0"/>
          <c:showVal val="0"/>
          <c:showCatName val="0"/>
          <c:showSerName val="0"/>
          <c:showPercent val="0"/>
          <c:showBubbleSize val="0"/>
        </c:dLbls>
        <c:marker val="1"/>
        <c:smooth val="0"/>
        <c:axId val="1567939808"/>
        <c:axId val="1567942528"/>
      </c:lineChart>
      <c:catAx>
        <c:axId val="1567939808"/>
        <c:scaling>
          <c:orientation val="minMax"/>
        </c:scaling>
        <c:delete val="0"/>
        <c:axPos val="b"/>
        <c:numFmt formatCode="mmm\ yy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lang="en-US" sz="900" b="0" i="0" u="none" strike="noStrike" kern="1200" baseline="0">
                <a:solidFill>
                  <a:srgbClr val="002060"/>
                </a:solidFill>
                <a:latin typeface="+mn-lt"/>
                <a:ea typeface="+mn-ea"/>
                <a:cs typeface="+mn-cs"/>
              </a:defRPr>
            </a:pPr>
            <a:endParaRPr lang="en-US"/>
          </a:p>
        </c:txPr>
        <c:crossAx val="1567942528"/>
        <c:crosses val="autoZero"/>
        <c:auto val="1"/>
        <c:lblAlgn val="ctr"/>
        <c:lblOffset val="100"/>
        <c:noMultiLvlLbl val="1"/>
      </c:catAx>
      <c:valAx>
        <c:axId val="1567942528"/>
        <c:scaling>
          <c:orientation val="minMax"/>
        </c:scaling>
        <c:delete val="0"/>
        <c:axPos val="l"/>
        <c:majorGridlines>
          <c:spPr>
            <a:ln w="9525" cap="flat" cmpd="sng" algn="ctr">
              <a:solidFill>
                <a:srgbClr val="FF0000"/>
              </a:soli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002060"/>
                </a:solidFill>
                <a:latin typeface="+mn-lt"/>
                <a:ea typeface="+mn-ea"/>
                <a:cs typeface="+mn-cs"/>
              </a:defRPr>
            </a:pPr>
            <a:endParaRPr lang="en-US"/>
          </a:p>
        </c:txPr>
        <c:crossAx val="1567939808"/>
        <c:crosses val="autoZero"/>
        <c:crossBetween val="between"/>
        <c:dispUnits>
          <c:builtInUnit val="thousands"/>
          <c:dispUnitsLbl>
            <c:layout>
              <c:manualLayout>
                <c:xMode val="edge"/>
                <c:yMode val="edge"/>
                <c:x val="1.4701829314909501E-2"/>
                <c:y val="0.32764813649029301"/>
              </c:manualLayout>
            </c:layout>
            <c:spPr>
              <a:noFill/>
              <a:ln>
                <a:noFill/>
              </a:ln>
              <a:effectLst/>
            </c:spPr>
            <c:txPr>
              <a:bodyPr rot="-5400000" spcFirstLastPara="1" vertOverflow="ellipsis" vert="horz" wrap="square" anchor="ctr" anchorCtr="1">
                <a:spAutoFit/>
              </a:bodyPr>
              <a:lstStyle/>
              <a:p>
                <a:pPr>
                  <a:defRPr lang="en-US" sz="1600" b="0" i="0" u="none" strike="noStrike" kern="1200" baseline="0">
                    <a:solidFill>
                      <a:srgbClr val="FF0000"/>
                    </a:solidFill>
                    <a:latin typeface="+mn-lt"/>
                    <a:ea typeface="+mn-ea"/>
                    <a:cs typeface="+mn-cs"/>
                  </a:defRPr>
                </a:pPr>
                <a:endParaRPr lang="en-US"/>
              </a:p>
            </c:txPr>
          </c:dispUnitsLbl>
        </c:dispUnits>
      </c:valAx>
      <c:spPr>
        <a:solidFill>
          <a:schemeClr val="accent6">
            <a:lumMod val="20000"/>
            <a:lumOff val="80000"/>
          </a:schemeClr>
        </a:solidFill>
        <a:ln>
          <a:noFill/>
        </a:ln>
        <a:effectLst/>
      </c:spPr>
    </c:plotArea>
    <c:legend>
      <c:legendPos val="r"/>
      <c:layout>
        <c:manualLayout>
          <c:xMode val="edge"/>
          <c:yMode val="edge"/>
          <c:x val="0.81991871102091696"/>
          <c:y val="0.76469125401881899"/>
          <c:w val="0.167987791689305"/>
          <c:h val="0.21932496125477999"/>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b983408c-5863-40da-87f5-d0fee52b5532}"/>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33</xdr:col>
      <xdr:colOff>184542</xdr:colOff>
      <xdr:row>5</xdr:row>
      <xdr:rowOff>188099</xdr:rowOff>
    </xdr:from>
    <xdr:to>
      <xdr:col>39</xdr:col>
      <xdr:colOff>927285</xdr:colOff>
      <xdr:row>22</xdr:row>
      <xdr:rowOff>15988</xdr:rowOff>
    </xdr:to>
    <xdr:graphicFrame macro="">
      <xdr:nvGraphicFramePr>
        <xdr:cNvPr id="2" name="Chart 1">
          <a:extLst>
            <a:ext uri="{FF2B5EF4-FFF2-40B4-BE49-F238E27FC236}">
              <a16:creationId xmlns:a16="http://schemas.microsoft.com/office/drawing/2014/main" id="{BD7CA925-FE97-45D8-95AF-BED874380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173338</xdr:colOff>
      <xdr:row>23</xdr:row>
      <xdr:rowOff>24814</xdr:rowOff>
    </xdr:from>
    <xdr:to>
      <xdr:col>40</xdr:col>
      <xdr:colOff>916081</xdr:colOff>
      <xdr:row>39</xdr:row>
      <xdr:rowOff>54409</xdr:rowOff>
    </xdr:to>
    <xdr:graphicFrame macro="">
      <xdr:nvGraphicFramePr>
        <xdr:cNvPr id="3" name="Chart 2">
          <a:extLst>
            <a:ext uri="{FF2B5EF4-FFF2-40B4-BE49-F238E27FC236}">
              <a16:creationId xmlns:a16="http://schemas.microsoft.com/office/drawing/2014/main" id="{CA69E33A-AD88-4FC9-A5B6-BC5491DD8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0</xdr:rowOff>
    </xdr:from>
    <xdr:to>
      <xdr:col>10</xdr:col>
      <xdr:colOff>347382</xdr:colOff>
      <xdr:row>28</xdr:row>
      <xdr:rowOff>156882</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3</xdr:row>
      <xdr:rowOff>0</xdr:rowOff>
    </xdr:from>
    <xdr:to>
      <xdr:col>19</xdr:col>
      <xdr:colOff>309734</xdr:colOff>
      <xdr:row>24</xdr:row>
      <xdr:rowOff>151905</xdr:rowOff>
    </xdr:to>
    <xdr:pic>
      <xdr:nvPicPr>
        <xdr:cNvPr id="5" name="Picture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2"/>
        <a:stretch>
          <a:fillRect/>
        </a:stretch>
      </xdr:blipFill>
      <xdr:spPr>
        <a:xfrm>
          <a:off x="12336780" y="542925"/>
          <a:ext cx="5330825" cy="3990340"/>
        </a:xfrm>
        <a:prstGeom prst="rect">
          <a:avLst/>
        </a:prstGeom>
      </xdr:spPr>
    </xdr:pic>
    <xdr:clientData/>
  </xdr:twoCellAnchor>
  <xdr:twoCellAnchor editAs="oneCell">
    <xdr:from>
      <xdr:col>14</xdr:col>
      <xdr:colOff>573488</xdr:colOff>
      <xdr:row>25</xdr:row>
      <xdr:rowOff>156882</xdr:rowOff>
    </xdr:from>
    <xdr:to>
      <xdr:col>19</xdr:col>
      <xdr:colOff>313103</xdr:colOff>
      <xdr:row>42</xdr:row>
      <xdr:rowOff>44823</xdr:rowOff>
    </xdr:to>
    <xdr:pic>
      <xdr:nvPicPr>
        <xdr:cNvPr id="7" name="Picture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3"/>
        <a:stretch>
          <a:fillRect/>
        </a:stretch>
      </xdr:blipFill>
      <xdr:spPr>
        <a:xfrm>
          <a:off x="12224385" y="4719320"/>
          <a:ext cx="5447030" cy="29927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8253d6e1b8f8189/PROJECTS/IBX%20Web%20app/pili/IPS-PA-100126_ABS.xlsx" TargetMode="External"/><Relationship Id="rId1" Type="http://schemas.openxmlformats.org/officeDocument/2006/relationships/externalLinkPath" Target="IPS-PA-100126_AB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rating Guide"/>
      <sheetName val="Daily Sales"/>
      <sheetName val="Inventory"/>
      <sheetName val="Summary"/>
      <sheetName val="DR Summary"/>
      <sheetName val="Sales Record"/>
      <sheetName val="Code"/>
      <sheetName val="Expenses"/>
      <sheetName val="Client List01"/>
      <sheetName val="Input Slicer"/>
      <sheetName val="INDEX"/>
      <sheetName val="Executive Summary"/>
      <sheetName val="Agent Payslip"/>
      <sheetName val="Agent Performance"/>
      <sheetName val="Report"/>
      <sheetName val="Client Record"/>
      <sheetName val="Workbook Map"/>
      <sheetName val="Audit"/>
      <sheetName val="Sales Summary"/>
      <sheetName val="Stock Exceptions"/>
      <sheetName val="Purchase Log"/>
      <sheetName val="Sales"/>
      <sheetName val="Expense List"/>
    </sheetNames>
    <sheetDataSet>
      <sheetData sheetId="0" refreshError="1"/>
      <sheetData sheetId="1"/>
      <sheetData sheetId="2"/>
      <sheetData sheetId="3">
        <row r="131">
          <cell r="AE131">
            <v>46023</v>
          </cell>
        </row>
        <row r="132">
          <cell r="AE132">
            <v>46054</v>
          </cell>
        </row>
        <row r="133">
          <cell r="AE133">
            <v>46082</v>
          </cell>
        </row>
        <row r="134">
          <cell r="AE134">
            <v>46113</v>
          </cell>
        </row>
        <row r="135">
          <cell r="AE135">
            <v>46143</v>
          </cell>
        </row>
        <row r="136">
          <cell r="AE136">
            <v>46174</v>
          </cell>
        </row>
        <row r="137">
          <cell r="AE137">
            <v>46204</v>
          </cell>
        </row>
        <row r="138">
          <cell r="AE138">
            <v>46235</v>
          </cell>
        </row>
        <row r="139">
          <cell r="AE139">
            <v>46266</v>
          </cell>
        </row>
        <row r="140">
          <cell r="AE140">
            <v>46296</v>
          </cell>
        </row>
        <row r="141">
          <cell r="AE141">
            <v>46327</v>
          </cell>
        </row>
        <row r="142">
          <cell r="AE142">
            <v>46357</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91">
          <cell r="G91" t="str">
            <v>GENERAL</v>
          </cell>
          <cell r="H91" t="str">
            <v>Store</v>
          </cell>
          <cell r="I91" t="str">
            <v>Retail</v>
          </cell>
        </row>
        <row r="92">
          <cell r="G92" t="str">
            <v>TOOLS</v>
          </cell>
          <cell r="H92" t="str">
            <v>Bro. Bryan</v>
          </cell>
          <cell r="I92" t="str">
            <v>Trade</v>
          </cell>
        </row>
        <row r="93">
          <cell r="G93" t="str">
            <v>INSTALLATION MATERIALS</v>
          </cell>
          <cell r="H93" t="str">
            <v>Bro. Jay</v>
          </cell>
          <cell r="I93" t="str">
            <v>Corporate</v>
          </cell>
        </row>
        <row r="94">
          <cell r="G94" t="str">
            <v>CAR AIRCON</v>
          </cell>
          <cell r="H94" t="str">
            <v>Bro. Jr</v>
          </cell>
        </row>
        <row r="95">
          <cell r="H95" t="str">
            <v>Bro. Manuel</v>
          </cell>
        </row>
        <row r="96">
          <cell r="H96" t="str">
            <v>Bro. Mel</v>
          </cell>
        </row>
        <row r="97">
          <cell r="H97" t="str">
            <v>Bro. Rhoge</v>
          </cell>
        </row>
        <row r="98">
          <cell r="H98" t="str">
            <v>Bro. Rocky</v>
          </cell>
        </row>
        <row r="99">
          <cell r="H99" t="str">
            <v>Bro. Roxie</v>
          </cell>
        </row>
        <row r="100">
          <cell r="H100" t="str">
            <v>Bro. Vin</v>
          </cell>
        </row>
        <row r="101">
          <cell r="H101" t="str">
            <v>Ptr. Rod</v>
          </cell>
        </row>
        <row r="102">
          <cell r="H102" t="str">
            <v>Sis. Jackie</v>
          </cell>
        </row>
        <row r="103">
          <cell r="H103" t="str">
            <v>Sis. Mhai</v>
          </cell>
        </row>
      </sheetData>
      <sheetData sheetId="17" refreshError="1"/>
      <sheetData sheetId="18" refreshError="1"/>
      <sheetData sheetId="19" refreshError="1"/>
      <sheetData sheetId="20" refreshError="1"/>
      <sheetData sheetId="21" refreshError="1"/>
      <sheetData sheetId="22"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n Aire" refreshedDate="46267.368482754602" createdVersion="7" refreshedVersion="8" minRefreshableVersion="3" recordCount="8545" xr:uid="{00000000-000A-0000-FFFF-FFFF00000000}">
  <cacheSource type="worksheet">
    <worksheetSource name="sales"/>
  </cacheSource>
  <cacheFields count="25">
    <cacheField name="Month" numFmtId="0">
      <sharedItems containsBlank="1" containsMixedTypes="1" containsNumber="1" containsInteger="1" count="14">
        <n v="1"/>
        <n v="2"/>
        <n v="3"/>
        <n v="4"/>
        <n v="5"/>
        <n v="6"/>
        <s v=""/>
        <n v="7"/>
        <n v="8"/>
        <n v="9"/>
        <n v="10"/>
        <n v="11"/>
        <n v="12"/>
        <m/>
      </sharedItems>
    </cacheField>
    <cacheField name="Date" numFmtId="188">
      <sharedItems containsNonDate="0" containsDate="1" containsString="0" containsBlank="1" minDate="2026-01-01T00:00:00" maxDate="2026-12-31T00:00:00" count="366">
        <d v="2026-01-03T00:00:00"/>
        <d v="2026-01-06T00:00:00"/>
        <d v="2026-01-07T00:00:00"/>
        <d v="2026-01-09T00:00:00"/>
        <d v="2026-01-10T00:00:00"/>
        <d v="2026-01-12T00:00:00"/>
        <d v="2026-01-17T00:00:00"/>
        <d v="2026-01-20T00:00:00"/>
        <d v="2026-01-21T00:00:00"/>
        <d v="2026-01-24T00:00:00"/>
        <d v="2026-01-26T00:00:00"/>
        <d v="2026-01-27T00:00:00"/>
        <d v="2026-01-28T00:00:00"/>
        <d v="2026-01-29T00:00:00"/>
        <d v="2026-02-02T00:00:00"/>
        <d v="2026-02-03T00:00:00"/>
        <d v="2026-01-19T00:00:00"/>
        <d v="2026-02-04T00:00:00"/>
        <d v="2026-02-09T00:00:00"/>
        <d v="2026-02-10T00:00:00"/>
        <d v="2026-02-13T00:00:00"/>
        <d v="2026-02-14T00:00:00"/>
        <d v="2026-02-16T00:00:00"/>
        <d v="2026-02-17T00:00:00"/>
        <d v="2026-02-18T00:00:00"/>
        <d v="2026-02-20T00:00:00"/>
        <d v="2026-02-21T00:00:00"/>
        <d v="2026-01-15T00:00:00"/>
        <d v="2026-02-23T00:00:00"/>
        <d v="2026-02-24T00:00:00"/>
        <d v="2026-02-25T00:00:00"/>
        <d v="2026-01-05T00:00:00"/>
        <d v="2026-02-26T00:00:00"/>
        <d v="2026-02-27T00:00:00"/>
        <d v="2026-02-28T00:00:00"/>
        <d v="2026-03-02T00:00:00"/>
        <d v="2026-03-04T00:00:00"/>
        <d v="2026-03-05T00:00:00"/>
        <d v="2026-03-06T00:00:00"/>
        <d v="2026-03-07T00:00:00"/>
        <d v="2026-03-09T00:00:00"/>
        <d v="2026-03-11T00:00:00"/>
        <d v="2026-03-12T00:00:00"/>
        <d v="2026-01-23T00:00:00"/>
        <d v="2026-03-13T00:00:00"/>
        <d v="2026-03-14T00:00:00"/>
        <d v="2026-03-16T00:00:00"/>
        <d v="2026-01-08T00:00:00"/>
        <d v="2026-03-17T00:00:00"/>
        <d v="2026-03-18T00:00:00"/>
        <d v="2026-03-19T00:00:00"/>
        <d v="2026-03-20T00:00:00"/>
        <d v="2026-03-21T00:00:00"/>
        <d v="2026-03-23T00:00:00"/>
        <d v="2026-03-25T00:00:00"/>
        <d v="2026-03-26T00:00:00"/>
        <d v="2026-03-27T00:00:00"/>
        <d v="2026-03-28T00:00:00"/>
        <d v="2026-03-30T00:00:00"/>
        <d v="2026-04-01T00:00:00"/>
        <d v="2026-04-04T00:00:00"/>
        <d v="2026-04-06T00:00:00"/>
        <d v="2026-04-07T00:00:00"/>
        <d v="2026-04-08T00:00:00"/>
        <d v="2026-04-09T00:00:00"/>
        <d v="2026-04-10T00:00:00"/>
        <d v="2026-04-11T00:00:00"/>
        <d v="2026-04-13T00:00:00"/>
        <d v="2026-04-15T00:00:00"/>
        <d v="2026-04-16T00:00:00"/>
        <d v="2026-04-20T00:00:00"/>
        <d v="2026-04-21T00:00:00"/>
        <d v="2026-04-22T00:00:00"/>
        <d v="2026-01-31T00:00:00"/>
        <d v="2026-04-25T00:00:00"/>
        <d v="2026-05-28T00:00:00"/>
        <d v="2026-02-11T00:00:00"/>
        <d v="2026-05-29T00:00:00"/>
        <d v="2026-05-22T00:00:00"/>
        <d v="2026-05-23T00:00:00"/>
        <d v="2026-05-25T00:00:00"/>
        <d v="2026-05-27T00:00:00"/>
        <d v="2026-05-30T00:00:00"/>
        <d v="2026-06-01T00:00:00"/>
        <d v="2026-01-13T00:00:00"/>
        <d v="2026-04-28T00:00:00"/>
        <d v="2026-04-29T00:00:00"/>
        <d v="2026-04-30T00:00:00"/>
        <d v="2026-05-06T00:00:00"/>
        <d v="2026-05-09T00:00:00"/>
        <d v="2026-05-11T00:00:00"/>
        <d v="2026-01-22T00:00:00"/>
        <d v="2026-05-12T00:00:00"/>
        <d v="2026-05-15T00:00:00"/>
        <d v="2026-05-16T00:00:00"/>
        <d v="2026-05-18T00:00:00"/>
        <d v="2026-05-21T00:00:00"/>
        <d v="2026-01-02T00:00:00"/>
        <d v="2026-01-14T00:00:00"/>
        <d v="2026-01-16T00:00:00"/>
        <d v="2026-02-12T00:00:00"/>
        <d v="2026-04-24T00:00:00"/>
        <d v="2026-05-04T00:00:00"/>
        <d v="2026-05-20T00:00:00"/>
        <d v="2026-05-26T00:00:00"/>
        <d v="2026-05-05T00:00:00"/>
        <d v="2026-01-30T00:00:00"/>
        <d v="2026-05-02T00:00:00"/>
        <d v="2026-05-07T00:00:00"/>
        <d v="2026-02-19T00:00:00"/>
        <d v="2026-05-14T00:00:00"/>
        <d v="2026-03-31T00:00:00"/>
        <d v="2026-03-24T00:00:00"/>
        <d v="2026-05-08T00:00:00"/>
        <d v="2026-02-07T00:00:00"/>
        <d v="2026-04-14T00:00:00"/>
        <d v="2026-05-19T00:00:00"/>
        <d v="2026-03-03T00:00:00"/>
        <d v="2026-04-17T00:00:00"/>
        <d v="2026-04-18T00:00:00"/>
        <d v="2026-01-25T00:00:00"/>
        <d v="2026-02-05T00:00:00"/>
        <d v="2026-04-23T00:00:00"/>
        <d v="2026-04-27T00:00:00"/>
        <d v="2026-02-06T00:00:00"/>
        <d v="2026-03-10T00:00:00"/>
        <d v="2026-06-02T00:00:00"/>
        <d v="2026-06-03T00:00:00"/>
        <d v="2026-04-19T00:00:00"/>
        <d v="2026-03-29T00:00:00"/>
        <d v="2026-06-04T00:00:00"/>
        <d v="2026-01-01T00:00:00"/>
        <d v="2026-01-04T00:00:00"/>
        <d v="2026-02-01T00:00:00"/>
        <d v="2026-01-11T00:00:00"/>
        <d v="2026-01-18T00:00:00"/>
        <d v="2026-02-08T00:00:00"/>
        <d v="2026-02-15T00:00:00"/>
        <d v="2026-03-01T00:00:00"/>
        <d v="2026-03-08T00:00:00"/>
        <d v="2026-03-15T00:00:00"/>
        <d v="2026-03-22T00:00:00"/>
        <d v="2026-04-02T00:00:00"/>
        <d v="2026-04-03T00:00:00"/>
        <d v="2026-04-05T00:00:00"/>
        <d v="2026-04-12T00:00:00"/>
        <d v="2026-04-26T00:00:00"/>
        <d v="2026-05-01T00:00:00"/>
        <d v="2026-05-03T00:00:00"/>
        <d v="2026-05-10T00:00:00"/>
        <d v="2026-05-17T00:00:00"/>
        <d v="2026-05-24T00:00:00"/>
        <d v="2026-05-31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m/>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6-02-22T00:00:00"/>
        <d v="2026-05-13T00:00:00"/>
      </sharedItems>
    </cacheField>
    <cacheField name="Agent" numFmtId="0">
      <sharedItems containsBlank="1" containsMixedTypes="1" containsNumber="1" containsInteger="1" count="13">
        <s v="Store"/>
        <s v="Bro. Vin"/>
        <s v="Ptr. Rod"/>
        <s v="Bro. Roxie"/>
        <s v="Sis. Jackie"/>
        <s v="Bro. Mel"/>
        <s v="Bro. Rhoge"/>
        <s v=""/>
        <s v="Bro. Jr"/>
        <s v="Bro. Rocky"/>
        <s v="Bro. Manuel"/>
        <m/>
        <n v="0" u="1"/>
      </sharedItems>
    </cacheField>
    <cacheField name="Client" numFmtId="0">
      <sharedItems containsBlank="1" count="1530">
        <s v="EDWARD NAILGAS"/>
        <s v="WALK IN"/>
        <s v="OGIE LORICA"/>
        <s v="BIB / BOB"/>
        <s v="MANNY CORTEZ  MATE AIR"/>
        <s v="SPTC"/>
        <s v="BUBOY CORONEL"/>
        <s v="CRISJAP"/>
        <s v="LAGUNA AIR PACITA"/>
        <s v="EDLAN"/>
        <s v="EUGENE"/>
        <s v="JHUN M / MC MC"/>
        <s v="ENTENG CAR AIRCON"/>
        <s v="ALPS MAINTAINEERING SERV"/>
        <s v="JAY STA ROSA"/>
        <s v="YNGEN DATACOM CORP"/>
        <s v="ANAKIN"/>
        <s v="RHAYMAR CARBUNGCO"/>
        <s v="LAGUNA AIR BINAN"/>
        <s v="MIGUEL LADERA"/>
        <s v="EVANGELISTA HOSPITAL"/>
        <s v="GEORGE AUTOCARE"/>
        <s v="GIE"/>
        <s v="DODOY"/>
        <s v="MUSIKA AC / MAC"/>
        <s v="DXB KING JEFF"/>
        <s v="BONG CANTILLAN"/>
        <s v="CJ PANTHER/SEVILLA"/>
        <s v="DEMY"/>
        <s v="AC SAN PEDRO / KUYA INAN"/>
        <s v="MARTIN ESCALANTE"/>
        <s v="COOL LEAN"/>
        <s v="AirCooled / Yohanan Saul"/>
        <s v="LEON RIVERA"/>
        <s v="JDS"/>
        <s v="JEFFREY DALIT"/>
        <s v="HELBERT ARIETE / MHM AUTOSHOP"/>
        <s v="ROSIPITO"/>
        <s v="BRYAN CAR AIRCON"/>
        <s v="JHUN BALUNDO"/>
        <s v="VJ AIRCON"/>
        <s v="TRUE COOL"/>
        <s v="ALB"/>
        <s v="JO VZ"/>
        <s v="COAT ZONE"/>
        <s v="LAB AIRCONDITIONING"/>
        <s v="RONALD REYES"/>
        <s v="GENIE PRODUCT CONCEPTS MANUFACTURING"/>
        <s v="CHROME EDGE"/>
        <s v="MANTECH / KULOT"/>
        <s v="CAPILI"/>
        <s v="TGM"/>
        <s v="SGP"/>
        <s v="PSYCHRO"/>
        <s v="BERNABE DE VERA CONSTRUCTION"/>
        <s v="VI N VI"/>
        <s v="JDL ELCRTRONICS SERVICE CENTER"/>
        <s v="CHIE ESTRELLA"/>
        <s v="LAZADA"/>
        <s v="TNS"/>
        <s v="UACI"/>
        <s v="BEMBOL"/>
        <s v="JOVI TECH"/>
        <s v="MANNY CORTEZ/ MATE AIR"/>
        <s v="DABOY TOLOSA"/>
        <s v="EM MORTIL"/>
        <s v="ZZ CONNECT INC"/>
        <s v="7 MAJESTIC AC"/>
        <s v="LITO BATALLA"/>
        <s v="CAA MECHANICAL ENGINEERING SERVICES"/>
        <s v="SOUTHBOYZ AUTOCARE"/>
        <s v="JAY ALVIN OCAMPO"/>
        <s v="COOL TIME / JM DIAMAT"/>
        <s v="P A ALVAREZ PROPERTY"/>
        <s v="1984 CONSTRUCTIONS SERVICES"/>
        <s v="ARLENE DUENOS"/>
        <s v="MARK HAO"/>
        <s v="AXM RESTOWORKZ"/>
        <s v="DHODIE"/>
        <s v="JHUN GATS"/>
        <s v="TERUMO"/>
        <s v="JAC LINER INC"/>
        <s v="LOTZKI CAR AIRCON"/>
        <s v="ABEL"/>
        <s v="JHUN SPORTSMAN"/>
        <s v="BARTOLINI"/>
        <s v="ELMER CONSTANTINO"/>
        <s v="JUNE DIAZ/Ireneo"/>
        <s v="FUJITRANS LOGISTICS PHILS INC"/>
        <s v="SACHO SON"/>
        <s v="JHONVER AUTO AIRCON"/>
        <s v="JANSON"/>
        <s v="BALVA BUILDERS"/>
        <s v="GLORIKAR ENGINEERING/ ORVEN GUTIERREZ"/>
        <s v="KIMBEE SY"/>
        <s v="JAMES GUZON"/>
        <s v="RAFFY LP"/>
        <s v="JMT AUTO PARTS"/>
        <s v="SALAZAR BUILDERS"/>
        <s v="RD AC TRADING AND SERVICES"/>
        <s v="JAYSON REGACHUELO"/>
        <s v="AGAPOR AIRCONDITIONING"/>
        <s v="EAS"/>
        <s v="JOHN DAVID TUNGCAB"/>
        <s v="MARLON PEREZ"/>
        <s v="ARVIN PASCO"/>
        <s v="GET KLEEN"/>
        <s v="ANN GOZUN"/>
        <s v="3JE"/>
        <s v="RAM COOL"/>
        <s v="EMERTECH CONSTRUCTION AND DEVELOPMENT"/>
        <s v="IG AIRCON"/>
        <s v="JSRM AIRCONDITIONING"/>
        <s v="CEMTRANS"/>
        <s v="PHILVENT "/>
        <s v="MEGA FORTUNE INC"/>
        <s v="BLUE CHIP GAMING"/>
        <s v="ERD AUTO REPAIR CENTER"/>
        <s v="6 JAM AUTOCARE CENTER/ ADAM ANDEO"/>
        <s v="DELA ROSA EXPRESS INC"/>
        <s v="FLEXTRAC"/>
        <s v="ELBERT MALIGAYA"/>
        <s v="MULTITECH ELECTRO MECHANICAL"/>
        <s v="PUREGOLD"/>
        <s v="EJ MERCADO"/>
        <s v="ARNEL CAHIGAS"/>
        <s v="FRELINE ENGINEERING"/>
        <s v="J MATERIALS CORP"/>
        <s v="AIRCON BOY"/>
        <s v="JHOBERT SANCHEZ"/>
        <s v="NIC"/>
        <s v="ANSEL / MR FIX ALL"/>
        <s v="POLARWIND"/>
        <s v="F1 ENTERPRISES"/>
        <s v="DESMOND CASINDAC TAGAPO"/>
        <m/>
        <s v="I COOLED"/>
        <s v="ALVIN / DHIGOY MATUTINA"/>
        <s v="UNIMAGNA INDUSTRIES / ZFU MMI"/>
        <s v="ECO LEON CORPORATION"/>
        <s v="BRIGHT AIRE"/>
        <s v="SAN PEDRO AC  / KUYA INAN"/>
        <s v="ROLANDO SARMIENTA"/>
        <s v="CAR AIRCON HOME SERVICE"/>
        <s v="SAINT ROSE TRANSIT"/>
        <s v="NALDO'S CAR AIRCON"/>
        <s v="PEPZ"/>
        <s v="BOBBY ARCABOS"/>
        <s v="PRO TECH"/>
        <s v="CHRISTIAN ESTANISLAO"/>
        <s v="WORK COOL"/>
        <s v="MCMB INDUSTRIAL"/>
        <s v="PAWS REF AND AC SERVICES"/>
        <s v="COOL CONCEPT"/>
        <s v="UYB PRINTING CORPORATION"/>
        <s v="RICHARD"/>
        <s v="4ER"/>
        <s v="PRIME TEC"/>
        <s v="MHM AUTOSHOP"/>
        <s v="BERT CARMONA"/>
        <s v="TOTAL MECHANICS"/>
        <s v="PSYCOOL"/>
        <s v="STARK ONE CONSTRUCTION CORP"/>
        <s v="OWESP COOL CARE"/>
        <s v="ONE BINGO PAVILION INC"/>
        <s v="2RK AIRCON SERVICES"/>
        <s v="JAIMAX AUTOMOTIVE/COOLMAX"/>
        <s v="EDWIN"/>
        <s v="RQUINT TRADING"/>
        <s v="CRUZ MOTOR PARTS"/>
        <s v="COLD ZONE"/>
        <s v="PRSC"/>
        <s v="YSMAEL MAGTIBAY"/>
        <s v="SPVC "/>
        <s v="ALL ABOUT COOL/ JACOB SALIM"/>
        <s v="IRVIN DUCUSIN"/>
        <s v="RAVXPERT INC"/>
        <s v="DEXTER CONSTRUCTION"/>
        <s v="JEFF HERRERA"/>
        <s v="GT TRADES CORP"/>
        <s v="FROST CITY"/>
        <s v="JOEMANS /BOYET GONZALES"/>
        <s v="EXPLORER"/>
        <s v="CREM GOOD EAST CORP"/>
        <s v="R&amp;M CONSTRUCTION INC"/>
        <s v="CGM"/>
        <s v="COLD KNIGHTS"/>
        <s v="NOE EULALIO"/>
        <s v="AIRCOLD SERVE"/>
        <s v="DAN GILL MANJARES"/>
        <s v="52ND WIND INC"/>
        <s v="JORDAN GUZON"/>
        <s v="JO VZ / ARA AC SERVICES"/>
        <s v="MANNY CORTEZ  MATE AIR " u="1"/>
        <s v="NJ PAN" u="1"/>
        <s v="JOSE EDILLIO" u="1"/>
        <s v="JEFFREY" u="1"/>
        <s v="FRANCIS" u="1"/>
        <s v="CHRISTIAN LIM" u="1"/>
        <s v="JEFF NUESTRO" u="1"/>
        <s v="JAYI  AIRCON" u="1"/>
        <s v="APSI" u="1"/>
        <s v="FERNAN RELLEVE" u="1"/>
        <s v="JEFFE" u="1"/>
        <s v="JOSEPH MARIAL" u="1"/>
        <s v="NALDO" u="1"/>
        <s v="MARIES" u="1"/>
        <s v="ARCHIE" u="1"/>
        <s v="SANCTUARY" u="1"/>
        <s v="AC SAN PEDRO" u="1"/>
        <s v="BIB" u="1"/>
        <s v="MRSV PANGANIBAN" u="1"/>
        <s v="COLD AIRE MULTITECH" u="1"/>
        <s v="FREDERIC ABONAL" u="1"/>
        <s v="PARAGON ELECTROMECH. DEV. CORP." u="1"/>
        <s v="JML " u="1"/>
        <s v="OLDJ TRADING" u="1"/>
        <s v="ROWIE GUEVARRA" u="1"/>
        <s v="RONALD RAVAGO" u="1"/>
        <s v="JOHN CARLO CUERDO" u="1"/>
        <s v="JOHN" u="1"/>
        <s v="HONDA CARMONA" u="1"/>
        <s v="R&amp;R AC. SERVICES" u="1"/>
        <s v="JMJ" u="1"/>
        <s v="CHRIS " u="1"/>
        <s v="AIRCON EXPRESS" u="1"/>
        <s v="JSRM" u="1"/>
        <s v="JOEY" u="1"/>
        <s v="SAMUEL " u="1"/>
        <s v="LUCKFIELD" u="1"/>
        <s v="ROY SARMIENTO / MARKET PLACE" u="1"/>
        <s v="PLACIDO " u="1"/>
        <s v="MANOLO CORPUZ" u="1"/>
        <s v="KRISTEL" u="1"/>
        <s v="SC COLD AIRCONDITIONING" u="1"/>
        <s v="MEGA SAMSONITE ZWC" u="1"/>
        <s v="DAN" u="1"/>
        <s v="RJ CAPIENDO" u="1"/>
        <s v="JONATHAN PASCUAL" u="1"/>
        <s v="JOJO BAI" u="1"/>
        <s v="LJ" u="1"/>
        <s v="ROMOLO" u="1"/>
        <s v="RJ ROBLES TECHNOLOGY BUILDERS" u="1"/>
        <s v="PRIMEWORKS" u="1"/>
        <s v="HAZEL BENITO" u="1"/>
        <s v="FREE LINE" u="1"/>
        <s v="LUSHES ATEI" u="1"/>
        <s v="WENBERT BOLANOS" u="1"/>
        <s v="JNS - JHON JHON" u="1"/>
        <s v="JE&amp; REJ TECH CORP / CEBU" u="1"/>
        <s v="SU DONGPO" u="1"/>
        <s v="RUBY ALICBUSAN" u="1"/>
        <s v="JRL ENDAYA INC." u="1"/>
        <s v="KING" u="1"/>
        <s v="THELMA CORTEZ" u="1"/>
        <s v="SAN PEDRO AC / KUYA INAN" u="1"/>
        <s v="RCJRL" u="1"/>
        <s v="JAMILLAH AC" u="1"/>
        <s v="ALL ABOUT COOL" u="1"/>
        <s v="JERICK BARICAS" u="1"/>
        <s v="LEONARDO GUERRERO" u="1"/>
        <s v="JOHN PAUL" u="1"/>
        <s v="CHRISTOPHER PATRICIO" u="1"/>
        <s v="AZJ AIRCON AND REF / COLOMBO CARILIMAN JR" u="1"/>
        <s v="AC LAZAGA MULTI SERVICES" u="1"/>
        <s v="SIMON KRYXZIAN FERRER" u="1"/>
        <s v="DESTINY ACCENT / JOY" u="1"/>
        <s v="CHRIS GARCIA" u="1"/>
        <s v="DNLP CALOOCAN" u="1"/>
        <s v="DARRYL ANNE MIRANDILLA" u="1"/>
        <s v="ALVIN MATUTINO/DHIGOY" u="1"/>
        <s v="ABG" u="1"/>
        <s v="ACLAN" u="1"/>
        <s v="MICKEY FAJARDO" u="1"/>
        <s v="MAC BERNARDINO" u="1"/>
        <s v="AMV AIRCONDITIONING/ MARTY LEE" u="1"/>
        <s v="GASCO GEROME" u="1"/>
        <s v="RAINE LIZARDA" u="1"/>
        <s v="PMAJ PENA" u="1"/>
        <s v="KRIS CORTEZ" u="1"/>
        <s v="SAM SAMS AUTO REPAIR SHOP" u="1"/>
        <s v="CONS BULANDI" u="1"/>
        <s v="RONNIE CUESTA" u="1"/>
        <s v="ROLLY LICOP" u="1"/>
        <s v="FREDDIE HABLA" u="1"/>
        <s v="TEODY/ PACITA" u="1"/>
        <s v="KALID CELESTE" u="1"/>
        <s v="JOVANI REGUIA" u="1"/>
        <s v="THERESA" u="1"/>
        <s v="Y2H BROADCASTING INC" u="1"/>
        <s v="MERALCO PASIG" u="1"/>
        <s v="JCB AIRCON AND REFRIGERATION" u="1"/>
        <s v="ZHENG SALEN" u="1"/>
        <s v="RAFAEL" u="1"/>
        <s v="NESTOR LV" u="1"/>
        <s v="RICO FERRERIA" u="1"/>
        <s v="ROLANDO T." u="1"/>
        <s v="JOJO" u="1"/>
        <s v="MONARK EQUIPMENT" u="1"/>
        <s v="VICTOR PANIS" u="1"/>
        <s v="PAULEEN VALENCIANO" u="1"/>
        <s v="PAR AC" u="1"/>
        <s v="ALVIN ALMALVEZ" u="1"/>
        <s v="COOLASTIC CAR AIRCON" u="1"/>
        <s v="ZAI" u="1"/>
        <s v="PAUL" u="1"/>
        <s v="TOTO" u="1"/>
        <s v="LEONEIL REGIDOR" u="1"/>
        <s v="KEPA" u="1"/>
        <s v="JB AIRCONDITIONING" u="1"/>
        <s v="RANCO INDUSTRIES OPC" u="1"/>
        <s v="JJBS" u="1"/>
        <s v="FNC-CS" u="1"/>
        <s v="JET7 SERVICES" u="1"/>
        <s v="SONNY NIEVA" u="1"/>
        <s v="MAR ANOVER" u="1"/>
        <s v="MADERA AIRCONDITIONING" u="1"/>
        <s v="RONNIE RUIZ" u="1"/>
        <s v="JAY" u="1"/>
        <s v="EMMANUEL AC" u="1"/>
        <s v="BMB ACCESSORIES" u="1"/>
        <s v="RAFFY MARISTANES" u="1"/>
        <s v="NORMANDY MANALO" u="1"/>
        <s v="COOL MART GLOBAL" u="1"/>
        <s v="A'S CADRE ELECTRICAL SERVICES" u="1"/>
        <s v="NASSER BARCELONA" u="1"/>
        <s v="EJ COOLING CARE" u="1"/>
        <s v="LDRA ENTERPISES INC" u="1"/>
        <s v="ATON AIRE" u="1"/>
        <s v="ROGER VILLA" u="1"/>
        <s v="LITO MANZON" u="1"/>
        <s v="FLUXE CREATIVE GROUP INC" u="1"/>
        <s v="JOHN VASQUEZ" u="1"/>
        <s v="CHURCH LAGUNA" u="1"/>
        <s v="ADIL AIRCON" u="1"/>
        <s v="JAMES FLORES" u="1"/>
        <s v="ERIC CARBONEL" u="1"/>
        <s v="KIETH CONWI" u="1"/>
        <s v="MOTOR AVENUE" u="1"/>
        <s v="MARDAVEY CARCILLAR" u="1"/>
        <s v="MARLON CAR AC" u="1"/>
        <s v="LOU VILLANUEVA" u="1"/>
        <s v="ALBA INTERNATIONAL INCORPORATED" u="1"/>
        <s v="RBS" u="1"/>
        <s v="JEM MARASIGAN BATANGAS" u="1"/>
        <s v="JON JON BERROGA" u="1"/>
        <s v="THOPPY" u="1"/>
        <s v="RMC" u="1"/>
        <s v="LAGUNATECH INDUSTRIAL PHILS CORP" u="1"/>
        <s v="RITM ALABANG" u="1"/>
        <s v="RICAFRANCA/JO VZ" u="1"/>
        <s v="AEROFROZE/ CAVITE" u="1"/>
        <s v="MV REF &amp; AIRCON" u="1"/>
        <s v="ARWIN MAYANO" u="1"/>
        <s v="WINTER COOL LAGUNA" u="1"/>
        <s v="LOVI MOTORS" u="1"/>
        <s v="RVENT HVAC SOLUTIONS INC" u="1"/>
        <s v="IAN VENUS" u="1"/>
        <s v="KUYA ED CAR AC" u="1"/>
        <s v="STEADFAST AUTO CARE" u="1"/>
        <s v="MAURICIO DISTOR" u="1"/>
        <s v="JOEY PAREDES" u="1"/>
        <s v="JN COOL SERVICES" u="1"/>
        <s v="ALEXANDER VALDEZ" u="1"/>
        <s v="RG CONSTRUCTION CORP" u="1"/>
        <s v="JOSEPH MENDOZA" u="1"/>
        <s v="LEN BONAGUA" u="1"/>
        <s v="KMPLUS AUTOSHOP" u="1"/>
        <s v="PC CONSTRUCTION" u="1"/>
        <s v="IRVIN" u="1"/>
        <s v="ALL COOL" u="1"/>
        <s v="DJ HOMES/ JC TUNGCAB" u="1"/>
        <s v="AGC BACKERIES INC" u="1"/>
        <s v="UNI TECH PHILS" u="1"/>
        <s v="JOHN CHUA" u="1"/>
        <s v="ALBERT MANGIRAL" u="1"/>
        <s v="REX ALBOR" u="1"/>
        <s v="LUKEFIELD ENG'G" u="1"/>
        <s v="ENVAC CORPORATION" u="1"/>
        <s v="STI COLLEGE ALABANG" u="1"/>
        <s v="BENZIRANIER AC TRADING" u="1"/>
        <s v="RMJ" u="1"/>
        <s v="MYR FLORES" u="1"/>
        <s v="YES 2 HEALTH INC" u="1"/>
        <s v="MICHAEL SOLAS" u="1"/>
        <s v="LADRERO CONSTRUCTION SERVICES" u="1"/>
        <s v="JESAN MEJOS" u="1"/>
        <s v="APEX PLASTIC PIPING SUPPLY &amp; SERVICES" u="1"/>
        <s v="ARIEL TAN" u="1"/>
        <s v="PEZEUS AIRCONDITIONING SERVICES" u="1"/>
        <s v="BENJAMIN YAP" u="1"/>
        <s v="AUTOREHAB" u="1"/>
        <s v="JRFL" u="1"/>
        <s v="KIKO MALABO" u="1"/>
        <s v="J4MAX" u="1"/>
        <s v="THE HAND MADE" u="1"/>
        <s v="OPTIMA" u="1"/>
        <s v="MARTIN CABUNAS" u="1"/>
        <s v="KFC STO THOMAS" u="1"/>
        <s v="TLDF" u="1"/>
        <s v="JB TECH" u="1"/>
        <s v="ENVIROCOOL" u="1"/>
        <s v="RYAN CERVANTES" u="1"/>
        <s v="ALFAMART TRADING PHIL INC" u="1"/>
        <s v="SOUTH AIRE" u="1"/>
        <s v="KC" u="1"/>
        <s v="BRAND GALLERY PACKAGING SUPPLIES " u="1"/>
        <s v="RDF CONSTRUCTION" u="1"/>
        <s v="CRISLYN CARBO ANDALIS" u="1"/>
        <s v="SOUTHBRUV AUTOWORKS" u="1"/>
        <s v="SYSTEM TECH AIRCON" u="1"/>
        <s v="ADDBELL TECHNICAL SERVICES" u="1"/>
        <s v="P AND A AIRCONDITIONING SERVICES" u="1"/>
        <s v="GEMTECH" u="1"/>
        <s v="JHEFFE" u="1"/>
        <s v="RRC" u="1"/>
        <s v="TEXAS ROADHOUSE" u="1"/>
        <s v="BENEW DESIGN" u="1"/>
        <s v="SNOW AIR" u="1"/>
        <s v="JEMS AUTO SHOP" u="1"/>
        <s v="ZALDY" u="1"/>
        <s v="PATRICK RAMOS" u="1"/>
        <s v="R VELUS" u="1"/>
        <s v="RVS SORTECH" u="1"/>
        <s v="JRAC SERVICES" u="1"/>
        <s v="DAVIE NINO PIA" u="1"/>
        <s v="BRY" u="1"/>
        <s v="EVR LAGUNA" u="1"/>
        <s v="SILVERSTEN MOTORS INC." u="1"/>
        <s v="NPJAN AC " u="1"/>
        <s v="JOAOSCORP" u="1"/>
        <s v="RJ GASCO" u="1"/>
        <s v="CONCRETE POINT CONSTRUCTION INC" u="1"/>
        <s v="TOCHIGI KEN TECHNOLOGIES INTERNATIONAL INC" u="1"/>
        <s v="JOVI TECH " u="1"/>
        <s v="AIRCON PHILS" u="1"/>
        <s v="CHRISTOPHER SALVA" u="1"/>
        <s v="8 CIRCLE COMMERCIAL" u="1"/>
        <s v="ANDREW REGORGO" u="1"/>
        <s v="PHILVENT" u="1"/>
        <s v="VI N VI " u="1"/>
        <s v="COOL TIME / DIAMAT JM" u="1"/>
        <s v="RAV" u="1"/>
        <s v="COLDFRONT" u="1"/>
        <s v="JESSON MACARIO" u="1"/>
        <s v="SOTRO STORE" u="1"/>
        <s v="BONG MALAN" u="1"/>
        <s v="MANNY CORTEZ / MATE AIR AC SERVICES" u="1"/>
        <s v="JERALD HERRERA" u="1"/>
        <s v="AIRCON EXPRESS/BEL-AIR" u="1"/>
        <s v="CHRIS" u="1"/>
        <s v="FRANKLIN BARTOLOME" u="1"/>
        <s v="ARNOLD DEL ROSARIO" u="1"/>
        <s v="MICHAEL BLANQUISCO" u="1"/>
        <s v="JAYSON  ILAGAN" u="1"/>
        <s v="AWE" u="1"/>
        <s v="AIRCOOLED" u="1"/>
        <s v="MARLON" u="1"/>
        <s v="JESSIE" u="1"/>
        <s v="AJM JAR" u="1"/>
        <s v="JOVER MACASERO" u="1"/>
        <s v="ARNEL FUELLAS PETRACHE" u="1"/>
        <s v="AC FIX GARAGE / REX" u="1"/>
        <s v="DLNP" u="1"/>
        <s v="CCQ SUPPLIES" u="1"/>
        <s v="AJ CAR AIRCON" u="1"/>
        <s v="MATE AIRE" u="1"/>
        <s v="CARLO CAR TENT" u="1"/>
        <s v="BUTCH" u="1"/>
        <s v="ARIEL PACHICA" u="1"/>
        <s v="ALDREX" u="1"/>
        <s v="CEM TRANS" u="1"/>
        <s v="CHRISTOPER NICANO" u="1"/>
        <s v="ALLEN CAHILIG" u="1"/>
        <s v="APRICOT 524" u="1"/>
        <s v="ANNA NARVAEZ" u="1"/>
        <s v="ALLADO AND ABONIA AC SERVICES" u="1"/>
        <s v="WILSON" u="1"/>
        <s v="WEWE MAGDANGAL" u="1"/>
        <s v="ALDRIN PORTO" u="1"/>
        <s v="ELY SANTOS" u="1"/>
        <s v="ALEJOS" u="1"/>
        <s v="ARNEL VALDEZ" u="1"/>
        <s v="MANNY CORTEZ  MATE AIR AC" u="1"/>
        <s v="AYALA ALABANG POLICE " u="1"/>
        <s v="DENNIS" u="1"/>
        <s v="JDL" u="1"/>
        <s v="BLUE POINT" u="1"/>
        <s v="BOSSING" u="1"/>
        <s v="UNITECH" u="1"/>
        <s v="ANG KOOL" u="1"/>
        <s v="LUKEFIELD ENGINEERING SERVICES" u="1"/>
        <s v="YMY" u="1"/>
        <s v="JAM AIRE" u="1"/>
        <s v="JHEN GATS" u="1"/>
        <s v="JSRM AC. TRAIDING" u="1"/>
        <s v="BARTOLIMI" u="1"/>
        <s v="JOSEPH MORIAL" u="1"/>
        <s v="MARLON DELOS ANGELES REYES" u="1"/>
        <s v="JOBSWRIGHT AIRCON" u="1"/>
        <s v="LDT6" u="1"/>
        <s v="MELVIN" u="1"/>
        <s v="THEMIS ENTERPRISES INC" u="1"/>
        <s v="BHOY CAR AC" u="1"/>
        <s v="FLOW ENGINEERING" u="1"/>
        <s v="MTG AIRCONDITIONING" u="1"/>
        <s v="ROBERT PRIETO" u="1"/>
        <s v="ANAKIN/DEMETERIO" u="1"/>
        <s v="VINCENT SANTOS" u="1"/>
        <s v="PEREZ" u="1"/>
        <s v="HYPE TECH" u="1"/>
        <s v="JHO" u="1"/>
        <s v="MERVIN CASTILLO" u="1"/>
        <s v="NEXT KOEL AIRCONDITIONING" u="1"/>
        <s v="ALLAN DORONIO" u="1"/>
        <s v="ROMIE PASIGAN" u="1"/>
        <s v="ALLWERKES CONSTRUCTION" u="1"/>
        <s v="Arwin Loresca" u="1"/>
        <s v="J. ILAGAN" u="1"/>
        <s v="JF DORIA" u="1"/>
        <s v="ALVIN" u="1"/>
        <s v="M&amp;E" u="1"/>
        <s v="KENJIE" u="1"/>
        <s v="INTERCOASTAL" u="1"/>
        <s v="JOCEL" u="1"/>
        <s v="SAN PEDRO AC" u="1"/>
        <s v="BAYANAN CAR AIRCON" u="1"/>
        <s v="PAS" u="1"/>
        <s v="CJ LOPEZ" u="1"/>
        <s v="JON JON" u="1"/>
        <s v="LEON RIVERA/BOK " u="1"/>
        <s v="RODANS CORPUZ" u="1"/>
        <s v="ANALYN" u="1"/>
        <s v="FRONTLINES CAR A/C " u="1"/>
        <s v="KOKOY" u="1"/>
        <s v="MMRA ENGINEERING SERVICES" u="1"/>
        <s v="OHMNITEK" u="1"/>
        <s v="RODRIGO VELUZ" u="1"/>
        <s v="RUSSEL SORA" u="1"/>
        <s v="EDAIRE INC." u="1"/>
        <s v="EDONG CAMARILLO" u="1"/>
        <s v="UNILAB INC" u="1"/>
        <s v="SOUTHCARE COSMETICS" u="1"/>
        <s v="VAST AGRO SOLUTION INC." u="1"/>
        <s v="JAKE" u="1"/>
        <s v="LORJUM CONST." u="1"/>
        <s v="CBBC" u="1"/>
        <s v="FOURLINKS BUILDING" u="1"/>
        <s v="NARDO" u="1"/>
        <s v="MV CARWORKS ENTERPRISE" u="1"/>
        <s v="FREE COOL" u="1"/>
        <s v="RM" u="1"/>
        <s v="ROBIN LAGSU/PANDACAN" u="1"/>
        <s v="SONNY BALDEO" u="1"/>
        <s v="FLORENDO JAVIER" u="1"/>
        <s v="KEN KEN CAR ACCESSORIES" u="1"/>
        <s v="CHESTER" u="1"/>
        <s v="P.A ALVAREZ" u="1"/>
        <s v="JHON JHON CONCINA" u="1"/>
        <s v="MAR ALEXIS VITTO" u="1"/>
        <s v="UNDERCHARGERS" u="1"/>
        <s v="ARNIE" u="1"/>
        <s v="J.N COOL SERVICES" u="1"/>
        <s v="QUADRISQUARE AC SYSTEMS SERVICE" u="1"/>
        <s v="ERWIN WAGAN" u="1"/>
        <s v="IVAN P. CABE" u="1"/>
        <s v="PNEVCONDRO" u="1"/>
        <s v="JHUN PACITA" u="1"/>
        <s v="ENGR, JASPHER/REYNALDO" u="1"/>
        <s v="SEKISUI JUSHI PHIL" u="1"/>
        <s v="KENNETH ROSALES" u="1"/>
        <s v="ARNEL MENDOZA" u="1"/>
        <s v="EUFEMIO CLEF" u="1"/>
        <s v="ALJAY" u="1"/>
        <s v="COCOY" u="1"/>
        <s v="CHRISTIAN" u="1"/>
        <s v="BENJIE" u="1"/>
        <s v="S&amp;R MEMBERSHIP SHOPPING" u="1"/>
        <s v="FELIZARDO" u="1"/>
        <s v="AGUDO CONSTRUCTION/ DAVE" u="1"/>
        <s v="ARDESIGN &amp; BUILD" u="1"/>
        <s v="SONNY BOY DATO" u="1"/>
        <s v="JML" u="1"/>
        <s v="CHAT" u="1"/>
        <s v="REX" u="1"/>
        <s v="Kenneth David" u="1"/>
        <s v="ROMMEL" u="1"/>
        <s v="ROCHELLE MANSAN" u="1"/>
        <s v="ALDIN E." u="1"/>
        <s v="EIN/ABEL" u="1"/>
        <s v="EDZ VELASCO" u="1"/>
        <s v="JOJECHO MECHANICAL SERVICES" u="1"/>
        <s v="COLD AIR MULTITECH" u="1"/>
        <s v="FLOR FORMACIL" u="1"/>
        <s v="MLB Cedrick" u="1"/>
        <s v="BRYAN LUNAR" u="1"/>
        <s v="ATLAS AIRCONDITION" u="1"/>
        <s v="RAD CAR AC" u="1"/>
        <s v="AC CALAMBA" u="1"/>
        <s v="ARIEL" u="1"/>
        <s v="ULBERT ONG/ SEKISUI JUSHI" u="1"/>
        <s v="AC AIRCON SERVICES" u="1"/>
        <s v="BRYAN /MARKETPLACE" u="1"/>
        <s v="JALD CONSTRUCTION/ADRIAN" u="1"/>
        <s v="JOFERDS CAR AIRCON" u="1"/>
        <s v="LANDER" u="1"/>
        <s v="EMMANUEL SOLON" u="1"/>
        <s v="PYTHOS TECHNOLOGY PHILS" u="1"/>
        <s v="THE PALMS COUNTRY CLUB" u="1"/>
        <s v="PETER" u="1"/>
        <s v="ZVIOD PHIL. INC" u="1"/>
        <s v="ZYRA BONGAO" u="1"/>
        <s v="JAYMUS MARQUEZ" u="1"/>
        <s v="IA COLD SERVE" u="1"/>
        <s v="PTR. CRIS REYES" u="1"/>
        <s v="MFI POLYTECHNIC" u="1"/>
        <s v="EVANS" u="1"/>
        <s v="LITO GONZAGA" u="1"/>
        <s v="LEIGH ALEASANDRA PORTEY" u="1"/>
        <s v="NOE " u="1"/>
        <s v="DANSECA BUILDERS INC." u="1"/>
        <s v="WILIAM" u="1"/>
        <s v="A. PUNZALAN" u="1"/>
        <s v="GILMAR" u="1"/>
        <s v="LEN WON" u="1"/>
        <s v="RENE TANEGA" u="1"/>
        <s v="JOENEL DIMAANO" u="1"/>
        <s v="JONATHAN CARILLO" u="1"/>
        <s v="SEVEN MAJESTIC" u="1"/>
        <s v="G.PEREZ" u="1"/>
        <s v="MEMS" u="1"/>
        <s v="FAISAL" u="1"/>
        <s v="ARVIN" u="1"/>
        <s v="BENEDICK TASARRA" u="1"/>
        <s v="ERICK PILI" u="1"/>
        <s v="RANNY" u="1"/>
        <s v="RUBEN" u="1"/>
        <s v="REXAN" u="1"/>
        <s v="JUNLYN MIRANDA" u="1"/>
        <s v="SOUTH CARE COSMETICS" u="1"/>
        <s v="WALTER" u="1"/>
        <s v="AI COLD SERVE" u="1"/>
        <s v="KEVIN GASIGAAN" u="1"/>
        <s v="MAYA GOZUN" u="1"/>
        <s v="KIKO MALABED" u="1"/>
        <s v="MARK ANTHONY MERCADO" u="1"/>
        <s v="FREDDIE DADOL" u="1"/>
        <s v="ALYAAHNA TRANSPORTATION INC" u="1"/>
        <s v="JASON" u="1"/>
        <s v="KING ALCASID" u="1"/>
        <s v="Angelo Jersey" u="1"/>
        <s v="Tam Travis" u="1"/>
        <s v="POPOY" u="1"/>
        <s v="ED" u="1"/>
        <s v="GLENN" u="1"/>
        <s v="NARCISO GALVEZ" u="1"/>
        <s v="ARVIN DELA CRUZ" u="1"/>
        <s v="BONG BERNABE" u="1"/>
        <s v="ZAIDE" u="1"/>
        <s v="ACIER MALOU" u="1"/>
        <s v="JERSON" u="1"/>
        <s v="JOEL ANAYA " u="1"/>
        <s v="MANNY CORTEZ" u="1"/>
        <s v="MSB REFRIGERATION " u="1"/>
        <s v="ORLY GILBUENA" u="1"/>
        <s v="PAUL ANDREI REYES" u="1"/>
        <s v="CHRISTOPHER BARSAGA" u="1"/>
        <s v="JEROME CARBONERA" u="1"/>
        <s v="GLANDIE GUANCO" u="1"/>
        <s v="RUDY" u="1"/>
        <s v="EMIL" u="1"/>
        <s v="TRANSCOR MUGLS" u="1"/>
        <s v="AVBB " u="1"/>
        <s v="CT AIRE AIRCONDITION" u="1"/>
        <s v="GESEC RJ" u="1"/>
        <s v="WDD CONSTRUCTION" u="1"/>
        <s v="CAPI PUTATAN" u="1"/>
        <s v="ERVY AIRCON SERVICES" u="1"/>
        <s v="SKY HAWK TECHNOLOGY SYSTEM" u="1"/>
        <s v="BART " u="1"/>
        <s v="JOHN HANSEN" u="1"/>
        <s v="LEO PASTOR" u="1"/>
        <s v="RANDY ROMANA" u="1"/>
        <s v="Rommel Navoa" u="1"/>
        <s v="DING DONG" u="1"/>
        <s v="ALVIN MATUTINO" u="1"/>
        <s v="FEDERICE CHU JR." u="1"/>
        <s v="BARANGAY SINALHAN" u="1"/>
        <s v="LUPON SINALHAN" u="1"/>
        <s v="REY" u="1"/>
        <s v="WISDOM / LANIE" u="1"/>
        <s v="AGUI" u="1"/>
        <s v="ARNOLD" u="1"/>
        <s v="GIL" u="1"/>
        <s v="BENJAMIN MARKETPLACE" u="1"/>
        <s v="JOHN JOHN CONSINA" u="1"/>
        <s v="SONNY " u="1"/>
        <s v="MARVIN" u="1"/>
        <s v="FLORENCE" u="1"/>
        <s v="AZ JAY COMPANY" u="1"/>
        <s v="HISANORI INDUSTRIAL" u="1"/>
        <s v="JAES" u="1"/>
        <s v="MHEY" u="1"/>
        <s v="MICHEAL AGUSTIN" u="1"/>
        <s v="MRS. LAO" u="1"/>
        <s v="ELY" u="1"/>
        <s v="GILBERT" u="1"/>
        <s v="RIVERTECH" u="1"/>
        <s v="T ART TAXI" u="1"/>
        <s v="ARCIE VANZUELA" u="1"/>
        <s v="CT SEVILLA" u="1"/>
        <s v="JV" u="1"/>
        <s v="STEVE" u="1"/>
        <s v="JOSH" u="1"/>
        <s v="MARK OLIVER" u="1"/>
        <s v="MEL" u="1"/>
        <s v="SBC CALTEX" u="1"/>
        <s v="AHAN" u="1"/>
        <s v="ISRAEL BREN " u="1"/>
        <s v="NITROCYCLE AC" u="1"/>
        <s v="RAMIL GONZALES" u="1"/>
        <s v="BENJAMIN AGUY" u="1"/>
        <s v="DANZEN RICAFRENTE" u="1"/>
        <s v="COLDLANZ AIRCONDITION" u="1"/>
        <s v="JOHN REY" u="1"/>
        <s v="R.NDZAL" u="1"/>
        <s v="ALLAN" u="1"/>
        <s v="ARJAY BROMEO" u="1"/>
        <s v="CARLO DELA CRUZ" u="1"/>
        <s v="COOLING TECH" u="1"/>
        <s v="NOLI AMADA" u="1"/>
        <s v="RENATO SAGON" u="1"/>
        <s v="DSRJ" u="1"/>
        <s v="EUGENIO CORTEZ" u="1"/>
        <s v="FLXTRAC" u="1"/>
        <s v="CARLO " u="1"/>
        <s v="KOUFU PACKAGING CORP " u="1"/>
        <s v="Marion Elizabeth" u="1"/>
        <s v="VICTOR VELOSO" u="1"/>
        <s v="COOL TEMP" u="1"/>
        <s v="SARIF ABAF" u="1"/>
        <s v="BRENJIE" u="1"/>
        <s v="RANNIE DELOS SANTOS" u="1"/>
        <s v="ANGELO" u="1"/>
        <s v="FRONTLINE BUS SOLUTIONS" u="1"/>
        <s v="WDD CONSTRUCTION CORP" u="1"/>
        <s v="TULOY FOUNDATION INC" u="1"/>
        <s v="JOEMAN/BOYET GONZALES" u="1"/>
        <s v="JHON" u="1"/>
        <s v="RG18" u="1"/>
        <s v="TRIPPLE L BUILDERS" u="1"/>
        <s v="ALEX" u="1"/>
        <s v="JOHN MENDOZA" u="1"/>
        <s v="JOYCE ESTARIS" u="1"/>
        <s v="LORENCE MERCADO" u="1"/>
        <s v="CARGARD MOTORS" u="1"/>
        <s v="RMV AIRCON" u="1"/>
        <s v="GUMY GARCIA" u="1"/>
        <s v="HARRY REALUBIT" u="1"/>
        <s v="SESA JB" u="1"/>
        <s v="CNCDD CONSTRUCTION" u="1"/>
        <s v="JEFF DE MATA" u="1"/>
        <s v="REX C. OPERIO" u="1"/>
        <s v="ROY" u="1"/>
        <s v="QUIEL MERCADO" u="1"/>
        <s v="Stella Orientis" u="1"/>
        <s v="JOHN VON JOVI " u="1"/>
        <s v="KEFCICOOL" u="1"/>
        <s v="MARGELOU COURT HOTEL" u="1"/>
        <s v="VONTREX ENG'G SERVICES" u="1"/>
        <s v="JAY CALUBAYA" u="1"/>
        <s v="BDCC" u="1"/>
        <s v="ARVIN " u="1"/>
        <s v="FRANCISCO REBANBAG" u="1"/>
        <s v="MA'AM Rose " u="1"/>
        <s v="STE AIRCONDITIONING SERVICES" u="1"/>
        <s v="AREVA" u="1"/>
        <s v="JOMAR" u="1"/>
        <s v="SPCBA" u="1"/>
        <s v="ERIC BUGAY" u="1"/>
        <s v="ALEXANDER SANCHEE" u="1"/>
        <s v="FELIMON" u="1"/>
        <s v="PAUL PANTIG" u="1"/>
        <s v="RUFFAMAE AMOROSO" u="1"/>
        <s v="FUJI AIRE PHILIPPINES" u="1"/>
        <s v="JEFFREY CATALAN" u="1"/>
        <s v="RMRI" u="1"/>
        <s v="CENILA ELECTRICAL " u="1"/>
        <s v="SILEOFFREY " u="1"/>
        <s v="KEVIN " u="1"/>
        <s v="ANGELICA VILLARREAL" u="1"/>
        <s v="DISPATCH" u="1"/>
        <s v="TOMAS SAMSON" u="1"/>
        <s v="KIM" u="1"/>
        <s v="RAFFY" u="1"/>
        <s v="YELLOW STONE" u="1"/>
        <s v="ERVIN" u="1"/>
        <s v="CARMELA PROVIDO" u="1"/>
        <s v="LAGUNA FRESH" u="1"/>
        <s v="KILOWATT" u="1"/>
        <s v="PSA AIRCONDITIONING COMP" u="1"/>
        <s v="AVBB" u="1"/>
        <s v="MAC BUILDERS" u="1"/>
        <s v="SORIANO" u="1"/>
        <s v="COLOMBO" u="1"/>
        <s v="GEORGE" u="1"/>
        <s v="ROLLY SAOD" u="1"/>
        <s v="JUN" u="1"/>
        <s v="AJL COOLING" u="1"/>
        <s v="ANTHONY" u="1"/>
        <s v="GCC AIRE ENGINEERING SERVICE" u="1"/>
        <s v="LITO G" u="1"/>
        <s v="TRIO TRUCKING/ ARVIN PASCO" u="1"/>
        <s v="PAULO REYES" u="1"/>
        <s v="REINIER PUNZALAN" u="1"/>
        <s v="HELBERT ARIETE/ MHM AUTOSHOP" u="1"/>
        <s v="JHOANA" u="1"/>
        <s v="ELMA CORTEZ" u="1"/>
        <s v="HUNTS GABRIEL PEREZ" u="1"/>
        <s v="2RK" u="1"/>
        <s v="ALVIN MENDOZA" u="1"/>
        <s v="RANDY H" u="1"/>
        <s v="RODERICK" u="1"/>
        <s v="Ronnel" u="1"/>
        <s v="ALDYAD AC SERVICES" u="1"/>
        <s v="GEAN" u="1"/>
        <s v="RCE" u="1"/>
        <s v="ART M ROSARIO" u="1"/>
        <s v="JR" u="1"/>
        <s v="TAN-TAN" u="1"/>
        <s v="HENRY M ECHIVERRI" u="1"/>
        <s v="MATEAIRE" u="1"/>
        <s v="BARANGAY SAN ROQUE" u="1"/>
        <s v="CEP LABRIGAS" u="1"/>
        <s v="ALEX ALBANO" u="1"/>
        <s v="ARNOLD ARCE" u="1"/>
        <s v="PJ GOSCO" u="1"/>
        <s v="INAN" u="1"/>
        <s v="KEANA AIRCONDITIONING" u="1"/>
        <s v="TGM " u="1"/>
        <s v="JUDE VICENCIO" u="1"/>
        <s v="TOM MANALANG" u="1"/>
        <s v="JOSEPH" u="1"/>
        <s v="ATHR" u="1"/>
        <s v="JUN REY DAJAY" u="1"/>
        <s v="RICARDO BAUTISTA" u="1"/>
        <s v="CEDRICK" u="1"/>
        <s v="SMILE SERVE" u="1"/>
        <s v="KING'S AIRE/ JUJIE" u="1"/>
        <s v="ERIC BARBOL" u="1"/>
        <s v="COOL STARS" u="1"/>
        <s v="BRO. MELCHOR CALMA" u="1"/>
        <s v="TERRAFIRMA" u="1"/>
        <s v="ARNOLD P." u="1"/>
        <s v="RAUL ALBOR" u="1"/>
        <s v="JOCELYN LABALAN" u="1"/>
        <s v="JENIFER NIDAR" u="1"/>
        <s v="ALNU AC &amp; REF PAMPANGA" u="1"/>
        <s v="DARLOS PASCUA" u="1"/>
        <s v="JOSEPH ILAGAN" u="1"/>
        <s v="RYAN BARICAUA" u="1"/>
        <s v="RAHUL SOGI" u="1"/>
        <s v="AL YUSON" u="1"/>
        <s v="LLR" u="1"/>
        <s v="JOMER MASANGYA" u="1"/>
        <s v="MELTRA Q" u="1"/>
        <s v="TRIPPLE L BUILDERS/Thoppy" u="1"/>
        <s v="RMP AIMERTECH AIRCONDITIONING " u="1"/>
        <s v="CLEAN AIR" u="1"/>
        <s v="EVATECH" u="1"/>
        <s v="REXAN PABRIGAR" u="1"/>
        <s v="GM SERVICES / MARJORIE" u="1"/>
        <s v="JONATHAN CEREZO" u="1"/>
        <s v="ROD ALFONZO" u="1"/>
        <s v="LEVI BANBACENA" u="1"/>
        <s v="GERALD" u="1"/>
        <s v="PIVOT- HAWKS MANILA INC" u="1"/>
        <s v="VIC FAMADOR" u="1"/>
        <s v="JHOBET PACITA" u="1"/>
        <s v="REFLETECH ENG'G ENT." u="1"/>
        <s v="FLORANTE GASCON" u="1"/>
        <s v="ALDEN BALLENA" u="1"/>
        <s v="JRAE" u="1"/>
        <s v="MONT CORPORATION" u="1"/>
        <s v="DHARREN GATDULA" u="1"/>
        <s v="RHOMEL AMODAN" u="1"/>
        <s v="BRYAN F" u="1"/>
        <s v="GREATER CONSTRUCTION" u="1"/>
        <s v="BODY AIRCONDITIONING" u="1"/>
        <s v="NOTE COOL" u="1"/>
        <s v="CYCOOL" u="1"/>
        <s v="JUN BELEN" u="1"/>
        <s v="MLCF" u="1"/>
        <s v="LEN CABRERA" u="1"/>
        <s v="VIC VELOSO" u="1"/>
        <s v="BOBBY LEGASPI" u="1"/>
        <s v="CONG (NUEVA TAUGAMMA)" u="1"/>
        <s v="ANGELA" u="1"/>
        <s v="JOVIT SANTOS" u="1"/>
        <s v="RAMIE" u="1"/>
        <s v="RENELYN PESTAÑO" u="1"/>
        <s v="MRLN CAR AC" u="1"/>
        <s v="MELCHOR DIGANDISE" u="1"/>
        <s v="AL ARDOSA" u="1"/>
        <s v="MEDSON" u="1"/>
        <s v="ECOLEON CORPORATION" u="1"/>
        <s v="BONZAIRE INTERPRISES" u="1"/>
        <s v="RICO FERRERA" u="1"/>
        <s v="JHUN SPORTMAN" u="1"/>
        <s v="AlLVIN JAY OCAMPO" u="1"/>
        <s v="ALVIN JAY OCAMPO" u="1"/>
        <s v="JOEL SPORTSMAN" u="1"/>
        <s v="DUDOY" u="1"/>
        <s v="RANDY" u="1"/>
        <s v="CARLOS" u="1"/>
        <s v="BIGAA" u="1"/>
        <s v="BOK RIVERA" u="1"/>
        <s v="RUSSEL" u="1"/>
        <s v="JEMS" u="1"/>
        <s v="FERDINAND/ Kuya Inan" u="1"/>
        <s v="GM SERVICES" u="1"/>
        <s v="AZ JAY AIRCON AND REF" u="1"/>
        <s v="BOYET GONZALES" u="1"/>
        <s v="ARNEL" u="1"/>
        <s v="ARNEL " u="1"/>
        <s v="GM SERVICES/MARJORIE" u="1"/>
        <s v="HELBERT ARIETE" u="1"/>
        <s v="THOPUE" u="1"/>
        <s v="Bro. Rhoge" u="1"/>
        <s v="Sonny" u="1"/>
        <s v="OGIE" u="1"/>
        <s v="NITA CYCLE" u="1"/>
        <s v=" Sonny" u="1"/>
        <s v="TAURUS / ANAKIN" u="1"/>
        <s v="CASH" u="1"/>
        <s v="SEKISUIJUSHI PHIL" u="1"/>
        <s v="WILMAN" u="1"/>
        <s v="MANNY" u="1"/>
        <s v="PHILLIP" u="1"/>
        <s v="C" u="1"/>
        <s v="HEALTH CENTER SINALHAN" u="1"/>
        <s v="ALJ" u="1"/>
        <s v="JOVI" u="1"/>
        <s v="WILLIAM" u="1"/>
        <s v="JOVI " u="1"/>
        <s v="AXM" u="1"/>
        <s v="CHE" u="1"/>
        <s v="CHESS" u="1"/>
        <s v="CJ  PANTHER/SEVILLA" u="1"/>
        <s v="COLD AIRE" u="1"/>
        <s v="COOLINGTECH" u="1"/>
        <s v="DJ HOMES" u="1"/>
        <s v="EMMANUEL" u="1"/>
        <s v="GLEN" u="1"/>
        <s v="HICANORI" u="1"/>
        <s v="HYPETECH" u="1"/>
        <s v="J.ILAGAN" u="1"/>
        <s v="JMT" u="1"/>
        <s v="JOJHECO MECHANICAL " u="1"/>
        <s v="MARK ANTHONY" u="1"/>
        <s v="MLB" u="1"/>
        <s v="MTG" u="1"/>
        <s v="MULTI TECH" u="1"/>
        <s v="NITA STCK" u="1"/>
        <s v="PA ALVAREZ" u="1"/>
        <s v="REXSAN" u="1"/>
        <s v="ALB " u="1"/>
        <s v="AICOLD SERVE" u="1"/>
        <s v="RAY MARTIN ESCALANTE" u="1"/>
        <s v="ALB BATANGAS" u="1"/>
        <s v="MULTITECH" u="1"/>
        <s v="EDONG REFRIGERATIONS" u="1"/>
        <s v="MTG AIRCONDITIONG" u="1"/>
        <s v="KYLE DEL PILAR" u="1"/>
        <s v="FLXTRACT" u="1"/>
        <s v="LOTZKI" u="1"/>
        <s v="LOTSKI" u="1"/>
        <s v="AR DESIGN" u="1"/>
        <s v="LEO RIVERA" u="1"/>
        <s v="Russell Sona" u="1"/>
        <s v="WORKCOOL" u="1"/>
        <s v="GEORGE AUTO CARE" u="1"/>
        <s v="CJ PANTHER" u="1"/>
        <s v="MRS. PANGANIBAN" u="1"/>
        <s v="DXB" u="1"/>
        <s v="MEMZ" u="1"/>
        <s v="RJ" u="1"/>
        <s v="ARAEL" u="1"/>
        <s v="ALVIN JHAY OCAMPO" u="1"/>
        <s v="Alvin Mathutz" u="1"/>
        <s v="REY MARTIN ESCALANTE" u="1"/>
        <s v="LAGUNA AIR" u="1"/>
        <s v="LAGUNA AIR " u="1"/>
        <s v="JM DIAMAT/ COOLTIME" u="1"/>
        <s v="SOUTH CARE COSMETIC" u="1"/>
        <s v="ENTENG CA" u="1"/>
        <s v="ALEX SERRANO" u="1"/>
        <s v="DANDRES ENTERPRISES" u="1"/>
        <s v="Arman Demetera" u="1"/>
        <s v="Jason Orales" u="1"/>
        <s v="SAM/WALK IN" u="1"/>
        <s v="JULITO" u="1"/>
        <s v="CHRIS CARAAN" u="1"/>
        <s v="BAINS ENTERPRISES" u="1"/>
        <s v="RICHIE BOY O. MARIANO" u="1"/>
        <s v="COOL MAX" u="1"/>
        <s v="REDEN REODICA/WAK IN" u="1"/>
        <s v="KENJIE AKISHIGE" u="1"/>
        <s v="RUEL" u="1"/>
        <s v="LDT Group Company" u="1"/>
        <s v="BEMAR AIRCON" u="1"/>
        <s v="J.D.S COLLER PACITA" u="1"/>
        <s v="S.P.C" u="1"/>
        <s v="FLORENCE DE BORJA" u="1"/>
        <s v="SPVC" u="1"/>
        <s v="Waks Santos/Lazada" u="1"/>
        <s v="Belle" u="1"/>
        <s v="MIMZ REF/AC" u="1"/>
        <s v="YNGEN PROPERTIES" u="1"/>
        <s v="EDISON PAIGMA" u="1"/>
        <s v="Bro Mel" u="1"/>
        <s v="DANTOY ROJO" u="1"/>
        <s v="RAFFY/WALK-IN" u="1"/>
        <s v="METROCOIL" u="1"/>
        <s v="TIN TIN" u="1"/>
        <s v="KURT WILLIAM DELA CRUZ" u="1"/>
        <s v="BENZIRANIER AC SERVICE" u="1"/>
        <s v="VAL LANDAYAN" u="1"/>
        <s v="G7 Total Solution Inc." u="1"/>
        <s v="DHOY JAVIER" u="1"/>
        <s v="JMS METAL FABRICATION" u="1"/>
        <s v="JERYLLE RAMOS" u="1"/>
        <s v="CJ SEVILLA/ PANTHER" u="1"/>
        <s v="REDEN" u="1"/>
        <s v="JHON CARLO ALBA" u="1"/>
        <s v="MV REFRIGERATION/TENG" u="1"/>
        <s v="EIN" u="1"/>
        <s v="MARK PORLAJE" u="1"/>
        <s v="REYNANTE" u="1"/>
        <s v="CJ SEVILLA/PANTHER" u="1"/>
        <s v="JOEY HISOLER" u="1"/>
        <s v="FLORENDO L. JAVIER" u="1"/>
        <s v="REDEM BERROYA" u="1"/>
        <s v="JMT AUTOPARTS" u="1"/>
        <s v="JOSEPH PROSTRADO" u="1"/>
        <s v="BESTBUILDERS INC" u="1"/>
        <s v="ERL/WALK IN" u="1"/>
        <s v="FRANCISCO MALABO" u="1"/>
        <s v="Seth AC Services" u="1"/>
        <s v="DENNIS DOROTEO" u="1"/>
        <s v="DJ HOMES/JC/DAVE TUNGCAB" u="1"/>
        <s v="L&amp;B REF AND AIRCON" u="1"/>
        <s v="ODIE" u="1"/>
        <s v="STEVEN SEñOLAY" u="1"/>
        <s v="JKV" u="1"/>
        <s v="REMAR CABALLERO" u="1"/>
        <s v="JOHN PAUL TAN" u="1"/>
        <s v="COLEGIO SAN AGUSTIN" u="1"/>
        <s v="JDS COLLER A/C" u="1"/>
        <s v="AMLB" u="1"/>
        <s v="EURO MARK EBRO" u="1"/>
        <s v="Norbie Sarmiento" u="1"/>
        <s v="JOSEMARIE DABANDAN" u="1"/>
        <s v="KLEEN AIRE" u="1"/>
        <s v="GIO CORTEZ" u="1"/>
        <s v="CLEANGREEN SOLUTION" u="1"/>
        <s v="PJ HERNANDEZ ENG." u="1"/>
        <s v="LITO" u="1"/>
        <s v="DUDS" u="1"/>
        <s v="MEL CUERDO" u="1"/>
        <s v="MET CUARDO" u="1"/>
        <s v="Ricky Chavez" u="1"/>
        <s v="J4MAXX" u="1"/>
        <s v="SMARTECHNIQUE SUPPLIES" u="1"/>
        <s v="LEON/BOK RIVERA" u="1"/>
        <s v="J4MAX ENG'G SERVICES" u="1"/>
        <s v="SOJITZ AUTO PHIL" u="1"/>
        <s v="Chrome Edge " u="1"/>
        <s v="LITO MANSON" u="1"/>
        <s v="RIM SOLIS" u="1"/>
        <s v="FRONTLINE" u="1"/>
        <s v="LOTZKIE" u="1"/>
        <s v="EDGAR" u="1"/>
        <s v="Liezel Dumagat" u="1"/>
        <s v="MIKE AIRECOOL" u="1"/>
        <s v="MHON/ ATON AIRE" u="1"/>
        <s v="WHITE FROST" u="1"/>
        <s v="SERGIO CARTAGENA" u="1"/>
        <s v="PYTHOS TECHNOLOGY PHILS INC" u="1"/>
        <s v="ARJAY AIRCONDITION" u="1"/>
        <s v="lead tech industrial solution" u="1"/>
        <s v="Mr. Bonete" u="1"/>
        <s v="JHONVER CAR AIRCON" u="1"/>
        <s v="RCG" u="1"/>
        <s v="ALEXANDER PANDAY" u="1"/>
        <s v="JET DIVINAGRACIA" u="1"/>
        <s v="LET-LET AREGLADO" u="1"/>
        <s v="BYRON" u="1"/>
        <s v="REYNEL LIBO-OH" u="1"/>
        <s v="ESMAEL REMOLANO" u="1"/>
        <s v="REY PACITA" u="1"/>
        <s v="NOE EVALCO" u="1"/>
        <s v="CLC BULACAN" u="1"/>
        <s v="WALK IN " u="1"/>
        <s v="Jay Santa Rosa" u="1"/>
        <s v="Edelwies Pedrilava" u="1"/>
        <s v="vino" u="1"/>
        <s v="JMJ FREEZCOOL" u="1"/>
        <s v="BERNABE DE VERA CONS." u="1"/>
        <s v="EIS INDUSTRIES CONSTRUCTION CORPORATION" u="1"/>
        <s v="TOTAL MECHANICS ENG." u="1"/>
        <s v="AIRE ZONE" u="1"/>
        <s v="TULOY FOUNDATION" u="1"/>
        <s v="LAGUNA TECH" u="1"/>
        <s v="THE WHOLESOME " u="1"/>
        <s v="ISMAEL REMOLANO" u="1"/>
        <s v="FRONTLINE BUS SOLUTION" u="1"/>
        <s v="RunDee Magpantay" u="1"/>
        <s v="Clearence B Llaneta" u="1"/>
        <s v="PNEUCONDRO CORP." u="1"/>
        <s v="SMARTECHNIQUE" u="1"/>
        <s v="TRICOOL" u="1"/>
        <s v="JAXMUS MARQUEZ" u="1"/>
        <s v="DARWIN LAGTO/WALK IN" u="1"/>
        <s v="JDS WILER PACITA" u="1"/>
        <s v="LDT 6" u="1"/>
        <s v="COIL UNITS" u="1"/>
        <s v="Steven Senolay" u="1"/>
        <s v="MARK REY DE LEON" u="1"/>
        <s v="DIAMZON ENTERPRISES" u="1"/>
        <s v="JHUN JHUN B OCAMPO" u="1"/>
        <s v="PACITA" u="1"/>
        <s v="ANDREW DE ASIS" u="1"/>
        <s v="DELPAS REFRIGERATION AND AIRCONDITIONING SERVICES" u="1"/>
        <s v="JHUN/SPORTSMAN" u="1"/>
        <s v="JUN/ walk in" u="1"/>
        <s v="Melody Teano" u="1"/>
        <s v="PHYTOS TECHNOLOGY" u="1"/>
        <s v="Dan C." u="1"/>
        <s v="ARLENE ALMEDRAL" u="1"/>
        <s v="Dennis Caralimon" u="1"/>
        <s v="JULIUS AMO" u="1"/>
        <s v="SOUTH AIR AIRCON INS." u="1"/>
        <s v="COOLMAX" u="1"/>
        <s v="JAYSON MARANTAL" u="1"/>
        <s v="Sis. Arlene " u="1"/>
        <s v="WILSON RAMOS" u="1"/>
        <s v="CLLOYD ACLAN" u="1"/>
        <s v="R.OLIVEROS" u="1"/>
        <s v="AIRCOOL TECH" u="1"/>
        <s v="CRISTIAN CASH" u="1"/>
        <s v="Bernabe Mendoza" u="1"/>
        <s v="GENIE MANUFACTURING CONCEPT" u="1"/>
        <s v="EUSEBIO" u="1"/>
        <s v="R. ROYALES" u="1"/>
        <s v="TGM AUTOCARE SERVICE" u="1"/>
        <s v="ARMLINK" u="1"/>
        <s v="WORTHY TRANSPORT" u="1"/>
        <s v="HOMER DEL ROSARIO" u="1"/>
        <s v="RBIEL" u="1"/>
        <s v="RAMON BLADO" u="1"/>
        <s v="JEFF SANVICENTE" u="1"/>
        <s v="PERILORA" u="1"/>
        <s v="Lhen Salazar" u="1"/>
        <s v="MARCHI" u="1"/>
        <s v="LOTZKIE CAR AIRCON" u="1"/>
        <s v="JOMARI" u="1"/>
        <s v="JR ENARO" u="1"/>
        <s v="SAINT ROSE" u="1"/>
        <s v="JANINE  ARANDIA" u="1"/>
        <s v="Louis Limjoco/LBC" u="1"/>
        <s v="CHELLE" u="1"/>
        <s v="A &amp; Z" u="1"/>
        <s v="DANTE" u="1"/>
        <s v="DENNIS BIILLANO" u="1"/>
        <s v="CBC" u="1"/>
        <s v="ANGELO GALANG" u="1"/>
        <s v="RM CHEMICALS SOUTH" u="1"/>
        <s v="AUX LANCASTER" u="1"/>
        <s v="ABE ROGIE" u="1"/>
        <s v="BERNARD G DEMDAM" u="1"/>
        <s v="Erwin Wagan " u="1"/>
        <s v="REYBEM MADRIAGA" u="1"/>
        <s v="JOSHUA/ONE SANTA ROSA" u="1"/>
        <s v="DRIM REFRIGERATION EQUIPMENT" u="1"/>
        <s v="NDD TECH" u="1"/>
        <s v="RALPH" u="1"/>
        <s v="MANULITO CORTEZ" u="1"/>
        <s v="RJ GESER" u="1"/>
        <s v="Ma. Shella Alagde / Lazada" u="1"/>
        <s v="NEBON" u="1"/>
        <s v="NICK BELO" u="1"/>
        <s v="MNE" u="1"/>
        <s v="GECOLIME LANDAYAN" u="1"/>
        <s v="MV Refrigeration" u="1"/>
        <s v="JEPPYS" u="1"/>
        <s v="BARTH" u="1"/>
        <s v="DENNIS LLABRES" u="1"/>
        <s v="PNUCONARO" u="1"/>
        <s v="Val TOPACIO" u="1"/>
        <s v="MARLON DELOS ANGELES" u="1"/>
        <s v="ROMY PAMINTUAN" u="1"/>
        <s v="S&amp;T LEISURE WORLDWIDE" u="1"/>
        <s v="HDK" u="1"/>
        <s v="ALVIN/B.GILBERT" u="1"/>
        <s v="Jon Ver Aircion Shop" u="1"/>
        <s v="THERESA ABRIGO" u="1"/>
        <s v="DARRYL ACUNA" u="1"/>
        <s v="Walk-in" u="1"/>
        <s v="Johnson Fernandez" u="1"/>
        <s v="AXM RESTOWORKS/GAU" u="1"/>
        <s v="LAZADA/Israel" u="1"/>
        <s v="SAN PEDRO WATER DISTRICT" u="1"/>
        <s v="MANTECH/KULOT" u="1"/>
        <s v="ADARA AESTHETICS" u="1"/>
        <s v="MARK MICHAEL" u="1"/>
        <s v="Brandon Luriz" u="1"/>
        <s v="FERNANDO DOCOT" u="1"/>
        <s v="CL/JS" u="1"/>
        <s v="PNEUCONDRA" u="1"/>
        <s v="MFI" u="1"/>
        <s v="CRIS " u="1"/>
        <s v="AIRGONOMICS" u="1"/>
        <s v="Tess Palenzuela" u="1"/>
        <s v="NET PACIFIC INC" u="1"/>
        <s v="PSYCHRO POINT" u="1"/>
        <s v="COLD LANZ" u="1"/>
        <s v="EUROPRINCE PHILS" u="1"/>
        <s v="XCAPILI" u="1"/>
        <s v="BENZIRAIER" u="1"/>
        <s v="Vincent" u="1"/>
        <s v="JASCOLLER" u="1"/>
        <s v="NALDO'S CA" u="1"/>
        <s v="REY CANSINO" u="1"/>
        <s v="RYETECH" u="1"/>
        <s v="Rolly / walk in" u="1"/>
        <s v="EDORIA LEVY JR" u="1"/>
        <s v="ELENITA L. CANSINO" u="1"/>
        <s v="CHITO " u="1"/>
        <s v="ELJAY IGLESIA" u="1"/>
        <s v="LUIGI MANEARES" u="1"/>
        <s v="ST ROSE TRANSIT" u="1"/>
        <s v="ARVIN MARTINEZ" u="1"/>
        <s v="RDF" u="1"/>
        <s v="Billy Jones Daguio" u="1"/>
        <s v="DONG CAR AIRCON LAS PIÑAS" u="1"/>
        <s v="FREEZETECH SALE" u="1"/>
        <s v="DHIGOY/JOLLIBEE" u="1"/>
        <s v="JHEAN DEQUILLA" u="1"/>
        <s v="LEONARD BEREMOY" u="1"/>
        <s v="GEIMGS" u="1"/>
        <s v="AAA TRADING " u="1"/>
        <s v="JUST AIRE TRADING" u="1"/>
        <s v="TAURUS" u="1"/>
        <s v="Levi " u="1"/>
        <s v="RICO ESCONDO" u="1"/>
        <s v="MTG AIRCONDITONING" u="1"/>
        <s v="LEVY" u="1"/>
        <s v="ALDRIN wings buster unlimited " u="1"/>
        <s v="TUNASAN SUB STATION" u="1"/>
        <s v="FRIGEL" u="1"/>
        <s v="DANSECA BUILDERS" u="1"/>
        <s v="DANSEEN BUILDERS" u="1"/>
        <s v="PADIS POINT" u="1"/>
        <s v="DANILO BENALLA" u="1"/>
        <s v="AC" u="1"/>
        <s v="KRISTINE LUSERO" u="1"/>
        <s v="CJ SEVILLA" u="1"/>
        <s v="GLASHER AC SERV" u="1"/>
        <s v="PRCS" u="1"/>
        <s v="ADRIAN" u="1"/>
        <s v="Michael" u="1"/>
        <s v="BRANDON DATON" u="1"/>
        <s v="JHONRIC TIMTIM" u="1"/>
        <s v="REM/WALK IN" u="1"/>
        <s v="MEMZ " u="1"/>
        <s v="Melchor Calma" u="1"/>
        <s v="ADRIM RACK STEEL" u="1"/>
        <s v="COCOY RAMALES/LANDAYAN" u="1"/>
        <s v="Buboy Aircon" u="1"/>
        <s v="ALPHA E BUSINESS " u="1"/>
        <s v="FOURLINKS BUILDING SYSTEM" u="1"/>
        <s v="ROUEL" u="1"/>
        <s v="VON DEXTER L. ASUMBRADO" u="1"/>
        <s v="STARCON" u="1"/>
        <s v="JM" u="1"/>
        <s v="Colombus Capiliman" u="1"/>
        <s v="FRANCIS DADIZON" u="1"/>
        <s v="ICY COOL" u="1"/>
        <s v="JOEL VILLA" u="1"/>
        <s v="PATRICK" u="1"/>
        <s v="LEO ROGERO" u="1"/>
        <s v="TRES" u="1"/>
        <s v="MICHAEL " u="1"/>
        <s v="RALY" u="1"/>
        <s v="ANTONIO BORJA" u="1"/>
        <s v="VJ'S AIRCON SOLUTION" u="1"/>
        <s v="Vastcorp" u="1"/>
        <s v="CEWILA" u="1"/>
        <s v="DC MANLITA BUILDERS" u="1"/>
        <s v="DHIGOY" u="1"/>
        <s v="RYAN " u="1"/>
        <s v="3k AIRCONDITIONING SVS." u="1"/>
        <s v="MEXT KOEL AIRCONDITIONING" u="1"/>
        <s v="COLD AIR MULTITECH AIRCONDITIONING" u="1"/>
        <s v="GOSCO DAPH GEVANO" u="1"/>
        <s v="A2G PROFEC" u="1"/>
        <s v="FREELINE" u="1"/>
        <s v="JR MAMAWAG" u="1"/>
        <s v="Ptr Arnel" u="1"/>
        <s v="MELCH CASTLE " u="1"/>
        <s v="COLORBO CAIHINAN/Bro UPC" u="1"/>
        <s v="RG SIMBILLO TECH" u="1"/>
        <s v="Jollibee" u="1"/>
        <s v="JMS" u="1"/>
        <s v="JUN VIRI" u="1"/>
        <s v="KAREN RADA" u="1"/>
        <s v="ALEX CASTILLO" u="1"/>
        <s v="J4MAX " u="1"/>
        <s v="G4 MAX" u="1"/>
        <s v="WDD CONSTRUCTION CORP." u="1"/>
        <s v="LENAIR LAS PIÑAS CITY" u="1"/>
        <s v="SACHO SAN " u="1"/>
        <s v="COLONIBOCAPILIMAN" u="1"/>
        <s v="RAIN/Walk in" u="1"/>
        <s v="JHAY BARROMEO" u="1"/>
        <s v="JESS GANAYO" u="1"/>
        <s v="ENTOM PEST CONTROL" u="1"/>
        <s v="BARTHOLOME" u="1"/>
        <s v="RCJRL ENT." u="1"/>
        <s v="KARESMA" u="1"/>
        <s v="RODIL" u="1"/>
        <s v="LITO " u="1"/>
        <s v="PMAJ JOSE PENA" u="1"/>
        <s v="JACOB SALIM" u="1"/>
        <s v="KFPG" u="1"/>
        <s v="JHONVER AUTO AC" u="1"/>
        <s v="MEL TAMAYO SAN PEDRO" u="1"/>
        <s v="CAM GLORIA TIE COMPOUND" u="1"/>
        <s v="MGM" u="1"/>
        <s v="KRE REYES" u="1"/>
        <s v="EDORIA JOSE" u="1"/>
        <s v="SOJITZ G AUTO PHIL" u="1"/>
        <s v="SETH AIRCONDITIONING " u="1"/>
        <s v="ROBIN" u="1"/>
        <s v="JOSHUA" u="1"/>
        <s v="AIRDOCTOR AC AND REFRIGERATION" u="1"/>
        <s v="JHEFF" u="1"/>
        <s v="PLACIDO GLORIA JR" u="1"/>
        <s v="MCM" u="1"/>
        <s v="KENJIE/XFLXTRCT" u="1"/>
        <s v="RMT" u="1"/>
        <s v="ROLLY " u="1"/>
        <s v="RYAN ONOFRE" u="1"/>
        <s v="JENNELYN PASCUAL" u="1"/>
        <s v="JOSEPH GEOMAN" u="1"/>
        <s v="SHERILL REPUYAN" u="1"/>
        <s v="REC" u="1"/>
        <s v="JUNES CAR AIRCON" u="1"/>
        <s v="PHAPMAR H. CABGIO" u="1"/>
        <s v="Jan Mark Tabanao" u="1"/>
        <s v="new " u="1"/>
        <s v="ESTER SUN" u="1"/>
        <s v="REN" u="1"/>
        <s v="DAN SERAT" u="1"/>
        <s v="COCOY LANDAYAN" u="1"/>
        <s v="DON ESCRIBA" u="1"/>
        <s v="JOHN JOHN CONCINA" u="1"/>
        <s v="EDMAR / SANTA ROSA" u="1"/>
        <s v="CECILIO NAMIT" u="1"/>
        <s v="REY " u="1"/>
        <s v="MARNIE LERESCO" u="1"/>
        <s v="ERWIN MANOSCA " u="1"/>
        <s v="SUMMER COOL" u="1"/>
        <s v="Marcelino Tamayo/Lazada" u="1"/>
        <s v="DAVE MONTE" u="1"/>
        <s v="CARLO" u="1"/>
        <s v="P.A PROPERTIES" u="1"/>
        <s v="FREEZETECH" u="1"/>
        <s v="MARLON MAGNAYE" u="1"/>
        <s v="LEN AIR" u="1"/>
        <s v="Dj Homes/JC Tungcab" u="1"/>
        <s v="DAN AND RICKY" u="1"/>
        <s v="DRIM COMMERCIAL" u="1"/>
        <s v="BCUBE TRADING " u="1"/>
        <s v="RANCO INDUSTRIES" u="1"/>
        <s v="JOANN" u="1"/>
        <s v="JANSSEN BURAO" u="1"/>
        <s v="ARBEL PAQUILLO" u="1"/>
        <s v="ADOL BORJA" u="1"/>
        <s v="FAUSTIZO CHAVES" u="1"/>
        <s v="ALLAN PALIMA" u="1"/>
        <s v="IVAN" u="1"/>
        <s v="CANTILLIAN" u="1"/>
        <s v="MARIO PERNIA" u="1"/>
        <s v="KOU FU Packaging" u="1"/>
        <s v="YAN YAN" u="1"/>
        <s v="Dara Faye Besina" u="1"/>
        <s v="ZAP" u="1"/>
        <s v="JOHN CARLO LANUZGA" u="1"/>
        <s v="BATANG" u="1"/>
        <s v="MHM AUTO SHOP CARMONA" u="1"/>
        <s v="GEORGE AUTO CARE SHOP" u="1"/>
        <s v="EDUARDO DETERA" u="1"/>
        <s v="LEO CARDENAS" u="1"/>
        <s v="YNGEN HOLDINGS INC" u="1"/>
        <s v="FRANCIS ALAYAY" u="1"/>
        <s v="AMORASON INDUSTRIAL" u="1"/>
        <s v="SUBGEN BUILDERS INC." u="1"/>
        <s v="Ramon Manalang" u="1"/>
        <s v="MANONG" u="1"/>
        <s v="RM CHEMICALS SOUTH EAST ASIA INC." u="1"/>
        <s v="DAVE" u="1"/>
        <s v="Rodelio Saway/LAZADA" u="1"/>
        <s v="YNGEN HOLDINGS" u="1"/>
        <s v="BOYET MENDOZA" u="1"/>
        <s v="JR COMBOYA" u="1"/>
        <s v="COOLTIME / JM Diamat" u="1"/>
        <s v="Airejoy Airconditioning Trading" u="1"/>
        <s v="Walk IN REYES" u="1"/>
        <s v="AIREJAY AIRCONDITIONING" u="1"/>
        <s v="Emmanuel/Walk IN" u="1"/>
        <s v="MIA VILLAS LAS PINAS" u="1"/>
        <s v="RJ Santiago" u="1"/>
        <s v="BEST BUILDERS INC" u="1"/>
        <s v="ANTHONY DALE CAMBEL" u="1"/>
        <s v="MIKES AIRCOOLS" u="1"/>
        <s v="DJ AIRCON" u="1"/>
        <s v="MIKE AIRCOOL " u="1"/>
        <s v="JONATHAN R ADVINELA" u="1"/>
        <s v="CLEAN GREEN SOLUTION" u="1"/>
        <s v="AMBAS GROUP OF COMPANIES" u="1"/>
        <s v="JHYAIE / WALK IN" u="1"/>
        <s v="EASTER SUN" u="1"/>
        <s v="AXM Car AC" u="1"/>
        <s v="RUEL SERENO" u="1"/>
        <s v="Khendra" u="1"/>
        <s v="PCPPI" u="1"/>
        <s v="BOY/WALK IN" u="1"/>
        <s v="Ronelyn Diaz/Lazada" u="1"/>
        <s v="JHUN" u="1"/>
        <s v="METRO COIL" u="1"/>
        <s v="JOSHUA/DHIGOY" u="1"/>
        <s v="Jeremy Regacho " u="1"/>
        <s v="NALDOS" u="1"/>
        <s v="ROGELIO  LORICA" u="1"/>
        <s v="OLD J TRADINGS" u="1"/>
        <s v="GEORGE AUTO CARE CENTER" u="1"/>
        <s v="MICHAEL PERALTA" u="1"/>
        <s v="JHUN/MC MC" u="1"/>
        <s v="CPSBA" u="1"/>
        <s v="KINGS AIRE/JUJIE" u="1"/>
        <s v="MLV" u="1"/>
        <s v="RICO FERPETUA" u="1"/>
        <s v="MENCHIE LOYUGA" u="1"/>
        <s v="DANNY BINAURO" u="1"/>
        <s v="FRANKLIN" u="1"/>
        <s v="LAGUNA AIRE" u="1"/>
        <s v="KEVIN HERERA" u="1"/>
        <s v="JAN MARK TABANAD" u="1"/>
        <s v="P.A. ALVAREZ" u="1"/>
        <s v="JRED-11 " u="1"/>
        <s v="DEMY " u="1"/>
        <s v="RENATO" u="1"/>
        <s v="Dhenz Medina" u="1"/>
        <s v="CRIS" u="1"/>
        <s v="Robert" u="1"/>
        <s v="BART CALAMBA" u="1"/>
        <s v="JONATHAN BRYAN" u="1"/>
        <s v="CHROS BUILDING SOLUTION" u="1"/>
        <s v="ELDRED" u="1"/>
        <s v="CHARMAINE DALISAY" u="1"/>
        <s v="EASTERN SUN/PAUL " u="1"/>
        <s v="Danny Joson" u="1"/>
        <s v="RUTH" u="1"/>
        <s v="DELTA SERVE" u="1"/>
        <s v="SOUTH PRESTIGE AUTOWORKS" u="1"/>
        <s v="JOVY" u="1"/>
        <s v="JOHN REY QUE" u="1"/>
        <s v="VRR" u="1"/>
        <s v="FLOR" u="1"/>
        <s v="Perfect Cool/BenjaminEvangelista" u="1"/>
        <s v="DRIM COMM'L REFRIGERATION" u="1"/>
        <s v="Memz Tablada" u="1"/>
        <s v="ROLLY" u="1"/>
        <s v="OLDS TRADINGS" u="1"/>
        <s v="GILBERT REY V. LIMOSINERO" u="1"/>
        <s v="MENARD MENGOTE" u="1"/>
        <s v="ALFRED " u="1"/>
        <s v="DERWIN ALFONSO" u="1"/>
        <s v="TGM AUTO CARE " u="1"/>
        <s v="GRESOR RALPH" u="1"/>
        <s v="VIVIAN PAPASIN" u="1"/>
        <s v="RITCHIE MARIANO" u="1"/>
        <s v="AIRCON ZONE" u="1"/>
        <s v="JULIUS CEASAR " u="1"/>
        <s v="JANICE CORTEZ" u="1"/>
        <s v="RAYMARTIN ESCALANTE/BENESC" u="1"/>
        <s v="PACIDO M. GLORIA" u="1"/>
        <s v="FREDERICO DE CASTRO" u="1"/>
        <s v="Shella Alagde/Lazada" u="1"/>
        <s v="BALIWAG/WALK IN" u="1"/>
        <s v="SNOW AIR 3JS" u="1"/>
        <s v="MARC ROBIN GALANG" u="1"/>
        <s v="ADRIAN MORALES" u="1"/>
        <s v="NESTOR MAGISTRADO" u="1"/>
        <s v="ROLLY SPC" u="1"/>
        <s v="VISION AIRE" u="1"/>
        <s v="ARNIEL RODRIGO" u="1"/>
        <s v="MIBLE AIRCON &amp; REF" u="1"/>
        <s v="RYAN PARRENO" u="1"/>
        <s v="GINKO AFABLE" u="1"/>
        <s v="JDL ELECTRONICS SERVICE CENTER" u="1"/>
        <s v="RMPI" u="1"/>
        <s v="RAMON MADOLID" u="1"/>
        <s v="GLASHER AIRCONDITIONING " u="1"/>
        <s v="GRT CORPORATION" u="1"/>
        <s v="EVANGELISTA" u="1"/>
        <s v="Romy Carolino" u="1"/>
        <s v="ROEL/WALK IN" u="1"/>
        <s v="Dennis Patalud/ Walk in" u="1"/>
        <s v="MLB COOLING" u="1"/>
        <s v="Motorhead /Rapide" u="1"/>
        <s v="EDMOND" u="1"/>
        <s v="Q-TRADE COPR" u="1"/>
        <s v="CHIE" u="1"/>
        <s v="VJ AC" u="1"/>
        <s v="DEITHER LAMBINO" u="1"/>
        <s v="GARY PILI" u="1"/>
        <s v="Marti Azarraga" u="1"/>
      </sharedItems>
    </cacheField>
    <cacheField name="Receipt Type" numFmtId="0">
      <sharedItems containsSemiMixedTypes="0" containsNonDate="0" containsString="0"/>
    </cacheField>
    <cacheField name="Invoice/DR No." numFmtId="0">
      <sharedItems containsSemiMixedTypes="0" containsNonDate="0" containsString="0"/>
    </cacheField>
    <cacheField name="Item Description" numFmtId="0">
      <sharedItems containsSemiMixedTypes="0" containsNonDate="0" containsString="0"/>
    </cacheField>
    <cacheField name="Code" numFmtId="0">
      <sharedItems containsSemiMixedTypes="0" containsNonDate="0" containsString="0"/>
    </cacheField>
    <cacheField name="Qty" numFmtId="0">
      <sharedItems containsSemiMixedTypes="0" containsNonDate="0" containsString="0"/>
    </cacheField>
    <cacheField name="Price" numFmtId="0">
      <sharedItems containsSemiMixedTypes="0" containsNonDate="0" containsString="0"/>
    </cacheField>
    <cacheField name="Delivery" numFmtId="0">
      <sharedItems containsSemiMixedTypes="0" containsNonDate="0" containsString="0"/>
    </cacheField>
    <cacheField name="Sales" numFmtId="43">
      <sharedItems containsSemiMixedTypes="0" containsNonDate="0" containsString="0"/>
    </cacheField>
    <cacheField name="Method" numFmtId="0">
      <sharedItems containsString="0" containsBlank="1" containsNumber="1" containsInteger="1" minValue="600" maxValue="2100" count="4">
        <m/>
        <n v="2100" u="1"/>
        <n v="600" u="1"/>
        <n v="2000" u="1"/>
      </sharedItems>
    </cacheField>
    <cacheField name="SRP" numFmtId="43">
      <sharedItems containsSemiMixedTypes="0" containsNonDate="0" containsString="0"/>
    </cacheField>
    <cacheField name="Unit Cost" numFmtId="43">
      <sharedItems containsSemiMixedTypes="0" containsNonDate="0" containsString="0"/>
    </cacheField>
    <cacheField name="Total Cost" numFmtId="43">
      <sharedItems containsSemiMixedTypes="0" containsNonDate="0" containsString="0"/>
    </cacheField>
    <cacheField name="Capital" numFmtId="43">
      <sharedItems containsSemiMixedTypes="0" containsNonDate="0" containsString="0"/>
    </cacheField>
    <cacheField name="Mark up" numFmtId="0">
      <sharedItems containsSemiMixedTypes="0" containsNonDate="0" containsString="0"/>
    </cacheField>
    <cacheField name="Agent Comm." numFmtId="43">
      <sharedItems containsSemiMixedTypes="0" containsNonDate="0" containsString="0"/>
    </cacheField>
    <cacheField name="Item" numFmtId="43">
      <sharedItems containsBlank="1" count="2114">
        <s v="COPPER_TUBE_SOFTDRAWN"/>
        <s v="BRACKET "/>
        <s v="ELECTRICAL WIRE_STRANDED"/>
        <s v="BRACKET"/>
        <s v="MAGNETIC_CLUTCH"/>
        <s v="REFRIGERANT"/>
        <s v="HALF_UNION"/>
        <s v="COMPRESSOR"/>
        <s v="CONDENSER"/>
        <s v="LUBRICANT"/>
        <s v="EVAPORATOR"/>
        <s v="PULLEY_ASSEMBLY"/>
        <s v="CABIN_FILTER"/>
        <s v=""/>
        <s v="AUXFAN_MOTOR"/>
        <s v="BLOWER_MOTOR"/>
        <s v="AUXIALLIARY_FAN"/>
        <s v="RECEIVER_DRIER_STEEL "/>
        <s v="VACUUM_PUMP"/>
        <s v="HOSE"/>
        <s v="BOARD"/>
        <s v="DRAIN_PUMP"/>
        <s v="RUBBER_INSULATION"/>
        <s v="EXP. VALVE LT"/>
        <s v="MANIFOLD_GAUGE"/>
        <s v="TAPE_FOAM"/>
        <s v="ECV"/>
        <s v="RECEIVER_DRIER_ALUMINUM"/>
        <s v="SYSTEM_CLEANER"/>
        <s v="TAPE_PE"/>
        <s v="VALVE CORE 134A "/>
        <s v="THERMOSTAT"/>
        <s v="TEMPERATURE_RESISTANCE"/>
        <s v="FITTINGS"/>
        <s v="EXP. VALVE SC"/>
        <s v="CLEANER"/>
        <s v="AUXFAN ASSEMBLY"/>
        <s v="SILICA_GEL"/>
        <s v="CAPACITOR_SINGLE"/>
        <s v="ELECTRICAL_PANEL"/>
        <s v="CHARGING_VALVE"/>
        <s v="TAPE"/>
        <s v="FERULLE"/>
        <s v="RESISTOR_BLOCK"/>
        <s v="O_RING"/>
        <s v="MAPP_GAS"/>
        <s v="EXP. VALVE DC"/>
        <s v="PRESSURE_SWITCH"/>
        <s v="ROYAL CORD"/>
        <s v="FLARING_TOOL "/>
        <s v="TAPE ELECTRICAL"/>
        <s v="THERMAL GUN"/>
        <s v="AIRDUCT"/>
        <s v="THERMOSTAT SWITCH"/>
        <s v="CLAMP_METER"/>
        <s v="HAND_TORCH"/>
        <s v="ROD"/>
        <s v="BOLT &amp; NUT"/>
        <s v="ELECTRICAL SOCKET_BREAKER"/>
        <s v="ELECTRICAL CIRCUIT_BREAKER"/>
        <s v="PASTE_FLUX"/>
        <s v="Temp_Switch"/>
        <s v="HUB"/>
        <s v="GAUGE"/>
        <s v="COUPLER_QUICK"/>
        <s v="CAPACITOR_DOUBLE"/>
        <s v="AC FILTER DRIER "/>
        <s v="ACCESS_VALVE"/>
        <s v="TUBE_CUTTER"/>
        <s v="ACTUATOR IDLE-UP"/>
        <s v="AC UNVERSAL "/>
        <s v="ADAPTOR"/>
        <s v="PLIERS"/>
        <s v="REF_DRIER"/>
        <s v="SPRING BENDER"/>
        <s v="CAPILLARY TUBE"/>
        <s v="CAPACITOR_FAN"/>
        <s v="OVERLOAD"/>
        <s v="PIPE CLAMP "/>
        <s v="RELAY"/>
        <s v="CHARGING_VALVE CAP"/>
        <s v="TEMPERATURE"/>
        <s v="BAG_WASH"/>
        <s v="SHAFT_SEAL"/>
        <s v="SAFETY VALVE "/>
        <s v="BEARING"/>
        <s v="ORIFICE "/>
        <s v="O_RING COMPRESSOR"/>
        <s v="ACTUATOR GOLD"/>
        <m u="1"/>
        <e v="#N/A" u="1"/>
        <s v="PULLEY" u="1"/>
        <s v="NELTEX" u="1"/>
        <s v="PVC" u="1"/>
        <s v="HOSE CUTTER" u="1"/>
        <s v="TUBE BENDER" u="1"/>
        <s v="CORE_DRILL" u="1"/>
        <s v="REFILLABLE TANK" u="1"/>
        <s v="PIPE EMT" u="1"/>
        <s v="HOSE METAL CONDUIT" u="1"/>
        <s v="BRAZING FLUX" u="1"/>
        <s v="THERMODISC" u="1"/>
        <s v="HAND_SWAGING_TOOL_SET" u="1"/>
        <s v="HAND SWAGING TOOL" u="1"/>
        <s v="REMOVER" u="1"/>
        <s v="COPPER_TUBE_HARD_DRAWN_TYPE_L" u="1"/>
        <s v="MAGNETIC_COIL" u="1"/>
        <s v="IDLER PULLEY" u="1"/>
        <s v="LOOP HANGER" u="1"/>
        <e v="#REF!" u="1"/>
        <s v="HOSE,  DRAIN 3/4" u="1"/>
        <s v="AUXFAN_MOTOR, MITSUBISHI MONTERO (ORIG) SILVER" u="1"/>
        <s v="AUXIALLIARY_FAN, POKKA 10 BLADES X 12VOLTS" u="1"/>
        <s v="CONDENSER, UNIVERSAL 12 x 23 x 20 3/8" u="1"/>
        <s v="EVAPORATOR, HYUNDAI ACCENT 2013" u="1"/>
        <s v="EVAPORATOR, MITSUBISHI MIRAGE" u="1"/>
        <s v="EVAPORATOR, MITSUBISHI MONTERO 2008 (F) HS-40A172" u="1"/>
        <s v="EVAPORATOR, TOYOTA INNOVA 2008 (F) 40A80" u="1"/>
        <s v="EVAPORATOR, TOYOTA INNOVA 2008 R HS-40A412" u="1"/>
        <s v="EVAPORATOR, TOYOTA VIOS 2014 (SUPERMAN) 40A218" u="1"/>
        <s v="EXP. VALVE LT, POKKA 9A56 INNOVA F" u="1"/>
        <s v="EXP. VALVE SC, MITSUBISHI ORING TYPE 3/8" u="1"/>
        <s v="EXP. VALVE SC, MITSUBISHI ORING TYPE 5/16" u="1"/>
        <s v="HOSE, COOLMATE 1/2 DISCHARGE " u="1"/>
        <s v="HOSE, COOLMATE 3/8 HOTLINE " u="1"/>
        <s v="LUBRICANT, EMKARATE RL 68H, 1 LITER" u="1"/>
        <s v="MAPP_GAS, MAP PRO TORCH GAS" u="1"/>
        <s v="O_RING, NEK MAKAPAL 1/2" u="1"/>
        <s v="O_RING, NEK MAKAPAL 3/8" u="1"/>
        <s v="O_RING, NEK MAKAPAL 5/8" u="1"/>
        <s v="O_RING, NEK MANIPIS 1/2" u="1"/>
        <s v="O_RING, NEK MANIPIS 5/8" u="1"/>
        <s v="PULLEY_ASSEMBLY, TOYOTA VIOS 2017 6PK" u="1"/>
        <s v="REFRIGERANT, MAXX R134A , 13.6 KGS  " u="1"/>
        <s v="SYSTEM_CLEANER, XUE HUANG BLUE CENTRAL 141B 450 ML" u="1"/>
        <s v="TAPE_FOAM, AEROTAPE 3MM X 50 MM X 9.1 MTR" u="1"/>
        <s v="BLOWER_MOTOR, MITSUBISHI EXPANDER" u="1"/>
        <s v="DRAIN_PUMP, KING PUMP HIPPO 2 (SMALL), 3M" u="1"/>
        <s v="HOSE,  DRAIN PUMP PER MTR" u="1"/>
        <s v="TAPE_FOAM, POKKA 5MM X 50 MM X 9.1 MTR" u="1"/>
        <s v="ACCESS_VALVE, OMNI WELDED TYPE " u="1"/>
        <s v="COPPER_TUBE_SOFTDRAWN, EVERSTRONG 0.028 X 1/2 x 15 mtr" u="1"/>
        <s v="COPPER_TUBE_SOFTDRAWN, EVERSTRONG 0.028 X 1/4 x 15 mtr" u="1"/>
        <s v="FITTINGS, BRASS FLARE NUT 1/2" u="1"/>
        <s v="FITTINGS, BRASS FLARE NUT 1/4" u="1"/>
        <s v="REF_DRIER, OMNI WELDED TYPE  DOUBLE" u="1"/>
        <s v="REFRIGERANT, FU RYDER R410A CAN, 600 GRAMS" u="1"/>
        <s v="EXP. VALVE LT, DENSO 1600 VIOS_IBX" u="1"/>
        <s v="SILICA_GEL, DENSO SHORT" u="1"/>
        <s v="ELECTRICAL WIRE_STRANDED, POWERFLEX THNN STRANDED   #14, ROLL" u="1"/>
        <s v="AUXIALLIARY_FAN, POKKA 10 BLADES X 24VOLTS" u="1"/>
        <s v="BLOWER_MOTOR, TOYOTA VIOS BATMAN" u="1"/>
        <s v="CABIN_FILTER, HYUNDAI TUCSON 2008" u="1"/>
        <s v="EVAPORATOR, TOYOTA AVANZA 08" u="1"/>
        <s v="EVAPORATOR, TOYOTA RUSH  40A507" u="1"/>
        <s v="EXP. VALVE LT, POKKA 9A62 ADVENTURE" u="1"/>
        <s v="EXP. VALVE SC, HONDA OVERSIZE R134A" u="1"/>
        <s v="FERULLE,  1/2&quot;" u="1"/>
        <s v="HOSE, COOLMATE 1/2 DISCHARGE PER FT" u="1"/>
        <s v="O_RING COMPRESSOR, TRS " u="1"/>
        <s v="RECEIVER_DRIER_ALUMINUM, YK 8015 (L) (Adventure)" u="1"/>
        <s v="RECEIVER_DRIER_ALUMINUM, YK 8035 (Hiace)" u="1"/>
        <s v="SHAFT_SEAL, TRS" u="1"/>
        <s v="SYSTEM_CLEANER, Cleanse GREEN 141B 500 ML" u="1"/>
        <s v="COPPER_TUBE_SOFTDRAWN, EVERSTRONG 0.028 X 3/8 x 15 mtr" u="1"/>
        <s v="COPPER_TUBE_SOFTDRAWN, EVERSTRONG 0.028 X 5/8 x 15 mtr" u="1"/>
        <s v="REFRIGERANT, SOLFRON R32, 9.5 KGS 07252024" u="1"/>
        <s v="ROD, HARRIS SILVER " u="1"/>
        <s v="RUBBER_INSULATION, INSUFLEX 7/8&quot; x 3/8" u="1"/>
        <s v="RUBBER_INSULATION, M-FLEX 1/2&quot; 1/2" u="1"/>
        <s v="TAPE ELECTRICAL, CROCO 0.16 MM X 19 MM X 16 M" u="1"/>
        <s v="TAPE_PE, AEROWRAP Polythelene Tape (White)X 4&quot;" u="1"/>
        <s v="RUBBER_INSULATION, M-FLEX 1/2&quot; 1/4" u="1"/>
        <s v="RUBBER_INSULATION, M-FLEX 1/2&quot; 3/8" u="1"/>
        <s v="AUXFAN_MOTOR, HONDA CRV 2002 (2492)" u="1"/>
        <s v="AUXFAN_MOTOR, HYUNDAI GRAND STAREX" u="1"/>
        <s v="BLOWER_MOTOR, HONDA CITY 2009" u="1"/>
        <s v="EVAPORATOR, HYUNDAI GRAND STAREX  2010 R" u="1"/>
        <s v="EVAPORATOR, HYUNDAI GRAND STAREX F RIGHT 40A409" u="1"/>
        <s v="EVAPORATOR, MITSUBISHI ADVENTURE HS-40A157" u="1"/>
        <s v="EVAPORATOR, MITSUBISHI PAJERO 40A7" u="1"/>
        <s v="EXP. VALVE LT, POKKA 9A133 G-STAREX" u="1"/>
        <s v="AC FILTER DRIER , GENESSO 3/8  SOLDER TYPE 163" u="1"/>
        <s v="AUXFAN_MOTOR, HYUNDAI ACCENT SINGLE WIRE" u="1"/>
        <s v="CABIN_FILTER, MITSUBISHI MONTERO OLD" u="1"/>
        <s v="BLOWER_MOTOR, TOYOTA REVO" u="1"/>
        <s v="RUBBER_INSULATION, M-FLEX 3/4&quot; 1/4" u="1"/>
        <s v="RUBBER_INSULATION, M-FLEX 3/4&quot; X 3/8" u="1"/>
        <s v="EXP. VALVE LT, POKKA 9A219 NISSAN ALMERA" u="1"/>
        <s v="EXP. VALVE LT, POKKA 9A57 INNOVA R" u="1"/>
        <s v="EXP. VALVE LT, POKKA 9A60 EXTRAIL" u="1"/>
        <s v="PULLEY_ASSEMBLY, TOYOTA ALTIS DENSO" u="1"/>
        <s v="RECEIVER_DRIER_ALUMINUM, YK 40 X 235 (DMAX)" u="1"/>
        <s v="SILICA_GEL, DENSO LONG" u="1"/>
        <s v="EXP. VALVE DC, MITSUBISHI ORING TYPE 1/2 (ADVENTURE)" u="1"/>
        <s v="EXP. VALVE LT, FUJIKOKI 7F15 ADVENTURE [B-38221]" u="1"/>
        <s v="ROD, NIHONWELD ALUMINUM " u="1"/>
        <s v="BOLT &amp; NUT, DYNABOLT 3/8&quot;" u="1"/>
        <s v="BOLT &amp; NUT, NUT 5/16" u="1"/>
        <s v="BRACKET , GB 1HP, COATED" u="1"/>
        <s v="ELECTRICAL WIRE_STRANDED, POWERFLEX THNN STRANDED   #14, MTR" u="1"/>
        <s v="AUXFAN_MOTOR, MITSUBISHI MONTERO GOLD" u="1"/>
        <s v="CABIN_FILTER, MITSUBISHI MONTERO 2016" u="1"/>
        <s v="PULLEY_ASSEMBLY, ISUZU CROSSWIND" u="1"/>
        <s v="CABIN_FILTER, HONDA MEDIUM" u="1"/>
        <s v="CABIN_FILTER, HYUNDAI ACCENT 2013" u="1"/>
        <s v="CABIN_FILTER, TOYOTA VIOS" u="1"/>
        <s v="EVAPORATOR, HONDA CITY 2015" u="1"/>
        <s v="EVAPORATOR, HYUNDAI GETZ" u="1"/>
        <s v="EVAPORATOR, NISSAN LEC 40A22" u="1"/>
        <s v="HOSE, COOLMATE 5/8 SUNCTION PER FT" u="1"/>
        <s v="RECEIVER_DRIER_ALUMINUM, YK 8227  (Montero)" u="1"/>
        <s v="RECEIVER_DRIER_ALUMINUM, YK 8733 L (URVAN, NV350)" u="1"/>
        <s v="HOSE, ELECTRICAL FLEXIBLE ROLL PER METER" u="1"/>
        <s v="CABIN_FILTER, TOYOTA INNOVA" u="1"/>
        <s v="COUPLER_QUICK,  LOW" u="1"/>
        <s v="EXP. VALVE LT, POKKA 9A129B ACCENT" u="1"/>
        <s v="LUBRICANT, ND-OIL 8  250 CC (134A),OIL COMPRESSOR" u="1"/>
        <s v="THERMOSTAT, NEK CAR" u="1"/>
        <s v="AUXFAN_MOTOR, TOYOTA VIOS BATMAN 2370" u="1"/>
        <s v="EVAPORATOR, ISUZU CROSSWIND (F)" u="1"/>
        <s v="RESISTOR_BLOCK, NISSAN XTRAIL" u="1"/>
        <s v="RUBBER_INSULATION, M-FLEX 3/4&quot; 5/8" u="1"/>
        <s v="BLOWER_MOTOR, ISUZU CROSSWIND ('R)" u="1"/>
        <s v="ELECTRICAL CIRCUIT_BREAKER, KOTEN 20 AMP, 2P" u="1"/>
        <s v="ELECTRICAL_PANEL,  NEMA 3R, 2P" u="1"/>
        <s v="REFRIGERANT, MAXX R410A, 11.3 KGS " u="1"/>
        <s v="THERMODISC, MAXX AC 250V 6A" u="1"/>
        <s v="AUXFAN_MOTOR, TOYOTA VIOS 14 8030" u="1"/>
        <s v="BLOWER_MOTOR, ISUZU D-MAX 2003" u="1"/>
        <s v="CABIN_FILTER, HYUNDAI GRAND STAREX" u="1"/>
        <s v="CABIN_FILTER, MITSUBISHI MIRAGE" u="1"/>
        <s v="CABIN_FILTER, SUBARU FORESTER" u="1"/>
        <s v="CABIN_FILTER, TOYOTA HI-ACE" u="1"/>
        <s v="CABIN_FILTER, TOYOTA WIGO" u="1"/>
        <s v="CLEANER, AMBER AIRCON LIQUID LYE" u="1"/>
        <s v="EVAPORATOR, FORD EVEREST (R)" u="1"/>
        <s v="EVAPORATOR, FORD RANGER HS-40A117" u="1"/>
        <s v="EVAPORATOR, HONDA ACCORD 2012" u="1"/>
        <s v="EVAPORATOR, HONDA CIVIC 1998 " u="1"/>
        <s v="EVAPORATOR, ISUZU MUX/D-MAX 2013" u="1"/>
        <s v="EVAPORATOR, MITSUBISHI LANCER 2010-2014" u="1"/>
        <s v="EVAPORATOR, TOYOTA ALTIS 03 40A8" u="1"/>
        <s v="FERULLE,  3/8&quot;" u="1"/>
        <s v="FERULLE,  5/8&quot;" u="1"/>
        <s v="HALF_UNION, R12 (O) 1/2&quot;" u="1"/>
        <s v="MAGNETIC_CLUTCH, HONDA CITY 2003" u="1"/>
        <s v="PRESSURE_SWITCH, BOER UNIVERSAL" u="1"/>
        <s v="RECEIVER_DRIER_ALUMINUM, YK 40 X 290 (INNOVA)" u="1"/>
        <s v="RECEIVER_DRIER_ALUMINUM, YK 8038 (Civic, CRV)" u="1"/>
        <s v="RECEIVER_DRIER_ALUMINUM, YK 8209 (FX)" u="1"/>
        <s v="TAPE, EVER SEAL CORK TAPE" u="1"/>
        <s v="ELECTRICAL WIRE_STRANDED, POWERFLEX THNN STRANDED   #10, MTR" u="1"/>
        <s v="RUBBER_INSULATION, M-FLEX 3/4&quot; 1/2" u="1"/>
        <s v="SPRING BENDER,  .1/2" u="1"/>
        <s v="SPRING BENDER,  .3/8" u="1"/>
        <s v="OVERLOAD, REF 1/4 HP" u="1"/>
        <s v="CAPACITOR_DOUBLE, PS CBB65 20 + 2 UF" u="1"/>
        <s v="OVERLOAD, AC 1 HP" u="1"/>
        <s v="FLARING_TOOL , HEAVY DUTY  FT-808, 1/4&quot; - 3/4&quot;" u="1"/>
        <s v="EVAPORATOR, NISSAN NV350  40A524" u="1"/>
        <s v="ADAPTOR, OPEN VALVE R600 (GREEN)" u="1"/>
        <s v="REFRIGERANT, FU RYDER R600A CAN, 220 GRAMS" u="1"/>
        <s v="CONDENSER, TOYOTA WIGO 2017" u="1"/>
        <s v="BAG_WASH, JINSHENG COVER" u="1"/>
        <s v="AUXFAN_MOTOR, HYUNDAI EON" u="1"/>
        <s v="BLOWER_MOTOR, NISSAN XTRAIL NO BLADE" u="1"/>
        <s v="EVAPORATOR, FORD LYNX NEW" u="1"/>
        <s v="EVAPORATOR, TOYOTA INNOVA NEW (F) 40A532" u="1"/>
        <s v="EXP. VALVE LT, DENSO 1610 ALTIS, COROLLA, DMAX '08 [B-38208]" u="1"/>
        <s v="EXP. VALVE LT, POKKA 9A55 HONDA NEW" u="1"/>
        <s v="PULLEY_ASSEMBLY, NISSAN NAVARRA 2011" u="1"/>
        <s v="PULLEY_ASSEMBLY, SUZUKI ERTIGA" u="1"/>
        <s v="RECEIVER_DRIER_ALUMINUM, YK 8742 (CITY 03)" u="1"/>
        <s v="RECEIVER_DRIER_STEEL , MAXX 5116 (L300 F/B)" u="1"/>
        <s v="AUXFAN_MOTOR, TOYOTA AVANZA 2410" u="1"/>
        <s v="COMPRESSOR, HONDA CITY 2003" u="1"/>
        <s v="FITTINGS, COPPER ELBOW 1/2 SR" u="1"/>
        <s v="FITTINGS, COPPER ELBOW 3/4 SR" u="1"/>
        <s v="RUBBER_INSULATION, M-FLEX 1/2&quot; 5/8" u="1"/>
        <s v="RUBBER_INSULATION, M-FLEX 3/4&quot; X 3/4" u="1"/>
        <s v="EVAPORATOR, TOYOTA VIOS 2008  (BATMAN) 40A29" u="1"/>
        <s v="CABIN_FILTER, NISSAN NV350" u="1"/>
        <s v="EVAPORATOR, HONDA CITY 2012 HS-40A183" u="1"/>
        <s v="EVAPORATOR, HYUNDAI ELANTRA 2012 HS-40A512" u="1"/>
        <s v="EVAPORATOR, HYUNDAI H100 2018" u="1"/>
        <s v="EVAPORATOR, NISSAN ALMERA 12" u="1"/>
        <s v="EVAPORATOR, NISSAN GRAND LIVINA" u="1"/>
        <s v="EVAPORATOR, SUZUKI ERTIGA OLD JASON" u="1"/>
        <s v="DRAIN_PUMP, KING PUMP HIPPO 2 (CUBE), 10M" u="1"/>
        <s v="BOLT &amp; NUT, METAL SCREW #8" u="1"/>
        <s v="BRACKET , GB 2HP, COATED" u="1"/>
        <s v="ELECTRICAL WIRE_STRANDED, POWERFLEX THNN STRANDED   #12, MTR" u="1"/>
        <s v="MANIFOLD_GAUGE, HEAVY DUTY R410A/R22 HARD CASE" u="1"/>
        <s v="EVAPORATOR, TOYOTA INNOVA NEW (R) 40A525" u="1"/>
        <s v="LUBRICANT, SYNXPA 100 ML (134A), OIL COMPRESSOR" u="1"/>
        <s v="O_RING, NEK MAKAPAL 5/16" u="1"/>
        <s v="PULLEY_ASSEMBLY, TOYOTA INNOVA DENSO 7PK" u="1"/>
        <s v="ELECTRICAL WIRE_STRANDED, POWERFLEX THNN STRANDED   #12, ROLL" u="1"/>
        <s v="RUBBER_INSULATION, INSUFLEX 1/2&quot; x  1 1/8" u="1"/>
        <s v="CAPACITOR_SINGLE, PS CBB65 30 UF" u="1"/>
        <s v="BOLT &amp; NUT, TOX WITH METAL SCREW #6" u="1"/>
        <s v="HOSE, ELECTRICAL FLEXIBLE ROLL 1/2 50 MTRS" u="1"/>
        <s v="REFRIGERANT, MAXX R32, 9.5 KGS" u="1"/>
        <s v="RELAY, REF PTC 1 PINS" u="1"/>
        <s v="CABIN_FILTER, NISSAN URVAN" u="1"/>
        <s v="REFRIGERANT, POKKA R134A, 300GRMS" u="1"/>
        <s v="TAPE_FOAM, POKKA 3MM X 50 MM X 9.1 MTR" u="1"/>
        <s v="BRACKET , ATLAS 1HP, COATED" u="1"/>
        <s v="CAPACITOR_DOUBLE, PS CBB65 15 + 4 UF" u="1"/>
        <s v="REFRIGERANT, SOLFRON 410A, 11.3 KGS 06242024" u="1"/>
        <s v="EVAPORATOR, HONDA CIVIC 2017" u="1"/>
        <s v="EVAPORATOR, MITSUBISHI MONTERO 2016 (F) CENTRAL" u="1"/>
        <s v="EVAPORATOR, SUBARU FORRESTER" u="1"/>
        <s v="RECEIVER_DRIER_ALUMINUM, YK 8769 (NISSAN LIVINA)" u="1"/>
        <s v="CLAMP_METER, VICTOR " u="1"/>
        <s v="HAND_TORCH,  DOUBLE" u="1"/>
        <s v="TUBE_CUTTER, LARGE CT-107, 1/8&quot; - 2&quot;" u="1"/>
        <s v="CONDENSER,  BRACKET" u="1"/>
        <s v="REFRIGERANT, HONEYWELL R22, 13.6 KGS" u="1"/>
        <s v="REFRIGERANT, MAXX R404A, 11.3 KGS" u="1"/>
        <s v="THERMOSTAT, SAGINOMIYA REF 130" u="1"/>
        <s v="PULLEY_ASSEMBLY, TOYOTA AVANZA 6PK" u="1"/>
        <s v="AC FILTER DRIER , GENESSO 1/4 FLARE TYPE 052FT" u="1"/>
        <s v="FITTINGS, COPPER ELBOW 7/8 SR" u="1"/>
        <s v="EXP. VALVE LT,  6E19 XTRAIL CELERIO, TRAILBLAZER" u="1"/>
        <s v="EXP. VALVE LT,  EX-10142 KIA CARNIVAL, H100, EVEREST [B-38218]" u="1"/>
        <s v="EXP. VALVE LT,  SH207-3 PATHFINDER" u="1"/>
        <s v="EXP. VALVE LT, BOER 38359 CHEVY TRAILBLAZER REAR" u="1"/>
        <s v="EXP. VALVE LT, DENSO 2370 INNOVA (F), CIVIC, CRV, VIOS 14 [B-38228]" u="1"/>
        <s v="EXP. VALVE LT, POKKA 9A128 VIOS '14" u="1"/>
        <s v="EXP. VALVE LT, POKKA 9A131 VIOS" u="1"/>
        <s v="EXP. VALVE LT, POKKA 9A161 HOWO" u="1"/>
        <s v="EXP. VALVE LT, POKKA 9A209 NV350 F" u="1"/>
        <s v="EXP. VALVE LT, POKKA 9A214 MAZDA 3" u="1"/>
        <s v="EXP. VALVE LT, POKKA 9A33 H100 STAREX" u="1"/>
        <s v="EXP. VALVE LT, POKKA 9A50 134A" u="1"/>
        <s v="EXP. VALVE LT, POKKA 9A63 MONTERO" u="1"/>
        <s v="EXP. VALVE LT, POKKA 9A67 KIA MAGENTIS, OPTIMA" u="1"/>
        <s v="EXP. VALVE LT, POKKA 9A87 ACCENT" u="1"/>
        <s v="EXP. VALVE LT, POKKA 9A96 TRAILBLAZER REAR" u="1"/>
        <s v="FITTINGS, ELBOW ORING TYPE  1/2" u="1"/>
        <s v="FITTINGS, STRAIGHT 134A 5/8" u="1"/>
        <s v="FITTINGS, STRAIGHT FLARE TYPE 1/2" u="1"/>
        <s v="FITTINGS, STRAIGHT ORING TYPE 1/2" u="1"/>
        <s v="HAND_TORCH,  SINGLE" u="1"/>
        <s v="HOSE, HONGSEN GAUGE 410A 1M CHINA" u="1"/>
        <s v="HOSE, R22/R12/134A GAUGE 1M CHINA" u="1"/>
        <s v="LUBRICANT, SUNISO 1 GAL REFRIGERATION OIL 3GS" u="1"/>
        <s v="LUBRICANT, SUNISO 1 GAL REFRIGERATION OIL 5GS" u="1"/>
        <s v="LUBRICANT, SUNISO 2 GAL REFRIGERATION OIL 4GS" u="1"/>
        <s v="MANIFOLD_GAUGE, HEAVY DUTY, NEK R134A/R32 WITH BOX AND CASE" u="1"/>
        <s v="ROD, JAYSON SILVER " u="1"/>
        <s v="THERMOSTAT, SAGINOMIYA AIRCON 610G" u="1"/>
        <s v="TAPE_PE, AEROWRAP Polythelene Tape (BLUE)X 4&quot;" u="1"/>
        <s v="REFRIGERANT, SOLFRON R22, 13.6 KGS " u="1"/>
        <s v="EVAPORATOR, TOYOTA AVANZA 14 HS-40A523" u="1"/>
        <s v="CABIN_FILTER, FORD ESCAPE" u="1"/>
        <s v="RECEIVER_DRIER_ALUMINUM, YK 2020-2 (ERTIGA)" u="1"/>
        <s v="MANIFOLD_GAUGE, HEAVY DUTY R410A/R22 SOFT CASE" u="1"/>
        <s v="PASTE_FLUX, FLUX-4 SILVER BRAZING 115 GRM" u="1"/>
        <s v="TUBE_CUTTER, SMALL CT-127, 1/8&quot; - 5/8&quot;" u="1"/>
        <s v="AUXIALLIARY_FAN, POKKA 8 BLADES  12 VOLTS" u="1"/>
        <s v="BOLT &amp; NUT, DYNABOLT 5/16&quot;" u="1"/>
        <s v="BOLT &amp; NUT, GI, SET 5/16" u="1"/>
        <s v="CLEANER,  REFRIGERANTION FLO" u="1"/>
        <s v="BOLT &amp; NUT, GI, SET 3/8" u="1"/>
        <s v="REFRIGERANT, SOLFRON R32, 3KGS " u="1"/>
        <s v="SPRING BENDER,  .5/8" u="1"/>
        <s v="EXP. VALVE LT, DENSO 1650 6D25 FUSION, LANCER, URVAN [B-38234]" u="1"/>
        <s v="EXP. VALVE LT, IKON 1560 MONTERO, SUBARU [38225]" u="1"/>
        <s v="AUXFAN_MOTOR, ISUZU TRUCK 24V" u="1"/>
        <s v="AUXIALLIARY_FAN, NEK 24V 14x18" u="1"/>
        <s v="AUXIALLIARY_FAN, TRUCK  GIGA 24v HINO" u="1"/>
        <s v="CONDENSER, UNIVERSAL 12 x 18 x 20" u="1"/>
        <s v="CONDENSER, UNIVERSAL 14 x 18 x 20" u="1"/>
        <s v="HOSE, COOLMATE 5/8 SUNCTION" u="1"/>
        <s v="PRESSURE_SWITCH, HONDA CRV" u="1"/>
        <s v="BLOWER_MOTOR, TOYOTA HI-ACE REAR  RIGHT" u="1"/>
        <s v="PULLEY_ASSEMBLY, KIA PICANTO 5PK" u="1"/>
        <s v="HALF_UNION, R134A 5/16&quot;" u="1"/>
        <s v="EVAPORATOR, MITSUBISHI MONTERO 2016 (F)  40A472" u="1"/>
        <s v="ADAPTOR, POKKA R134A (RED)" u="1"/>
        <s v="AUXFAN_MOTOR, HYUNDAI ACCENT DOUBLE WIRE" u="1"/>
        <s v="EXP. VALVE LT, POKKA 9A58 R-12" u="1"/>
        <s v="O_RING, NEK MAKAPAL 1/2  TINGI" u="1"/>
        <s v="O_RING, NEK MAKAPAL 5/16 TINGI" u="1"/>
        <s v="PULLEY_ASSEMBLY, MAZDA 6" u="1"/>
        <s v="RECEIVER_DRIER_ALUMINUM, YK 9092 ( GRAND STAREX)" u="1"/>
        <s v="BLOWER_MOTOR, TOYOTA INNOVA OLD F" u="1"/>
        <s v="EVAPORATOR, HYUNDAI I10 " u="1"/>
        <s v="RECEIVER_DRIER_ALUMINUM, YK 8739 (S) (MONTERO)" u="1"/>
        <s v="RECEIVER_DRIER_ALUMINUM, YK 8793 (MAZDA 3)" u="1"/>
        <s v="BLOWER_MOTOR, ISUZU D-MAX 2013 / MUX" u="1"/>
        <s v="PULLEY_ASSEMBLY, TOYOTA VIOS 08 4PK" u="1"/>
        <s v="CABIN_FILTER, HONDA CRV 2 IN 1" u="1"/>
        <s v="EVAPORATOR, HONDA CRV 2003" u="1"/>
        <s v="EVAPORATOR, ISUZU TRAVIS NHR NO CASE" u="1"/>
        <s v="FITTINGS, ELBOW ORING TYPE  5/8" u="1"/>
        <s v="FITTINGS, STRAIGHT ORING TYPE 5/8" u="1"/>
        <s v="RECEIVER_DRIER_ALUMINUM, YK 8739 (L) (MONTERO BIG)" u="1"/>
        <s v="RECEIVER_DRIER_ALUMINUM, YK 9096 (EXTRAIL)" u="1"/>
        <s v="DRAIN_PUMP, ATARA/QUNDA QD-PU01E" u="1"/>
        <s v="CONDENSER, CHEVROLET CAPTIVA DSL CENTRAL" u="1"/>
        <s v="EVAPORATOR, TOYOTA VIOS 2003 (ROBIN)" u="1"/>
        <s v="FITTINGS, STRAIGHT FLARE TYPE 5/8" u="1"/>
        <s v="PULLEY_ASSEMBLY, HONDA CITY 2006" u="1"/>
        <s v="MAGNETIC_CLUTCH, TOYOTA AVANZA 4PK" u="1"/>
        <s v="EVAPORATOR, HONDA CITY 2009 HS-40A46" u="1"/>
        <s v="COMPRESSOR, ISUZU CROSSWIND 2002 15c" u="1"/>
        <s v="CONDENSER, ISUZU CROSSWIND 2002 15c" u="1"/>
        <s v="RECEIVER_DRIER_ALUMINUM, YK 8106 (CROSSWIND, PAJERO, DENSO 134A M)" u="1"/>
        <s v="BLOWER_MOTOR, UNIVERSAL DOUBLE SHAFTING (ADVENTURE/REVO) 12V" u="1"/>
        <s v="CABIN_FILTER, HONDA LARGE" u="1"/>
        <s v="ECV, HYUNDAI ACCENT, 8-22A" u="1"/>
        <s v="ECV, TOYOTA ALTIS, 8-25B ALTIS 2016" u="1"/>
        <s v="EVAPORATOR, HYUNDAI TUCSON 2012 " u="1"/>
        <s v="EVAPORATOR, NISSAN URVAN DC" u="1"/>
        <s v="HUB, MITSUBISHI MIRAGE G4" u="1"/>
        <s v="MAGNETIC_CLUTCH, TOYOTA REVO DENSO" u="1"/>
        <s v="BOLT &amp; NUT, TOX WITH METAL SCREW #8" u="1"/>
        <s v="LUBRICANT,  OIL VACUUM PUMP, 330 ML" u="1"/>
        <s v="BLOWER_MOTOR, MITSUBISHI MIRAGE" u="1"/>
        <s v="TAPE_PE, CROCO Polythelene Tape (BLUE)X 4&quot;" u="1"/>
        <s v="COMPRESSOR, TOYOTA ALTIS 2015 ORIG" u="1"/>
        <s v="COMPRESSOR, VOLKSWAGEN TAURAN CADDY 2.0  03 6PK SANDEN" u="1"/>
        <s v="AUXFAN_MOTOR, HONDA CRV (3070 / 3130)" u="1"/>
        <s v="RELAY, BOSCH MINI" u="1"/>
        <s v="EVAPORATOR, NISSAN NAVARRA 2011" u="1"/>
        <s v="AUXFAN_MOTOR, HONDA CIVIC GOLD" u="1"/>
        <s v="AUXFAN_MOTOR, SUZUKI SWIFT 8310" u="1"/>
        <s v="BLOWER_MOTOR, TOYOTA VIOS SUPERMAN" u="1"/>
        <s v="PULLEY_ASSEMBLY, TOYOTA VIOS 2014" u="1"/>
        <s v="AUXFAN_MOTOR, SUZUKI APV 9370" u="1"/>
        <s v="BLOWER_MOTOR, TOYOTA VIOS ROBIN" u="1"/>
        <s v="MAGNETIC_CLUTCH, TOYOTA INNOVA 2016" u="1"/>
        <s v="AUXFAN_MOTOR, SUZUKI ERTIGA 9480" u="1"/>
        <s v="EVAPORATOR, NISSAN ALMERA 40A521" u="1"/>
        <s v="AUXFAN_MOTOR, NISSAN NV350" u="1"/>
        <s v="AUXFAN_MOTOR, NISSAN NV350 4 WIRES" u="1"/>
        <s v="AUXFAN_MOTOR, NISSAN JUKE" u="1"/>
        <s v="CAPACITOR_SINGLE, PS CBB65 50 UF" u="1"/>
        <s v="CAPACITOR_SINGLE, PS CBB65 60 UF" u="1"/>
        <s v="CAPACITOR_FAN, PS CBB61 5 UF" u="1"/>
        <s v="EXP. VALVE DC, NISSAN " u="1"/>
        <s v="EXP. VALVE SC, NISSAN ORING TYPE W/STEP" u="1"/>
        <s v="EXP. VALVE DC,  OVERSIZE " u="1"/>
        <s v="AUXIALLIARY_FAN, POKKA 12 BLADES X 24VOLTS" u="1"/>
        <s v="CAPACITOR_DOUBLE, PS CBB65 30 + 4 UF" u="1"/>
        <s v="ROYAL CORD, OMEGA 3-CORE, #12 3.5 MM, ROLL 75M" u="1"/>
        <s v="ROYAL CORD, OMEGA 3-CORE, #14 2.0 MM, ROLL" u="1"/>
        <s v="PRESSURE_SWITCH, DENSO LANCER BIG" u="1"/>
        <s v="RESISTOR_BLOCK, ISUZU  D-MAX 7570B" u="1"/>
        <s v="MANIFOLD_GAUGE, HEAVY DUTY, NEK R134A/R32 (BLUE GAUGE)" u="1"/>
        <s v="BOLT &amp; NUT, TOX #6" u="1"/>
        <s v="ELECTRICAL CIRCUIT_BREAKER, KOTEN 30 AMP, 2P" u="1"/>
        <s v="COUPLER_QUICK,  HI" u="1"/>
        <s v="EVAPORATOR, CHEVROLET TRAILBLAZER REAR" u="1"/>
        <s v="PULLEY_ASSEMBLY, ISUZU D-MAX 2PK" u="1"/>
        <s v="PULLEY_ASSEMBLY, MITSUBISHI MONTERO 2.5" u="1"/>
        <s v="CAPACITOR_DOUBLE, PS CBB65 25 + 4 UF" u="1"/>
        <s v="CAPACITOR_SINGLE, PS CBB65 10 UF" u="1"/>
        <s v="CAPACITOR_SINGLE, PS CBB65 55 UF" u="1"/>
        <s v="AUXFAN_MOTOR, TOYOTA AVANZA 5251" u="1"/>
        <s v="BLOWER_MOTOR, TOYOTA INNOVA OLD R" u="1"/>
        <s v="BRACKET,  CONDENSER" u="1"/>
        <s v="EVAPORATOR, TOYOTA AVANZA OLD (F) _ IBX" u="1"/>
        <s v="FITTINGS, ELBOW ORING TYPE  3/8" u="1"/>
        <s v="FITTINGS, ELBOW ORING TYPE  5/16" u="1"/>
        <s v="FITTINGS, STRAIGHT FLARE TYPE 3/8" u="1"/>
        <s v="FITTINGS, STRAIGHT ORING TYPE 5/16" u="1"/>
        <s v="HALF_UNION, R12 (F) 1/2&quot;" u="1"/>
        <s v="HALF_UNION, R12 (F) 3/8&quot;" u="1"/>
        <s v="HOSE, COOLMATE 3/8 HOTLINE PER FT" u="1"/>
        <s v="PULLEY_ASSEMBLY, HONDA CRV 1.8" u="1"/>
        <s v="PULLEY_ASSEMBLY, HYUNDAI GRAND STAREX 7PK" u="1"/>
        <s v="RUBBER_INSULATION, M-FLEX 1/2&quot; 3/4" u="1"/>
        <s v="AUXFAN_MOTOR, HONDA JAZZ (5681)" u="1"/>
        <s v="AUXIALLIARY_FAN, POKKA 14 BLADES X 12VOLTS" u="1"/>
        <s v="RECEIVER_DRIER_ALUMINUM, YK 8105 (DENSO R12 M)" u="1"/>
        <s v="CHARGING_VALVE CAP,  HIGH" u="1"/>
        <s v="CHARGING_VALVE CAP,  LOW" u="1"/>
        <s v="RESISTOR_BLOCK, MITSUBISHI ADVENTURE 7537" u="1"/>
        <s v="BOARD, AC UNIVERSAL BLUE CASE" u="1"/>
        <s v="PIPE CLAMP , DOUBLE HOLE .2 1/2" u="1"/>
        <s v="CABIN_FILTER, HYUNDAI ELANTRA" u="1"/>
        <s v="CABIN_FILTER, KIA SORENTO" u="1"/>
        <s v="EXP. VALVE LT, BOER 38683 EVEREST 2014" u="1"/>
        <s v="PULLEY_ASSEMBLY, TOYOTA ALTIS SANDEN" u="1"/>
        <s v="RECEIVER_DRIER_ALUMINUM, YK 9094 (Lancer)" u="1"/>
        <s v="CONDENSER, SUBARU  FORESTER" u="1"/>
        <s v="ELECTRICAL SOCKET_BREAKER, KOTEN 20 AMP, 2P" u="1"/>
        <s v="HAND_SWAGING_TOOL_SET,  CT-193, 1/4&quot; - 5/8&quot;" u="1"/>
        <s v="CABIN_FILTER, MAZDA 3" u="1"/>
        <s v="EVAPORATOR, MAZDA  3" u="1"/>
        <s v="EXP. VALVE LT, POKKA 9A244 NISSAN NV350" u="1"/>
        <s v="PULLEY_ASSEMBLY, TOYOTA AVANZA 4PK" u="1"/>
        <s v="AUXFAN_MOTOR, FORD ECOSPORT" u="1"/>
        <s v="CAPILLARY TUBE,  1.8MMX0.5MMx1FT" u="1"/>
        <s v="AUXFAN_MOTOR, MITSUBISHI MIRAGE 2 PIN" u="1"/>
        <s v="CONDENSER, TOYOTA ALTIS 2003" u="1"/>
        <s v="EVAPORATOR, KIA RIO 2010" u="1"/>
        <s v="HOSE, HCRGSEN GAUGE 410A 1M PIECE" u="1"/>
        <s v="BLOWER_MOTOR, ISUZU CROSSWIND (F)" u="1"/>
        <s v="BLOWER_MOTOR, MITSUBISHI MONTERO 2016" u="1"/>
        <s v="BLOWER_MOTOR, UNIVERSAL 6721" u="1"/>
        <s v="CABIN_FILTER, FORD ECOSPORT" u="1"/>
        <s v="EVAPORATOR, SUZUKI CELERIO 16" u="1"/>
        <s v="MAGNETIC_CLUTCH, DENSO 507" u="1"/>
        <s v="MAGNETIC_COIL,  10PA 12V" u="1"/>
        <s v="RECEIVER_DRIER_ALUMINUM, YK 8015 (S) (Lancer)" u="1"/>
        <s v="BLOWER_MOTOR, TOYOTA AVANZA REAR" u="1"/>
        <s v="BRACKET , GB 1HP, STAINLESS STEEL FLOOR" u="1"/>
        <s v="AUXFAN_MOTOR, HYUNDAI H100 ASSEMBLY" u="1"/>
        <s v="ECV, TOYOTA ALTIS, 8-24" u="1"/>
        <s v="PASTE_FLUX, HARRIS ALUMINUM BRAZE" u="1"/>
        <s v="RECEIVER_DRIER_ALUMINUM, YK 8228 (H100)" u="1"/>
        <s v="FITTINGS, COPPER TEE 3/8" u="1"/>
        <s v="COMPRESSOR, HYUNDAI TUCSON 2.0 10 DSL DOOWON" u="1"/>
        <s v="COMPRESSOR, MITSUBISHI L300 DENSO 6PK 15C BN Copy" u="1"/>
        <s v="CABIN_FILTER, HYUNDAI EON" u="1"/>
        <s v="RECEIVER_DRIER_STEEL , MAXX 5/16 (O) 4-HOLES" u="1"/>
        <s v="EVAPORATOR, TOYOTA COROLLA SANDEN" u="1"/>
        <s v="PULLEY_ASSEMBLY, TOYOTA WIGO" u="1"/>
        <s v="AUXFAN_MOTOR, MITSUBISHI PAJERO  (7121)" u="1"/>
        <s v="EVAPORATOR, CHEVROLET SPIN 13" u="1"/>
        <s v="EXP. VALVE LT, BOER 38682 CHEV SPIN, CRUIZE, ECOSPORT" u="1"/>
        <s v="AUXFAN_MOTOR, HONDA CITY 2016 (38616)" u="1"/>
        <s v="AUXIALLIARY_FAN, POKKA 12 BLADES X 12VOLTS" u="1"/>
        <s v="CONDENSER, UNIVERSAL 12 x 23 x 20 5/16" u="1"/>
        <s v="FITTINGS, STRAIGHT ORING TYPE 3/8" u="1"/>
        <s v="EVAPORATOR, HYUNDAI EON" u="1"/>
        <s v="EVAPORATOR, ISUZU CROSSWIND ('R)" u="1"/>
        <s v="BLOWER_MOTOR, NISSAN NV350" u="1"/>
        <s v="AUXFAN_MOTOR, MITSUBISHI MIRAGE 4 PIN" u="1"/>
        <s v="CABIN_FILTER, TOYOTA AVANZA" u="1"/>
        <s v="PASTE_FLUX, NEK SILVER BRAZING 115 GRM" u="1"/>
        <s v="FITTINGS, BRASS FLARE NUT 3/8" u="1"/>
        <s v="FITTINGS, BRASS FLARE NUT 5/8" u="1"/>
        <s v="CAPACITOR_SINGLE, PS CBB65 8 UF" u="1"/>
        <s v="HOSE, R22/R12/134A GAUGE 1.5M CHINA PER PIECE" u="1"/>
        <s v="AUXFAN_MOTOR, TOYOTA VIOS ROBIN 1060" u="1"/>
        <s v="HAND SWAGING TOOL,  ST-22, " u="1"/>
        <s v="CAPACITOR_DOUBLE, PS CBB65 15 + 1.5 UF" u="1"/>
        <s v="CAPACITOR_FAN, PS CBB61 10 UF" u="1"/>
        <s v="FITTINGS, COPPER COUPLING 1/2" u="1"/>
        <s v="O_RING, NEK MAKAPAL 3/8 TINGI" u="1"/>
        <s v="O_RING, NEK MAKAPAL 5/8 TINGI" u="1"/>
        <s v="CABIN_FILTER, TOYOTA ALTIS" u="1"/>
        <s v="CAPACITOR_DOUBLE, PS CBB65 20 + 4UF" u="1"/>
        <s v="CAPACITOR_DOUBLE, PS CBB65 25 + 2 UF" u="1"/>
        <s v="CAPACITOR_SINGLE, PS CBB65 20 UF" u="1"/>
        <s v="CAPACITOR_SINGLE, PS CBB65 25 UF" u="1"/>
        <s v="CAPACITOR_SINGLE, PS CBB65 40 UF" u="1"/>
        <s v="FITTINGS, COPPER ELBOW 5/8 SR" u="1"/>
        <s v="MANIFOLD_GAUGE, HEAVY DUTY, NEK R134A/R32 (BLACK GAUGE)" u="1"/>
        <s v="RESISTOR_BLOCK, HYUNDAI ELANTRA /STAREX 7699C" u="1"/>
        <s v="AUXFAN_MOTOR, TOYOTA VIOS 03 SOCKET 1060" u="1"/>
        <s v="COMPRESSOR, TOYOTA INNOVA 2008" u="1"/>
        <s v="DRAIN_PUMP, HYSYS KOREA, 8M" u="1"/>
        <s v="COMPRESSOR, TOYOTA REVO GAS VT 1997 SANDEN REP" u="1"/>
        <s v="REF_DRIER, OMNI FLARE TYPE 44H" u="1"/>
        <s v="DRAIN_PUMP, HYSYS KOREA, 6M" u="1"/>
        <s v="EVAPORATOR, HONDA CITY 2003 HS-40A457" u="1"/>
        <s v="PRESSURE_SWITCH, BOER 134A, VIOS" u="1"/>
        <s v="EVAPORATOR, ISUZU TRUCK 40A193" u="1"/>
        <s v="EVAPORATOR, MITSUBISHI MONTERO 2008 (F) CENTRAL" u="1"/>
        <s v="VACUUM_PUMP, NEK MULTI-FUNCTIONAL" u="1"/>
        <s v="COMPRESSOR, ISUZU CROSSWIND 2006 - 2018" u="1"/>
        <s v="PULLEY_ASSEMBLY, TOYOTA HI LUX 7pk" u="1"/>
        <s v="TUBE BENDER, LXLD 1/4, 5/16 , 3/8" u="1"/>
        <s v="ELECTRICAL WIRE_STRANDED, POWERFLEX THNN STRANDED   #10, ROLL" u="1"/>
        <s v="CAPACITOR_DOUBLE, PS CBB65 15 + 3 UF" u="1"/>
        <s v="CAPACITOR_DOUBLE, PS CBB65 40 + 7 UF" u="1"/>
        <s v="AC UNVERSAL ,  REMOTE KT-E08" u="1"/>
        <s v="AUXFAN_MOTOR, NISSAN URVAN" u="1"/>
        <s v="BLOWER_MOTOR, UNIVERSAL 6711" u="1"/>
        <s v="FITTINGS, TEE ALUMINUM 3/8" u="1"/>
        <s v="FITTINGS, TEE ALUMINUM 5/8" u="1"/>
        <s v="PULLEY_ASSEMBLY, HONDA CIVIC 7PK" u="1"/>
        <s v="RECEIVER_DRIER_ALUMINUM, YK 8804 (REVO/HI-LANDER/TROOPER)" u="1"/>
        <s v="RECEIVER_DRIER_STEEL , MAXX 3/8 (O) 4-HOLES" u="1"/>
        <s v="SHAFT_SEAL, NEK 508" u="1"/>
        <s v="TAPE ELECTRICAL, ARMAK 0.16 MM X 19 MM X 16 M" u="1"/>
        <s v="REFRIGERANT, MAXX R134A , 13.6 KGS  04192024" u="1"/>
        <s v="ELECTRICAL WIRE_STRANDED, PHILFLEX THNN STRANDED   #14, ROLL" u="1"/>
        <s v="BLOWER_MOTOR, HYUNDAI ACCENT 2013" u="1"/>
        <s v="AUXFAN_MOTOR, TOYOTA COROLLA (2061)" u="1"/>
        <s v="VACUUM_PUMP, VP115 (Single Stage, Rotary Vane) 1.8 CFM, 5 Pa, 220V, 1/4 HP" u="1"/>
        <s v="REFRIGERANT, POKKA R32, 600 GRMS " u="1"/>
        <s v="OVERLOAD, REF 1/3 HP" u="1"/>
        <s v="AUXFAN_MOTOR, HONDA CIVIC/BRIO 8671" u="1"/>
        <s v="AUXFAN_MOTOR, HONDA CITY 2009 (19030)" u="1"/>
        <s v="PULLEY_ASSEMBLY, NISSAN URVAN VT 071" u="1"/>
        <s v="RECEIVER_DRIER_ALUMINUM, YK 8025 (Hyundai VTEC,Corolla SD, Nissan)" u="1"/>
        <s v="LUBRICANT, EMKARATE RL 32H, 1 LITER" u="1"/>
        <s v="BAG_WASH, JINSHENG Q-565 BOX" u="1"/>
        <s v="HALF_UNION, R12 (O) 5/8&quot;" u="1"/>
        <s v="THERMAL GUN,  INFRARED THERMAL GUN" u="1"/>
        <s v="MAGNETIC_CLUTCH, MITSUBISHI LANCER / L300" u="1"/>
        <s v="COMPRESSOR, TOYOTA HI-ACE 2002 17C" u="1"/>
        <s v="EVAPORATOR, FORD FOCUS" u="1"/>
        <s v="THERMOSTAT, SAGINOMIYA AIRCON 610A" u="1"/>
        <s v="CAPACITOR_FAN, PS CBB61 2.5 UF" u="1"/>
        <s v="BLOWER_MOTOR, FORD RANGER 2014" u="1"/>
        <s v="CABIN_FILTER, FORD RANGER 2014" u="1"/>
        <s v="CABIN_FILTER, HONDA JAZZ" u="1"/>
        <s v="CAPACITOR_FAN, PS CBB61 3.5 UF" u="1"/>
        <s v="CONDENSER, UNIVERSAL 14 x 23 x 20" u="1"/>
        <s v="EVAPORATOR, FORD EVEREST (F) HS-40A205" u="1"/>
        <s v="EVAPORATOR, FORD RANGER HS-40A118" u="1"/>
        <s v="EVAPORATOR, TOYOTA HIACE  40A7" u="1"/>
        <s v="EVAPORATOR, TOYOTA HIACE REAR" u="1"/>
        <s v="FITTINGS, ELBOW FLARE TYPE  5/8" u="1"/>
        <s v="MAGNETIC_CLUTCH, HONDA CRV 1.8" u="1"/>
        <s v="MAGNETIC_CLUTCH, TOYOTA INNOVA 2008" u="1"/>
        <s v="ADAPTOR,  R410A, BRASS" u="1"/>
        <s v="CONDENSER, CHEVROLET TRAILBLAZER Jason" u="1"/>
        <s v="COPPER_TUBE_SOFTDRAWN, EVERSTRONG 0.028 X 3/4 x 15 mtr" u="1"/>
        <s v="CAPACITOR_DOUBLE, PS CBB65 30 + 5 UF" u="1"/>
        <s v="COPPER_TUBE_SOFTDRAWN, JIANTIAN 0.028 X 1/2 x 15 mtr" u="1"/>
        <s v="FITTINGS, BRASS FLARE UNION 1/4" u="1"/>
        <s v="AUXFAN_MOTOR, MITSUBISHI PAJERO (6351)" u="1"/>
        <s v="AUXFAN_MOTOR, TRUCK PAJERO PISO 12V 5700" u="1"/>
        <s v="BLOWER_MOTOR, MITSUBISHI LANCER 2008 " u="1"/>
        <s v="CAPACITOR_DOUBLE, PS CBB65 25 + 3 UF" u="1"/>
        <s v="COMPRESSOR, NEK 508 24V VT (6627)" u="1"/>
        <s v="FITTINGS, ELBOW R12  WITH VALVE 1/2" u="1"/>
        <s v="FITTINGS, ELBOW R12  WITH VALVE 3/8" u="1"/>
        <s v="FITTINGS, ELBOW R12  WITH VALVE 5/8" u="1"/>
        <s v="BLOWER_MOTOR, NISSAN URVAN" u="1"/>
        <s v="EVAPORATOR, FORD EXPLORER 2004" u="1"/>
        <s v="EVAPORATOR, NISSAN XTRAIL" u="1"/>
        <s v="EVAPORATOR, SUZUKI APV" u="1"/>
        <s v="REFRIGERANT, MAXX R32, 3KGS " u="1"/>
        <s v="PIPE CLAMP , DOUBLE HOLE 1/2" u="1"/>
        <s v="ROYAL CORD, DAEMYUNG 4-CORE, #18 0.75 MM, METER" u="1"/>
        <s v="COMPRESSOR, MITSUBISHI L300 2022" u="1"/>
        <s v="EVAPORATOR, SUZUKI ERTIGA 19 40A542 JASON" u="1"/>
        <s v="CAPACITOR_DOUBLE, PS CBB65 50 + 7.5  UF" u="1"/>
        <s v="TUBE BENDER,  .1/2" u="1"/>
        <s v="COMPRESSOR, MITSUBISHI L300 2016" u="1"/>
        <s v="BLOWER_MOTOR, HONDA CRV2003" u="1"/>
        <s v="FITTINGS, BRASS FLARE UNION 5/8" u="1"/>
        <s v="ROYAL CORD, PHILFLEX 4-CORE, #16 1.25MM PER METER" u="1"/>
        <s v="COPPER_TUBE_SOFTDRAWN, JIANTIAN 0.028 X 1/4 x 15 mtr" u="1"/>
        <s v="COPPER_TUBE_SOFTDRAWN, JIANTIAN 0.028 X 3/8 x 15 mtr" u="1"/>
        <s v="BRACKET , GB 2HP, STAINLESS STEEL FLOOR " u="1"/>
        <s v="BLOWER_MOTOR, HONDA CIVIC 2008" u="1"/>
        <s v="BLOWER_MOTOR, TOYOTA INNOVA NEW F" u="1"/>
        <s v="CHARGING_VALVE,  HIGH" u="1"/>
        <s v="CHARGING_VALVE,  LOW" u="1"/>
        <s v="EVAPORATOR, FORD RANGER/ EVEREST 2014-17" u="1"/>
        <s v="EVAPORATOR, HONDA CIVIC 2004" u="1"/>
        <s v="PULLEY_ASSEMBLY, HONDA CIVIC 3410 1.8" u="1"/>
        <s v="PULLEY_ASSEMBLY, MITSUBISHI ADVENTURE" u="1"/>
        <s v="PULLEY_ASSEMBLY, MITSUBISHI MIRAGE LONG " u="1"/>
        <s v="PULLEY_ASSEMBLY, MITSUBISHI MIRAGE SHORT" u="1"/>
        <s v="PULLEY_ASSEMBLY, NISSAN CALIBRE 2016" u="1"/>
        <s v="PULLEY_ASSEMBLY, NISSAN NV350" u="1"/>
        <s v="PULLEY_ASSEMBLY, TOYOTA INNOVA SANDEN" u="1"/>
        <s v="PULLEY_ASSEMBLY, TOYOTA REVO DENSO" u="1"/>
        <s v="PULLEY_ASSEMBLY, TOYOTA REVO SANDEN" u="1"/>
        <s v="PULLEY_ASSEMBLY, TOYOTA VIOS 2014  4PK" u="1"/>
        <s v="RECEIVER_DRIER_ALUMINUM, YK 8003 (R12)" u="1"/>
        <s v="RECEIVER_DRIER_ALUMINUM, YK 8006 NAVARA" u="1"/>
        <s v="RECEIVER_DRIER_ALUMINUM, YK 8021 (ALTIS)" u="1"/>
        <s v="RECEIVER_DRIER_ALUMINUM, YK 8227A (Montero)" u="1"/>
        <s v="RECEIVER_DRIER_ALUMINUM, YK 8730 (ACCENT)" u="1"/>
        <s v="CAPACITOR_SINGLE, PS CBB65 6 UF" u="1"/>
        <s v="CAPACITOR_DOUBLE, PS CBB65 40 + 3 UF" u="1"/>
        <s v="CAPACITOR_DOUBLE, PS CBB65 15 + 2 UF" u="1"/>
        <s v="FITTINGS, COPPER ELBOW 3/8 SR" u="1"/>
        <s v="COMPRESSOR, HYUNDAI H100 BN COPY" u="1"/>
        <s v="HOSE, KOREA GAUGE 1M 134A" u="1"/>
        <s v="AUXFAN_MOTOR, TOYOTA VIOS SMALL 0911" u="1"/>
        <s v="RECEIVER_DRIER_STEEL , MAXX 3/8 (F) 2-HOLES" u="1"/>
        <s v="AIRDUCT, NEK BLACK MTR" u="1"/>
        <s v="FITTINGS, ELBOW FLARE TYPE  3/8" u="1"/>
        <s v="FITTINGS, ELBOW 134A 1/2" u="1"/>
        <s v="FITTINGS, ELBOW 134A  WITH VALVE 5/8" u="1"/>
        <s v="TUBE_CUTTER, MEDUIM CT-274, 1/8&quot; - 1 1/8&quot;" u="1"/>
        <s v="PULLEY_ASSEMBLY, HYUNDAI TUCSON 6PK" u="1"/>
        <s v="COPPER_TUBE_SOFTDRAWN, JIANTIAN 0.028 X 5/8 x 15 mtr" u="1"/>
        <s v="BLOWER_MOTOR, TOYOTA ALTIS " u="1"/>
        <s v="EVAPORATOR, MITSUBISHI PAJERO GEN 4" u="1"/>
        <s v="REFRIGERANT, FU RYDER R22 CAN, 500 GRAMS" u="1"/>
        <s v="COPPER_TUBE_SOFTDRAWN, DAEJIN 0.028 X 1/4 x 15 mtr" u="1"/>
        <s v="EVAPORATOR, FORD ECOSPORT 13" u="1"/>
        <s v="RECEIVER_DRIER_ALUMINUM, YK 2020-1  (ECO SPORT)" u="1"/>
        <s v="ELECTRICAL CIRCUIT_BREAKER, KOTEN 40 AMP, 2P" u="1"/>
        <s v="SPRING BENDER,  .3/4" u="1"/>
        <s v="EXP. VALVE LT, POKKA 9A148 OPTRA, CAPTIVA" u="1"/>
        <s v="RECEIVER_DRIER_ALUMINUM, YK 9093 ( OPTRA)" u="1"/>
        <s v="AUXFAN_MOTOR, TOYOTA HI-ACE FRONT OLD 7723" u="1"/>
        <s v="EVAPORATOR, TOYOTA WIGO 40A498" u="1"/>
        <s v="HOSE,  DRAIN 5/8 PER METER" u="1"/>
        <s v="CABIN_FILTER, NISSAN JUKE" u="1"/>
        <s v="EVAPORATOR, NISSAN JUKE 2017" u="1"/>
        <s v="RECEIVER_DRIER_ALUMINUM, YK 8732 (SERIES 3)" u="1"/>
        <s v="COMPRESSOR, ISUZU  ALTERA 3.0 2003 BN COPY" u="1"/>
        <s v="MAGNETIC_CLUTCH, HONDA CITY 2009" u="1"/>
        <s v="BLOWER_MOTOR, MITSUBISHI ADVENTURE" u="1"/>
        <s v="MAGNETIC_CLUTCH, HYUNDAI EON" u="1"/>
        <s v="TEMPERATURE_RESISTANCE, MONTERO THERMISTOR 3PIN" u="1"/>
        <s v="AUXFAN_MOTOR, SUZUKI CELERIO (8040)" u="1"/>
        <s v="EXP. VALVE LT, FUJIKOKI 7F19 ESCAPE, PATROL, EXALTA [B-38207]" u="1"/>
        <s v="TEMPERATURE_RESISTANCE, MONTERO THERMISTOR 5PIN" u="1"/>
        <s v="EVAPORATOR, CHEVROLET SPARK 04-08" u="1"/>
        <s v="PRESSURE_SWITCH, NISSAN 42CP8-11 (XTRAIL)" u="1"/>
        <s v="CABIN_FILTER, HONDA CIVIC /CRV" u="1"/>
        <s v="EVAPORATOR, TOYOTA COROLLA DENSO" u="1"/>
        <s v="EVAPORATOR, KIA RIO 2013" u="1"/>
        <s v="PULLEY_ASSEMBLY, HONDA CITY 2015" u="1"/>
        <s v="CABIN_FILTER, HONDA CITY 2015" u="1"/>
        <s v="PULLEY_ASSEMBLY, MITSUBISHI PAJERO" u="1"/>
        <s v="MAGNETIC_CLUTCH, TOYOTA ALTIS DENSO" u="1"/>
        <s v="CAPACITOR_DOUBLE, PS CBB65 30 + 3 UF" u="1"/>
        <s v="ROYAL CORD, DAEMYUNG 4-CORE, #16 1.2 MM, METER" u="1"/>
        <s v="CAPACITOR_FAN, PS CBB61 2 UF" u="1"/>
        <s v="CAPACITOR_SINGLE, PS CBB65 3.5 UF" u="1"/>
        <s v="FLARING_TOOL , DONG LI  FT-808, 1/4&quot; - 3/4&quot;" u="1"/>
        <s v="HOSE, HCRGSEN GAUGE 410A 1M SET CHINA" u="1"/>
        <s v="EVAPORATOR, HONDA JAZZ 2014" u="1"/>
        <s v="MANIFOLD_GAUGE, BRASS SET CT-536G GREEN" u="1"/>
        <s v="REMOVER,  VALVE CORE 134A" u="1"/>
        <s v="EVAPORATOR, SUZUKI JIMNY/ALTO" u="1"/>
        <s v="O_RING, NEK MANIPIS 5/16" u="1"/>
        <s v="BOLT &amp; NUT, WASHER 5/16" u="1"/>
        <s v="COMPRESSOR, HYUNDAI H100 7PK" u="1"/>
        <s v="FITTINGS, BRASS FLARE UNION 3/8" u="1"/>
        <s v="EVAPORATOR, KIA PICANTO 2013" u="1"/>
        <s v="COPPER_TUBE_SOFTDRAWN, DAEJIN 0.028 X 3/8 x 15 mtr" u="1"/>
        <s v="BOLT &amp; NUT, METAL SCREW #6" u="1"/>
        <s v="CAPACITOR_DOUBLE, PS CBB65 17 + 3 UF" u="1"/>
        <s v="BLOWER_MOTOR, TOYOTA ALTIS 2013" u="1"/>
        <s v="HOSE,  DRAIN 5/8" u="1"/>
        <s v="COMPRESSOR, BMW E36 CLASS A" u="1"/>
        <s v="EVAPORATOR, BMW E36 316i" u="1"/>
        <s v="EXP. VALVE LT, BOER 38354 BMW E36" u="1"/>
        <s v="RECEIVER_DRIER_ALUMINUM, YK BMW 8121 -E36 (134A)" u="1"/>
        <s v="FITTINGS, COPPER ELBOW 5/8 LR" u="1"/>
        <s v="O_RING, NEK MANIPIS 3/8" u="1"/>
        <s v="AC FILTER DRIER , GENESSO 1/4 SOLDER TYPE 052S" u="1"/>
        <s v="AUXFAN_MOTOR, TOYOTA COROLLA 4263" u="1"/>
        <s v="CAPACITOR_DOUBLE, PS CBB65 12 + 1.5 UF" u="1"/>
        <s v="BOLT &amp; NUT, NUT 3/8" u="1"/>
        <s v="BOLT &amp; NUT, WASHER 3/8" u="1"/>
        <s v="COPPER_TUBE_HARD_DRAWN_TYPE_L, EVERSTRONG 1/2&quot; X 20 FT" u="1"/>
        <s v="COPPER_TUBE_HARD_DRAWN_TYPE_L, EVERSTRONG 1/4&quot; X 20 FT" u="1"/>
        <s v="COPPER_TUBE_HARD_DRAWN_TYPE_L, EVERSTRONG 3/8&quot; X 20 FT" u="1"/>
        <s v="COPPER_TUBE_HARD_DRAWN_TYPE_L, EVERSTRONG 5/8&quot; X 20 FT" u="1"/>
        <s v="FITTINGS, COPPER COUPLING 3/8" u="1"/>
        <s v="FITTINGS, COPPER COUPLING 5/8" u="1"/>
        <s v="AC FILTER DRIER ,  DOUBLE" u="1"/>
        <s v="CAPILLARY TUBE,  3.0MMX.0.5MMx1FT" u="1"/>
        <s v="ELECTRICAL CIRCUIT_BREAKER, KOTEN 15 AMP, 2P" u="1"/>
        <s v="REFRIGERANT, EUFRON R134A, 13.6 KGS" u="1"/>
        <s v="AUXFAN_MOTOR, TRUCK FAN 14 x 18 X 24V" u="1"/>
        <s v="COMPRESSOR, KIA PICANTO 2014 6PK HALLA" u="1"/>
        <s v="CAPACITOR_DOUBLE, PS CBB65 45 + 5 UF" u="1"/>
        <s v="COPPER_TUBE_SOFTDRAWN, TESCOP 0.028 X 1/2  x 15 mtr" u="1"/>
        <s v="BRACKET , TRANSAIR 2HP, COATED" u="1"/>
        <s v="RUBBER_INSULATION, M-FLEX 1/2&quot; X 1 1/8" u="1"/>
        <s v="PULLEY_ASSEMBLY, SUZUKI APV" u="1"/>
        <s v="RESISTOR_BLOCK, HONDA CIVIC  YL - 7511" u="1"/>
        <s v="CAPACITOR_SINGLE, PS CBB65 65 UF" u="1"/>
        <s v="RUBBER_INSULATION, M-FLEX 3/8&quot; X 7/8" u="1"/>
        <s v="COPPER_TUBE_SOFTDRAWN, LS METAL  0.028 X 3/8 x 15 mtr" u="1"/>
        <s v="PULLEY_ASSEMBLY, HYUNDAI EON" u="1"/>
        <s v="BLOWER_MOTOR, MITSUBISHI MONTERO 2008" u="1"/>
        <s v="EXP. VALVE SC, MITSUBISHI FLARE TYPE 3/8" u="1"/>
        <s v="BLOWER_MOTOR, NISSAN ALMERA" u="1"/>
        <s v="EVAPORATOR, HONDA CIVIC 1995" u="1"/>
        <s v="COMPRESSOR, MAZDA BT50 2.2 7PK ORIG" u="1"/>
        <s v="MAGNETIC_CLUTCH, TOYOTA VIOS BATMAN" u="1"/>
        <s v="EVAPORATOR, UNIVERSAL FORMULA 408 LAMINATED 12V" u="1"/>
        <s v="GAUGE, HI 800PSI " u="1"/>
        <s v="EVAPORATOR, UNIVERSAL FORMULA 404 SERPENTINE" u="1"/>
        <s v="EXP. VALVE LT, DENSO 2680 INNOVA (R) [B-38202]" u="1"/>
        <s v="EVAPORATOR, NISSAN NV350 (NEW)" u="1"/>
        <s v="AUXFAN_MOTOR, TOYOTA ALTIS 8450" u="1"/>
        <s v="PULLEY_ASSEMBLY, NISSAN NAVARRA 2016" u="1"/>
        <s v="RELAY, REF PTC 2 PINS" u="1"/>
        <s v="FITTINGS, COPPER ELBOW 1/4 SR" u="1"/>
        <s v="RESISTOR_BLOCK, HONDA CRV2008 (7574)" u="1"/>
        <s v="BLOWER_MOTOR, HONDA CITY 2015" u="1"/>
        <s v="AUXIALLIARY_FAN, NEK 12 V METAL FAN" u="1"/>
        <s v="EVAPORATOR, TOYOTA CAMRY 2008" u="1"/>
        <s v="FITTINGS, COPPER ELBOW 1/2 LR" u="1"/>
        <s v="RECEIVER_DRIER_ALUMINUM, YK 8733 (EXALTA)" u="1"/>
        <s v="BRACKET , AERO 1HP, COATED" u="1"/>
        <s v="BRACKET , AERO 2HP, COATED" u="1"/>
        <s v="RUBBER_INSULATION, M-FLEX 1&quot; x  5/8" u="1"/>
        <s v="RUBBER_INSULATION, INSUFLEX 1&quot; x 3/4" u="1"/>
        <s v="CAPACITOR_SINGLE, PS CBB65 15 UF" u="1"/>
        <s v="CAPACITOR_DOUBLE, PS CBB65 30 + 2 UF" u="1"/>
        <s v="OVERLOAD, REF IC BLACK AND WHITE" u="1"/>
        <s v="COMPRESSOR, TOYOTA WIGO 2018 DENSO" u="1"/>
        <s v="RUBBER_INSULATION, INSUFLEX 3/4&quot; x 1/4" u="1"/>
        <s v="CAPACITOR_SINGLE, PS CBB65 4.5 UF" u="1"/>
        <s v="VALVE CORE 134A ,  PITO" u="1"/>
        <s v="AUXIALLIARY_FAN, POKKA 12v BUS 160W IN" u="1"/>
        <s v="Temp_Switch, Honeywell  SPDT 220-240V , T6373A1108" u="1"/>
        <s v="VACUUM_PUMP, VP160 (Single Stage, Rotary Vane) 7.0 CFM, 5 Pa, 220V, 1/2 HP" u="1"/>
        <s v="HAND_TORCH,  WITH IGNITER" u="1"/>
        <s v="ADAPTOR,  R134A, R22 BRASS" u="1"/>
        <s v="CAPACITOR_DOUBLE, PS CBB65 17 + 4 UF" u="1"/>
        <s v="COMPRESSOR, ISUZU  SPORTIVO 2.5 08 DENSO" u="1"/>
        <s v="BOLT &amp; NUT, U-BOLT 1/4 x 2" u="1"/>
        <s v="GAUGE, BOX  CT-466G HI" u="1"/>
        <s v="O_RING COMPRESSOR, HALA " u="1"/>
        <s v="REFRIGERANT, R-600 N-BUTANE WHITE" u="1"/>
        <s v="COPPER_TUBE_SOFTDRAWN, LS METAL  0.028 X 1/4  x 15 mtr" u="1"/>
        <s v="COPPER_TUBE_SOFTDRAWN, TESCOP 0.028 X 3/8 x 15 mtr" u="1"/>
        <s v="RECEIVER_DRIER_ALUMINUM, YK 8034 (R134A)" u="1"/>
        <s v="COMPRESSOR, MITSUBISHI OUTLANDER/ ASX 2.0 /L300 2019" u="1"/>
        <s v="FITTINGS, ELBOW 134A  WITH VALVE 1/2" u="1"/>
        <s v="MAGNETIC_CLUTCH, TOYOTA VIOS SUPERMAN" u="1"/>
        <s v="COPPER_TUBE_SOFTDRAWN, EVERSTRONG 0.028 X 5/8 x 15 mtr 07122024" u="1"/>
        <s v="COMPRESSOR, MITSUBISHI LANCER 2013 EX GLS" u="1"/>
        <s v="TAPE_PE, CROCO Polythelene Tape (White)X 4&quot;" u="1"/>
        <s v="ELECTRICAL WIRE_STRANDED, POWERFLEX THNN STRANDED   #12, ROLL 07052024" u="1"/>
        <s v="PULLEY_ASSEMBLY, TOYOTA HI-ACE  D4D" u="1"/>
        <s v="EVAPORATOR, HONDA CRV 2008   40A102" u="1"/>
        <s v="EVAPORATOR, HYUNDAI H100 2008" u="1"/>
        <s v="LUBRICANT, ND-OIL9 250 CC (134A),OIL COMPRESSOR" u="1"/>
        <s v="EVAPORATOR, HYUNDAI STAREX 2000" u="1"/>
        <s v="PULLEY_ASSEMBLY, ISUZU ALTERA" u="1"/>
        <s v="CAPACITOR_DOUBLE, PS CBB65 40 + 6 UF" u="1"/>
        <s v="CABIN_FILTER, KIA PICANTO 2008" u="1"/>
        <s v="CABIN_FILTER, SUZUKI CELERIO" u="1"/>
        <s v="EVAPORATOR, NISSAN FRONTIER" u="1"/>
        <s v="EVAPORATOR, NISSAN NAVARRA 2007" u="1"/>
        <s v="EVAPORATOR, MITSUBISHI LANCER 1997" u="1"/>
        <s v="PULLEY_ASSEMBLY, HONDA CRV 2008 2.0 7PK" u="1"/>
        <s v="ECV, TOYOTA VIOS BATMAN, 8-5A" u="1"/>
        <s v="HUB, TOYOTA INNOVA DENSO" u="1"/>
        <s v="EXP. VALVE LT,  SH207-4 PATROL, SAFARI [B-38303]" u="1"/>
        <s v="EVAPORATOR, HONDA ACCORD 1998" u="1"/>
        <s v="BLOWER_MOTOR, ISUZU TROOPER" u="1"/>
        <s v="FITTINGS, COPPER ELBOW 7/8 LR" u="1"/>
        <s v="ELECTRICAL WIRE_STRANDED, POWERFLEX THNN STRANDED   #14, ROLL 07052024" u="1"/>
        <s v="CAPACITOR_FAN, PS CBB61 3 UF" u="1"/>
        <s v="RESISTOR_BLOCK, NISSAN SENTRA 7569" u="1"/>
        <s v="CAPACITOR_SINGLE, PS CBB65 7 UF" u="1"/>
        <s v="CAPACITOR_DOUBLE, PS CBB65 17 + 2 UF" u="1"/>
        <s v="REFRIGERANT, SOLFRON R134A, 13.6 KGS" u="1"/>
        <s v="MAGNETIC_CLUTCH, TOYOTA VIOS WIGO" u="1"/>
        <s v="BEARING, NSK DENSO  218" u="1"/>
        <s v="REFRIGERANT, GAZ R134A , 13.6 KGS 08162024" u="1"/>
        <s v="EVAPORATOR, ISUZU ALTERA  / D-MAX 2008 FRONT" u="1"/>
        <s v="AUXFAN_MOTOR, TOYOTA HI-ACE FRONT NEW 4810" u="1"/>
        <s v="HOSE, KOREA GAUGE 1.5M 134A" u="1"/>
        <s v="EVAPORATOR, HONDA CIVIC 2012" u="1"/>
        <s v="EVAPORATOR, MITSUBISHI LANCER 04 40A85" u="1"/>
        <s v="EVAPORATOR, TOYOTA INNOVA NEW (F) CENTRAL" u="1"/>
        <s v="EVAPORATOR, MAZDA  2   40A539" u="1"/>
        <s v="BLOWER_MOTOR, NISSAN URVAN 2 PINS" u="1"/>
        <s v="EVAPORATOR, FORD ESCAPE SANDEN" u="1"/>
        <s v="HUB, TOYOTA REVO/PAJERO" u="1"/>
        <s v="REF_DRIER, OMNI WELDED TYPE  SINGLE" u="1"/>
        <s v="SAFETY VALVE , 410A RED" u="1"/>
        <s v="BLOWER_MOTOR, TOYOTA HI-ACE REAR LEFT" u="1"/>
        <s v="EVAPORATOR, UNIVERSAL FORMULA YOKOHAMA DUAL" u="1"/>
        <s v="CAPACITOR_FAN, PS CBB61 4 UF" u="1"/>
        <s v="CAPACITOR_DOUBLE, PS CBB65 35 + 2 UF" u="1"/>
        <s v="CAPACITOR_SINGLE, PS CBB65 35 UF" u="1"/>
        <s v="AC FILTER DRIER , GENESSO 1/2  FLARE TYPE 164S" u="1"/>
        <s v="GAUGE, ACCURATE SINGLE GAUGE HI R410" u="1"/>
        <s v="GAUGE, ACCURATE SINGLE GAUGE LO R410" u="1"/>
        <s v="FITTINGS, ELBOW 134A 5/8" u="1"/>
        <s v="THERMOSTAT, SAGINOMIYA REF 131" u="1"/>
        <s v="HUB,  TOYOTA VIOS SUPERMAN" u="1"/>
        <s v="REFRIGERANT, SOLFRON R134A, 13.6 KGS ATON AIRE" u="1"/>
        <s v="EVAPORATOR, TOYOTA INNOVA 2008 (R)_IBX" u="1"/>
        <s v="EVAPORATOR, ISUZU ALTERA REAR" u="1"/>
        <s v="BLOWER_MOTOR, MITSUBISHI L300" u="1"/>
        <s v="AUXIALLIARY_FAN, POKKA 24V BUS 160W" u="1"/>
        <s v="EVAPORATOR, KIA RIO 2008" u="1"/>
        <s v="IDLER PULLEY,  " u="1"/>
        <s v="EVAPORATOR, FORD EVEREST SC (R) HS-40A3" u="1"/>
        <s v="PULLEY_ASSEMBLY, CHEVROLET TRAILBLAZER" u="1"/>
        <s v="REFRIGERANT, MAXX R404A, 11.3 KGS  06252024" u="1"/>
        <s v="SHAFT_SEAL, NEK 507" u="1"/>
        <s v="ELECTRICAL_PANEL,  NEMA 3R, 3P" u="1"/>
        <s v="CAPACITOR_DOUBLE, PS CBB65 25 + 5 UF" u="1"/>
        <s v="CAPACITOR_DOUBLE, PS CBB65 30 + 7 UF" u="1"/>
        <s v="CAPACITOR_DOUBLE, PS CBB65 35 + 3 UF" u="1"/>
        <s v="CAPACITOR_DOUBLE, PS CBB65 35 + 4 UF" u="1"/>
        <s v="CAPACITOR_DOUBLE, PS CBB65 45 + 2 UF" u="1"/>
        <s v="CAPACITOR_DOUBLE, PS CBB65 60 + 7  UF" u="1"/>
        <s v="RELAY, REF PTC 3 PINS" u="1"/>
        <s v="HOSE, R22/R12/134A GAUGE 1.5M CHINA" u="1"/>
        <s v="REFRIGERANT, EUFRON R410A" u="1"/>
        <s v="ECV, HYUNDAI G-STAREX hs008-39" u="1"/>
        <s v="FITTINGS, BRASS FLARE UNION 1/2" u="1"/>
        <s v="REFRIGERANT, GAZ 410A, 11.3 KGS" u="1"/>
        <s v="RUBBER_INSULATION, M-FLEX 1&quot; x  3/8" u="1"/>
        <s v="CAPACITOR_DOUBLE, PS CBB65 20 + 1.5 UF" u="1"/>
        <s v="COMPRESSOR, TOYOTA CAMRY 2011 2.5 6PK DENSO" u="1"/>
        <s v="CABIN_FILTER, NISSAN ALMERA" u="1"/>
        <s v="BLOWER_MOTOR, TOYOTA INNOVA NEW R" u="1"/>
        <s v="EVAPORATOR, HYUNDAI STAREX DC" u="1"/>
        <s v="EVAPORATOR, HYUNDAI GRAND STAREX F" u="1"/>
        <s v="REFRIGERANT, EUFRON R134A, 13.6 KGS  07032024" u="1"/>
        <s v="EVAPORATOR, HONDA CRV 2008" u="1"/>
        <s v="REFRIGERANT, EUFRON R134A, 13.6 KGS  09302024" u="1"/>
        <s v="CONDENSER, TOYOTA WIGO 2018" u="1"/>
        <s v="EVAPORATOR, MITSUBISHI PAJERO" u="1"/>
        <s v="EVAPORATOR, TOYOTA ALTIS 03" u="1"/>
        <s v="EVAPORATOR, TOYOTA RUSH" u="1"/>
        <s v="EVAPORATOR, TOYOTA VIOS 2008  (BATMAN)" u="1"/>
        <s v="REFRIGERANT, SOLFRON R32, 9.5 KGS" u="1"/>
        <s v="EVAPORATOR, NISSAN ALMERA" u="1"/>
        <s v="EVAPORATOR, TOYOTA HIACE" u="1"/>
        <s v="REFRIGERANT, SOLFRON 410A, 11.3 KGS 04192024" u="1"/>
        <s v="EVAPORATOR, HONDA CIVIC 2008" u="1"/>
        <s v="EVAPORATOR, NISSAN CALIBRE/ NAVARA" u="1"/>
        <s v="BAG_WASH, JINSHENG Q-565" u="1"/>
        <s v="EVAPORATOR, TOYOTA WIGO" u="1"/>
        <s v="RECEIVER_DRIER_ALUMINUM, YK MIT FUSION" u="1"/>
        <s v="ADAPTOR, OPEN VALVE   " u="1"/>
        <s v="REFRIGERANT, MAXX R410A, 11.3 KGS" u="1"/>
        <s v="REFRIGERANT, SOLFRON 410a, 11.3 KGS " u="1"/>
        <s v="BLOWER_MOTOR, TOYOTA HI-ACE REAR" u="1"/>
        <s v="BOARD, AC UNIVERSAL" u="1"/>
        <s v="REFRIGERANT, MAXX R410A, 11.3 KGS 03082024" u="1"/>
        <s v="PULLEY_ASSEMBLY, MITSUBISHI MIRAGE" u="1"/>
        <s v="EVAPORATOR, GIGA RANGER HS-40A118" u="1"/>
        <s v="ELECTRICAL SOCKET_BREAKER, KOTEN 30 AMP, 2P" u="1"/>
        <s v="EVAPORATOR, NISSAN LEC" u="1"/>
        <s v="EVAPORATOR, NISSAN NV350" u="1"/>
        <s v="EVAPORATOR, TOYOTA VIOS 2014 (SUPERMAN)" u="1"/>
        <s v="EVAPORATOR, MITSUBISHI MONTERO 2016 (F)" u="1"/>
        <s v="EVAPORATOR, HYUNDAI ELANTRA 2012" u="1"/>
        <s v="EVAPORATOR, TOYOTA INNOVA 2008 (F)" u="1"/>
        <s v="EVAPORATOR, TOYOTA INNOVA 2008 (R)" u="1"/>
        <s v="EVAPORATOR, TOYOTA AVANZA 14" u="1"/>
        <s v="EVAPORATOR, TOYOTA INNOVA NEW (F) " u="1"/>
        <s v="EVAPORATOR, TOYOTA INNOVA NEW (R) " u="1"/>
        <s v="EVAPORATOR, HONDA CITY 2012" u="1"/>
        <s v="EVAPORATOR, MITSUBISHI MONTERO 2008 (F)" u="1"/>
        <s v="EVAPORATOR, TOYOTA AVANZA OLD" u="1"/>
        <s v="EVAPORATOR, MITSUBISHI ADVENTURE" u="1"/>
        <s v="EVAPORATOR, MITSUBISHI LANCER 2008 - 2010" u="1"/>
        <s v="CORE_DRILL, ZENEZIZ DIAMOND 80mm" u="1"/>
        <s v="EXP. VALVE CAP, DOUBLE FLARE TYPE 3/8" u="1"/>
        <s v="EXP. VALVE CAP, SINGLE FLARE TYPE 3/8" u="1"/>
        <s v="EXP. VALVE CAP, SINGLE ORING TYPE 3/8" u="1"/>
        <s v="EXPANSION_VALVE, MITSUBISHI ADVENTURE" u="1"/>
        <s v="REFRIGERANT, EUFRON R32, 10 KGS" u="1"/>
        <s v="REFRIGERANT, POKKA R600A CAN " u="1"/>
        <s v="CONDENSER, ISUZU CROSSWIND" u="1"/>
        <s v="ADAPTOR, POKKA R600 (BLUE)" u="1"/>
        <s v="EVAPORATOR, TOYOTA VIOS 2014" u="1"/>
        <s v="PULLEY_ASSEMBLY, TOYOTA VIOS 2017" u="1"/>
        <s v="SYSTEM_CLEANER, NING FENG 141B 500 ML" u="1"/>
        <s v="FITTINGS, TEE ALUMINUM 1/2" u="1"/>
        <s v="RECEIVER_DRIER_ALUMINUM, MAZDA 8793" u="1"/>
        <s v="RUBBER_INSULATION, INSUFLEX 1/2&quot; x  1/2" u="1"/>
        <s v="COMPRESSOR, TOYOTA ALTIS 03" u="1"/>
        <s v="RUBBER_INSULATION, WINCELL 3/8&quot; x 0.375" u="1"/>
        <s v="FITTINGS,  HIGH SIDE VALVE" u="1"/>
        <s v="EVAPORATOR, FORD RANGER/ EVEREST 2014" u="1"/>
        <s v="RECEIVER_DRIER_ALUMINUM, YK 9096" u="1"/>
        <s v="EXP. VALVE LT, HONDA BOER 38228 CRV/CIVIC [D-2370]" u="1"/>
        <s v="CONDENSER, HONDA CITY 1997" u="1"/>
        <s v="HOSE, KOREA GAUGE 1 PER PIECE 134A" u="1"/>
        <s v="EXPANSION_VALVE, DENSO 9A50" u="1"/>
        <s v="CABIN FILTER TOYOTA VIOS" u="1"/>
        <s v="CAPACITOR_SINGLE, PS CBB65 80 UF" u="1"/>
        <s v="CAPACITOR_DOUBLE, PS CBB65 15 + 6 UF" u="1"/>
        <s v="CLEANER, ZYC AIRCON LIQUID LYE" u="1"/>
        <s v="EXPANSION_VALVE, MITSUBISHI MIRAGE (9B246)" u="1"/>
        <s v="CONDENSER, FORD EVEREST 04-08" u="1"/>
        <s v="EXPANSION_VALVE, MITSUBISHI EBH-15M535, MIRAGE" u="1"/>
        <s v="RUBBER_INSULATION, DURKFLEX 1/2 X 1/2" u="1"/>
        <s v="AUXFAN_MOTOR, KIA PICANTO 2014" u="1"/>
        <s v="RUBBER_INSULATION, INSUFLEX 1/2&quot; x  1/4" u="1"/>
        <s v="CONDENSER, HYUNDAI STAREX" u="1"/>
        <s v="AUXFAN_MOTOR, MITSUBISHI MONTERO (REP)" u="1"/>
        <s v="RUBBER_INSULATION, SUPERLON 1/2&quot; x 1 1/8" u="1"/>
        <s v="RUBBER_INSULATION, INSUFLEX 1/2&quot; x  3/4" u="1"/>
        <s v="METAL UTILITY BOX,  #16 2X4 1/2KO" u="1"/>
        <s v="CAPACITOR SINGLE PS CBB65 75 UF" u="1"/>
        <s v="ELECTRICAL, ROYU 3/4 WHITE UTTLITY BOX" u="1"/>
        <s v="BEARING, NSK 10PA17C  702" u="1"/>
        <s v="EXPANSION_VALVE, DENSO 1610 (INNOVA F)" u="1"/>
        <s v="EXPANSION_VALVE, POKKA 9A56 (INNOVA F)" u="1"/>
        <s v="EXPANSION_VALVE, DOUBLE CAPILLARY ORING TYPE W/ STEP NISSAN" u="1"/>
        <s v="FITTINGS, COPPER REDUCER 7/8 x 1 1/8" u="1"/>
        <s v="EXP. VALVE LT, TOYOTA DENSO 1600 VIOS_IBX" u="1"/>
        <s v="MAGNETIC_CLUTCH, TOYOTA ALTIS" u="1"/>
        <s v="ROD, NIHONWELD ALUMINUM NEW" u="1"/>
        <s v="COMPRESSOR, SUZUKI APV 1.6 2011 DENSO" u="1"/>
        <s v="AC_FLUSHING_KIT,  NEK-399" u="1"/>
        <s v="HUB, CHEVROLET ORLANDO" u="1"/>
        <s v="EXPANSION_VALVE, POKKA 9A57 (INNOVA R)" u="1"/>
        <s v="EVAPORATOR, FORD EVEREST DC (R) " u="1"/>
        <s v="RUBBER_INSULATION, WINCELL 1/2&quot; x 1/2" u="1"/>
        <s v="RUBBER_INSULATION, WINCELL 1/2&quot; x 1/4" u="1"/>
        <s v="COMPRESSOR, NISSAN ALMERA 7PK" u="1"/>
        <s v="COPPER_TUBE_HARD_DRAWN_TYPE_L, EVERSTRONG 3/4&quot; X 20 FT" u="1"/>
        <s v="COPPER_TUBE_HARD_DRAWN_TYPE_L, EVERSTRONG 7/8&quot; X 20 FT" u="1"/>
        <s v="COPPER_TUBE_HARD_DRAWN_TYPE_M, EVERSTRONG 3/4&quot; X 20 FT" u="1"/>
        <s v="COPPER_TUBE_HARD_DRAWN_TYPE_M, EVERSTRONG 3/8&quot; X 20 FT" u="1"/>
        <s v="COPPER_TUBE_HARD_DRAWN_TYPE_M, EVERSTRONG 5/8&quot; X 20 FT" u="1"/>
        <s v="COPPER_TUBE_HARD_DRAWN_TYPE_M, EVERSTRONG 7/8&quot; X 20 FT" u="1"/>
        <s v="EXPANSION_VALVE, POKKA EXTRAIL(9A60)" u="1"/>
        <s v="EVAPORATOR, FORD LYNX" u="1"/>
        <s v="COMPRESSOR, HYUNDAI VELOSTER" u="1"/>
        <s v="EVAPORATOR, TOYOTA INNOVA 2008 (F) CENTRAL" u="1"/>
        <s v="EVAPORATOR, TOYOTA INNOVA 2008 (R) CENTRAL" u="1"/>
        <s v="RUBBER_INSULATION, WINCELL 3/4&quot; x 1/2" u="1"/>
        <s v="RUBBER_INSULATION, WINCELL 3/4&quot; x 1/4" u="1"/>
        <s v="EXP. VALVE LT, MITSUBISHI DENSO 1650 6D25 FUSION, LANCER, URVAN [B-38234]" u="1"/>
        <s v="COPPER_TUBE_SOFTDRAWN, EQUATION 0.028 X 3/4 x 15 mtr" u="1"/>
        <s v="EVAPORATOR, TOYOTA VIOS 2014 (SUPERMAN)_IBX" u="1"/>
        <s v="CORE_DRILL, ZENEZIZ DIAMOND 65mm" u="1"/>
        <s v="RECEIVER_DRIER_ALUMINUM, YK 8732" u="1"/>
        <s v="CAPACITOR_DOUBLE, PS CBB65 60 + 5  UF" u="1"/>
        <s v="BLOWER_MOTOR, TOYOTA HI-ACE FRONT " u="1"/>
        <s v="MAGNETIC_CLUTCH, MITSUBISHI MIRAGE" u="1"/>
        <s v="BEARING, NSK DENSO" u="1"/>
        <s v="EXP. VALVE DC, NISSAN ORING TYPE W/ STEP" u="1"/>
        <s v="EXP. VALVE LT, TOYOTA DENSO 0031 LANCER '97, R134A [B-38202]" u="1"/>
        <s v="RUBBER_INSULATION, WINCELL 1/2&quot; x 5/8" u="1"/>
        <s v="AUXFAN_MOTOR, TOYOTA CAMRY 2008" u="1"/>
        <s v="RUBBER_INSULATION, INSUFLEX 1/2&quot; x  3/8" u="1"/>
        <s v="RUBBER_INSULATION, INSUFLEX 1/2&quot; x  5/8" u="1"/>
        <s v="BOLT &amp; NUT,  COMPRESSOR" u="1"/>
        <s v="PULLEY_ASSEMBLY, FORD ESCAPE HALLA" u="1"/>
        <s v="COMPRESSOR, NEK SD7 (8024)" u="1"/>
        <s v="AUXFAN_MOTOR, FORD RANGER 2014" u="1"/>
        <s v="ELECTRICAL FITTINGS,  BUSHING" u="1"/>
        <s v="EVAPORATOR, NISSAN URVAN" u="1"/>
        <s v="EVAPORATOR, TOYOTA VIOS 2008" u="1"/>
        <s v="RUBBER_INSULATION, WINCELL 3/4&quot; x 5/8" u="1"/>
        <s v="SYSTEM_CLEANER,  141B 30 KILOS" u="1"/>
        <s v="PULLY_ASSEMBLY, TOYOTA INNOVA 2008" u="1"/>
        <s v="BLOWER_MOTOR, TOYOTA AVANZA OLD" u="1"/>
        <s v="RUBBER_INSULATION, ARMAFLEX 1 X 1 1/8" u="1"/>
        <s v="CORE_DRILL, ZENEZIZ DIAMOND 55mm" u="1"/>
        <s v="COMPRESSOR, MITSUBISHI PAJERO 2001" u="1"/>
        <s v="COMPRESSOR, FORD RANGER 2.3 HALA BN COPY" u="1"/>
        <s v="COMPRESSOR, ISUZU  D-MAX 2008" u="1"/>
        <s v="HOSE, HCRGSEN GAUGE 410A 1M SET" u="1"/>
        <s v="BEARING, NSK 507" u="1"/>
        <s v="EXP. VALVE CAP, SINGLE ORING TYPE W/STEP NISSAN" u="1"/>
        <s v="BLOWER_MOTOR, UNIVERSAL DOUBEL SHAFTING (ADVENTURE/REVO)" u="1"/>
        <s v="BLOWER_MOTOR, UNIVERSAL DOUBLE SHAFTING (ADVENTURE/REVO)" u="1"/>
        <s v="COMPRESSOR, MITSUBISHI ADVENTURE" u="1"/>
        <s v="EVAPORATOR, TOYOTA ALTIS" u="1"/>
        <s v="RECEIVER_DRIER_ALUMINUM, YK 8101 (DENSO R12 S)" u="1"/>
        <s v="RECEIVER_DRIER_STEEL ,  5116 (L300 F/B)" u="1"/>
        <s v="COMPRESSOR, CHEVROLET TRAILBLAZER 6PK (REP) Delphi" u="1"/>
        <s v="OVERLOAD, AC 1HP" u="1"/>
        <s v="COMPRESSOR, NEK 709 (8024)" u="1"/>
        <s v="EVAPORATOR, GIGA " u="1"/>
        <s v="MAPP_GAS, ELK TORCH GAS" u="1"/>
        <s v="TAPE_PE, HYSIS Polythelene Tape (BLACK)X 4&quot;" u="1"/>
        <s v="BLOWER_MOTOR, MITSUBISHI LANCER 2010" u="1"/>
        <s v="TEMPERATURE_RESISTANCE, MONTERO THERMISTOR" u="1"/>
        <s v="COMPRESSOR, ISUZU / DENSO CROSSWIND 2.5 03" u="1"/>
        <s v="EVAPORATOR, ISUZU TRUCK" u="1"/>
        <s v="REFRIGERANT, MAXX R410A, 11.3 KGS JUNE 29,2023" u="1"/>
        <s v="HOSE, ELECTRICAL FLEXIBLE ROLL 3/4" u="1"/>
        <s v="PRESSURE_SWITCH, BOER HONDA" u="1"/>
        <s v="LUBRICANT,  141B 30 KILOS" u="1"/>
        <s v="THERMOSTAT SAGINOMIYA REF 130" u="1"/>
        <s v="EVAPORATOR, TOYOTA INNOVA 2008 (F)_IBX" u="1"/>
        <s v="COMPRESSOR, MITSUBISHI MIRAGE HATCHBACK 2012 BN COPY" u="1"/>
        <s v="ELECTRICAL FITTINGS,  ELBOW 20mm" u="1"/>
        <s v="COMPRESSOR, SUZUKI APV" u="1"/>
        <s v="O_RING COMPRESSOR, TRS TRS" u="1"/>
        <s v="EXP. VALVE LT, FUJIKOKI FUJIKOKI 6E19 XTRAIL CELERIO, TRAILBLAZER" u="1"/>
        <s v="GAUGE, HI 500PSI UNIWELD" u="1"/>
        <s v="GAUGE, LO 300PSI UNIWELD" u="1"/>
        <s v="EVAPORATOR, HYUNDAI ELANTRA" u="1"/>
        <s v="EVAPORATOR, FORD RANGER  HS-40A205" u="1"/>
        <s v="REFRIGERANT, EUFRON 507  11.3 KGS" u="1"/>
        <s v="REFRIGERANT, MAXX R407C, 11.3 KGS" u="1"/>
        <s v="REFRIGERANT, MILLER R410 11.3 KGS" u="1"/>
        <s v="VACUUM_PUMP, VP2100 (Double Stage, Rotary Vane) 10 CFM, 5 Pa, 220V, 1 HP" u="1"/>
        <s v="VACUUM_PUMP, VP2100 (Double Stage, Rotary Vane) 12 CFM, 5 Pa, 220V, 1 HP" u="1"/>
        <s v="VACUUM_PUMP, VP280 (Double Stage, Rotary Vane) 9.0 CFM, 5 Pa, 220V, 1 HP" u="1"/>
        <s v="EXP. VALVE LT, HUYNDAI FI08KPIAA ACCENT" u="1"/>
        <s v="EVAPORATOR,  MITSUBISHI ADVENTURE" u="1"/>
        <s v="COMPRESSOR, TOYOTA INNOVA DSL 2007 SANDEN" u="1"/>
        <s v="TUBE_CUTTER,  CT-107, 1/8&quot; - 2&quot;" u="1"/>
        <s v="CONDENSER, SUZUKI CELERIO" u="1"/>
        <s v="EXPANSION_VALVE, DENSO MIT447500-2680, INNOVA (R)" u="1"/>
        <s v="ADAPTOR, OPEN VALVE R134A (BLUE)" u="1"/>
        <s v="COMPRESSOR, NEK 507 12V MG (6328)" u="1"/>
        <s v="EVAPORATOR, ISUZU CROSSWIND (F) CENTRAL" u="1"/>
        <s v="MAGNETIC_CLUTCH, MITSUBISHI MONTERO 2008" u="1"/>
        <s v="MANIFOLD GAUGE HEAVY DUTY GUAGE R410" u="1"/>
        <s v="CLEANER,  REFRIGERATION FLO" u="1"/>
        <s v="COMPRESSOR, TOYOTA AVANZA03-08" u="1"/>
        <s v="RECEIVER_DRIER_ALUMINUM, YK 8733" u="1"/>
        <s v="EXPANSION VALVE  MITSUBISHI PAJERO" u="1"/>
        <s v="EXPANSION_VALVE, MITSUBISHI PAJERO" u="1"/>
        <s v="COPPER_TUBE_SOFTDRAWN, DAEJIN 0.028 X 1/2 x 15 mtr" u="1"/>
        <s v="COPPER_TUBE_SOFTDRAWN, DAEJIN 0.028 X 5/8 x 15 mtr" u="1"/>
        <s v="COPPER_TUBE_SOFTDRAWN, DAIJIN 0.028 X 1/4 x 15 mtr" u="1"/>
        <s v="COPPER_TUBE_SOFTDRAWN, NINGBO 0.028 X 1/4 x 15 mtr" u="1"/>
        <s v="OVERLOAD, AC 1.5 HP" u="1"/>
        <s v="BEARING DENSO, NSK DENSO" u="1"/>
        <s v="ELECTRICAL WIRE_,  FLAT CORD # 16/2 X 150 MTR" u="1"/>
        <s v="ELECTRICAL WIRE_,  FLAT CORD # 18/2 X 150 MTR" u="1"/>
        <s v="BLOWER_MOTOR, TOYOTA ALTIS" u="1"/>
        <s v="FLO_REFRIGERATION,  FLO" u="1"/>
        <s v="EXP. VALVE LT, HYUNDAI EX-10143, H100, STAREX" u="1"/>
        <s v="CLEANER, NEK AIRCON COIL 500 ML" u="1"/>
        <s v="MAGNETIC_CLUTCH, MITSUBISHI MONTERO 2016" u="1"/>
        <s v="AC FILTER DRIER , GENESSO 3/8  FLARE TYPE 163FT" u="1"/>
        <s v="AC FILTER DRIER , GENESSO 1/2  FLARE TYPE 164FT" u="1"/>
        <s v="COMPRESSOR, NEK 507 12V VT (6321)" u="1"/>
        <s v="EXP. VALVE LT, DENSO 0070 ACCENT '13 [9A129]" u="1"/>
        <s v="TIMER, REF " u="1"/>
        <s v="COMPRESSOR, HYUNDAI ELANTRA 16 _ ORIG_ 6PK ( 4 BRACKET)" u="1"/>
        <s v="MAGNETIC_CLUTCH, ISUZU  CROSSWIND" u="1"/>
        <s v="PRESSURE_SWITCH, TOYOTA " u="1"/>
        <s v="RECEIVER_DRIER_ALUMINUM, KIA SORENTO" u="1"/>
        <s v="COMPRESSOR, TOYOTA ALTIS 06 1.6" u="1"/>
        <s v="CAPACITOR_FAN, PS CBB61 8 UF" u="1"/>
        <s v="RUBBER_INSULATION, DURKFLEX  3/4&quot; x 1 1/4" u="1"/>
        <s v="REFRIGERANT, EUFRON R32, 3KGS " u="1"/>
        <s v="FITTINGS, STRAIGHT 134A 1/2" u="1"/>
        <s v="COPPER_TUBE_SOFTDRAWN, EVERSTRONG 0.032 X 7/8 x 15 mtr" u="1"/>
        <s v="RUBBER_INSULATION, ARMAFLEX 3/4&quot; x 2 1/8" u="1"/>
        <s v="PULLEY, TOYOTA VIOS 2008" u="1"/>
        <s v="ECV, HYUNDAI ELA NTRA 8-39 K5" u="1"/>
        <s v="MAGNETIC_CLUTCH, HONDA CITY 2006" u="1"/>
        <s v="ACCESS_VALVE,  WELDED TYPE " u="1"/>
        <s v="MAGNETIC_CLUTCH, HYUNDAI STAREX" u="1"/>
        <s v="CONDENSER, CHEVROLET SPIN" u="1"/>
        <s v="ROYAL CORD, DAEMYUNG 4-CORE, #16" u="1"/>
        <s v="WASH_BAG, JINSHENG COVER" u="1"/>
        <s v="COMPRESSOR, SANDEN TRS 3062" u="1"/>
        <s v="EVAPORATOR, HYUNDAI STAREX" u="1"/>
        <s v="EXP. VALVE LT, HOWO WG1664820014-1" u="1"/>
        <s v="TUBE_CUTTER, ECCENTRIC CT-274, 1/8&quot; - 1 1/8&quot;" u="1"/>
        <s v="CONDENSER, TOYOTA VIOS 2010" u="1"/>
        <s v="CONDENSER, UNIVERSAL 12 x 23 x 44" u="1"/>
        <s v="CONDENSER, UNIVERSAL 14 x 23 x 44" u="1"/>
        <s v="RECEIVER_DRIER_ALUMINUM, SUZUKI ERTIGA" u="1"/>
        <s v="CONDENSER, SUZUKI ERTIGA 2017" u="1"/>
        <s v="COMPRESSOR, CHEVROLET/ DELPHI AVEO 1.6 05 ORIGINAL" u="1"/>
        <s v="RUBBER_INSULATION, AEROFLEX 1&quot; x 1/4" u="1"/>
        <s v="RUBBER_INSULATION, INSUFLEX 1&quot; x 1/4" u="1"/>
        <s v="CAPACITOR_DOUBLE, PS CBB65 20 + 5 UF" u="1"/>
        <s v="CONDENSER, UNIVERSAL 12 x 23 x 20" u="1"/>
        <s v="EXPANSION_VALVE, POKKA 9A129B (ACCENT)" u="1"/>
        <s v="RUBBER_INSULATION, DURKFLEX  1/2&quot; x  2 1/8" u="1"/>
        <s v="EXP. VALVE LT, NISSAN POKKA 9A60 EXTRAIL" u="1"/>
        <s v="EXPANSION_VALVE, POKKA INNOVA R (9A57)" u="1"/>
        <s v="REFRIGERANT, FREON R134A , 13.6 KGS" u="1"/>
        <s v="REFRIGERANT, MILLER R134A, 13.6 KGS" u="1"/>
        <s v="BLOWER_MOTOR, HYUNDAI STAREX" u="1"/>
        <s v="PULLEY, TOYOTA REVO " u="1"/>
        <s v="FITTINGS, COPPER  REDUCER 1/2 X 3/8" u="1"/>
        <s v="COMPRESSOR, NISSAN ESCAPADE 2.7" u="1"/>
        <s v="EXPANSION_VALVE, TOYOTA CAMRY 2004" u="1"/>
        <s v="EXP. VALVE LT,  LTY 068 1560 MONTERO " u="1"/>
        <s v="EXP. VALVE LT, CHEVROLET BOER 38674 CHEVROLET, BUICK, OPTRA, SPARK" u="1"/>
        <s v="EVAPORATOR, FORD ESCAPE HALLA" u="1"/>
        <s v="EVAPORATOR, NISSAN URVAN ESCAPADE REAR" u="1"/>
        <s v="COMPRESSOR, TOYOTA VIOS BATMAN 2008" u="1"/>
        <s v="MAGNETIC_CLUTCH, CHEVROLET TRAILBLAZER" u="1"/>
        <s v="REFRIGERANT, MAXX R134A , 13.6 KGS / JUNE 29, 23" u="1"/>
        <s v="AUXFAN_MOTOR, HONDA CRV 2008 (9671)" u="1"/>
        <s v="EXP. VALVE LT, TOYOTA POKKA 9A128 VIOS '14" u="1"/>
        <s v="COMPRESSOR, KIA CARENS" u="1"/>
        <s v="HUB, TOYOTA AVANZA 4PK" u="1"/>
        <s v="REFRIGERANT MAXX R134A , 13.6 KGS" u="1"/>
        <s v="REFRIGERANT, EUFRON R22, 13.6 KGS" u="1"/>
        <s v="REFRIGERANT, GAZ R134A , 13.6 KGS" u="1"/>
        <s v="COMPRESSOR, NEK 508 12V MG (6629)" u="1"/>
        <s v="EXP. VALVE DC, HONDA ORING TYPE 5/8 " u="1"/>
        <s v="O_RING COMPRESSOR, 507/508 507/508" u="1"/>
        <s v="EXPANSION_VALVE, POKKA ACCENT (9A129B)" u="1"/>
        <s v="EVAPORATOR, UNIVERSAL FORMULA 408 LAMINATED" u="1"/>
        <s v="EVAPORATOR, MITSUBISHI LANCER 2010" u="1"/>
        <s v="RESISTOR_BLOCK, MITSUBISHI MONTERO 7599B" u="1"/>
        <s v="ACTUATOR IDLE-UP,  PULL" u="1"/>
        <s v="RESISTOR_BLOCK, TOYOTA VIOS /AVANZA 7562" u="1"/>
        <s v="EXPANSION_VALVE, IKON JAPAN/BOER 503714-1560, MONTERO" u="1"/>
        <s v="RUBBER_INSULATION, WINCELL 1/2&quot; x 1.125" u="1"/>
        <s v="TIMER,  DBY802A1/4321" u="1"/>
        <s v="EXP. VALVE LT, HYUNDAI POKKA 9A129B ACCENT" u="1"/>
        <s v="EXP. VALVE LT, BOER 38225 MONTERO, LANCER, SUBARU, VITARA [D-1560]" u="1"/>
        <s v="EXPANSION_VALVE, DOUBLE CAPILLARY FLARE TYPE 5/16" u="1"/>
        <s v="EXPANSION_VALVE, DOUBLE CAPILLARY ORING TYPE 5/16" u="1"/>
        <s v="EXPANSION_VALVE, SINGLE CAPILLARY ORING TYPE 5/16" u="1"/>
        <s v="CAPACITOR_SINGLE, PS CBB65 2 UF" u="1"/>
        <s v="HALF_UNION, R12 (F) 5/8&quot;" u="1"/>
        <s v="AUXIALLIARY_FAN, POKKA 14 BLADES X 24VOLTS" u="1"/>
        <s v="RUBBER_INSULATION, DURKFLEX 7/8 X 3/8" u="1"/>
        <s v="MAPP_GAS, BLAZE TORCH GAS" u="1"/>
        <s v="ROD NIHONWELD ALUMINUM " u="1"/>
        <s v="ELECTRICAL CIRCUIT_BREAKER, KOTEN 20" u="1"/>
        <s v="COMPRESSOR, HONDA ACCORD 2.0/2.4 DENSO" u="1"/>
        <s v="EXPANSION_VALVE, DENSO TG447500-1600, VIOS" u="1"/>
        <s v="PULLEY, TOYOTA COROLLA DENSO" u="1"/>
        <s v="FITTINGS, COPPER COUPLING 1/4" u="1"/>
        <s v="RUBBER_INSULATION, AEROFLEX 3/4&quot; x 1/2" u="1"/>
        <s v="RUBBER_INSULATION, ARMAFLEX  1 1/4&quot;  x 1 1/8" u="1"/>
        <s v="RECEIVER_DRIER_ALUMINUM, YK 8015 (L)" u="1"/>
        <s v="COMPRESSOR, ISUZU  CROSSWIND" u="1"/>
        <s v="EXP. VALVE LT, PATCO 3J057 807 NV350, NAVARRA" u="1"/>
        <s v="GAUGE,  COMPOUND HIGH" u="1"/>
        <s v="BLOWER_MOTOR, HYUNDAI GRAND STAREX" u="1"/>
        <s v="EXPANSION_VALVE, DENSO LANCER 1997 (0031)" u="1"/>
        <s v="COMPRESSOR, TOYOTA INNOVA DSL 2007 DENSO" u="1"/>
        <s v="PULLEY, TOYOTA REVO VT" u="1"/>
        <s v="ELECTRICAL CIRCUIT_BREAKER, KOTEN 60" u="1"/>
        <s v="COMPRESSOR, HYUNDAI TUCSON 2013 DSL" u="1"/>
        <s v="FITTINGS, STRAIGHT 134A WITH VALVE 1/2" u="1"/>
        <s v="EVAPORATOR, ISUZU D-MAX 13" u="1"/>
        <s v="PULLEY_ASSEMBLY, TOYOTA HI-ACE " u="1"/>
        <s v="OVERLOAD, AC 2 HP" u="1"/>
        <s v="PULLEY_ASSEMBLY, FORD ESCAPE 2.3" u="1"/>
        <s v="PIPE EMT, CONNECTOR 3/4 (19.00MM)" u="1"/>
        <s v="HOSE, 410 GAUGE 1M CHINA" u="1"/>
        <s v="EVAPORATOR, ISUZU D-MAX 2003" u="1"/>
        <s v="CAPACITOR_SINGLE, PS CBB65 3 UF" u="1"/>
        <s v="MAGNETIC_CLUTCH, MITSUBISHI MONTERO 3.2" u="1"/>
        <s v="HUB, TOYOTA ALTIS DENSO" u="1"/>
        <s v="RUBBER_INSULATION, SUPERLON 1/2&quot; x 3/4" u="1"/>
        <s v="CABIN_FILTER, HONDA MEDUIM" u="1"/>
        <s v="RUBBER_INSULATION, DURKFLEX 5/8 X 3/4" u="1"/>
        <s v="HUB, HONDA CIVIC 3410 1.8" u="1"/>
        <s v="REFRIGERANT, SOLFRON R32, 10 KGS" u="1"/>
        <s v="RECEIVER_DRIER_ALUMINUM, HONDA CRV2008  (8038)" u="1"/>
        <s v="HOSE, HCRGSEN GAUGE 1M" u="1"/>
        <s v="MANIFOLD_GAUGE, DSZH DIGITAL TESTER" u="1"/>
        <s v="EXP. VALVE LT, BOER 38302 DMAX 05, ALTERA, APV [15Q-15001]" u="1"/>
        <s v="EXPANSION_VALVE, IKON JAPAN/BOER 503714-1560, MONTERO, SUBARU" u="1"/>
        <s v="AUXFAN_MOTOR, HONDA CITY 2009" u="1"/>
        <s v="REFRIGERANT, NO BRAND R600, 6.5 KGS" u="1"/>
        <s v="RUBBER_INSULATION, AEROFLEX 3/4&quot; x 1/4" u="1"/>
        <s v="RUBBER_INSULATION, SUPERLON 3/4&quot; x 1/4" u="1"/>
        <s v="ELECTRICAL PIPE , RSC 20mm" u="1"/>
        <s v="COMPRESSOR, HYUNDAI ACCENT 2013" u="1"/>
        <s v="COMPRESSOR, HONDA CITY 2010 ORIG" u="1"/>
        <s v="FITTINGS, BRASS FLARE NUT 3/4" u="1"/>
        <s v="RECEIVER_DRIER_ALUMINUM, TOYOTA INNOVA" u="1"/>
        <s v="COMPRESSOR, HONDA CITY 2010 ORIG 1.5 SANDEN" u="1"/>
        <s v="EXP. VALVE LT, TOYOTA DENSO 1730 R12" u="1"/>
        <s v="EXPANSION_VALVE, CHEVROLET 4253-550A, OPTRA, CAPTIVA" u="1"/>
        <s v="EXP. VALVE LT, BOER 38674 CHEVROLET, BUICK, OPTRA, SPARK" u="1"/>
        <s v="EXP. VALVE LT, BOER 38759B NV350 " u="1"/>
        <s v="COMPRESSOR, HYUNDAI ACCENT 2012- 2014 GAS 5PK ORIGINAL" u="1"/>
        <s v="RUBBER_INSULATION, DURKFLEX 3/4 X 1/2" u="1"/>
        <s v=" " u="1"/>
        <s v="OVERLOAD, AC 1.5HP" u="1"/>
        <s v="EXP. VALVE LT, HYUNDAI POKKA 9A87 ACCENT" u="1"/>
        <s v="TIMER, REF SUPCO 5A 1/2HP" u="1"/>
        <s v="EXP. VALVE LT, MITSUBISHI IKON 15M535 MIRAGE" u="1"/>
        <s v="BRAZING FLUX, JX BRAZING FLUX" u="1"/>
        <s v="FITTINGS, STRAIGHT 134A 1/2 WITH VALVE" u="1"/>
        <s v="RECEIVER_DRIER_ALUMINUM, YK 3/8 * 3/8 OR" u="1"/>
        <s v="COMPRESSOR, NISSAN XTRAIL '09  2.0/2.5 CALSONIC" u="1"/>
        <s v="CAPACITOR_SINGLE, PS CBB65 4 UF" u="1"/>
        <s v="RECEIVER_DRIER_ALUMINUM, YK 8733 L" u="1"/>
        <s v="EXPANSION_VALVE, MITSUBISHI STRADA" u="1"/>
        <s v="EVAPORATOR, FORD ESCAPE" u="1"/>
        <s v="CAPACITOR_DOUBLE, PS CBB65 40 + 4 UF" u="1"/>
        <s v="CAPACITOR DOUBLE PS CBB65 17 + 4 UF" u="1"/>
        <s v="EXPANSION_VALVE, POKKA 9A128" u="1"/>
        <s v="COMPRESSOR, MITSUBISHI PAJERO 24V DENSO" u="1"/>
        <s v="MAGNETIC_CLUTCH, HONDA CRV 2.4" u="1"/>
        <s v="CAPACITOR_DOUBLE, PS CBB65 20 + 3UF" u="1"/>
        <s v="CONDENSER, CHEVROLET TRAILBLAZER 12-14" u="1"/>
        <s v="COMPRESSOR, ISUZU  MUX/DMAX 2017  2.5 CALSONIC" u="1"/>
        <s v="VACUUM_PUMP, VP125 (Single Stage, Rotary Vane) 3.0 CFM, 5 Pa, 220V, 1/4 HP" u="1"/>
        <s v="EXPANSION_VALVE, MAZDA 3" u="1"/>
        <s v="CONDENSER, MITSUBISHI MIRAGE 2013 PATAYO" u="1"/>
        <s v="ROYAL CORD, DAEMYUNG 4-CORE, #18" u="1"/>
        <s v="FITTINGS, STRAIGHT R12 WITH VALVE 1/2" u="1"/>
        <s v="O_RING COMPRESSOR, SANDEN 507/508" u="1"/>
        <s v="RUBBER_INSULATION, DURKFLEX 1/4 X 1/2" u="1"/>
        <s v="RUBBER_INSULATION, DURKFLEX  1&quot; x 1/2" u="1"/>
        <s v="ECV, TOYOTA ALTIS" u="1"/>
        <s v="COMPRESSOR, HYUNDAI ACCENT 2012- 2014 GAS" u="1"/>
        <s v="O_RING, NEK 134A 1/2" u="1"/>
        <s v="MAGNETIC_CLUTCH, HONDA JAZZ" u="1"/>
        <s v="COMPRESSOR, CHEVROLET CAPTIVA 2.2  08 DSL/DELPHI" u="1"/>
        <s v="EXPANSION_VALVE, HYUNDAI STAREX (9A133)" u="1"/>
        <s v="EXP. VALVE LT, NISSAN BOER 38505 NV350 " u="1"/>
        <s v="CAPACITOR_SINGLE, PS CBB65 5 UF" u="1"/>
        <s v="EVAPORATOR, HYUNDAI TUCSON 2008" u="1"/>
        <s v="RECEIVER_DRIER_ALUMINUM, YK 8047 (L300)" u="1"/>
        <s v="BLOWER_MOTOR, TOYOTA INNOVA 2008" u="1"/>
        <s v="RUBBER_INSULATION, AEROFLEX 1/2&quot; x 3/8" u="1"/>
        <s v="RUBBER_INSULATION, SUPERLON 1/2&quot; x 3/8" u="1"/>
        <s v="HOSE, ELECTRICAL FLEXIBLE ROLL" u="1"/>
        <s v="COMPRESSOR, TOYOTA REVO 12V DENSO" u="1"/>
        <s v="HALF_UNION,  1/2" u="1"/>
        <s v="COMPRESSOR, MITSUBISHI MIRAGE" u="1"/>
        <s v="PULLEY_ASSEMBLY, HYUNDAI STAREX 7PK" u="1"/>
        <s v="MAGNETIC_CLUTCH,  HALLA" u="1"/>
        <s v="ROD, THREADED  3/8 X3M" u="1"/>
        <s v="COMPRESSOR, NISSAN ESTATE 3.0 2008 VALEO" u="1"/>
        <s v="HOSE, HCRGSEN GAUGE 1M PIECE" u="1"/>
        <s v="PULLEY_ASSEMBLY, HONDA CIVIC TRS 4PK" u="1"/>
        <s v="CONDENSER, MITSUBISHI LANCER 2010" u="1"/>
        <s v="RUBBER_INSULATION, WINCELL 3/8&quot; x 0.25" u="1"/>
        <s v="ELECTRICAL WIRE_STRANDED, PHILFLEX THNN STRANDED   125.0MM2, MTR" u="1"/>
        <s v="FITTINGS, STRAIGHT R12 WITH VALVE 5/8" u="1"/>
        <s v="AUXFAN_MOTOR, TOYOTA ALTIS" u="1"/>
        <s v="EXP. VALVE LT, IKON 15M535 MIRAGE" u="1"/>
        <s v="COMPRESSOR, FORD ESCAPE 2.3 REP. ORIGINAL" u="1"/>
        <s v="COMPRESSOR, HYUNDAI VELOSTER 6PK ORIGINAL" u="1"/>
        <s v="HOSE, KENDA 1/2 DISCHARGE x 1 FT" u="1"/>
        <s v="CONDENSER, HYUNDAI STAREX SUB 340*400" u="1"/>
        <s v="BLOWER_MOTOR, NISSAN NAVARRA 2007" u="1"/>
        <s v="COMPRESSOR, MITSUBISHI PAJERO 2000 2.8 DENSO ORIGINAL" u="1"/>
        <s v="EXP. VALVE LT, MERCEDEZ 140830 0484" u="1"/>
        <s v="COMPRESSOR, MITSUBISHI ADVENTURE GAS" u="1"/>
        <s v="PULLEY_ASSEMBLY, FORD FUSION" u="1"/>
        <s v="EXPANSION_VALVE, DENSO MIT447500-2370, INNOVA (F)" u="1"/>
        <s v="COMPRESSOR, MITSUBISHI PAJERO FIELD MASTER 15V DENSO" u="1"/>
        <s v="GAUGE,  HI 500PSI" u="1"/>
        <s v="BRACKET ,  1HP, STAINLESS WALL MOUNTED" u="1"/>
        <s v="MANIFOLD_GAUGE, HEAVY DUTY  R143A/R22" u="1"/>
        <s v="EXPANSION_VALVE, HUYNDAI FI08KPIAA  (ACCENT)" u="1"/>
        <s v="COPPER_TUBE_HARD_DRAWN_TYPE_L, EVERSTRONG 1 1/8&quot; X 20 FT" u="1"/>
        <s v="COPPER_TUBE_HARD_DRAWN_TYPE_L, EVERSTRONG 1 5/8&quot; X 20 FT" u="1"/>
        <s v="COPPER_TUBE_HARD_DRAWN_TYPE_M, EVERSTRONG 1 1/8&quot; X 20 FT" u="1"/>
        <s v="COMPRESSOR, TOYOTA ALTIS 03 1.6 SANDEN" u="1"/>
        <s v="MANIFOLD_GAUGE, BRASS SET CT-536G (R22,R134A,R410A)" u="1"/>
        <s v="AUXFAN_MOTOR, HONDA CITY 2016" u="1"/>
        <s v="RUBBER_INSULATION, INSUFLEX 3/4&quot; x  5/8" u="1"/>
        <s v="RUBBER_INSULATION, ARMAFLEX 1/2&quot; x 1" u="1"/>
        <s v="GI WIRE,  #16" u="1"/>
        <s v="RELAY, REF PTC 4 PINS" u="1"/>
        <s v="PIPE CLAMP , DOUBLE HOLE 1" u="1"/>
        <s v="REFRIGERANT, MAXX R134A , 13.6 KGS 100622" u="1"/>
        <s v="RUBBER_INSULATION, DURKFLEX  1/2&quot; x 1/2" u="1"/>
        <s v="PIPE CLAMP , DOUBLE HOLE 2" u="1"/>
        <s v="RESISTOR_BLOCK, TOYOTA 7510" u="1"/>
        <s v="REF_DRIER, OMNI FLARE TYPE 55H" u="1"/>
        <s v="CABIN_FILTER, MITSUBISHI PAJERO" u="1"/>
        <s v="COMPRESSOR, NISSAN  SAFARI 1995" u="1"/>
        <s v="SHAFT_SEAL,  CIVIC" u="1"/>
        <s v="GAUGE, BOX R22, R12 HI WITH HANDLE" u="1"/>
        <s v="CAPACITOR_DOUBLE, PS CBB65 40 + 2 UF" u="1"/>
        <s v="BEARING, NSK 508" u="1"/>
        <s v="MANIFOLD_GAUGE, BRASS SET CT-536G (R22,R134A)" u="1"/>
        <s v="FITTINGS, COPPER COUPLING 3/4" u="1"/>
        <s v="HUB, DENSO " u="1"/>
        <s v="MAGNETIC_CLUTCH, HONDA CRV2008" u="1"/>
        <s v="SHAFT_SEAL, HALLA " u="1"/>
        <s v="PULLEY, TOYOTA AVANZA 4PK" u="1"/>
        <s v="EVAPORATOR, CHEVROLET CAPTIVA" u="1"/>
        <s v="COMPRESSOR, NEK 709  12V 2PK (8024)" u="1"/>
        <s v="RUBBER_INSULATION, DURKFLEX  1/2&quot; x 1/4" u="1"/>
        <s v="RUBBER_INSULATION, DURKFLEX  1/2&quot; x 3/4" u="1"/>
        <s v="EXPANSION_VALVE, BOER NV350" u="1"/>
        <s v="FITTINGS, COPPER COUPLING 1 1/8" u="1"/>
        <s v="COMPRESSOR, NISSAN URVAN" u="1"/>
        <s v="MAGNETIC_CLUTCH, MITSUBISHI L300" u="1"/>
        <s v="EVAPORATOR, HYUNDAI STAREX 95 (LT)" u="1"/>
        <s v="RECEIVER_DRIER_ALUMINUM, YK 8106 (CROSSWIND/PAJERO)" u="1"/>
        <s v="RESISTOR_BLOCK, HYUNDAI ACCENT 2013" u="1"/>
        <s v="EXPANSION_VALVE, FUJIKOKI 15QEX-3 7F15, ADVENTURE " u="1"/>
        <s v="EXPANSION_VALVE, HYUNDAI STAREX" u="1"/>
        <s v="EXP. VALVE DC, HONDA ORING TYPE 3/8" u="1"/>
        <s v="AUXFAN_MOTOR, HYUNDAI STAREX" u="1"/>
        <s v="EVAPORATOR, SUZUKI SWIFT 2012" u="1"/>
        <s v="CAPILLARY TUBE,  1.6MMX0.5MM" u="1"/>
        <s v="REFRIGERANT MAXX R410A, 11.3 KGS" u="1"/>
        <s v="EVAPORATOR, FORD RANGER 2012" u="1"/>
        <s v="RESISTOR_BLOCK, MITSUBISHI MONTERO 2008" u="1"/>
        <s v="PULLEY_ASSEMBLY, HONDA CITY 2003" u="1"/>
        <s v="COMPRESSOR, SANDEN TRS 3085" u="1"/>
        <s v="EXP. VALVE LT, MITSUBISHI LTY 068 1560 MONTERO " u="1"/>
        <s v="COMPRESSOR, KIA SPORTAGE" u="1"/>
        <s v="PULLEY_ASSEMBLY, HONDA MOBILIO" u="1"/>
        <s v="AC FILTER DRIER , GENESSO 3/8  FLARE TYPE 163S " u="1"/>
        <s v="CONDENSER, NISSAN ALMERA SENTRA 95" u="1"/>
        <s v="PULLEY, TOYOTA VIOS SUPERMAN" u="1"/>
        <s v="COPPER_TUBE_SOFTDRAWN, EVERSTRONG 0.032 X 7/8 15 mtr" u="1"/>
        <s v="AUXFAN_MOTOR, HONDA JAZZ " u="1"/>
        <s v="RECEIVER_DRIER_ALUMINUM, YK RANGER" u="1"/>
        <s v="OVERLOAD, AC 1/2 HP" u="1"/>
        <s v="RUBBER_INSULATION, DURKFLEX  1/2&quot; x 3/8" u="1"/>
        <s v="ECV, TOYOTA VIOS SUPERMAN, 8-4A" u="1"/>
        <s v="MANIFOLD_GAUGE, HEAVY DUTY  R134A/R32" u="1"/>
        <s v="RUBBER_INSULATION, DURKFLEX  1/2&quot; x 5/8" u="1"/>
        <s v="HOSE, ELECTRICAL FLEXIBLE ROLL 3/4 100M" u="1"/>
        <s v="SILICA_GEL, DENSO SILICA GEL LONG" u="1"/>
        <s v="RUBBER_INSULATION, DURKFLEX  1/2&quot; x 7/8" u="1"/>
        <s v="CONDENSER, SUZUKI SWIFT 2012" u="1"/>
        <s v="COMPRESSOR, MITSUBISHI L300 " u="1"/>
        <s v="EVAPORATOR, ISUZU D-MAX 2008" u="1"/>
        <s v="REFRIGERANT, SOLFRON 410a, 11.3 KGS 092323" u="1"/>
        <s v="EVAPORATOR, SUZUKI SWIFT 2010" u="1"/>
        <s v="EXPANSION VALVE  FUJIKOKI 7F15 ADVENTURE" u="1"/>
        <s v="EXPANSION_VALVE, FUJIKOKI 7F15 ADVENTURE" u="1"/>
        <s v="HUB, HYUNDAI STAREX" u="1"/>
        <s v="PULLY_ASSEMBLY, TOYOTA HI-ACE " u="1"/>
        <s v="COMPRESSOR, TOYOTA REVO GAS VT 1999" u="1"/>
        <s v="BEARING, NSK 507 206" u="1"/>
        <s v="RECEIVER_DRIER_ALUMINUM, FORD ESCAPE" u="1"/>
        <s v="AUXFAN_MOTOR, TOYOTA VIOS ROBIN" u="1"/>
        <s v="CONDENSER, TOYOTA INNOVA DSL 2015 SANDEN (CENTRAL)" u="1"/>
        <s v="CONDENSER, UNIVERSAL REF # 15" u="1"/>
        <s v="COMPRESSOR, ISUZU  TROOPER 98 ZEXEL REP" u="1"/>
        <s v="EVAPORATOR, HONDA CITY 2003" u="1"/>
        <s v="ACTUATOR IDLE-UP,  L300/ G STAREX" u="1"/>
        <s v="RECEIVER_DRIER_ALUMINUM, YK 40 X 290" u="1"/>
        <s v="EVAPORATOR, KIA PICANTO 2004" u="1"/>
        <s v="PULLEY, MITSUBISHI PAJERO" u="1"/>
        <s v="BLOWER_MOTOR, TOYOTA INNOVA NEW " u="1"/>
        <s v="RECEIVER_DRIER_ALUMINUM, YK 8227 A (Montero)" u="1"/>
        <s v="SHAFT_SEAL  SET, SANDEN 507-2 R-12" u="1"/>
        <s v="RESISTOR_BLOCK, TOYOTA VIOS SUPERMAN" u="1"/>
        <s v="MANIFOLD_GAUGE, HEAVY DUTY R410A/R22" u="1"/>
        <s v="MANIFOLD_GAUGE, HEAVY DUTY, NEK R134A/R33 WITH CASE" u="1"/>
        <s v="EVAPORATOR, NISSAN EXALTA/ GRANDURE" u="1"/>
        <s v="COMPRESSOR, KIA I10 HALLA" u="1"/>
        <s v="LUBRICANT EMKARATE RL 68H, 1 LITER" u="1"/>
        <s v="AUXFAN_MOTOR, TOYOTA COROLLA (1502)" u="1"/>
        <s v="      " u="1"/>
        <s v="CABIN_FILTER, HONDA CIVIC 2016" u="1"/>
        <s v="RECEIVER_DRIER_ALUMINUM, YK 8739 (L) (URVAN)" u="1"/>
        <s v="PULLEY, TOYOTA AVANZA 6PK" u="1"/>
        <s v="EXPANSION VALVE IKON JAPAN/BOER SINGLE CAP" u="1"/>
        <s v="MAGNETIC_CLUTCH, DENSO 508" u="1"/>
        <s v="COMPRESSOR, HONDA CRV 03  2.0/2.4 KEIHIN" u="1"/>
        <s v="REFRIGERANT, SUB ZERO R404A, 11.3 KGS" u="1"/>
        <s v="EXP. VALVE DC, MITSUBISHI FLARE TYPE 3/8" u="1"/>
        <s v="EVAPORATOR, MITSUBISHI EXPANDER" u="1"/>
        <s v="ELECTRICAL WIRE_STRANDED, PHILFLEX THNN STRANDED   14.0MM2, MTR" u="1"/>
        <s v="ELECTRICAL WIRE_STRANDED, PHILFLEX THNN STRANDED   22.0MM2, MTR" u="1"/>
        <s v="ELECTRICAL WIRE_STRANDED, PHILFLEX THNN STRANDED   38.0MM2, MTR" u="1"/>
        <s v="ELECTRICAL WIRE_STRANDED, PHILFLEX THNN STRANDED   80.0MM2, MTR" u="1"/>
        <s v="EXP. VALVE LT, MAZDA POKKA 9A214 MAZDA 3" u="1"/>
        <s v="O_RING COMPRESSOR, HALA HALA" u="1"/>
        <s v="EXP. VALVE LT, MITSUBISHI POKKA 9B246 MIRAGE, SWIFT, STRADA, CRV" u="1"/>
        <s v="COMPRESSOR, TOYOTA AVANZA OLD" u="1"/>
        <s v="PULLeY_ASSEMBLY, TOYOTA INNOVA 2008" u="1"/>
        <s v="REFRIGERANT, SOLFRON R404A, 11.3 KGS" u="1"/>
        <s v="RESISTOR_BLOCK, HONDA CRV2008" u="1"/>
        <s v="RUBBER_INSULATION, WINCELL 1&quot; x 1/2" u="1"/>
        <s v="TAPE (FOAM) AEROTAPE 3MM X 50 MM X 9.1 MTR" u="1"/>
        <s v="COMPRESSOR, TOYOTA COROLLA SANDEN 98 TRS090" u="1"/>
        <s v="EXPANSION_VALVE, SINGLE CAPILLARY OVERSIZE" u="1"/>
        <s v="COMPRESSOR, MITSUBISHI MIRAGE 2016 ORIGINAL" u="1"/>
        <s v="CAPACITOR DOUBLE PS CBB65 40 + 7 UF" u="1"/>
        <s v="RECEIVER_DRIER_ALUMINUM, YK ESCAPE" u="1"/>
        <s v="RESISTOR_BLOCK, NISSAN NAVARRA 7566" u="1"/>
        <s v="TUBE,  ALUMINUM 3/8 PER FEET" u="1"/>
        <s v="TUBE,  ALUMINUM 5/8 PER FEET" u="1"/>
        <s v="REFRIGERANT, EUFRON 407C, 11.3 KGS" u="1"/>
        <s v="ELECTRONIC , ES-100 RV WEIGHING SCALE " u="1"/>
        <s v="EXP. VALVE LT, MITSUBISHI FUJIKOKI 7F15 ADVENTURE [B-38221]" u="1"/>
        <s v="CONDENSER, HONDA MOBILIO CENTRAL" u="1"/>
        <s v="EXP. VALVE LT, HONDA DENSO 9052 PAJERO, R134A [B-38204]" u="1"/>
        <s v="EXP. VALVE CAP, DOUBLE ORING TYPE 5/8 (HONDA)" u="1"/>
        <s v="EVAPORATOR, TOYOTA ALTIS 03 (F) _ IBX" u="1"/>
        <s v="COMPRESSOR, NISSAN TERRANO" u="1"/>
        <s v="COMPRESSOR, TOYOTA COROLLA SANDEN 95" u="1"/>
        <s v="COMPRESSOR, HYUNDAI STAREX" u="1"/>
        <s v="MANIFOLD_GAUGE, HEAVY DUTY  R143A/R32" u="1"/>
        <s v="EXPANSION_VALVE, DOUBLE CAPILLARY ORING TYPE 1/2 (ADVENTURE)" u="1"/>
        <s v="AC FILTER DRIER , GENESSO 5/8 FLARE TYPE 165S" u="1"/>
        <s v="BEARING, NSK TRS" u="1"/>
        <s v="MAGNETIC_CLUTCH, HYUNDAI GETZ" u="1"/>
        <s v="HALOGEN LEAK DETECTOR, ELITECH " u="1"/>
        <s v="FITTINGS, ELBOW R12  WITH VALVE 3/4" u="1"/>
        <s v="FITTINGS, COPPER TEE 5/8" u="1"/>
        <s v="EVAPORATOR, UNIVERSAL 0410 FLARE TYPE)" u="1"/>
        <s v="RUBBER_INSULATION, DURKFLEX  3/4&quot; x 1/2" u="1"/>
        <s v="BOLT, DYNABOLT 3/8&quot;" u="1"/>
        <s v="COMPRESSOR, CHEVROLET/ DELPHI CRUZE 08 1.8 ORIGINAL" u="1"/>
        <s v="DRILL BIT, MASONRY 10MM" u="1"/>
        <s v="COMPRESSOR, TOYOTA REVO DSL VT 2002" u="1"/>
        <s v="COMPRESSOR, KIA RIO 2010" u="1"/>
        <s v="ROD,  THREADED ROD 10MM 10FT" u="1"/>
        <s v="EXPANSION_VALVE, POKKA 9A58 R-12" u="1"/>
        <s v="GRIP ANCHOR,  " u="1"/>
        <s v="RECEIVER_DRIER_ALUMINUM, YK 8016 (MAZDA 323)" u="1"/>
        <s v="CONDENSER, UNIVERSAL REF # 23" u="1"/>
        <s v="THERMOSTAT SAGINOMIYA AIRCON 610G" u="1"/>
        <s v="COMPRESSOR, NEK 508 12V VT (6626)" u="1"/>
        <s v="ACTUATOR IDLE-UP,  PULL TYPE" u="1"/>
        <s v="EXPANSION_VALVE, IKON JAPAN/BOER SINGLE CAP" u="1"/>
        <s v="SHAFT_SEAL  SET, SANDEN 508-2 R-12" u="1"/>
        <s v="ELECTRICAL CIRCUIT_BREAKER, KOTEN 30" u="1"/>
        <s v="EXP. VALVE SC,  FX" u="1"/>
        <s v="CONDENSER, MITSUBISHI ADVENTURE" u="1"/>
        <s v="RUBBER_INSULATION, DURKFLEX  3/4&quot; x 1/4" u="1"/>
        <s v="RUBBER_INSULATION, DURKFLEX  3/4&quot; x 3/4" u="1"/>
        <s v="EVAPORATOR, HYUNDAI GRAND I10" u="1"/>
        <s v="RECEIVER_DRIER_ALUMINUM, YK 8047" u="1"/>
        <s v="MANIFOLD_GAUGE, HEAVY DUTY GUAGE R410" u="1"/>
        <s v="SYSTEM CLEANER XUE HUANG 450 ML" u="1"/>
        <s v="SYSTEM_CLEANER, XUE HUANG BLUE 141B 450 ML" u="1"/>
        <s v="CONDENSER, SUZUKI CELERIO 2016" u="1"/>
        <s v="COMPRESSOR, FORD ECOSPORT 2014 1.6  HALLA" u="1"/>
        <s v="EXPANSION_VALVE, POKKA 9A214 (MAZDA 3)" u="1"/>
        <s v="MAGNETIC_CLUTCH, TOYOTA VIOS ROBIN" u="1"/>
        <s v="SYSTEM_CLEANER, NEK 141B 450 ML" u="1"/>
        <s v="MAGNETIC_CLUTCH, TOYOTA VIOS 14" u="1"/>
        <s v="CONDENSER, NISSAN NV350" u="1"/>
        <s v="FITTINGS, ELBOW 134A  WITH VALVE 3/8" u="1"/>
        <s v="EXP. VALVE LT, TOYOTA DENSO 2370 INNOVA (F), CIVIC, CRV, VIOS 14 [B-38228]" u="1"/>
        <s v="ECV, HYUNDAI SANTA FE 8-39k" u="1"/>
        <s v="PULLEY_ASSEMBLY, TOYOTA AVANZA OLD" u="1"/>
        <s v="EXP. VALVE LT, DENSO 9052 PAJERO, R134A [B-38204]" u="1"/>
        <s v="PULLEY, FORD ESCAPE" u="1"/>
        <s v="EVAPORATOR, CHEVROLET SPARK" u="1"/>
        <s v="AUXFAN_MOTOR, SUZUKI ERTIGA" u="1"/>
        <s v="EXPANSION_VALVE, POKKA 9A60 (EXTRAIL" u="1"/>
        <s v="PASTE_FLUX, NEK ALUMINUM " u="1"/>
        <s v="RECEIVER_DRIER_ALUMINUM, YK 8019 (CIVIC 134A)" u="1"/>
        <s v="CUTTING DISC,  PANGBATO" u="1"/>
        <s v="CONDENSER, MITSUBISHI L300" u="1"/>
        <s v="CONDENSER, CHEVROLET CAPTIVA" u="1"/>
        <s v="EVAPORATOR, TOYOTA INNOVA NEW (R) _IBX" u="1"/>
        <s v="ELECTRICAL WIRE_STRANDED, PHILFLEX THNN STRANDED   #12, ROLL" u="1"/>
        <s v="EXPANSION_VALVE, DENSO 1610" u="1"/>
        <s v="EXP. VALVE LT, BOER 38207 ESCAPE, EXALTA, PATROL [F-7F19]" u="1"/>
        <s v="CONDENSER, UNIVERSAL REF # 21" u="1"/>
        <s v="FITTINGS,  LOW SIDE VALVE" u="1"/>
        <s v="EXP. VALVE LT, POKKA 9A55 NEW HONDA" u="1"/>
        <s v="RUBBER_INSULATION, ARMAFLEX  1 1/2&quot; x 2 1/8" u="1"/>
        <s v="RUBBER_INSULATION, ARMAFLEX  1 1/4&quot; x 2 1/8" u="1"/>
        <s v="HOSE CUTTER,  " u="1"/>
        <s v="EVAPORATOR, TOYOTA VIOS SUPERMAN" u="1"/>
        <s v="TUBE BENDER,  TUBE BENDER SET" u="1"/>
        <s v="EVAPORATOR, UNIVERSAL FORMULA 408 LAMINATED 24V" u="1"/>
        <s v="PVC, TEE 3/4" u="1"/>
        <s v="AUXFAN_MOTOR, TOYOTA VIOS BATMAN" u="1"/>
        <s v="AUXFAN_MOTOR, HONDA CITY 2003 (5681)" u="1"/>
        <s v="COMPRESSOR, SUZUKI ERTIGA" u="1"/>
        <s v="RUBBER_INSULATION, COBINFLEX 3/4&quot; X 3/8" u="1"/>
        <s v="RUBBER_INSULATION, DURKFLEX  3/4&quot; x 3/8" u="1"/>
        <s v="COMPRESSOR, FORD FOCUS 2.0 08 HALLA BN COPY" u="1"/>
        <s v="CAPACITOR_FAN, PS CBB61 1.2 UF" u="1"/>
        <s v="RUBBER_INSULATION, DURKFLEX  3/4&quot; x 5/8" u="1"/>
        <s v="EVAPORATOR, ISUZU ALTERA / D-MAX 2008" u="1"/>
        <s v="CIRCUIT_BREAKER, KOTEN 20" u="1"/>
        <s v="EXP. VALVE LT, TOYOTA POKKA 9A56 INNOVA F" u="1"/>
        <s v="RUBBER_INSULATION, DURKFLEX  3/4&quot; x 1.25" u="1"/>
        <s v="FITTINGS, STRAIGHT 134A WITH VALVE 3/4" u="1"/>
        <s v="REFRIGERANT EUFRON R134A, 13.6 KGS" u="1"/>
        <s v="REFRIGERANT, MAXX R134A , 13.6 KGS" u="1"/>
        <s v="REFRIGERANT, SOLFRON R22, 13.6 KGS" u="1"/>
        <s v="EXPANSION_VALVE, SINGLE CAPILLARY ORING TYPE W/STEP NISSAN" u="1"/>
        <s v="BLOWER_MOTOR, NISSAN XTRAIL" u="1"/>
        <s v="PULLEY_ASSEMBLY, FORD RANGER VT" u="1"/>
        <s v="AUXFAN_MOTOR, DENSO GIGA 24V (2420)" u="1"/>
        <s v="EVAPORATOR, FORD ECOSPORT" u="1"/>
        <s v="EVAPORATOR, MITSUBISHI MIRAGE CENTRAL" u="1"/>
        <s v="EVAPORATOR, FORD EVEREST (F)" u="1"/>
        <s v="EXP. VALVE LT, TOYOTA POKKA 9A57 INNOVA R" u="1"/>
        <s v="EXPANSION_VALVE, POKKA 9A60 (EXTRAIL)" u="1"/>
        <s v="EVAPORATOR, KIA PICANTO 2008" u="1"/>
        <s v="BOARD, QUNDA UNIVERSAL DC/AC BOARD" u="1"/>
        <s v="FITTINGS, STRAIGHT 134A 3/8" u="1"/>
        <s v="SYSTEM_CLEANER, Cleanse 141B 500 ML" u="1"/>
        <s v="PULLEY, TOYOTA ALTIS" u="1"/>
        <s v="FITTINGS, ELBOW FLARE TYPE  1/2" u="1"/>
        <s v="RECEIVER_DRIER_ALUMINUM, YK 8739 (S)" u="1"/>
        <s v="TUBE_CUTTER,  CT-274, 1/8&quot; - 1 1/8&quot;" u="1"/>
        <s v="RECEIVER_DRIER_ALUMINUM, YK 8234 (CX7)" u="1"/>
        <s v="ACTUATOR IDLE-UP, DENSO  VALVE 0450" u="1"/>
        <s v="EVAPORATOR, UNIVERSAL 0410 O RING TYPE" u="1"/>
        <s v="EXPANSION_VALVE, MITSUBISHI MONTERO 2016  (8032)" u="1"/>
        <s v="FITTINGS, COPPER COUPLING 7/8" u="1"/>
        <s v="FITTINGS, ELBOW 134A 3/8" u="1"/>
        <s v="EXPANSION_VALVE, TOYOTA VIOS 2014  (1600)" u="1"/>
        <s v="EXPANSION_VALVE, HONDA CRV2008" u="1"/>
        <s v="COMPRESSOR, TOYOTA VIOS 1.3 2012 CLUTCHLESS 4PK" u="1"/>
        <s v="VACUUM_PUMP, VP180 (Single Stage, Rotary Vane) 9.0 CFM, 5 Pa, 220V, 3/4 HP" u="1"/>
        <s v="VACUUM_PUMP, VP260 (Double Stage, Rotary Vane) 7.0 CFM, 5 Pa, 220V, 3/4 HP" u="1"/>
        <s v="RUBBER_INSULATION, M-FLEX 3/8&quot; X 3/4" u="1"/>
        <s v="EXP. VALVE LT, TOYOTA DENSO 1600 VIOS, JAZZ,HILUX,FORTUNER [B-38213]" u="1"/>
        <s v="MAGNETIC_CLUTCH, TOYOTA VIOS 2008" u="1"/>
        <s v="EVAPORATOR, HYUNDAI TUCSON 2012" u="1"/>
        <s v="MAGNETIC_CLUTCH, NISSAN NAVARRA 2007" u="1"/>
        <s v="RECOVERY MACHINE, RR500 1HP" u="1"/>
        <s v="TIMER, REF 7978 4A" u="1"/>
        <s v="AUXFAN_MOTOR, TOYOTA 5530" u="1"/>
        <s v="EXPANSION_VALVE, MITSUBISHI L300" u="1"/>
        <s v="EVAPORATOR, TOYOTA VIOS BATMAN" u="1"/>
        <s v="EVAPORATOR, HYUNDAI STA FE 07 F" u="1"/>
        <s v="RUBBER_INSULATION, DURKFLEX 1/2 X 3/4" u="1"/>
        <s v="PULLEY_ASSEMBLY, TOYOTA VIOS BATMAN" u="1"/>
        <s v="MANIFOLD_GAUGE, HEAVY DUTY, NEK R134A/R32" u="1"/>
        <s v="RECEIVER_DRIER_ALUMINUM, HONDA CIVIC 2016 (8038)" u="1"/>
        <s v="RUBBER_INSULATION, AEROFLEX 1/2&quot; x 5/8" u="1"/>
        <s v="RUBBER_INSULATION, SUPERLON 1/2&quot; x 5/8" u="1"/>
        <s v="COMPRESSOR, HYUNDAI KONA 2018" u="1"/>
        <s v="BACKER ROD,  12mm x 50m" u="1"/>
        <s v="EXPANSION_VALVE, IKON JAPAN/BOER 503714-1560" u="1"/>
        <s v="EVAPORATOR, SUZUKI JIMMY" u="1"/>
        <s v="RUBBER_INSULATION, AEROFLEX 3/8&quot; x 7/8" u="1"/>
        <s v="RUBBER_INSULATION, AEROFLEX 3/4&quot; x 3/8" u="1"/>
        <s v="RUBBER_INSULATION, INSUFLEX 3/4&quot; x 3/8" u="1"/>
        <s v="RUBBER_INSULATION, SUPERLON 3/4&quot; x 3/8" u="1"/>
        <s v="EVAPORATOR, TOYOTA AVANZA NEW" u="1"/>
        <s v="RUBBER_INSULATION, WINCELL 1/2&quot; x 3/4" u="1"/>
        <s v="RUBBER_INSULATION, WINCELL 1/2&quot; x 3/8" u="1"/>
        <s v="EXPANSION_VALVE, TOYOTA VIOS 2014 1600" u="1"/>
        <s v="CONDENSER, NISSAN XTRAIL" u="1"/>
        <s v="EXP. VALVE CAP, DOUBLE ORING TYPE W/ STEP NISSAN" u="1"/>
        <s v="COMPRESSOR, MITSUBISHI L300" u="1"/>
        <s v="RUBBER_INSULATION, WINCELL 3/8 X 0.375" u="1"/>
        <s v="TAPE, STANDARD DUCT TAPE" u="1"/>
        <s v="CIRCUIT_BREAKER, KOTEN 60" u="1"/>
        <s v="RUBBER_INSULATION, WINCELL 3/4&quot; x 3/4" u="1"/>
        <s v="ELECTRONIC ,  WEIGHING SCALE" u="1"/>
        <s v="CONDENSER, ISUZU CROSSWIND SERPENTINE" u="1"/>
        <s v="RUBBER_INSULATION, WINCELL 3/4&quot; x 3/8" u="1"/>
        <s v="EVAPORATOR, ISUZU MUX/D-MAX 2013 CENTRAL" u="1"/>
        <s v="BLOWER_MOTOR, NISSAN NAVARRA 2011" u="1"/>
        <s v="ELECTRICAL CIRCUIT_BREAKER, KOTEN 15" u="1"/>
        <s v="EXP. VALVE CAP, SINGLE OVERSIZE" u="1"/>
        <s v="ACCESS VALVE CHINA WELDED TYPE " u="1"/>
        <s v="EXP. VALVE LT, MITSUBISHI IKON 1560 MONTERO, SUBARU [38225]" u="1"/>
        <s v="EXP. VALVE LT, FUJIKOKI 6E19 XTRAIL CELERIO, TRAILBLAZER" u="1"/>
        <s v="EXP. VALVE CAP, DOUBLE ORING TYPE 1/2 (ADVENTURE)" u="1"/>
        <s v="EVAPORATOR, KIA K2 700" u="1"/>
        <s v="COMPRESSOR, NISSAN  NISSAN STATE 3.0 2008 VALEO" u="1"/>
        <s v="CAPACITOR_FAN,  CBB65 1.5 UF" u="1"/>
        <s v="COMPRESSOR, FOTON TRAVELER" u="1"/>
        <s v="AUXFAN_MOTOR, MITSUBISHI MONTERO NEW" u="1"/>
        <s v="PULLeY, NISSAN URVAN" u="1"/>
        <s v="BRACKET  CHINA 1HP" u="1"/>
        <s v="HOSE, KOREA GAUGE 2M PIECE" u="1"/>
        <s v="COMPRESSOR, NISSAN XTRAIL" u="1"/>
        <s v="ECV, HYUNDAI ELA NTRA/ CARENS/SONATA 8-39 K5" u="1"/>
        <s v="RECEIVER_DRIER_ALUMINUM, YK 9091 (Starex)" u="1"/>
        <s v="AUXFAN_MOTOR, HONDA VTEC (3256)" u="1"/>
        <s v="FITTINGS, COUPLING REDUCER  1/2 X 5/8" u="1"/>
        <s v="MAGNETIC_CLUTCH, DENSO 10PA 12V" u="1"/>
        <s v="RUBBER_INSULATION, COBINFLEX 1/2 X 1/4" u="1"/>
        <s v="EVAPORATOR, HYUNDAI ACCENT 2008" u="1"/>
        <s v="EXP. VALVE LT, BOER CHEVROLET TRAILBLAZER  REAR" u="1"/>
        <s v="EVAPORATOR, SUZUKI ERTIGA 19 CENTRAL" u="1"/>
        <s v="EVAPORATOR, TOYOTA VIOS ROBIN" u="1"/>
        <s v="PULLEY, TOYOTA HI-ACE" u="1"/>
        <s v="PLIERS,  CT-201" u="1"/>
        <s v="SHAFT_SEAL, DENSO DENSO SMALL" u="1"/>
        <s v="RECEIVER_DRIER_ALUMINUM, YK 8117 (TUCSON)" u="1"/>
        <s v="EXP. VALVE LT, DENSO 1600 VIOS, JAZZ,HILUX,FORTUNER [B-38213]" u="1"/>
        <s v="COMPRESSOR, NISSAN SENTRA EX 2008 GTA" u="1"/>
        <s v="BRACKET , GB 2HP" u="1"/>
        <s v="ELECTRONIC , NEK WEIGHING SCALE (BLUE)" u="1"/>
        <s v="CAPACITOR_FAN,  CBB65 2.5 UF" u="1"/>
        <s v="EVAPORATOR, MAZDA 3 MAZDA LAMINATED" u="1"/>
        <s v="EXPANSION_VALVE, DOUBLE CAPILLARY FLARE TYPE 3/8" u="1"/>
        <s v="EXPANSION_VALVE, SINGLE CAPILLARY FLARE TYPE 3/8" u="1"/>
        <s v="EXPANSION_VALVE, SINGLE CAPILLARY ORING TYPE 3/8" u="1"/>
        <s v="RESISTOR_BLOCK, TOYOTA VIOS ROBIN" u="1"/>
        <s v="PULLEY_ASSEMBLY, MITSUBISHI MONTERO 3.2" u="1"/>
        <s v="CONDENSER, HYUNDAI ACCENT 2008" u="1"/>
        <s v="EVAPORATOR (COOLING COIL) TOYOTA INNOVA 2008 (F)" u="1"/>
        <s v="COMPRESSOR, HONDA ACCORD 1995" u="1"/>
        <s v="EVAPORATOR, TOYOTA REVO" u="1"/>
        <s v="ECV, TOYOTA VIOS" u="1"/>
        <s v="EVAPORATOR, TOYOTA COROLLA BIG BODY" u="1"/>
        <s v="FLARING_TOOL , ECCENTRIC FT-808, 1/4&quot; - 3/4&quot;" u="1"/>
        <s v="EVAPORATOR, TOYOTA WIGO 16-21" u="1"/>
        <s v="ELECTRICAL CIRCUIT_BREAKER, HIMEL 125 AMP, 3P" u="1"/>
        <s v="RESISTOR_BLOCK, HONDA JAZZ" u="1"/>
        <s v="EXPANSION_VALVE, NISSAN XTRAIL" u="1"/>
        <s v="TUBE EXPANDER,  " u="1"/>
        <s v="PULLY_ASSEMBLY, TOYOTA VIOS ROBIN" u="1"/>
        <s v="PULLEY_ASSEMBLY, MITSUBISHI MIRAGE 2013" u="1"/>
        <s v="RUBBER_INSULATION, GULF-O-FLEX 3/4 x 1/2" u="1"/>
        <s v="EXPANSION_VALVE, DENSO 10143 #100" u="1"/>
        <s v="PULLEY_ASSEMBLY, HONDA CIVC TRS 6PK" u="1"/>
        <s v="COMPRESSOR, FORD FOCUS" u="1"/>
        <s v="COMPRESSOR, CHEVROLET TRAILBLAZER 6PK ORIGINAL" u="1"/>
        <s v="SHAFT_SEAL, DENSO DENSO BIG" u="1"/>
        <s v="PULLEY, HONDA CIVIC 3410 1.8" u="1"/>
        <s v="CONDENSER, ISUZU  MUX/DMAX 2013" u="1"/>
        <s v="ROD, HARRIS BRONZE" u="1"/>
        <s v="PULLEY, MITSUBISHI MIRAGE" u="1"/>
        <s v="COMPRESSOR, HYUNDAI STA FE/TUCSON 2.4 10 6PK ORIG" u="1"/>
        <s v="HOSE, KOREA GAUGE 1M" u="1"/>
        <s v="AUXFAN_MOTOR, HONDA VTEC" u="1"/>
        <s v="RUBBER_INSULATION, TRANSFLEX 1/2 x  1/4" u="1"/>
        <s v="RUBBER_INSULATION, GULF-O-FLEX 3/4&quot;x 3/8" u="1"/>
        <s v="BRACKET , GB 1HP" u="1"/>
        <s v="ELECTRONIC ,  WEIGHING SCALE HEAVY DUTY (BLK)" u="1"/>
        <s v="ORIFICE , 134A " u="1"/>
        <s v="EVAPORATOR, HYUNDAI SONATA " u="1"/>
        <s v="CONCRETE EPOXY, PIONEER " u="1"/>
        <s v="PRESSURE_SWITCH, MAZDA 2 PINS" u="1"/>
        <s v="CONDENSER, UNIVERSAL 14X23X44" u="1"/>
        <s v="BLOWER_MOTOR, TOYOTA VIOS 2008" u="1"/>
        <s v="LUBRICANT, SUNISO 1 GAL REFRIGERATION OIL" u="1"/>
        <s v="MANIFOLD_GAUGE, HD DIGITAL TESTER" u="1"/>
        <s v="HOSE, CHINA GAUGE 2M" u="1"/>
        <s v="HOSE, KOREA GAUGE 2M" u="1"/>
        <s v="O_RING COMPRESSOR, DENSO " u="1"/>
        <s v="PULLEY, TOYOTA REVO SANDEN" u="1"/>
        <s v="THERMOSTAT SAGINOMIYA AIRCON 610A" u="1"/>
        <s v="DELIVERY CHARGE" u="1"/>
        <s v="TUBE BENDER,  .7/8" u="1"/>
        <s v="MANIFOLD_GAUGE, HEAVY DUTY R410A/R32" u="1"/>
        <s v="ELECTRICAL WIRE_FLAT CORD, POWERFLEX THNN STRANDED   #16, ROLL" u="1"/>
        <s v="EVAPORATOR, TOYOTA VIOS 2008  (BATMAN)_ IBX" u="1"/>
        <s v="ELECTRICAL WIRE_FLAT CORD, POWERFLEX THNN STRANDED   #18, ROLL" u="1"/>
        <s v="PULLEY_ASSEMBLY, HONDA CRV 2.4" u="1"/>
        <s v="HOSE, KENDA 3/8 HOTLINE x 1 FT" u="1"/>
        <s v="BEARING, NSK 508  211" u="1"/>
        <s v="AUXFAN_MOTOR, MITSUBISHI L300 ASSEMBLY" u="1"/>
        <s v="CAPACITOR_FAN, PS CBB61 7 UF" u="1"/>
        <s v="EXPANSION_VALVE, POKKA 9A131  (VIOS)" u="1"/>
        <s v="AUXFAN_MOTOR, MITSUBISHI MIRAGE" u="1"/>
        <s v="COMPRESSOR, TOYOTA VIOS ROBIN 2004" u="1"/>
        <s v="EXP. VALVE LT, TOYOTA POKKA 9A131 VIOS" u="1"/>
        <s v="COMPRESSOR, NISSAN CALIBRE 7PK" u="1"/>
        <s v="COMPRESSOR, SUZUKI SWIFT 2010" u="1"/>
        <s v="RESISTOR_BLOCK, UNIVERSAL W/ WIRE WHITE" u="1"/>
        <s v="RUBBER_INSULATION, GULF-O-FLEX 3/4&quot;x 5/8" u="1"/>
        <s v="GAUGE, LO 250PSI " u="1"/>
        <s v="AUXFAN_MOTOR, TOYOTA AVANZA 2014" u="1"/>
        <s v="ACCESS_VALVE,  VALVE CORE 134A" u="1"/>
        <s v="FITTINGS, BRASS FLARE NUT 5/16" u="1"/>
        <s v="COMPRESSOR, MITSUBISHI MIRAGE 2016" u="1"/>
        <s v="COMPRESSOR, HONDA CIVIC 1998 1.6 SANDEN" u="1"/>
        <s v="FITTINGS, COPPER ELBOW 1/2  45 DEGREES" u="1"/>
        <s v="EVAPORATOR, MITSUBISHI ADVENTURE CENTRAL" u="1"/>
        <s v="PULLEY, HONDA CIVIC TRS 6PK" u="1"/>
        <s v="PRESSURE_SWITCH, MAZDA 4 PINS" u="1"/>
        <s v="COMPRESSOR, TOYOTA INNOVA 2017 7PK  SANDEN" u="1"/>
        <s v="MAGNETIC_CLUTCH,  TRS" u="1"/>
        <s v="COMPRESSOR, TOYOTA VIOS SUPERMAN 2014" u="1"/>
        <s v="EVAPORATOR, CHEVROLET SPIN " u="1"/>
        <s v="RUBBER_INSULATION, M-FLEX 3/4&quot; 1 1/8" u="1"/>
        <s v="HUB, TOYOTA Vios 17" u="1"/>
        <s v="AUXFAN_MOTOR, HONDA CIVIC 8671" u="1"/>
        <s v="RUBBER_INSULATION, INSUFLEX 1&quot; x 3/8" u="1"/>
        <s v="PULLY, NISSAN URVAN" u="1"/>
        <s v="EXP. VALVE LT, HYUNDAI POKKA 9A133 G-STAREX" u="1"/>
        <s v="MAPP GAS BLAZE TORCH GAS" u="1"/>
        <s v="EXPANSION_VALVE, DENSO MIT447500-2370, INNOVA (F), CIVIC, CRV, VIOS 14" u="1"/>
        <s v="ANALOG MULTI TESTER, SANWA YX360TRF" u="1"/>
        <s v="COMPRESSOR, KIA SPORTAGE 2000" u="1"/>
        <s v="HOSE,  FLEXIBLE ROLL" u="1"/>
        <s v="COMPRESSOR, HYUNDAI H100" u="1"/>
        <s v="CAPACITOR_FAN, PS CBB61 1.5 UF" u="1"/>
        <s v="BLOWER_MOTOR, ISUZU 24V, 4 HOLES" u="1"/>
        <s v="EXP. VALVE LT,  FI08KPIAA ACCENT" u="1"/>
        <s v="EXPANSION_VALVE,  MITSUBISHI PAJERO" u="1"/>
        <s v="HALF_UNION,  5/8" u="1"/>
        <s v="RUBBER INSULATION DURKFLEX 5/8 X 1/2" u="1"/>
        <s v="EXPANSION_VALVE, MITSUBISHI LANCER 2010" u="1"/>
        <s v="RECEIVER_DRIER_STEEL , MAXX 880048 (H100)" u="1"/>
        <s v="SYSTEM_CLEANER, XUE HUANG 450 ML" u="1"/>
        <s v="PVC, COUPLING 3/4" u="1"/>
        <s v="HOSE, HONGSEN GAUGE 410A 1M" u="1"/>
        <s v="PULLEY_ASSEMBLY, TOYOTA INNOVA DENSO" u="1"/>
        <s v="AC FILTER DRIER , GENESSO 3/8  FLARE TYPE 163 S" u="1"/>
        <s v="RUBBER_INSULATION, M-FLEX 1&quot; x  1/4" u="1"/>
        <s v="RUBBER_INSULATION, INSUFLEX 1&quot; x 5/8" u="1"/>
        <s v="MANIFOLD_GAUGE, HD DIGITAL MANIFOLD  WK-6889" u="1"/>
        <s v="CABIN_FILTER, CHEVROLET CAPTIVA" u="1"/>
        <s v="MAGNETIC_CLUTCH, NISSAN NV350" u="1"/>
        <s v="PRESSURE_SWITCH, DENSO LANCER SMALL" u="1"/>
        <s v="SYSTEM_CLEANER, EXTRA CLEAN COOL 141B 500 ML" u="1"/>
        <s v="TAPE_FOAM, CROCO Polythelene Tape (White)X 4&quot;" u="1"/>
        <s v="COMPRESSOR, MITSUBISHI MONTERO 2011 DKS17D ZEXEL" u="1"/>
        <s v="MAGNETIC_CLUTCH, DENSO 24 V" u="1"/>
        <s v="CONDENSER, MITSUBISHI LANCER 1997" u="1"/>
        <s v="COMPRESSOR, KIA KC2700 2.7 HALLA" u="1"/>
        <s v="MAGNETIC_CLUTCH, DENSO 12 V" u="1"/>
        <s v="AC FILTER DRIER , GENESSO 5/8 FLARE TYPE 165FT" u="1"/>
        <s v="PULLEY_ASSEMBLY, ISUZU MUX/DMAX 2013" u="1"/>
        <s v="TIMER,  SUPCO" u="1"/>
        <s v="RUBBER_INSULATION, INSUFLEX 1&quot; x 7/8" u="1"/>
        <s v="RUBBER_INSULATION, SHEET X 3/8&quot; X 4 FT X 3 FT" u="1"/>
        <s v="RUBBER_INSULATION, DURKFLEX  3/8&quot; x 3/4" u="1"/>
        <s v="ADAPTOR, POKKA R410A, BRASS" u="1"/>
        <s v="COMPRESSOR, CHEVROLET CAPTIVA/ORLANDO 2.0 6PK" u="1"/>
        <s v="CONDENSER, FORD LYNX" u="1"/>
        <s v="RECEIVER DRIER ALUMINUM  YK 8106" u="1"/>
        <s v="HALF_UNION, R12 (O) 3/8&quot;" u="1"/>
        <s v="DRILL BIT, STEEL/WOOD  10MM" u="1"/>
        <s v="MAGNETIC_CLUTCH, ISUZU  ALTERA" u="1"/>
        <s v="EXPANSION_VALVE, TOYOTA INNOVA 2016 (2370-F)" u="1"/>
        <s v="CONDENSER, MITSUBISHI MONTERO 2016" u="1"/>
        <s v="BRACKET , GB 1HP, STAINLESS STEEL" u="1"/>
        <s v="EXP. VALVE LT, DENSO 9080 CITY, ACCORD [B-38222]" u="1"/>
        <s v="RUBBER_INSULATION, INSUFLEX 1&quot; x 1 1/8" u="1"/>
        <s v="RUBBER_INSULATION, M-FLEX 3/4&quot; X 1 1/8" u="1"/>
        <s v="RUBBER_INSULATION, M-FLEX 3/8&quot; X 1 1/8" u="1"/>
        <s v="RUBBER_INSULATION, SUPERLON 1&quot; x 1 1/8" u="1"/>
        <s v="PULLEY_ASSEMBLY, HONDA CITY 2009" u="1"/>
        <s v="DRAIN_PUMP, ATARA QD-PU01E" u="1"/>
        <s v="DRAIN_PUMP, QUNDA QD-PU01E" u="1"/>
        <s v="RUBBER_INSULATION, DURKFLEX 5/8 X 1/2" u="1"/>
        <s v="FITTINGS, COPPER MALE ADAPTER 5/8 X 1/2" u="1"/>
        <s v="COMPRESSOR, FORD EXPLORER 4.0 HALA BN COPY" u="1"/>
        <s v="RECEIVER_DRIER_ALUMINUM, YK 8748 (SENTRA)" u="1"/>
        <s v="ELECTRICAL FITTINGS,  COUPLING 20mm" u="1"/>
        <s v="RECEIVER_DRIER_ALUMINUM, DOOWON 1J10 [SORENTO]" u="1"/>
        <s v="HUB, TOYOTA TOYOTA VIOS ROBIN" u="1"/>
        <s v="EXPANSION_VALVE, DENSO EX-10143, H100, STAREX" u="1"/>
        <s v="COMPRESSOR, FORD ECOSPORT BN COPY 1.6 HALLA" u="1"/>
        <s v="EVAPORATOR, ISUZU TRAVIS" u="1"/>
        <s v="AUXFAN_MOTOR, HYUNDAI ACCENT 2008" u="1"/>
        <s v="REFRIGERANT, MAXX R134A , 13.6 KGS  09282023" u="1"/>
        <s v="CAPACITOR_FAN,  CBB65 2 UF" u="1"/>
        <s v="CONDENSER, NISSAN NAVARRA 2008" u="1"/>
        <s v="EVAPORATOR, HYUNDAI G.STAREX F" u="1"/>
        <s v="FITTINGS, ELBOW FLARE TYPE  3/4" u="1"/>
        <s v="FITTINGS, ELBOW ORING TYPE  3/4" u="1"/>
        <s v="RECEIVER_DRIER_ALUMINUM, YK 8130 (SWIFT)" u="1"/>
        <s v="MAGNETIC_CLUTCH, HONDA CIVIC 3410 1.8" u="1"/>
        <s v="RUBBER_INSULATION, DURKFLEX  3/8&quot; x 7/8" u="1"/>
        <s v="ECV, HYUNDAI TUCSON 16, 8-43" u="1"/>
        <s v="RECEIVER_DRIER_ALUMINUM, YK 8739 (L)" u="1"/>
        <s v="EVAPORATOR, TOYOTA INNOVA NEW (F) _IBX" u="1"/>
        <s v="ANCHOR, GRIP 3/8" u="1"/>
        <s v="ELECTRICAL FITTINGS,  LOCKNUT" u="1"/>
        <s v="EVAPORATOR, HYUNDAI GRAND STAREX R" u="1"/>
        <s v="EXPANSION_VALVE, DENSO TG447500-1600, VIOS_IBX" u="1"/>
        <s v="COMPRESSOR, SUZUKI SWIFT 2008 1.5 SEIKOSEIKI" u="1"/>
        <s v="FITTINGS, COPPER ELBOW 1 1/8 LR" u="1"/>
        <s v="CORE_DRILL, ZENEZIZ DIAMOND 108mm" u="1"/>
        <s v="ROD HARRIS SILVER " u="1"/>
        <s v="HALF_UNION,  3/8" u="1"/>
        <s v="COMPRESSOR, TOYOTA HI-LUX DSL" u="1"/>
        <s v="RUBBER_INSULATION, DURKFLEX 3/8 X 1/2" u="1"/>
        <s v="ECV, HYUNDAI ACCENT" u="1"/>
        <s v="LUBRICANT, SUNISO 1 GAL REFRIGERATION OIL 4GS" u="1"/>
        <s v="FITTINGS, COPPER ELBOW 3/8 45 DEGREES" u="1"/>
        <s v="REFRIGERANT, SOLFRON R22, 13.6 KGS 09172023" u="1"/>
        <s v="REFRIGERANT, MAXX R600, 6.5 KGS" u="1"/>
        <s v="EVAPORATOR, CHEVROLET TRAILBLAZER" u="1"/>
        <s v="CAPACITOR_SINGLE, PS CBB65 100 UF" u="1"/>
        <s v="HOSE,  FLEXIBLE " u="1"/>
        <s v="THERMOSTAT NEK CAR" u="1"/>
        <s v="EXPANSION_VALVE, POKKA 9A87 (ACCENT)" u="1"/>
        <s v="COMPRESSOR, HONDA JAZZ" u="1"/>
        <s v="BOLT, GI, SET 5/16" u="1"/>
        <s v="FITTINGS, ELBOW FLARE TYPE 1/2" u="1"/>
        <s v="FITTINGS, ELBOW ORING TYPE 1/2" u="1"/>
        <s v="EXPANSION_VALVE, FUJIKOKI ADVENTURE (7F15)" u="1"/>
        <s v="CAPACITOR_FAN,  CBB65 3 UF" u="1"/>
        <s v="EVAPORATOR, HONDA CITY 2009" u="1"/>
        <s v="AUXFAN_MOTOR, TOYOTA VIOS SUPERMAN" u="1"/>
        <s v="CAPILLARY TUBE,  1.8MMX0.5MMX1KG" u="1"/>
        <s v="CAPILLARY TUBE,  3.0MMX0.5MMX1KG" u="1"/>
        <s v="COMPRESSOR, HONDA CRV2008" u="1"/>
        <s v="PIPE CLAMP , DOUBLE HOLE 3/4" u="1"/>
        <s v="CAPACITOR_SINGLE, PS CBB65 12 UF" u="1"/>
        <s v="COMPRESSOR, CHEVROLET TRAILBLAZER 6PK ORIG 16 DELPHI" u="1"/>
        <s v="EXP. VALVE LT, TOYOTA DENSO 2680 INNOVA (R) [B-38202]" u="1"/>
        <s v="FITTINGS, COPPER ELBOW 1 1/8 SR" u="1"/>
        <s v="FITTINGS, COPPER ELBOW 1 1/8 45°" u="1"/>
        <s v="CUTTING DISC,  METAL" u="1"/>
        <s v="FITTINGS, COPPER ELBOW 1/4 LR" u="1"/>
        <s v="FITTINGS, COPPER ELBOW 1 3/8 SR" u="1"/>
        <s v="EVAPORATOR, MITSUBISHI MONTERO 2008 (F)_IBX" u="1"/>
        <s v="SPRING BENDER,  .1/4" u="1"/>
        <s v="TEMPERATURE,  COIL AND AIR SENSOR" u="1"/>
        <s v="EVAPORATOR, HYUNDAI GRAND STAREX" u="1"/>
        <s v="SYSTEM_CLEANER, XUE HUANG 141B 450 ML" u="1"/>
        <s v="EXP. VALVE LT, TOYOTA DENSO 1610 ALTIS, COROLLA, DMAX '08 [B-38208]" u="1"/>
        <s v="PRESSURE_SWITCH, FORD FIESTA 3 PINS" u="1"/>
        <s v="COMPRESSOR, NISSAN ESCAPADE  2014 ZEXEL" u="1"/>
        <s v="ACTUATOR IDLE-UP,  VACUUM" u="1"/>
        <s v="FITTINGS, STRAIGHT R12 WITH VALVE 3/4" u="1"/>
        <s v="RUBBER_INSULATION, DURKFLEX 1/4 X 3/4" u="1"/>
        <s v="PVC, DRAIN PIPE 3/4 BLUE" u="1"/>
        <s v="RUBBER_INSULATION, DURKFLEX 1/2 X 1" u="1"/>
        <s v="FITTINGS, STRAIGHT R12 WITH VALVE 3/8" u="1"/>
        <s v="RUBBER_INSULATION, AEROFLEX 3/4&quot; x 5/8" u="1"/>
        <s v="RUBBER_INSULATION, SUPERLON 3/4&quot; x 5/8" u="1"/>
        <s v="COMPRESSOR, NISSAN ALMERA" u="1"/>
        <s v="RUBBER_INSULATION, DURKFLEX  1&quot; x 3/8" u="1"/>
        <s v="PVC, ELBOW 3/4" u="1"/>
        <s v="RECEIVER_DRIER_ALUMINUM, YK 8015L" u="1"/>
        <s v="COMPRESSOR, TOYOTA HI-LUX DSL 7PK BN COPY DENSO" u="1"/>
        <s v="COMPRESSOR, FORD ESCAPE 2.3 ORIGINAL" u="1"/>
        <s v="BRACKET , GB 1HP, STAINLESS STEEL FLOOR " u="1"/>
        <s v="RUBBER_INSULATION, ARMAFLEX 1/2&quot; x 3 1/2" u="1"/>
        <s v="SOLDERING  IRON , VICSTEEL BUTTERFLY" u="1"/>
        <s v="EXPANSION_VALVE, TOYOTA INNOVA 2016 (2680-R) " u="1"/>
        <s v="EXP. VALVE LT, TOYOTA POKKA 9A58 R-12" u="1"/>
        <s v="COMPRESSOR, HYUNDAI GRAND STAREX 08 ORIGINAL" u="1"/>
        <s v="NELTEX, NELTEX 400CC" u="1"/>
        <s v="EXP. VALVE DC, MITSUBISHI ORING TYPE 5/16" u="1"/>
        <s v="CRIMPING TOOL, HONG YUAN " u="1"/>
        <s v="COMPRESSOR, SANDEN SD7 USA" u="1"/>
        <s v="COMPRESSOR, KIA /DOOWON CARENS 6PK BN COPY" u="1"/>
        <s v="CONDENSER, SUZUKI CIAZ 2016" u="1"/>
        <s v="CONDENSER, UNIVERSAL 17&quot; X 34&quot;" u="1"/>
        <s v="LUBRICANT, EMKARATE RL 100H, 1 LITER" u="1"/>
        <s v="COMPRESSOR, FORD ECOSPORT 1.6 ORIGINAL" u="1"/>
        <s v="FITTINGS, STRAIGHT 134A WITH VALVE 5/8" u="1"/>
        <s v="RECEIVER_DRIER_ALUMINUM, YK 8179 (AVEO)" u="1"/>
        <s v="EXPANSION_VALVE, FUJIKOKI 6E19 XTRAIL, CELERIO, TRAILBLAZER" u="1"/>
        <s v="EVAPORATOR (COOLING COIL)  MITSUBISHI ADVENTURE" u="1"/>
        <s v="RUGBY, PIONEER CONTACT CEMENT" u="1"/>
        <s v="RUBBER_INSULATION, DURKFLEX  1&quot; x 7/8" u="1"/>
        <s v="RUBBER_INSULATION, WINCELL 1&quot; x 5/8" u="1"/>
        <s v="FLARING TOOL  HEAVY DUTY  FT-808, 1/4&quot; - 3/4&quot;" u="1"/>
        <s v="EXP. VALVE LT, DENSO 1311 AVANZA, INNOVA [38208]" u="1"/>
        <s v="ACTUATOR GOLD, PORCH " u="1"/>
        <s v="RESISTOR_BLOCK, HONDA JAZZ YL 7305" u="1"/>
        <s v="COMPRESSOR, TRUCK 24V" u="1"/>
        <s v="FITTINGS, COPPER ELBOW 3/4 LR" u="1"/>
        <s v="COMPRESSOR, HYUNDAI BACKHOE/WHELL LOADER 24V" u="1"/>
        <s v="CAPACITOR_SINGLE, PS CBB65 45 UF" u="1"/>
        <s v="PVC, CAP 3/4" u="1"/>
        <s v="FITTINGS, COPPER ELBOW 3/8 LR" u="1"/>
        <s v="HALF_UNION,  5/8 134A" u="1"/>
        <s v="EXP. VALVE LT, FORD ECOSPORT (524027)" u="1"/>
        <s v="EVAPORATOR, TOYOTA VIOS 2003 (ROBIN) (F)_IBX" u="1"/>
        <s v="PULLEY_ASSEMBLY, HYUNDAI GRAND STAREX VT HALLA" u="1"/>
        <s v="HALF_UNION, R134A 1/2&quot;" u="1"/>
        <s v="ELECTRICAL CIRCUIT_BREAKER, KOTEN 60 AMP, 2P" u="1"/>
        <s v="REFRIGERANT, SOLFRON 410a, 11.3 KGS" u="1"/>
        <s v="ELECTRICAL WIRE_STRANDED, POWERFLEX THNN STRANDED   #14, FEET" u="1"/>
        <s v="FITTINGS, STRAIGHT 134A  5/8" u="1"/>
        <s v="COPPER TUBE SOFTDRAWN EVERSTRONG 0.028 X 1/2 x 15 mtr" u="1"/>
        <s v="COPPER TUBE SOFTDRAWN EVERSTRONG 0.028 X 1/4 x 15 mtr" u="1"/>
        <s v="TUBE_CUTTER,  CT-127, 1/8&quot; - 5/8&quot;" u="1"/>
        <s v="EXPANSION_VALVE, FORD ECOSPORT (524027)" u="1"/>
        <s v="EXP. VALVE LT, BOER 38682 CHEV SPIN" u="1"/>
        <s v="CABIN_FILTER, MAZDA 2" u="1"/>
        <s v="BACKER ROD,  25mm x 25m" u="1"/>
        <s v="BRACKET  CHINA 2HP" u="1"/>
        <s v="COMPRESSOR, HYUNDAI TUCSON 2010 DSL" u="1"/>
        <s v="CONDENSER, NISSAN FRONTIER" u="1"/>
        <s v="FITTINGS, COUPLING REDUCER 1/2 X 3/8" u="1"/>
        <s v="ELECTRICAL CIRCUIT_BREAKER, HIMEL 50 AMP, 3P" u="1"/>
        <s v="ELECTRICAL CIRCUIT_BREAKER, KOTEN 30 AMP, 3P" u="1"/>
        <s v="ELECTRICAL CIRCUIT_BREAKER, KOTEN 50 AMP, 3P" u="1"/>
        <s v="HOSE, KENDA 5/8 SUNCTION x 1 FT" u="1"/>
        <s v="EVAPORATOR, HYUNDAI GRAND STAREX AL" u="1"/>
        <s v="FITTINGS, STRAIGHT 134A  5/8 WITH VALVE" u="1"/>
        <s v="HALF_UNION,  1/2&quot;" u="1"/>
        <s v="CABIN_FILTER, MAZDA MAZDA 3" u="1"/>
        <s v="CAPACITOR_SINGLE, PS CBB65 2.5 UF" u="1"/>
        <s v="EVAPORATOR, HYUNDAI STA FE" u="1"/>
        <s v="CABIN_FILTER, NISSAN XTRAIL" u="1"/>
        <s v="AUXFAN_MOTOR, TRUCK PISO 24V" u="1"/>
        <s v="MAGNETIC_CLUTCH, NISSAN FRONTIER" u="1"/>
        <s v="RECEIVER_DRIER_ALUMINUM, YK 8204 (EX-LIVINA)" u="1"/>
        <s v="COMPRESSOR, HYUNDAI H100 4PK ORIGINAL" u="1"/>
        <s v="PULLeY_ASSEMBLY, TOYOTA VIOS ROBIN" u="1"/>
        <s v="RECOVERY MACHINE, RR500 3/4 HP" u="1"/>
        <s v="RESISTOR_BLOCK, HONDA CRV 2002" u="1"/>
        <s v="EXP. VALVE LT, BOER 38222 CITY, ACCORD [D-9080]" u="1"/>
        <s v="FITTINGS, ELBOW FLARE TYPE 3/8" u="1"/>
        <s v="FITTINGS, ELBOW ORING TYPE 3/8" u="1"/>
        <s v="AUXIALLIARY_FAN, NEK 24 V METAL FAN" u="1"/>
        <s v="FITTINGS, COPPER  REDUCER  1/2 X 5/8" u="1"/>
        <s v="REF_DRIER, OMNI WELDED TYPE " u="1"/>
        <s v="COMPRESSOR, TOYOTA VIOS 1.3 2012 CLUTCHLESS 4PK ORIGINAL" u="1"/>
        <s v="FITTINGS, COPPER ELBOW 5/8 45°" u="1"/>
        <s v="RUBBER_INSULATION, WINCELL 1&quot; x 3/4" u="1"/>
        <s v="ELECTRICAL SOCKET_BREAKER, KOTEN 15 AMP, 2P" u="1"/>
        <s v="COMPRESSOR, HYUNDAI EON" u="1"/>
        <s v="TEMPERATURE_RESISTANCE, TOYOTA VIOS" u="1"/>
        <s v="EXPANSION_VALVE, DOUBLE CAPILLARY ORING TYPE 5/8 (HONDA)" u="1"/>
        <s v="COMPRESSOR, HYUNDAI ACCENT 2012 1.4 GAS 6PK BN COPY DOOWON" u="1"/>
        <s v="EXPANSION_VALVE, MITSUBISHI MONTERO LTY 068" u="1"/>
        <s v="COMPRESSOR, HYUNDAI ACCENT 2008" u="1"/>
        <s v="EVAPORATOR, UNIVERSAL FORMULA YOKOHAMA DUAL 24V" u="1"/>
        <s v="CONDENSER, UNIVERSAL 17&quot; X 30&quot;" u="1"/>
        <s v="AC FILTER DRIER , GENESSO 3/8  SOLDER TYPE 163S " u="1"/>
        <s v="RUBBER_INSULATION, WINCELL 1&quot; x 3/8" u="1"/>
        <s v="COMPRESSOR, CHEVROLET TRAILBLAZER 6PK (REP)" u="1"/>
        <s v="HUB, TOYOTA DENSO ALTIS 6PK" u="1"/>
        <s v="CONDENSER, MITSUBISHI MIRAGE" u="1"/>
        <s v="ROYAL CORD, BOSTON 3-CORE, #14 2.0 MM, ROLL 75M" u="1"/>
        <s v="AUXFAN_MOTOR, MITSUBISHI MONTERO (ORIG)" u="1"/>
        <s v="RECEIVER_DRIER_ALUMINUM, YK 8102 (DENSO 134A S)" u="1"/>
        <s v="GAUGE,  COMPOUND LOW" u="1"/>
        <s v="EVAPORATOR, TOYOTA VIOS 2014 (SUPERMAN) CENTRAL" u="1"/>
        <s v="CONDENSER, HONDA CRV 2003" u="1"/>
        <s v="HALF_UNION, R12 (F) 5/16&quot;" u="1"/>
        <s v="HAND SWAGING TOOL,  PUNCH TYPE" u="1"/>
        <s v="CONDENSER, UNIVERSAL 17&quot; X 41&quot;" u="1"/>
        <s v="PULLEY, TOYOTA VIOS BATMAN" u="1"/>
        <s v="EXP. VALVE CAP, DOUBLE ORING TYPE 5/16" u="1"/>
        <s v="EXP. VALVE CAP, SINGLE ORING TYPE 5/16" u="1"/>
        <s v="PIPE EMT, COUPLING 3/4 (19.00MM)" u="1"/>
        <s v="HALF_UNION, R12 (O) 5/16&quot;" u="1"/>
        <s v="FITTINGS, COPPER ELBOW 7/8 45°" u="1"/>
        <s v="MAGNETIC_CLUTCH, NISSAN URVAN VT 071" u="1"/>
        <s v="COMPRESSOR, KIA PICANTO 2016 ORIG" u="1"/>
        <s v="ELECTRICAL CIRCUIT_BREAKER, GE 40 AMP 3P" u="1"/>
        <s v="COMPRESSOR, NISSAN NV350" u="1"/>
        <s v="ELECTRICAL_PANEL,  NEMA 3R" u="1"/>
        <s v="COMPRESSOR, HONDA CRV 2ND GEN" u="1"/>
        <s v="RECEIVER_DRIER_ALUMINUM, YK 8106" u="1"/>
        <s v="SHANK,  ADAPTOR 300 MM" u="1"/>
        <s v="BEARING BIG, NSK " u="1"/>
        <s v="CABIN_FILTER, HYUNDAI STA FE" u="1"/>
        <s v="BLOWER_MOTOR, TOYOTA INNOVA NEW" u="1"/>
        <s v="HOSE,  DRAIN PUMP 100M /ROLL" u="1"/>
        <s v="AIRDUCT, NEK BLACK" u="1"/>
        <s v="HOSE, R134A GAUGE 1 PER PIECE" u="1"/>
        <s v="EXP. VALVE LT, POKKA 9B246 MIRAGE, SWIFT, STRADA, CRV" u="1"/>
        <s v="HOSE, R22 GAUGE 1M" u="1"/>
        <s v="AUXIALLIARY FAN POKKA 10 BLADES X 12VOLTS" u="1"/>
        <s v="EVAPORATOR, SUZUKI CELERIO" u="1"/>
        <s v="CABIN_FILTER, NISSAN NAVARRA 2011" u="1"/>
        <s v="EVAPORATOR, KIA CARENS" u="1"/>
        <s v="MAGNETIC_CLUTCH, HYUNDAI GRAND STAREX" u="1"/>
        <s v="CAPACITOR_SINGLE, PS CBB65 75 UF" u="1"/>
        <s v="ANCHOR GRIP,  3/8" u="1"/>
        <s v="REF_DRIER, OMNI FLARE TYPE" u="1"/>
        <s v="SHAFT_SEAL, MIT AIR " u="1"/>
        <s v="MAGNETIC_CLUTCH, HONDA CIVIC TRS 4PK" u="1"/>
        <s v="FITTINGS, ELBOW FLARE TYPE 5/8" u="1"/>
        <s v="FITTINGS, ELBOW ORING TYPE 5/8" u="1"/>
        <s v="ELECTRICAL ,  JUNCTION BOX" u="1"/>
        <s v="BOLT DYNABOLT 3/8&quot;" u="1"/>
        <s v="MAGNETIC_CLUTCH, ISUZU CROSSWIND" u="1"/>
        <s v="EXP. VALVE LT, BOER 38303 PATROL, SAFARI [SH207-4]" u="1"/>
        <s v="BLOWER_MOTOR, FORD RANGER 2008" u="1"/>
        <s v="EXPANSION_VALVE, NISSAN NV350 (38759B)" u="1"/>
        <s v="VACUUM PUMP VP115 (Single Stage, Rotary Vane) 1.8 CFM, 5 Pa, 220V, 1/4 HP" u="1"/>
        <s v="LUBRICANT ND-OIL9 250 CC (134A),OIL COMPRESSOR" u="1"/>
        <s v="RUBBER_INSULATION, WINCELL 1&quot; x 1/4" u="1"/>
        <s v="PRESSURE_SWITCH, TOYOTA  WIGO 3 PINS" u="1"/>
        <s v="MAGNETIC_CLUTCH, MITSUBISHI PAJERO" u="1"/>
        <s v="EVAPORATOR, TOYOTA INNOVA 2008  R CENTRAL" u="1"/>
        <s v="RECEIVER_DRIER_ALUMINUM, MITSUBISHI MONTERO 2016" u="1"/>
        <s v="HOSE,  FLEXIBLE MTR" u="1"/>
        <s v="THERMODISC, MAXX 2 WIRE" u="1"/>
        <s v="RECEIVER_DRIER_ALUMINUM, YK 8804 (REVO/HI-LANDER)" u="1"/>
        <s v="EVAPORATOR, HYUNDAI ELANTRA " u="1"/>
        <s v="CONDENSER, UNIVERSAL 17&quot; X 50&quot;" u="1"/>
        <s v="EXP. VALVE LT,  EX-10143, H100, STAREX" u="1"/>
        <s v="CAPILLARY TUBE,  1.6MMX0.5MMx1FT" u="1"/>
        <s v="CAPILLARY TUBE,  2.5MMX0.5MMx1FT" u="1"/>
        <s v="CABIN_FILTER, ISUZU MUX/DMAX 2013" u="1"/>
        <s v="RECEIVER_DRIER_ALUMINUM, KIA SPORTAGE" u="1"/>
        <s v="BOLT, GI, SET 3/8" u="1"/>
        <s v="SOLDERING  LEAD, VICSTEEL 60/40" u="1"/>
        <s v="TAPE, EVER SEAL CORK" u="1"/>
        <s v="RUBBER_INSULATION, DURKFLEX  1&quot; x 1 1/8" u="1"/>
        <s v="RUBBER_INSULATION, WINCELL 1/2&quot; x 1 1/8" u="1"/>
        <s v="RUBBER_INSULATION, SUPERLON 3/8&quot; x 2.125" u="1"/>
        <s v="ELECTRICAL CIRCUIT_BREAKER, GE 30 AMP,1PH" u="1"/>
        <s v="EXP. VALVE LT, TOYOTA POKKA 9A50 134A" u="1"/>
        <s v="AC UNVERSAL , QUNDA  REMOTE 1000 in 1" u="1"/>
        <s v="MAGNETIC_CLUTCH, DENSO 508 12 V" u="1"/>
        <s v="TIMER,  7978" u="1"/>
        <s v="WASH_BAG, JINSHENG Q-565" u="1"/>
        <s v="RUBBER_INSULATION, AEROFLEX 1/2&quot; x 1/2" u="1"/>
        <s v="RUBBER_INSULATION, SUPERLON 1/2&quot; x 1/2" u="1"/>
        <s v="DRILL BIT, MASONRY 6MM" u="1"/>
        <s v="RECOVERY MACHINE, RR250 3/4" u="1"/>
        <s v="BRACKET ,  WINDOW TYPE 550 X 550" u="1"/>
        <s v="BLADE HACKSAW, SANDFLEX #18" u="1"/>
        <s v="HOSE, ELECTRICAL FLEXIBLE ROLL 1/2" u="1"/>
        <s v="EXPANSION_VALVE, HYUNDAI ACCENT 2013 (DI261411-0070/9A129)" u="1"/>
        <s v="RESISTOR_BLOCK, HONDA CITY 2009" u="1"/>
        <s v="AUXFAN_MOTOR, HYUNDAI ACCENT 2013" u="1"/>
        <s v="COMPRESSOR, MITSUBISHI PAJERO FIELD MASTER 10PA15C  '99 BN" u="1"/>
        <s v="ROYAL CORD, HI ACE 2-CORE, #14 2.0 MM, ROLL, 75 METERS " u="1"/>
        <s v="BLOWER_MOTOR, TOYOTA FORTUNER" u="1"/>
        <s v="PASTE_FLUX, HARRIS STAY SILV" u="1"/>
        <s v="ELECTRICAL WIRE_STRANDED, PHILFLEX THNN STRANDED   #10, ROLL" u="1"/>
        <s v="ECV, NISSAN TIANA, 8-42" u="1"/>
        <s v="O-RING NEK MAKAPAL 1/2" u="1"/>
        <s v="RESISTOR_BLOCK, MITSUBISHI L300" u="1"/>
        <s v="FITTINGS, ELBOW 134A  WITH VALVE 3/4" u="1"/>
        <s v="RUBBER_INSULATION, ARMAFLEX  1 1/2&quot; x 1 1/8" u="1"/>
        <s v="RUBBER_INSULATION, ARMAFLEX  1 1/4&quot; x 1 1/8" u="1"/>
        <s v="SEALANT , PIONEER ELASTOSEAL DUCT SEALANT 1 GAL" u="1"/>
        <s v="RUBBER_INSULATION, ARMAFLEX  1 1/2&quot; x 1 3/8" u="1"/>
        <s v="RUBBER_INSULATION, ARMAFLEX  1 1/4&quot; x 1 3/8" u="1"/>
        <s v="EVAPORATOR (COOLING COIL) TOYOTA INNOVA 2008 (R)" u="1"/>
        <s v="TEMPERATURE,  PIPE SENSOR" u="1"/>
        <s v="COMPRESSOR, HYUNDAI ACCENT 2014 GAS 5PK BN COPY" u="1"/>
        <s v="COMPRESSOR, MAZDA TRIBUTE" u="1"/>
        <s v="RUBBER_INSULATION, ARMAFLEX  1 1/2&quot; x 1 5/8" u="1"/>
        <s v="RUBBER_INSULATION, ARMAFLEX  1 1/4&quot; x 1 5/8" u="1"/>
        <s v="RUBBER_INSULATION, AEROFLEX 1/2&quot; x 1/4" u="1"/>
        <s v="RUBBER_INSULATION, SUPERLON 1/2&quot; x 1/4" u="1"/>
        <s v="MAGNETIC_CLUTCH, HYUNDAI HYUNDAI 7PK 004" u="1"/>
        <s v="CAPACITOR_DOUBLE, PS CBB65 20 + 2.5 UF" u="1"/>
        <s v="DRAIN_PUMP, LITTLE GIANT VCMA-20ULS Condensate Removal 1/3 hp" u="1"/>
        <s v="CABIN_FILTER, HONDA CRV2008" u="1"/>
        <s v="RECEIVER DRIER ALUMINUM  YK 8015 (S)" u="1"/>
        <s v="RECEIVER_DRIER_ALUMINUM, YK 8015 (S)" u="1"/>
        <s v="DRAIN PUMP KING PUMP HIPPO 2 (SMALL), 3M" u="1"/>
        <s v="ELECTRICAL WIRE_STRANDED, POWERFLEX THNN STRANDED   #8, ROLL" u="1"/>
        <s v="CAPACITOR_DOUBLE, PS CBB65 50 + 7  UF" u="1"/>
        <s v="COMPRESSOR, HONDA CRV 2002" u="1"/>
        <s v="CAPACITOR_SINGLE, PS CBB65 70 UF" u="1"/>
        <s v="BEARING, NSK TRS  204" u="1"/>
        <s v="COMPRESSOR, MITSUBISHI ADVENTURE DSL" u="1"/>
        <s v="EVAPORATOR, FORD EVEREST DC (F) " u="1"/>
        <s v="FITTINGS, COPPER FEMALE ADAPTER 5/8 X1/2" u="1"/>
        <s v="EVAPORATOR, SUZUKI JIMMY/ALTO" u="1"/>
        <s v="O-RING NEK MAKAPAL 3/8" u="1"/>
        <s v="EXP. VALVE LT, MITSUBISHI BOER 38225 MONTERO, LANCER, SUBARU, VITARA [D-1560]" u="1"/>
        <s v="COMPRESSOR, HYUNDAI BACKHOE" u="1"/>
        <s v="RECEIVER_DRIER_ALUMINUM, YK  vvb" u="1"/>
        <s v="CONDENSER, HONDA CIVIC 1998" u="1"/>
        <s v="EXPANSION_VALVE, HYUNDAI ACCENT 2013 (DI261411-0070)" u="1"/>
        <s v="EXP. VALVE LT, POKKA 9A59" u="1"/>
      </sharedItems>
    </cacheField>
    <cacheField name="category" numFmtId="0">
      <sharedItems containsMixedTypes="1" containsNumber="1" containsInteger="1" count="6">
        <s v="INSTALLATION MATERIALS"/>
        <s v="GENERAL"/>
        <s v="CAR AIRCON"/>
        <s v=""/>
        <s v="TOOLS"/>
        <n v="0" u="1"/>
      </sharedItems>
    </cacheField>
    <cacheField name="Item2" numFmtId="0">
      <sharedItems containsSemiMixedTypes="0" containsNonDate="0" containsString="0"/>
    </cacheField>
    <cacheField name="Address" numFmtId="0">
      <sharedItems containsSemiMixedTypes="0" containsNonDate="0" containsString="0"/>
    </cacheField>
    <cacheField name="SI PRICE" numFmtId="0">
      <sharedItems containsSemiMixedTypes="0" containsNonDate="0" containsString="0"/>
    </cacheField>
    <cacheField name="% mark up" numFmtId="9">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45">
  <r>
    <x v="0"/>
    <x v="0"/>
    <x v="0"/>
    <x v="0"/>
    <m/>
    <m/>
    <s v="COPPER_TUBE_SOFTDRAWN, EVERSTRONG 0.028 X 3/8 x 15 mtr  07/14/2025"/>
    <s v="IM-000319"/>
    <n v="0.4"/>
    <n v="3000"/>
    <m/>
    <n v="1200"/>
    <x v="0"/>
    <n v="4844"/>
    <n v="2475"/>
    <n v="990"/>
    <n v="1019.7"/>
    <n v="180.29999999999995"/>
    <n v="0"/>
    <x v="0"/>
    <x v="0"/>
    <m/>
    <m/>
    <m/>
    <n v="0.15024999999999997"/>
  </r>
  <r>
    <x v="0"/>
    <x v="0"/>
    <x v="0"/>
    <x v="0"/>
    <m/>
    <m/>
    <s v="BRACKET , GB 2HP, COATED"/>
    <s v="IM-000011"/>
    <n v="1"/>
    <n v="450"/>
    <m/>
    <n v="450"/>
    <x v="0"/>
    <n v="532"/>
    <n v="295"/>
    <n v="295"/>
    <n v="303.85000000000002"/>
    <n v="146.14999999999998"/>
    <n v="0"/>
    <x v="1"/>
    <x v="0"/>
    <m/>
    <m/>
    <m/>
    <n v="0.32477777777777772"/>
  </r>
  <r>
    <x v="0"/>
    <x v="1"/>
    <x v="0"/>
    <x v="1"/>
    <m/>
    <m/>
    <s v="COPPER_TUBE_SOFTDRAWN, EVERSTRONG 0.028 X 1/4 x 15 mtr 05/19/25"/>
    <s v="IM-000318"/>
    <n v="0.2"/>
    <n v="2250"/>
    <m/>
    <n v="450"/>
    <x v="0"/>
    <n v="2866"/>
    <n v="1590"/>
    <n v="318"/>
    <n v="327.54000000000002"/>
    <n v="122.45999999999998"/>
    <n v="0"/>
    <x v="0"/>
    <x v="0"/>
    <m/>
    <m/>
    <s v=""/>
    <n v="0.27213333333333328"/>
  </r>
  <r>
    <x v="0"/>
    <x v="1"/>
    <x v="0"/>
    <x v="1"/>
    <m/>
    <m/>
    <s v="COPPER_TUBE_SOFTDRAWN, EVERSTRONG 0.028 X 1/4 x 15 mtr 05/19/25"/>
    <s v="IM-000318"/>
    <n v="0.2"/>
    <n v="2250"/>
    <m/>
    <n v="450"/>
    <x v="0"/>
    <n v="2866"/>
    <n v="1590"/>
    <n v="318"/>
    <n v="327.54000000000002"/>
    <n v="122.45999999999998"/>
    <n v="0"/>
    <x v="0"/>
    <x v="0"/>
    <m/>
    <m/>
    <s v=""/>
    <n v="0.27213333333333328"/>
  </r>
  <r>
    <x v="0"/>
    <x v="1"/>
    <x v="0"/>
    <x v="1"/>
    <m/>
    <m/>
    <s v="ELECTRICAL WIRE_STRANDED, POWERFLEX THNN STRANDED   #10, MTR"/>
    <s v="GE-000113"/>
    <n v="18"/>
    <n v="35"/>
    <m/>
    <n v="630"/>
    <x v="0"/>
    <n v="74"/>
    <n v="40"/>
    <n v="720"/>
    <n v="756"/>
    <n v="-126"/>
    <n v="0"/>
    <x v="2"/>
    <x v="1"/>
    <m/>
    <m/>
    <s v=""/>
    <n v="-0.2"/>
  </r>
  <r>
    <x v="0"/>
    <x v="2"/>
    <x v="0"/>
    <x v="2"/>
    <m/>
    <m/>
    <s v="COPPER_TUBE_SOFTDRAWN, EVERSTRONG 0.028 X 1/4 x 15 mtr 05/19/25"/>
    <s v="IM-000318"/>
    <n v="1"/>
    <n v="1500"/>
    <m/>
    <n v="1500"/>
    <x v="0"/>
    <n v="2866"/>
    <n v="1590"/>
    <n v="1590"/>
    <n v="1637.7"/>
    <n v="-137.70000000000005"/>
    <n v="0"/>
    <x v="0"/>
    <x v="0"/>
    <m/>
    <m/>
    <s v=""/>
    <n v="-9.1800000000000034E-2"/>
  </r>
  <r>
    <x v="0"/>
    <x v="2"/>
    <x v="0"/>
    <x v="2"/>
    <m/>
    <m/>
    <s v="BRACKET , AERO 2HP, COATED"/>
    <s v="IM-000300"/>
    <n v="1"/>
    <n v="450"/>
    <m/>
    <n v="450"/>
    <x v="0"/>
    <n v="0"/>
    <n v="0"/>
    <n v="0"/>
    <n v="0"/>
    <n v="450"/>
    <n v="0"/>
    <x v="3"/>
    <x v="0"/>
    <m/>
    <m/>
    <s v=""/>
    <n v="1"/>
  </r>
  <r>
    <x v="0"/>
    <x v="3"/>
    <x v="0"/>
    <x v="1"/>
    <m/>
    <m/>
    <s v="COPPER_TUBE_SOFTDRAWN, EVERSTRONG 0.028 X 1/4 x 15 mtr 05/19/25"/>
    <s v="IM-000318"/>
    <n v="0.4"/>
    <n v="2250"/>
    <m/>
    <n v="900"/>
    <x v="0"/>
    <n v="2866"/>
    <n v="1590"/>
    <n v="636"/>
    <n v="655.08000000000004"/>
    <n v="244.91999999999996"/>
    <n v="0"/>
    <x v="0"/>
    <x v="0"/>
    <m/>
    <m/>
    <s v=""/>
    <n v="0.27213333333333328"/>
  </r>
  <r>
    <x v="0"/>
    <x v="4"/>
    <x v="0"/>
    <x v="2"/>
    <m/>
    <m/>
    <s v="COPPER_TUBE_SOFTDRAWN, EVERSTRONG 0.028 X 3/8 x 15 mtr  07/14/2025"/>
    <s v="IM-000319"/>
    <n v="0.4"/>
    <n v="3000"/>
    <m/>
    <n v="1200"/>
    <x v="0"/>
    <n v="4844"/>
    <n v="2475"/>
    <n v="990"/>
    <n v="1019.7"/>
    <n v="180.29999999999995"/>
    <n v="0"/>
    <x v="0"/>
    <x v="0"/>
    <m/>
    <m/>
    <s v=""/>
    <n v="0.15024999999999997"/>
  </r>
  <r>
    <x v="0"/>
    <x v="4"/>
    <x v="0"/>
    <x v="2"/>
    <m/>
    <m/>
    <s v="COPPER_TUBE_SOFTDRAWN, EVERSTRONG 0.028 X 1/4 x 15 mtr 05/19/25"/>
    <s v="IM-000318"/>
    <n v="0.4"/>
    <n v="2250"/>
    <m/>
    <n v="900"/>
    <x v="0"/>
    <n v="2866"/>
    <n v="1590"/>
    <n v="636"/>
    <n v="655.08000000000004"/>
    <n v="244.91999999999996"/>
    <n v="0"/>
    <x v="0"/>
    <x v="0"/>
    <m/>
    <m/>
    <s v=""/>
    <n v="0.27213333333333328"/>
  </r>
  <r>
    <x v="0"/>
    <x v="4"/>
    <x v="0"/>
    <x v="1"/>
    <m/>
    <m/>
    <s v="COPPER_TUBE_SOFTDRAWN, EVERSTRONG 0.028 X 1/4 x 15 mtr 05/19/25"/>
    <s v="IM-000318"/>
    <n v="0.2"/>
    <n v="2250"/>
    <m/>
    <n v="450"/>
    <x v="0"/>
    <n v="2866"/>
    <n v="1590"/>
    <n v="318"/>
    <n v="327.54000000000002"/>
    <n v="122.45999999999998"/>
    <n v="0"/>
    <x v="0"/>
    <x v="0"/>
    <m/>
    <m/>
    <s v=""/>
    <n v="0.27213333333333328"/>
  </r>
  <r>
    <x v="0"/>
    <x v="4"/>
    <x v="0"/>
    <x v="1"/>
    <m/>
    <m/>
    <s v="COPPER_TUBE_SOFTDRAWN, EVERSTRONG 0.028 X 3/8 x 15 mtr  07/14/2025"/>
    <s v="IM-000319"/>
    <n v="0.2"/>
    <n v="3000"/>
    <m/>
    <n v="600"/>
    <x v="0"/>
    <n v="4844"/>
    <n v="2475"/>
    <n v="495"/>
    <n v="509.85"/>
    <n v="90.149999999999977"/>
    <n v="0"/>
    <x v="0"/>
    <x v="0"/>
    <m/>
    <m/>
    <s v=""/>
    <n v="0.15024999999999997"/>
  </r>
  <r>
    <x v="0"/>
    <x v="5"/>
    <x v="0"/>
    <x v="1"/>
    <m/>
    <m/>
    <s v="BRACKET , AERO 1HP, COATED"/>
    <s v="IM-000096"/>
    <n v="1"/>
    <n v="350"/>
    <m/>
    <n v="350"/>
    <x v="0"/>
    <n v="0"/>
    <n v="0"/>
    <n v="0"/>
    <n v="0"/>
    <n v="350"/>
    <n v="0"/>
    <x v="3"/>
    <x v="0"/>
    <m/>
    <m/>
    <s v=""/>
    <n v="1"/>
  </r>
  <r>
    <x v="0"/>
    <x v="5"/>
    <x v="0"/>
    <x v="1"/>
    <m/>
    <m/>
    <s v="COPPER_TUBE_SOFTDRAWN, EVERSTRONG 0.028 X 1/4 x 15 mtr 05/19/25"/>
    <s v="IM-000318"/>
    <n v="1"/>
    <n v="1500"/>
    <m/>
    <n v="1500"/>
    <x v="0"/>
    <n v="2866"/>
    <n v="1590"/>
    <n v="1590"/>
    <n v="1637.7"/>
    <n v="-137.70000000000005"/>
    <n v="0"/>
    <x v="0"/>
    <x v="0"/>
    <m/>
    <m/>
    <s v=""/>
    <n v="-9.1800000000000034E-2"/>
  </r>
  <r>
    <x v="0"/>
    <x v="5"/>
    <x v="0"/>
    <x v="1"/>
    <m/>
    <m/>
    <s v="COPPER_TUBE_SOFTDRAWN, HAILIANG 0.028 X 3/8 x 15 mtr"/>
    <s v="IM-000327"/>
    <n v="1"/>
    <n v="2300"/>
    <m/>
    <n v="2300"/>
    <x v="0"/>
    <n v="4774"/>
    <n v="2648"/>
    <n v="2648"/>
    <n v="2727.44"/>
    <n v="-427.44000000000005"/>
    <n v="0"/>
    <x v="0"/>
    <x v="0"/>
    <m/>
    <m/>
    <s v=""/>
    <n v="-0.18584347826086958"/>
  </r>
  <r>
    <x v="0"/>
    <x v="0"/>
    <x v="1"/>
    <x v="3"/>
    <m/>
    <m/>
    <s v="MAGNETIC_CLUTCH, HONDA CITY 2009"/>
    <s v="CA-000758"/>
    <n v="1"/>
    <n v="800"/>
    <m/>
    <n v="800"/>
    <x v="0"/>
    <n v="772"/>
    <n v="420"/>
    <n v="420"/>
    <n v="441"/>
    <n v="359"/>
    <n v="107.7"/>
    <x v="4"/>
    <x v="2"/>
    <m/>
    <m/>
    <m/>
    <n v="0.44874999999999998"/>
  </r>
  <r>
    <x v="0"/>
    <x v="6"/>
    <x v="0"/>
    <x v="2"/>
    <m/>
    <m/>
    <s v="COPPER_TUBE_SOFTDRAWN, EVERSTRONG 0.028 X 1/4 x 15 mtr 05/19/25"/>
    <s v="IM-000318"/>
    <n v="0.2"/>
    <n v="2250"/>
    <m/>
    <n v="450"/>
    <x v="0"/>
    <n v="2866"/>
    <n v="1590"/>
    <n v="318"/>
    <n v="327.54000000000002"/>
    <n v="122.45999999999998"/>
    <n v="0"/>
    <x v="0"/>
    <x v="0"/>
    <m/>
    <m/>
    <s v=""/>
    <n v="0.27213333333333328"/>
  </r>
  <r>
    <x v="0"/>
    <x v="7"/>
    <x v="0"/>
    <x v="4"/>
    <m/>
    <m/>
    <s v="BRACKET , AERO 2HP, COATED"/>
    <s v="IM-000300"/>
    <n v="1"/>
    <n v="450"/>
    <m/>
    <n v="450"/>
    <x v="0"/>
    <n v="0"/>
    <n v="0"/>
    <n v="0"/>
    <n v="0"/>
    <n v="450"/>
    <n v="0"/>
    <x v="3"/>
    <x v="0"/>
    <m/>
    <m/>
    <s v=""/>
    <n v="1"/>
  </r>
  <r>
    <x v="0"/>
    <x v="8"/>
    <x v="0"/>
    <x v="1"/>
    <m/>
    <m/>
    <s v="COPPER_TUBE_SOFTDRAWN, EVERSTRONG 0.028 X 1/4 x 15 mtr 05/19/25"/>
    <s v="IM-000318"/>
    <n v="0.2"/>
    <n v="2250"/>
    <m/>
    <n v="450"/>
    <x v="0"/>
    <n v="2866"/>
    <n v="1590"/>
    <n v="318"/>
    <n v="327.54000000000002"/>
    <n v="122.45999999999998"/>
    <n v="0"/>
    <x v="0"/>
    <x v="0"/>
    <m/>
    <m/>
    <s v=""/>
    <n v="0.27213333333333328"/>
  </r>
  <r>
    <x v="0"/>
    <x v="8"/>
    <x v="0"/>
    <x v="1"/>
    <m/>
    <m/>
    <s v="COPPER_TUBE_SOFTDRAWN, HAILIANG 0.028 X 3/8 x 15 mtr"/>
    <s v="IM-000327"/>
    <n v="0.2"/>
    <n v="3000"/>
    <m/>
    <n v="600"/>
    <x v="0"/>
    <n v="4774"/>
    <n v="2648"/>
    <n v="529.6"/>
    <n v="545.48800000000006"/>
    <n v="54.511999999999944"/>
    <n v="0"/>
    <x v="0"/>
    <x v="0"/>
    <m/>
    <m/>
    <s v=""/>
    <n v="9.0853333333333244E-2"/>
  </r>
  <r>
    <x v="0"/>
    <x v="9"/>
    <x v="1"/>
    <x v="5"/>
    <m/>
    <m/>
    <s v="REFRIGERANT, ENTALPIA EUROPE R134A 13.6   2/7/26"/>
    <s v="GE-000517"/>
    <n v="1"/>
    <n v="7800"/>
    <m/>
    <n v="7800"/>
    <x v="0"/>
    <n v="10489"/>
    <n v="7684"/>
    <n v="7684"/>
    <n v="8068.2000000000007"/>
    <n v="-268.20000000000073"/>
    <n v="-80.460000000000221"/>
    <x v="5"/>
    <x v="1"/>
    <e v="#REF!"/>
    <e v="#REF!"/>
    <s v=""/>
    <n v="-3.4384615384615479E-2"/>
  </r>
  <r>
    <x v="0"/>
    <x v="9"/>
    <x v="0"/>
    <x v="1"/>
    <m/>
    <m/>
    <s v="COPPER_TUBE_SOFTDRAWN, EVERSTRONG 0.028 X 1/4 x 15 mtr 05/19/25"/>
    <s v="IM-000318"/>
    <n v="0.5"/>
    <n v="2250"/>
    <m/>
    <n v="1125"/>
    <x v="0"/>
    <n v="2866"/>
    <n v="1590"/>
    <n v="795"/>
    <n v="818.85"/>
    <n v="306.14999999999998"/>
    <n v="0"/>
    <x v="0"/>
    <x v="0"/>
    <e v="#REF!"/>
    <e v="#REF!"/>
    <s v=""/>
    <n v="0.27213333333333334"/>
  </r>
  <r>
    <x v="0"/>
    <x v="9"/>
    <x v="0"/>
    <x v="6"/>
    <m/>
    <m/>
    <s v="COPPER_TUBE_SOFTDRAWN, HAILIANG 0.028 X 3/8 x 15 mtr"/>
    <s v="IM-000327"/>
    <n v="0.4"/>
    <n v="3000"/>
    <m/>
    <n v="1200"/>
    <x v="0"/>
    <n v="4774"/>
    <n v="2648"/>
    <n v="1059.2"/>
    <n v="1090.9760000000001"/>
    <n v="109.02399999999989"/>
    <n v="0"/>
    <x v="0"/>
    <x v="0"/>
    <e v="#REF!"/>
    <e v="#REF!"/>
    <s v=""/>
    <n v="9.0853333333333244E-2"/>
  </r>
  <r>
    <x v="0"/>
    <x v="9"/>
    <x v="0"/>
    <x v="6"/>
    <m/>
    <m/>
    <s v="COPPER_TUBE_SOFTDRAWN, EVERSTRONG 0.028 X 1/4 x 15 mtr 05/19/25"/>
    <s v="IM-000318"/>
    <n v="0.4"/>
    <n v="2250"/>
    <m/>
    <n v="900"/>
    <x v="0"/>
    <n v="2866"/>
    <n v="1590"/>
    <n v="636"/>
    <n v="655.08000000000004"/>
    <n v="244.91999999999996"/>
    <n v="0"/>
    <x v="0"/>
    <x v="0"/>
    <e v="#REF!"/>
    <e v="#REF!"/>
    <s v=""/>
    <n v="0.27213333333333328"/>
  </r>
  <r>
    <x v="0"/>
    <x v="9"/>
    <x v="0"/>
    <x v="6"/>
    <m/>
    <m/>
    <s v="BRACKET , AERO 1HP, COATED"/>
    <s v="IM-000096"/>
    <n v="2"/>
    <n v="350"/>
    <m/>
    <n v="700"/>
    <x v="0"/>
    <n v="0"/>
    <n v="0"/>
    <n v="0"/>
    <n v="0"/>
    <n v="700"/>
    <n v="0"/>
    <x v="3"/>
    <x v="0"/>
    <e v="#REF!"/>
    <e v="#REF!"/>
    <s v=""/>
    <n v="1"/>
  </r>
  <r>
    <x v="0"/>
    <x v="10"/>
    <x v="0"/>
    <x v="1"/>
    <m/>
    <m/>
    <s v="COPPER_TUBE_SOFTDRAWN, EVERSTRONG 0.028 X 1/4 x 15 mtr 05/19/25"/>
    <s v="IM-000318"/>
    <n v="1"/>
    <n v="1500"/>
    <m/>
    <n v="1500"/>
    <x v="0"/>
    <n v="2866"/>
    <n v="1590"/>
    <n v="1590"/>
    <n v="1637.7"/>
    <n v="-137.70000000000005"/>
    <n v="0"/>
    <x v="0"/>
    <x v="0"/>
    <e v="#REF!"/>
    <e v="#REF!"/>
    <s v=""/>
    <n v="-9.1800000000000034E-2"/>
  </r>
  <r>
    <x v="0"/>
    <x v="11"/>
    <x v="2"/>
    <x v="7"/>
    <m/>
    <m/>
    <s v="REFRIGERANT, ENTALPIA EUROPE R134A 13.6   2/7/26"/>
    <s v="GE-000517"/>
    <n v="1"/>
    <n v="7800"/>
    <m/>
    <n v="7800"/>
    <x v="0"/>
    <n v="10489"/>
    <n v="7684"/>
    <n v="7684"/>
    <n v="8068.2000000000007"/>
    <n v="-268.20000000000073"/>
    <n v="-80.460000000000221"/>
    <x v="5"/>
    <x v="1"/>
    <e v="#REF!"/>
    <e v="#REF!"/>
    <s v=""/>
    <n v="-3.4384615384615479E-2"/>
  </r>
  <r>
    <x v="0"/>
    <x v="12"/>
    <x v="0"/>
    <x v="6"/>
    <m/>
    <m/>
    <s v="COPPER_TUBE_SOFTDRAWN, EVERSTRONG 0.028 X 1/4 x 15 mtr 05/19/25"/>
    <s v="IM-000318"/>
    <n v="1"/>
    <n v="1500"/>
    <m/>
    <n v="1500"/>
    <x v="0"/>
    <n v="2866"/>
    <n v="1590"/>
    <n v="1590"/>
    <n v="1637.7"/>
    <n v="-137.70000000000005"/>
    <n v="0"/>
    <x v="0"/>
    <x v="0"/>
    <e v="#REF!"/>
    <e v="#REF!"/>
    <s v=""/>
    <n v="-9.1800000000000034E-2"/>
  </r>
  <r>
    <x v="0"/>
    <x v="12"/>
    <x v="0"/>
    <x v="6"/>
    <m/>
    <m/>
    <s v="COPPER_TUBE_SOFTDRAWN, HAILIANG 0.028 X 3/8 x 15 mtr"/>
    <s v="IM-000327"/>
    <n v="1"/>
    <n v="2300"/>
    <m/>
    <n v="2300"/>
    <x v="0"/>
    <n v="4774"/>
    <n v="2648"/>
    <n v="2648"/>
    <n v="2727.44"/>
    <n v="-427.44000000000005"/>
    <n v="0"/>
    <x v="0"/>
    <x v="0"/>
    <e v="#REF!"/>
    <e v="#REF!"/>
    <s v=""/>
    <n v="-0.18584347826086958"/>
  </r>
  <r>
    <x v="0"/>
    <x v="13"/>
    <x v="0"/>
    <x v="8"/>
    <m/>
    <m/>
    <s v="REFRIGERANT, ENTALPIA EUROPE R134A 13.6   2/7/26"/>
    <s v="GE-000517"/>
    <n v="1"/>
    <n v="7800"/>
    <m/>
    <n v="7800"/>
    <x v="0"/>
    <n v="10489"/>
    <n v="7684"/>
    <n v="7684"/>
    <n v="8068.2000000000007"/>
    <n v="-268.20000000000073"/>
    <n v="0"/>
    <x v="5"/>
    <x v="1"/>
    <e v="#REF!"/>
    <e v="#REF!"/>
    <s v=""/>
    <n v="-3.4384615384615479E-2"/>
  </r>
  <r>
    <x v="0"/>
    <x v="13"/>
    <x v="0"/>
    <x v="1"/>
    <m/>
    <m/>
    <s v="COPPER_TUBE_SOFTDRAWN, EVERSTRONG 0.028 X 1/4 x 15 mtr 05/19/25"/>
    <s v="IM-000318"/>
    <n v="0.2"/>
    <n v="2250"/>
    <m/>
    <n v="450"/>
    <x v="0"/>
    <n v="2866"/>
    <n v="1590"/>
    <n v="318"/>
    <n v="327.54000000000002"/>
    <n v="122.45999999999998"/>
    <n v="0"/>
    <x v="0"/>
    <x v="0"/>
    <e v="#REF!"/>
    <e v="#REF!"/>
    <s v=""/>
    <n v="0.27213333333333328"/>
  </r>
  <r>
    <x v="0"/>
    <x v="0"/>
    <x v="1"/>
    <x v="3"/>
    <m/>
    <m/>
    <s v="HALF_UNION, R12 (O) 3/8&quot;"/>
    <s v="CA-000686"/>
    <n v="2"/>
    <n v="30"/>
    <m/>
    <n v="60"/>
    <x v="0"/>
    <n v="30"/>
    <n v="16"/>
    <n v="32"/>
    <n v="33.6"/>
    <n v="26.4"/>
    <n v="7.919999999999999"/>
    <x v="6"/>
    <x v="2"/>
    <m/>
    <m/>
    <m/>
    <n v="0.44"/>
  </r>
  <r>
    <x v="0"/>
    <x v="11"/>
    <x v="2"/>
    <x v="9"/>
    <m/>
    <m/>
    <s v="COMPRESSOR, NEK 507 12V MG (6328)"/>
    <s v="CA-000320"/>
    <n v="1"/>
    <n v="4200"/>
    <m/>
    <n v="4200"/>
    <x v="0"/>
    <n v="5329"/>
    <n v="2900"/>
    <n v="2900"/>
    <n v="3045"/>
    <n v="1155"/>
    <n v="346.5"/>
    <x v="7"/>
    <x v="2"/>
    <e v="#REF!"/>
    <e v="#REF!"/>
    <s v=""/>
    <n v="0.27500000000000002"/>
  </r>
  <r>
    <x v="1"/>
    <x v="14"/>
    <x v="0"/>
    <x v="10"/>
    <m/>
    <m/>
    <s v="CONDENSER, UNIVERSAL 12 x 18 x 20"/>
    <s v="CA-000443"/>
    <n v="1"/>
    <n v="1700"/>
    <m/>
    <n v="1700"/>
    <x v="0"/>
    <n v="0"/>
    <n v="0"/>
    <n v="0"/>
    <n v="0"/>
    <n v="1700"/>
    <n v="0"/>
    <x v="8"/>
    <x v="2"/>
    <e v="#REF!"/>
    <e v="#REF!"/>
    <s v=""/>
    <n v="1"/>
  </r>
  <r>
    <x v="1"/>
    <x v="15"/>
    <x v="0"/>
    <x v="11"/>
    <m/>
    <m/>
    <s v="REFRIGERANT, ENTALPIA EUROPE R134A 13.6   2/7/26"/>
    <s v="GE-000517"/>
    <n v="1"/>
    <n v="7800"/>
    <m/>
    <n v="7800"/>
    <x v="0"/>
    <n v="10489"/>
    <n v="7684"/>
    <n v="7684"/>
    <n v="8068.2000000000007"/>
    <n v="-268.20000000000073"/>
    <n v="0"/>
    <x v="5"/>
    <x v="1"/>
    <e v="#REF!"/>
    <e v="#REF!"/>
    <s v=""/>
    <n v="-3.4384615384615479E-2"/>
  </r>
  <r>
    <x v="0"/>
    <x v="16"/>
    <x v="3"/>
    <x v="12"/>
    <m/>
    <n v="200"/>
    <s v="LUBRICANT, ND-OIL 8  250 CC (134A),OIL COMPRESSOR"/>
    <s v="GE-000197"/>
    <n v="1"/>
    <n v="180"/>
    <m/>
    <n v="180"/>
    <x v="0"/>
    <n v="188"/>
    <n v="85"/>
    <n v="85"/>
    <n v="89.25"/>
    <n v="90.75"/>
    <n v="27.224999999999998"/>
    <x v="9"/>
    <x v="1"/>
    <m/>
    <m/>
    <n v="201.60000000000002"/>
    <n v="0.50416666666666665"/>
  </r>
  <r>
    <x v="1"/>
    <x v="15"/>
    <x v="0"/>
    <x v="13"/>
    <m/>
    <m/>
    <s v="COPPER_TUBE_SOFTDRAWN, HAILIANG 0.028 X 3/8 x 15 mtr"/>
    <s v="IM-000327"/>
    <n v="0.2"/>
    <n v="3000"/>
    <m/>
    <n v="600"/>
    <x v="0"/>
    <n v="4774"/>
    <n v="2648"/>
    <n v="529.6"/>
    <n v="545.48800000000006"/>
    <n v="54.511999999999944"/>
    <n v="0"/>
    <x v="0"/>
    <x v="0"/>
    <e v="#REF!"/>
    <e v="#REF!"/>
    <s v=""/>
    <n v="9.0853333333333244E-2"/>
  </r>
  <r>
    <x v="1"/>
    <x v="15"/>
    <x v="0"/>
    <x v="13"/>
    <m/>
    <m/>
    <s v="COPPER_TUBE_SOFTDRAWN, EVERSTRONG 0.028 X 1/4 x 15 mtr 05/19/25"/>
    <s v="IM-000318"/>
    <n v="0.4"/>
    <n v="2250"/>
    <m/>
    <n v="900"/>
    <x v="0"/>
    <n v="2866"/>
    <n v="1590"/>
    <n v="636"/>
    <n v="655.08000000000004"/>
    <n v="244.91999999999996"/>
    <n v="0"/>
    <x v="0"/>
    <x v="0"/>
    <e v="#REF!"/>
    <e v="#REF!"/>
    <s v=""/>
    <n v="0.27213333333333328"/>
  </r>
  <r>
    <x v="1"/>
    <x v="15"/>
    <x v="0"/>
    <x v="13"/>
    <m/>
    <m/>
    <s v="ELECTRICAL WIRE_STRANDED, POWERFLEX THNN STRANDED   #14, ROLL"/>
    <s v="GE-000514"/>
    <n v="1"/>
    <n v="2600"/>
    <m/>
    <n v="2600"/>
    <x v="0"/>
    <n v="4317"/>
    <n v="2349"/>
    <n v="2349"/>
    <n v="2466.4500000000003"/>
    <n v="133.54999999999973"/>
    <n v="0"/>
    <x v="2"/>
    <x v="1"/>
    <e v="#REF!"/>
    <e v="#REF!"/>
    <s v=""/>
    <n v="5.1365384615384507E-2"/>
  </r>
  <r>
    <x v="1"/>
    <x v="15"/>
    <x v="0"/>
    <x v="13"/>
    <m/>
    <m/>
    <s v="BRACKET , AERO 2HP, COATED"/>
    <s v="IM-000300"/>
    <n v="1"/>
    <n v="450"/>
    <m/>
    <n v="450"/>
    <x v="0"/>
    <n v="0"/>
    <n v="0"/>
    <n v="0"/>
    <n v="0"/>
    <n v="450"/>
    <n v="0"/>
    <x v="3"/>
    <x v="0"/>
    <e v="#REF!"/>
    <e v="#REF!"/>
    <s v=""/>
    <n v="1"/>
  </r>
  <r>
    <x v="1"/>
    <x v="17"/>
    <x v="0"/>
    <x v="14"/>
    <m/>
    <m/>
    <s v="REFRIGERANT, ENTALPIA EUROPE R134A 13.6   2/7/26"/>
    <s v="GE-000517"/>
    <n v="1"/>
    <n v="7800"/>
    <m/>
    <n v="7800"/>
    <x v="0"/>
    <n v="10489"/>
    <n v="7684"/>
    <n v="7684"/>
    <n v="8068.2000000000007"/>
    <n v="-268.20000000000073"/>
    <n v="0"/>
    <x v="5"/>
    <x v="1"/>
    <e v="#REF!"/>
    <e v="#REF!"/>
    <s v=""/>
    <n v="-3.4384615384615479E-2"/>
  </r>
  <r>
    <x v="1"/>
    <x v="17"/>
    <x v="0"/>
    <x v="15"/>
    <m/>
    <m/>
    <s v="COPPER_TUBE_SOFTDRAWN, EVERSTRONG 0.028 X 5/8 x 15 mtr 06/26/25"/>
    <s v="IM-000320"/>
    <n v="1"/>
    <n v="3600"/>
    <m/>
    <n v="3600"/>
    <x v="0"/>
    <n v="8328"/>
    <n v="4255"/>
    <n v="4255"/>
    <n v="4382.6500000000005"/>
    <n v="-782.65000000000055"/>
    <n v="0"/>
    <x v="0"/>
    <x v="0"/>
    <e v="#REF!"/>
    <e v="#REF!"/>
    <s v=""/>
    <n v="-0.21740277777777792"/>
  </r>
  <r>
    <x v="1"/>
    <x v="17"/>
    <x v="0"/>
    <x v="15"/>
    <m/>
    <m/>
    <s v="COPPER_TUBE_SOFTDRAWN, HAILIANG 0.028 X 3/8 x 15 mtr"/>
    <s v="IM-000327"/>
    <n v="1"/>
    <n v="2300"/>
    <m/>
    <n v="2300"/>
    <x v="0"/>
    <n v="4774"/>
    <n v="2648"/>
    <n v="2648"/>
    <n v="2727.44"/>
    <n v="-427.44000000000005"/>
    <n v="0"/>
    <x v="0"/>
    <x v="0"/>
    <e v="#REF!"/>
    <e v="#REF!"/>
    <s v=""/>
    <n v="-0.18584347826086958"/>
  </r>
  <r>
    <x v="1"/>
    <x v="18"/>
    <x v="0"/>
    <x v="16"/>
    <m/>
    <m/>
    <s v="REFRIGERANT, ENTALPIA EUROPE R134A 13.6   2/7/26"/>
    <s v="GE-000517"/>
    <n v="1"/>
    <n v="7800"/>
    <m/>
    <n v="7800"/>
    <x v="0"/>
    <n v="10489"/>
    <n v="7684"/>
    <n v="7684"/>
    <n v="8068.2000000000007"/>
    <n v="-268.20000000000073"/>
    <n v="0"/>
    <x v="5"/>
    <x v="1"/>
    <e v="#REF!"/>
    <e v="#REF!"/>
    <s v=""/>
    <n v="-3.4384615384615479E-2"/>
  </r>
  <r>
    <x v="1"/>
    <x v="19"/>
    <x v="0"/>
    <x v="17"/>
    <m/>
    <m/>
    <s v="REFRIGERANT, ENTALPIA EUROPE R134A 13.6   2/7/26"/>
    <s v="GE-000517"/>
    <n v="1"/>
    <n v="7800"/>
    <m/>
    <n v="7800"/>
    <x v="0"/>
    <n v="10489"/>
    <n v="7684"/>
    <n v="7684"/>
    <n v="8068.2000000000007"/>
    <n v="-268.20000000000073"/>
    <n v="0"/>
    <x v="5"/>
    <x v="1"/>
    <e v="#REF!"/>
    <e v="#REF!"/>
    <s v=""/>
    <n v="-3.4384615384615479E-2"/>
  </r>
  <r>
    <x v="1"/>
    <x v="19"/>
    <x v="0"/>
    <x v="18"/>
    <m/>
    <m/>
    <s v="REFRIGERANT, ENTALPIA EUROPE R134A 13.6   2/7/26"/>
    <s v="GE-000517"/>
    <n v="1"/>
    <n v="8000"/>
    <m/>
    <n v="8000"/>
    <x v="0"/>
    <n v="10489"/>
    <n v="7684"/>
    <n v="7684"/>
    <n v="8068.2000000000007"/>
    <n v="-68.200000000000728"/>
    <n v="0"/>
    <x v="5"/>
    <x v="1"/>
    <e v="#REF!"/>
    <e v="#REF!"/>
    <s v=""/>
    <n v="-8.5250000000000915E-3"/>
  </r>
  <r>
    <x v="1"/>
    <x v="19"/>
    <x v="0"/>
    <x v="1"/>
    <m/>
    <m/>
    <s v="COPPER_TUBE_SOFTDRAWN, EVERSTRONG 0.028 X 5/8 x 15 mtr 06/26/25"/>
    <s v="IM-000320"/>
    <n v="0.6"/>
    <n v="4250"/>
    <m/>
    <n v="2550"/>
    <x v="0"/>
    <n v="8328"/>
    <n v="4255"/>
    <n v="2553"/>
    <n v="2629.59"/>
    <n v="-79.590000000000146"/>
    <n v="0"/>
    <x v="0"/>
    <x v="0"/>
    <e v="#REF!"/>
    <e v="#REF!"/>
    <s v=""/>
    <n v="-3.1211764705882411E-2"/>
  </r>
  <r>
    <x v="1"/>
    <x v="19"/>
    <x v="0"/>
    <x v="1"/>
    <m/>
    <m/>
    <s v="COPPER_TUBE_SOFTDRAWN, HAILIANG 0.028 X 3/8 x 15 mtr"/>
    <s v="IM-000327"/>
    <n v="0.6"/>
    <n v="3000"/>
    <m/>
    <n v="1800"/>
    <x v="0"/>
    <n v="4774"/>
    <n v="2648"/>
    <n v="1588.8"/>
    <n v="1636.4639999999999"/>
    <n v="163.53600000000006"/>
    <n v="0"/>
    <x v="0"/>
    <x v="0"/>
    <e v="#REF!"/>
    <e v="#REF!"/>
    <s v=""/>
    <n v="9.0853333333333369E-2"/>
  </r>
  <r>
    <x v="1"/>
    <x v="19"/>
    <x v="0"/>
    <x v="10"/>
    <m/>
    <m/>
    <s v="REFRIGERANT, ENTALPIA EUROPE R134A 13.6   2/7/26"/>
    <s v="GE-000517"/>
    <n v="1"/>
    <n v="7800"/>
    <m/>
    <n v="7800"/>
    <x v="0"/>
    <n v="10489"/>
    <n v="7684"/>
    <n v="7684"/>
    <n v="8068.2000000000007"/>
    <n v="-268.20000000000073"/>
    <n v="0"/>
    <x v="5"/>
    <x v="1"/>
    <e v="#REF!"/>
    <e v="#REF!"/>
    <s v=""/>
    <n v="-3.4384615384615479E-2"/>
  </r>
  <r>
    <x v="1"/>
    <x v="20"/>
    <x v="0"/>
    <x v="8"/>
    <m/>
    <m/>
    <s v="REFRIGERANT, ENTALPIA EUROPE R134A 13.6   2/7/26"/>
    <s v="GE-000517"/>
    <n v="1"/>
    <n v="8000"/>
    <m/>
    <n v="8000"/>
    <x v="0"/>
    <n v="10489"/>
    <n v="7684"/>
    <n v="7684"/>
    <n v="8068.2000000000007"/>
    <n v="-68.200000000000728"/>
    <n v="0"/>
    <x v="5"/>
    <x v="1"/>
    <e v="#REF!"/>
    <e v="#REF!"/>
    <s v=""/>
    <n v="-8.5250000000000915E-3"/>
  </r>
  <r>
    <x v="0"/>
    <x v="2"/>
    <x v="2"/>
    <x v="7"/>
    <m/>
    <m/>
    <s v="REFRIGERANT, EUFRON R134A, 13.6 KGS 9/11/25"/>
    <s v="GE-000467"/>
    <n v="1"/>
    <n v="7800"/>
    <m/>
    <n v="7800"/>
    <x v="0"/>
    <n v="8483"/>
    <n v="6732"/>
    <n v="6732"/>
    <n v="7068.6"/>
    <n v="731.39999999999964"/>
    <n v="219.41999999999987"/>
    <x v="5"/>
    <x v="1"/>
    <m/>
    <m/>
    <s v=""/>
    <n v="9.3769230769230716E-2"/>
  </r>
  <r>
    <x v="1"/>
    <x v="20"/>
    <x v="1"/>
    <x v="5"/>
    <m/>
    <m/>
    <s v="REFRIGERANT, ENTALPIA EUROPE R134A 13.6   2/7/26"/>
    <s v="GE-000517"/>
    <n v="1"/>
    <n v="8000"/>
    <m/>
    <n v="8000"/>
    <x v="0"/>
    <n v="10489"/>
    <n v="7684"/>
    <n v="7684"/>
    <n v="8068.2000000000007"/>
    <n v="-68.200000000000728"/>
    <n v="-20.460000000000218"/>
    <x v="5"/>
    <x v="1"/>
    <e v="#REF!"/>
    <e v="#REF!"/>
    <s v=""/>
    <n v="-8.5250000000000915E-3"/>
  </r>
  <r>
    <x v="1"/>
    <x v="21"/>
    <x v="0"/>
    <x v="6"/>
    <m/>
    <m/>
    <s v="COPPER_TUBE_SOFTDRAWN, EVERSTRONG 0.028 X 1/4 x 15 mtr 05/19/25"/>
    <s v="IM-000318"/>
    <n v="1"/>
    <n v="1500"/>
    <m/>
    <n v="1500"/>
    <x v="0"/>
    <n v="2866"/>
    <n v="1590"/>
    <n v="1590"/>
    <n v="1637.7"/>
    <n v="-137.70000000000005"/>
    <n v="0"/>
    <x v="0"/>
    <x v="0"/>
    <e v="#REF!"/>
    <e v="#REF!"/>
    <e v="#REF!"/>
    <n v="-9.1800000000000034E-2"/>
  </r>
  <r>
    <x v="1"/>
    <x v="21"/>
    <x v="0"/>
    <x v="6"/>
    <m/>
    <m/>
    <s v="COPPER_TUBE_SOFTDRAWN, HAILIANG 0.028 X 3/8 x 15 mtr"/>
    <s v="IM-000327"/>
    <n v="1"/>
    <n v="2300"/>
    <m/>
    <n v="2300"/>
    <x v="0"/>
    <n v="4774"/>
    <n v="2648"/>
    <n v="2648"/>
    <n v="2727.44"/>
    <n v="-427.44000000000005"/>
    <n v="0"/>
    <x v="0"/>
    <x v="0"/>
    <e v="#REF!"/>
    <e v="#REF!"/>
    <e v="#REF!"/>
    <n v="-0.18584347826086958"/>
  </r>
  <r>
    <x v="1"/>
    <x v="22"/>
    <x v="0"/>
    <x v="1"/>
    <m/>
    <m/>
    <s v="COPPER_TUBE_SOFTDRAWN, EVERSTRONG 0.028 X 1/4 x 15 mtr 05/19/25"/>
    <s v="IM-000318"/>
    <n v="1"/>
    <n v="1500"/>
    <m/>
    <n v="1500"/>
    <x v="0"/>
    <n v="2866"/>
    <n v="1590"/>
    <n v="1590"/>
    <n v="1637.7"/>
    <n v="-137.70000000000005"/>
    <n v="0"/>
    <x v="0"/>
    <x v="0"/>
    <e v="#REF!"/>
    <e v="#REF!"/>
    <e v="#REF!"/>
    <n v="-9.1800000000000034E-2"/>
  </r>
  <r>
    <x v="1"/>
    <x v="22"/>
    <x v="0"/>
    <x v="1"/>
    <m/>
    <m/>
    <s v="COPPER_TUBE_SOFTDRAWN, HAILIANG 0.028 X 3/8 x 15 mtr"/>
    <s v="IM-000327"/>
    <n v="1"/>
    <n v="2300"/>
    <m/>
    <n v="2300"/>
    <x v="0"/>
    <n v="4774"/>
    <n v="2648"/>
    <n v="2648"/>
    <n v="2727.44"/>
    <n v="-427.44000000000005"/>
    <n v="0"/>
    <x v="0"/>
    <x v="0"/>
    <e v="#REF!"/>
    <e v="#REF!"/>
    <e v="#REF!"/>
    <n v="-0.18584347826086958"/>
  </r>
  <r>
    <x v="1"/>
    <x v="22"/>
    <x v="0"/>
    <x v="1"/>
    <m/>
    <m/>
    <s v="COPPER_TUBE_SOFTDRAWN, EVERSTRONG 0.028 X 1/4 x 15 mtr 05/19/25"/>
    <s v="IM-000318"/>
    <n v="2"/>
    <n v="1500"/>
    <m/>
    <n v="3000"/>
    <x v="0"/>
    <n v="2866"/>
    <n v="1590"/>
    <n v="3180"/>
    <n v="3275.4"/>
    <n v="-275.40000000000009"/>
    <n v="0"/>
    <x v="0"/>
    <x v="0"/>
    <e v="#REF!"/>
    <e v="#REF!"/>
    <e v="#REF!"/>
    <n v="-9.1800000000000034E-2"/>
  </r>
  <r>
    <x v="1"/>
    <x v="22"/>
    <x v="0"/>
    <x v="1"/>
    <m/>
    <m/>
    <s v="COPPER_TUBE_SOFTDRAWN, HAILIANG 0.028 X 3/8 x 15 mtr"/>
    <s v="IM-000327"/>
    <n v="2"/>
    <n v="3020"/>
    <m/>
    <n v="6040"/>
    <x v="0"/>
    <n v="4774"/>
    <n v="2648"/>
    <n v="5296"/>
    <n v="5454.88"/>
    <n v="585.11999999999989"/>
    <n v="0"/>
    <x v="0"/>
    <x v="0"/>
    <e v="#REF!"/>
    <e v="#REF!"/>
    <e v="#REF!"/>
    <n v="9.6874172185430443E-2"/>
  </r>
  <r>
    <x v="1"/>
    <x v="23"/>
    <x v="0"/>
    <x v="19"/>
    <m/>
    <m/>
    <s v="COPPER_TUBE_SOFTDRAWN, EVERSTRONG 0.028 X 1/4 x 15 mtr 05/19/25"/>
    <s v="IM-000318"/>
    <n v="0.2"/>
    <n v="2250"/>
    <m/>
    <n v="450"/>
    <x v="0"/>
    <n v="2866"/>
    <n v="1590"/>
    <n v="318"/>
    <n v="327.54000000000002"/>
    <n v="122.45999999999998"/>
    <n v="0"/>
    <x v="0"/>
    <x v="0"/>
    <e v="#REF!"/>
    <e v="#REF!"/>
    <e v="#REF!"/>
    <n v="0.27213333333333328"/>
  </r>
  <r>
    <x v="1"/>
    <x v="23"/>
    <x v="0"/>
    <x v="19"/>
    <m/>
    <m/>
    <s v="COPPER_TUBE_SOFTDRAWN, HAILIANG 0.028 X 3/8 x 15 mtr"/>
    <s v="IM-000327"/>
    <n v="0.2"/>
    <n v="3000"/>
    <m/>
    <n v="600"/>
    <x v="0"/>
    <n v="4774"/>
    <n v="2648"/>
    <n v="529.6"/>
    <n v="545.48800000000006"/>
    <n v="54.511999999999944"/>
    <n v="0"/>
    <x v="0"/>
    <x v="0"/>
    <e v="#REF!"/>
    <e v="#REF!"/>
    <e v="#REF!"/>
    <n v="9.0853333333333244E-2"/>
  </r>
  <r>
    <x v="1"/>
    <x v="23"/>
    <x v="0"/>
    <x v="1"/>
    <m/>
    <m/>
    <s v="COPPER_TUBE_SOFTDRAWN, EVERSTRONG 0.028 X 1/4 x 15 mtr 05/19/25"/>
    <s v="IM-000318"/>
    <n v="0.4"/>
    <n v="2250"/>
    <m/>
    <n v="900"/>
    <x v="0"/>
    <n v="2866"/>
    <n v="1590"/>
    <n v="636"/>
    <n v="655.08000000000004"/>
    <n v="244.91999999999996"/>
    <n v="0"/>
    <x v="0"/>
    <x v="0"/>
    <e v="#REF!"/>
    <e v="#REF!"/>
    <e v="#REF!"/>
    <n v="0.27213333333333328"/>
  </r>
  <r>
    <x v="1"/>
    <x v="23"/>
    <x v="0"/>
    <x v="1"/>
    <m/>
    <m/>
    <s v="COPPER_TUBE_SOFTDRAWN, EVERSTRONG 0.028 X 1/4 x 15 mtr 05/19/25"/>
    <s v="IM-000318"/>
    <n v="0.2"/>
    <n v="2250"/>
    <m/>
    <n v="450"/>
    <x v="0"/>
    <n v="2866"/>
    <n v="1590"/>
    <n v="318"/>
    <n v="327.54000000000002"/>
    <n v="122.45999999999998"/>
    <n v="0"/>
    <x v="0"/>
    <x v="0"/>
    <e v="#REF!"/>
    <e v="#REF!"/>
    <e v="#REF!"/>
    <n v="0.27213333333333328"/>
  </r>
  <r>
    <x v="1"/>
    <x v="23"/>
    <x v="0"/>
    <x v="1"/>
    <m/>
    <m/>
    <s v="COPPER_TUBE_SOFTDRAWN, HAILIANG 0.028 X 3/8 x 15 mtr"/>
    <s v="IM-000327"/>
    <n v="0.2"/>
    <n v="3000"/>
    <m/>
    <n v="600"/>
    <x v="0"/>
    <n v="4774"/>
    <n v="2648"/>
    <n v="529.6"/>
    <n v="545.48800000000006"/>
    <n v="54.511999999999944"/>
    <n v="0"/>
    <x v="0"/>
    <x v="0"/>
    <e v="#REF!"/>
    <e v="#REF!"/>
    <e v="#REF!"/>
    <n v="9.0853333333333244E-2"/>
  </r>
  <r>
    <x v="1"/>
    <x v="24"/>
    <x v="0"/>
    <x v="1"/>
    <m/>
    <m/>
    <s v="COPPER_TUBE_SOFTDRAWN, EVERSTRONG 0.028 X 1/4 x 15 mtr 05/19/25"/>
    <s v="IM-000318"/>
    <n v="0.2"/>
    <n v="2250"/>
    <m/>
    <n v="450"/>
    <x v="0"/>
    <n v="2866"/>
    <n v="1590"/>
    <n v="318"/>
    <n v="327.54000000000002"/>
    <n v="122.45999999999998"/>
    <n v="0"/>
    <x v="0"/>
    <x v="0"/>
    <e v="#REF!"/>
    <e v="#REF!"/>
    <e v="#REF!"/>
    <n v="0.27213333333333328"/>
  </r>
  <r>
    <x v="1"/>
    <x v="24"/>
    <x v="0"/>
    <x v="1"/>
    <m/>
    <m/>
    <s v="COPPER_TUBE_SOFTDRAWN, EVERSTRONG 0.028 X 1/4 x 15 mtr 05/19/25"/>
    <s v="IM-000318"/>
    <n v="0.2"/>
    <n v="2250"/>
    <m/>
    <n v="450"/>
    <x v="0"/>
    <n v="2866"/>
    <n v="1590"/>
    <n v="318"/>
    <n v="327.54000000000002"/>
    <n v="122.45999999999998"/>
    <n v="0"/>
    <x v="0"/>
    <x v="0"/>
    <e v="#REF!"/>
    <e v="#REF!"/>
    <e v="#REF!"/>
    <n v="0.27213333333333328"/>
  </r>
  <r>
    <x v="1"/>
    <x v="24"/>
    <x v="0"/>
    <x v="1"/>
    <m/>
    <m/>
    <s v="COPPER_TUBE_SOFTDRAWN, HAILIANG 0.028 X 3/8 x 15 mtr"/>
    <s v="IM-000327"/>
    <n v="0.2"/>
    <n v="3000"/>
    <m/>
    <n v="600"/>
    <x v="0"/>
    <n v="4774"/>
    <n v="2648"/>
    <n v="529.6"/>
    <n v="545.48800000000006"/>
    <n v="54.511999999999944"/>
    <n v="0"/>
    <x v="0"/>
    <x v="0"/>
    <e v="#REF!"/>
    <e v="#REF!"/>
    <e v="#REF!"/>
    <n v="9.0853333333333244E-2"/>
  </r>
  <r>
    <x v="0"/>
    <x v="1"/>
    <x v="1"/>
    <x v="3"/>
    <m/>
    <m/>
    <s v="EVAPORATOR, KIA CARENS"/>
    <s v="CA-001387"/>
    <n v="1"/>
    <n v="2100"/>
    <m/>
    <n v="2100"/>
    <x v="0"/>
    <n v="2757"/>
    <n v="1500"/>
    <n v="1500"/>
    <n v="1575"/>
    <n v="525"/>
    <n v="157.5"/>
    <x v="10"/>
    <x v="2"/>
    <m/>
    <m/>
    <s v=""/>
    <n v="0.25"/>
  </r>
  <r>
    <x v="1"/>
    <x v="25"/>
    <x v="0"/>
    <x v="20"/>
    <m/>
    <m/>
    <s v="COPPER_TUBE_SOFTDRAWN, EVERSTRONG 0.028 X 5/8 x 15 mtr 06/26/25"/>
    <s v="IM-000320"/>
    <n v="0.2"/>
    <n v="4250"/>
    <m/>
    <n v="850"/>
    <x v="0"/>
    <n v="8328"/>
    <n v="4255"/>
    <n v="851"/>
    <n v="876.53"/>
    <n v="-26.529999999999973"/>
    <n v="0"/>
    <x v="0"/>
    <x v="0"/>
    <e v="#REF!"/>
    <e v="#REF!"/>
    <e v="#REF!"/>
    <n v="-3.1211764705882321E-2"/>
  </r>
  <r>
    <x v="1"/>
    <x v="25"/>
    <x v="0"/>
    <x v="20"/>
    <m/>
    <m/>
    <s v="COPPER_TUBE_SOFTDRAWN, HAILIANG 0.028 X 3/8 x 15 mtr"/>
    <s v="IM-000327"/>
    <n v="0.2"/>
    <n v="3000"/>
    <m/>
    <n v="600"/>
    <x v="0"/>
    <n v="4774"/>
    <n v="2648"/>
    <n v="529.6"/>
    <n v="545.48800000000006"/>
    <n v="54.511999999999944"/>
    <n v="0"/>
    <x v="0"/>
    <x v="0"/>
    <e v="#REF!"/>
    <e v="#REF!"/>
    <e v="#REF!"/>
    <n v="9.0853333333333244E-2"/>
  </r>
  <r>
    <x v="1"/>
    <x v="25"/>
    <x v="0"/>
    <x v="10"/>
    <m/>
    <m/>
    <s v="REFRIGERANT, ENTALPIA EUROPE R134A 13.6   2/7/26"/>
    <s v="GE-000517"/>
    <n v="1"/>
    <n v="8000"/>
    <m/>
    <n v="8000"/>
    <x v="0"/>
    <n v="10489"/>
    <n v="7684"/>
    <n v="7684"/>
    <n v="8068.2000000000007"/>
    <n v="-68.200000000000728"/>
    <n v="0"/>
    <x v="5"/>
    <x v="1"/>
    <e v="#REF!"/>
    <e v="#REF!"/>
    <e v="#REF!"/>
    <n v="-8.5250000000000915E-3"/>
  </r>
  <r>
    <x v="1"/>
    <x v="26"/>
    <x v="0"/>
    <x v="2"/>
    <m/>
    <m/>
    <s v="COPPER_TUBE_SOFTDRAWN, EVERSTRONG 0.028 X 1/4 x 15 mtr 05/19/25"/>
    <s v="IM-000318"/>
    <n v="0.2"/>
    <n v="2250"/>
    <m/>
    <n v="450"/>
    <x v="0"/>
    <n v="2866"/>
    <n v="1590"/>
    <n v="318"/>
    <n v="327.54000000000002"/>
    <n v="122.45999999999998"/>
    <n v="0"/>
    <x v="0"/>
    <x v="0"/>
    <e v="#REF!"/>
    <e v="#REF!"/>
    <e v="#REF!"/>
    <n v="0.27213333333333328"/>
  </r>
  <r>
    <x v="1"/>
    <x v="26"/>
    <x v="0"/>
    <x v="2"/>
    <m/>
    <m/>
    <s v="COPPER_TUBE_SOFTDRAWN, HAILIANG 0.028 X 3/8 x 15 mtr"/>
    <s v="IM-000327"/>
    <n v="0.2"/>
    <n v="3000"/>
    <m/>
    <n v="600"/>
    <x v="0"/>
    <n v="4774"/>
    <n v="2648"/>
    <n v="529.6"/>
    <n v="545.48800000000006"/>
    <n v="54.511999999999944"/>
    <n v="0"/>
    <x v="0"/>
    <x v="0"/>
    <e v="#REF!"/>
    <e v="#REF!"/>
    <e v="#REF!"/>
    <n v="9.0853333333333244E-2"/>
  </r>
  <r>
    <x v="1"/>
    <x v="26"/>
    <x v="0"/>
    <x v="21"/>
    <m/>
    <m/>
    <s v="REFRIGERANT, ENTALPIA EUROPE R134A 13.6   2/7/26"/>
    <s v="GE-000517"/>
    <n v="1"/>
    <n v="8100"/>
    <m/>
    <n v="8100"/>
    <x v="0"/>
    <n v="10489"/>
    <n v="7684"/>
    <n v="7684"/>
    <n v="8068.2000000000007"/>
    <n v="31.799999999999272"/>
    <n v="0"/>
    <x v="5"/>
    <x v="1"/>
    <e v="#REF!"/>
    <e v="#REF!"/>
    <e v="#REF!"/>
    <n v="3.9259259259258363E-3"/>
  </r>
  <r>
    <x v="1"/>
    <x v="26"/>
    <x v="0"/>
    <x v="18"/>
    <m/>
    <m/>
    <s v="REFRIGERANT, ENTALPIA EUROPE R134A 13.6   2/7/26"/>
    <s v="GE-000517"/>
    <n v="1"/>
    <n v="8000"/>
    <m/>
    <n v="8000"/>
    <x v="0"/>
    <n v="10489"/>
    <n v="7684"/>
    <n v="7684"/>
    <n v="8068.2000000000007"/>
    <n v="-68.200000000000728"/>
    <n v="0"/>
    <x v="5"/>
    <x v="1"/>
    <e v="#REF!"/>
    <e v="#REF!"/>
    <e v="#REF!"/>
    <n v="-8.5250000000000915E-3"/>
  </r>
  <r>
    <x v="0"/>
    <x v="27"/>
    <x v="2"/>
    <x v="22"/>
    <m/>
    <m/>
    <s v="PULLEY_ASSEMBLY, HYUNDAI GRAND STAREX 7PK"/>
    <s v="CA-001009"/>
    <n v="1"/>
    <n v="2100"/>
    <m/>
    <n v="2100"/>
    <x v="0"/>
    <n v="3032"/>
    <n v="1650"/>
    <n v="1650"/>
    <n v="1732.5"/>
    <n v="367.5"/>
    <n v="110.25"/>
    <x v="11"/>
    <x v="2"/>
    <m/>
    <m/>
    <s v=""/>
    <n v="0.17499999999999999"/>
  </r>
  <r>
    <x v="1"/>
    <x v="28"/>
    <x v="0"/>
    <x v="23"/>
    <m/>
    <m/>
    <s v="REFRIGERANT, ENTALPIA EUROPE R134A 13.6   2/7/26"/>
    <s v="GE-000517"/>
    <n v="1"/>
    <n v="8000"/>
    <m/>
    <n v="8000"/>
    <x v="0"/>
    <n v="10489"/>
    <n v="7684"/>
    <n v="7684"/>
    <n v="8068.2000000000007"/>
    <n v="-68.200000000000728"/>
    <n v="0"/>
    <x v="5"/>
    <x v="1"/>
    <e v="#REF!"/>
    <e v="#REF!"/>
    <e v="#REF!"/>
    <n v="0"/>
  </r>
  <r>
    <x v="1"/>
    <x v="28"/>
    <x v="0"/>
    <x v="24"/>
    <m/>
    <m/>
    <s v="COPPER_TUBE_SOFTDRAWN, EVERSTRONG 0.028 X 1/4 x 15 mtr 05/19/25"/>
    <s v="IM-000318"/>
    <n v="2"/>
    <n v="1500"/>
    <m/>
    <n v="3000"/>
    <x v="0"/>
    <n v="2866"/>
    <n v="1590"/>
    <n v="3180"/>
    <n v="3275.4"/>
    <n v="-275.40000000000009"/>
    <n v="0"/>
    <x v="0"/>
    <x v="0"/>
    <e v="#REF!"/>
    <e v="#REF!"/>
    <e v="#REF!"/>
    <n v="-9.1800000000000034E-2"/>
  </r>
  <r>
    <x v="1"/>
    <x v="28"/>
    <x v="0"/>
    <x v="24"/>
    <m/>
    <m/>
    <s v="COPPER_TUBE_SOFTDRAWN, HAILIANG 0.028 X 3/8 x 15 mtr"/>
    <s v="IM-000327"/>
    <n v="1"/>
    <n v="2300"/>
    <m/>
    <n v="2300"/>
    <x v="0"/>
    <n v="4774"/>
    <n v="2648"/>
    <n v="2648"/>
    <n v="2727.44"/>
    <n v="-427.44000000000005"/>
    <n v="0"/>
    <x v="0"/>
    <x v="0"/>
    <e v="#REF!"/>
    <e v="#REF!"/>
    <e v="#REF!"/>
    <n v="-0.18584347826086958"/>
  </r>
  <r>
    <x v="1"/>
    <x v="28"/>
    <x v="0"/>
    <x v="8"/>
    <m/>
    <m/>
    <s v="REFRIGERANT, ENTALPIA EUROPE R134A 13.6   2/7/26"/>
    <s v="GE-000517"/>
    <n v="1"/>
    <n v="8000"/>
    <m/>
    <n v="8000"/>
    <x v="0"/>
    <n v="10489"/>
    <n v="7684"/>
    <n v="7684"/>
    <n v="8068.2000000000007"/>
    <n v="-68.200000000000728"/>
    <n v="0"/>
    <x v="5"/>
    <x v="1"/>
    <e v="#REF!"/>
    <e v="#REF!"/>
    <e v="#REF!"/>
    <n v="-8.5250000000000915E-3"/>
  </r>
  <r>
    <x v="1"/>
    <x v="28"/>
    <x v="1"/>
    <x v="5"/>
    <m/>
    <m/>
    <s v="REFRIGERANT, ENTALPIA EUROPE R134A 13.6   2/7/26"/>
    <s v="GE-000517"/>
    <n v="1"/>
    <n v="8000"/>
    <m/>
    <n v="8000"/>
    <x v="0"/>
    <n v="10489"/>
    <n v="7684"/>
    <n v="7684"/>
    <n v="8068.2000000000007"/>
    <n v="-68.200000000000728"/>
    <n v="-20.460000000000218"/>
    <x v="5"/>
    <x v="1"/>
    <e v="#REF!"/>
    <e v="#REF!"/>
    <e v="#REF!"/>
    <n v="-8.5250000000000915E-3"/>
  </r>
  <r>
    <x v="1"/>
    <x v="28"/>
    <x v="0"/>
    <x v="11"/>
    <m/>
    <m/>
    <s v="REFRIGERANT, ENTALPIA EUROPE R134A 13.6   2/7/26"/>
    <s v="GE-000517"/>
    <n v="1"/>
    <n v="8000"/>
    <m/>
    <n v="8000"/>
    <x v="0"/>
    <n v="10489"/>
    <n v="7684"/>
    <n v="7684"/>
    <n v="8068.2000000000007"/>
    <n v="-68.200000000000728"/>
    <n v="0"/>
    <x v="5"/>
    <x v="1"/>
    <e v="#REF!"/>
    <e v="#REF!"/>
    <e v="#REF!"/>
    <n v="-8.5250000000000915E-3"/>
  </r>
  <r>
    <x v="1"/>
    <x v="29"/>
    <x v="0"/>
    <x v="23"/>
    <m/>
    <m/>
    <s v="CABIN_FILTER, HONDA CITY 2015"/>
    <s v="CA-001675"/>
    <n v="1"/>
    <n v="300"/>
    <m/>
    <n v="300"/>
    <x v="0"/>
    <n v="0"/>
    <n v="0"/>
    <n v="0"/>
    <n v="0"/>
    <n v="300"/>
    <n v="0"/>
    <x v="12"/>
    <x v="2"/>
    <e v="#REF!"/>
    <e v="#REF!"/>
    <e v="#REF!"/>
    <n v="1"/>
  </r>
  <r>
    <x v="1"/>
    <x v="29"/>
    <x v="0"/>
    <x v="17"/>
    <m/>
    <m/>
    <s v="REFRIGERANT, ENTALPIA EUROPE R134A 13.6   2/7/26"/>
    <s v="GE-000517"/>
    <n v="1"/>
    <n v="8000"/>
    <m/>
    <n v="8000"/>
    <x v="0"/>
    <n v="10489"/>
    <n v="7684"/>
    <n v="7684"/>
    <n v="8068.2000000000007"/>
    <n v="-68.200000000000728"/>
    <n v="0"/>
    <x v="5"/>
    <x v="1"/>
    <e v="#REF!"/>
    <e v="#REF!"/>
    <e v="#REF!"/>
    <n v="-8.5250000000000915E-3"/>
  </r>
  <r>
    <x v="1"/>
    <x v="30"/>
    <x v="0"/>
    <x v="24"/>
    <m/>
    <m/>
    <s v="COPPER_TUBE_SOFTDRAWN, EVERSTRONG 0.028 X 1/4 x 15 mtr 05/19/25"/>
    <s v="IM-000318"/>
    <n v="2"/>
    <n v="1500"/>
    <m/>
    <n v="3000"/>
    <x v="0"/>
    <n v="2866"/>
    <n v="1590"/>
    <n v="3180"/>
    <n v="3275.4"/>
    <n v="-275.40000000000009"/>
    <n v="0"/>
    <x v="0"/>
    <x v="0"/>
    <e v="#REF!"/>
    <e v="#REF!"/>
    <e v="#REF!"/>
    <n v="-9.1800000000000034E-2"/>
  </r>
  <r>
    <x v="1"/>
    <x v="30"/>
    <x v="0"/>
    <x v="24"/>
    <m/>
    <m/>
    <s v="COPPER_TUBE_SOFTDRAWN, HAILIANG 0.028 X 3/8 x 15 mtr"/>
    <s v="IM-000327"/>
    <n v="1"/>
    <n v="2300"/>
    <m/>
    <n v="2300"/>
    <x v="0"/>
    <n v="4774"/>
    <n v="2648"/>
    <n v="2648"/>
    <n v="2727.44"/>
    <n v="-427.44000000000005"/>
    <n v="0"/>
    <x v="0"/>
    <x v="0"/>
    <e v="#REF!"/>
    <e v="#REF!"/>
    <e v="#REF!"/>
    <n v="-0.18584347826086958"/>
  </r>
  <r>
    <x v="0"/>
    <x v="31"/>
    <x v="4"/>
    <x v="25"/>
    <m/>
    <m/>
    <s v="EVAPORATOR, FORD RANGER 12 40A547"/>
    <s v="CA-001833"/>
    <n v="1"/>
    <n v="2300"/>
    <m/>
    <n v="2300"/>
    <x v="0"/>
    <n v="2757"/>
    <n v="1500"/>
    <n v="1500"/>
    <n v="1575"/>
    <n v="725"/>
    <n v="217.5"/>
    <x v="10"/>
    <x v="2"/>
    <m/>
    <m/>
    <s v=""/>
    <n v="0.31521739130434784"/>
  </r>
  <r>
    <x v="1"/>
    <x v="32"/>
    <x v="0"/>
    <x v="26"/>
    <m/>
    <m/>
    <s v="COPPER_TUBE_SOFTDRAWN, EVERSTRONG 0.028 X 1/4 x 15 mtr 05/19/25"/>
    <s v="IM-000318"/>
    <n v="2"/>
    <n v="1550"/>
    <m/>
    <n v="3100"/>
    <x v="0"/>
    <n v="2866"/>
    <n v="1590"/>
    <n v="3180"/>
    <n v="3275.4"/>
    <n v="-175.40000000000009"/>
    <n v="0"/>
    <x v="0"/>
    <x v="0"/>
    <e v="#REF!"/>
    <e v="#REF!"/>
    <e v="#REF!"/>
    <n v="-5.6580645161290355E-2"/>
  </r>
  <r>
    <x v="1"/>
    <x v="32"/>
    <x v="0"/>
    <x v="26"/>
    <m/>
    <m/>
    <s v="COPPER_TUBE_SOFTDRAWN, EVERSTRONG 0.028 X 5/8 x 15 mtr 06/26/25"/>
    <s v="IM-000320"/>
    <n v="2"/>
    <n v="3720"/>
    <m/>
    <n v="7440"/>
    <x v="0"/>
    <n v="8328"/>
    <n v="4255"/>
    <n v="8510"/>
    <n v="8765.3000000000011"/>
    <n v="-1325.3000000000011"/>
    <n v="0"/>
    <x v="0"/>
    <x v="0"/>
    <e v="#REF!"/>
    <e v="#REF!"/>
    <e v="#REF!"/>
    <n v="-0.17813172043010767"/>
  </r>
  <r>
    <x v="1"/>
    <x v="32"/>
    <x v="1"/>
    <x v="5"/>
    <m/>
    <m/>
    <s v="REFRIGERANT, ENTALPIA EUROPE R134A 13.6   2/7/26"/>
    <s v="GE-000517"/>
    <n v="1"/>
    <n v="8000"/>
    <m/>
    <n v="8000"/>
    <x v="0"/>
    <n v="10489"/>
    <n v="7684"/>
    <n v="7684"/>
    <n v="8068.2000000000007"/>
    <n v="-68.200000000000728"/>
    <n v="-20.460000000000218"/>
    <x v="5"/>
    <x v="1"/>
    <e v="#REF!"/>
    <e v="#REF!"/>
    <e v="#REF!"/>
    <n v="-8.5250000000000915E-3"/>
  </r>
  <r>
    <x v="1"/>
    <x v="32"/>
    <x v="0"/>
    <x v="1"/>
    <m/>
    <m/>
    <s v="COPPER_TUBE_SOFTDRAWN, EVERSTRONG 0.028 X 1/4 x 15 mtr 05/19/25"/>
    <s v="IM-000318"/>
    <n v="2"/>
    <n v="1550"/>
    <m/>
    <n v="3100"/>
    <x v="0"/>
    <n v="2866"/>
    <n v="1590"/>
    <n v="3180"/>
    <n v="3275.4"/>
    <n v="-175.40000000000009"/>
    <n v="0"/>
    <x v="0"/>
    <x v="0"/>
    <e v="#REF!"/>
    <e v="#REF!"/>
    <e v="#REF!"/>
    <n v="-5.6580645161290355E-2"/>
  </r>
  <r>
    <x v="1"/>
    <x v="32"/>
    <x v="0"/>
    <x v="1"/>
    <m/>
    <m/>
    <s v="COPPER_TUBE_SOFTDRAWN, HAILIANG 0.028 X 3/8 x 15 mtr"/>
    <s v="IM-000327"/>
    <n v="1"/>
    <n v="2300"/>
    <m/>
    <n v="2300"/>
    <x v="0"/>
    <n v="4774"/>
    <n v="2648"/>
    <n v="2648"/>
    <n v="2727.44"/>
    <n v="-427.44000000000005"/>
    <n v="0"/>
    <x v="0"/>
    <x v="0"/>
    <e v="#REF!"/>
    <e v="#REF!"/>
    <e v="#REF!"/>
    <n v="-0.18584347826086958"/>
  </r>
  <r>
    <x v="0"/>
    <x v="0"/>
    <x v="2"/>
    <x v="9"/>
    <m/>
    <m/>
    <s v="EVAPORATOR, TOYOTA RUSH  40A507"/>
    <s v="CA-001613"/>
    <n v="1"/>
    <n v="2100"/>
    <m/>
    <n v="2100"/>
    <x v="0"/>
    <n v="2665"/>
    <n v="1450"/>
    <n v="1450"/>
    <n v="1522.5"/>
    <n v="577.5"/>
    <n v="173.25"/>
    <x v="10"/>
    <x v="2"/>
    <m/>
    <m/>
    <m/>
    <n v="0.27500000000000002"/>
  </r>
  <r>
    <x v="1"/>
    <x v="33"/>
    <x v="0"/>
    <x v="26"/>
    <m/>
    <m/>
    <s v="COPPER_TUBE_SOFTDRAWN, HAILIANG 0.028 X 5/8 x 15 mtr"/>
    <s v="IM-000324"/>
    <n v="1"/>
    <n v="4890"/>
    <m/>
    <n v="4890"/>
    <x v="0"/>
    <n v="0"/>
    <n v="0"/>
    <n v="0"/>
    <n v="0"/>
    <n v="4890"/>
    <n v="0"/>
    <x v="13"/>
    <x v="3"/>
    <e v="#REF!"/>
    <e v="#REF!"/>
    <e v="#REF!"/>
    <n v="1"/>
  </r>
  <r>
    <x v="1"/>
    <x v="33"/>
    <x v="0"/>
    <x v="26"/>
    <m/>
    <m/>
    <s v="COPPER_TUBE_SOFTDRAWN, HAILIANG 0.028 X 1/4 x 15 mtr"/>
    <s v="IM-000321"/>
    <n v="1"/>
    <n v="1550"/>
    <m/>
    <n v="1550"/>
    <x v="0"/>
    <n v="0"/>
    <n v="0"/>
    <n v="0"/>
    <n v="0"/>
    <n v="1550"/>
    <n v="0"/>
    <x v="13"/>
    <x v="3"/>
    <e v="#REF!"/>
    <e v="#REF!"/>
    <e v="#REF!"/>
    <n v="1"/>
  </r>
  <r>
    <x v="1"/>
    <x v="33"/>
    <x v="0"/>
    <x v="19"/>
    <m/>
    <m/>
    <s v="COPPER_TUBE_SOFTDRAWN, HAILIANG 0.028 X 1/4 x 15 mtr"/>
    <s v="IM-000321"/>
    <n v="0.2"/>
    <n v="2250"/>
    <m/>
    <n v="450"/>
    <x v="0"/>
    <n v="0"/>
    <n v="0"/>
    <n v="0"/>
    <n v="0"/>
    <n v="450"/>
    <n v="0"/>
    <x v="13"/>
    <x v="3"/>
    <e v="#REF!"/>
    <e v="#REF!"/>
    <e v="#REF!"/>
    <n v="0"/>
  </r>
  <r>
    <x v="1"/>
    <x v="33"/>
    <x v="0"/>
    <x v="19"/>
    <m/>
    <m/>
    <s v="COPPER_TUBE_SOFTDRAWN, HAILIANG 0.028 X 3/8 x 15 mtr"/>
    <s v="IM-000327"/>
    <n v="0.2"/>
    <n v="3000"/>
    <m/>
    <n v="600"/>
    <x v="0"/>
    <n v="4774"/>
    <n v="2648"/>
    <n v="529.6"/>
    <n v="545.48800000000006"/>
    <n v="54.511999999999944"/>
    <n v="0"/>
    <x v="0"/>
    <x v="0"/>
    <e v="#REF!"/>
    <e v="#REF!"/>
    <e v="#REF!"/>
    <n v="0"/>
  </r>
  <r>
    <x v="1"/>
    <x v="33"/>
    <x v="0"/>
    <x v="27"/>
    <m/>
    <m/>
    <s v="BRACKET , AERO 2HP, COATED"/>
    <s v="IM-000300"/>
    <n v="1"/>
    <n v="450"/>
    <m/>
    <n v="450"/>
    <x v="0"/>
    <n v="0"/>
    <n v="0"/>
    <n v="0"/>
    <n v="0"/>
    <n v="450"/>
    <n v="0"/>
    <x v="3"/>
    <x v="0"/>
    <e v="#REF!"/>
    <e v="#REF!"/>
    <e v="#REF!"/>
    <n v="0"/>
  </r>
  <r>
    <x v="1"/>
    <x v="34"/>
    <x v="0"/>
    <x v="28"/>
    <m/>
    <m/>
    <s v="REFRIGERANT, ENTALPIA EUROPE R134A 13.6   2/7/26"/>
    <s v="GE-000517"/>
    <n v="1"/>
    <n v="8000"/>
    <m/>
    <n v="8000"/>
    <x v="0"/>
    <n v="10489"/>
    <n v="7684"/>
    <n v="7684"/>
    <n v="8068.2000000000007"/>
    <n v="-68.200000000000728"/>
    <n v="0"/>
    <x v="5"/>
    <x v="1"/>
    <e v="#REF!"/>
    <e v="#REF!"/>
    <e v="#REF!"/>
    <n v="0"/>
  </r>
  <r>
    <x v="2"/>
    <x v="35"/>
    <x v="0"/>
    <x v="29"/>
    <m/>
    <m/>
    <s v="COPPER_TUBE_SOFTDRAWN, HAILIANG 0.028 X 1/4 x 15 mtr"/>
    <s v="IM-000321"/>
    <n v="1"/>
    <n v="1800"/>
    <m/>
    <n v="1800"/>
    <x v="0"/>
    <n v="0"/>
    <n v="0"/>
    <n v="0"/>
    <n v="0"/>
    <n v="1800"/>
    <n v="0"/>
    <x v="13"/>
    <x v="3"/>
    <e v="#REF!"/>
    <e v="#REF!"/>
    <s v=""/>
    <n v="1"/>
  </r>
  <r>
    <x v="2"/>
    <x v="35"/>
    <x v="0"/>
    <x v="30"/>
    <m/>
    <m/>
    <s v="COPPER_TUBE_SOFTDRAWN, HAILIANG 0.028 X 1/4 x 15 mtr"/>
    <s v="IM-000321"/>
    <n v="1"/>
    <n v="1800"/>
    <m/>
    <n v="1800"/>
    <x v="0"/>
    <n v="0"/>
    <n v="0"/>
    <n v="0"/>
    <n v="0"/>
    <n v="1800"/>
    <n v="0"/>
    <x v="13"/>
    <x v="3"/>
    <e v="#REF!"/>
    <e v="#REF!"/>
    <s v=""/>
    <n v="1"/>
  </r>
  <r>
    <x v="2"/>
    <x v="35"/>
    <x v="0"/>
    <x v="30"/>
    <m/>
    <m/>
    <s v="COPPER_TUBE_SOFTDRAWN, HAILIANG 0.028 X 1/4 x 15 mtr"/>
    <s v="IM-000321"/>
    <n v="1"/>
    <n v="2850"/>
    <m/>
    <n v="2850"/>
    <x v="0"/>
    <n v="0"/>
    <n v="0"/>
    <n v="0"/>
    <n v="0"/>
    <n v="2850"/>
    <n v="0"/>
    <x v="13"/>
    <x v="3"/>
    <e v="#REF!"/>
    <e v="#REF!"/>
    <s v=""/>
    <n v="1"/>
  </r>
  <r>
    <x v="2"/>
    <x v="35"/>
    <x v="0"/>
    <x v="10"/>
    <m/>
    <m/>
    <s v="REFRIGERANT, ENTALPIA EUROPE R134A 13.6   2/7/26"/>
    <s v="GE-000517"/>
    <n v="1"/>
    <n v="8000"/>
    <m/>
    <n v="8000"/>
    <x v="0"/>
    <n v="10489"/>
    <n v="7684"/>
    <n v="7684"/>
    <n v="8068.2000000000007"/>
    <n v="-68.200000000000728"/>
    <n v="0"/>
    <x v="5"/>
    <x v="1"/>
    <e v="#REF!"/>
    <e v="#REF!"/>
    <s v=""/>
    <n v="-8.5250000000000915E-3"/>
  </r>
  <r>
    <x v="0"/>
    <x v="1"/>
    <x v="1"/>
    <x v="3"/>
    <m/>
    <m/>
    <s v="AUXFAN_MOTOR, MITSUBISHI MONTERO GOLD"/>
    <s v="CA-000056"/>
    <n v="1"/>
    <n v="1300"/>
    <m/>
    <n v="1300"/>
    <x v="0"/>
    <n v="1379"/>
    <n v="750"/>
    <n v="750"/>
    <n v="787.5"/>
    <n v="512.5"/>
    <n v="153.75"/>
    <x v="14"/>
    <x v="2"/>
    <m/>
    <m/>
    <s v=""/>
    <n v="0.39423076923076922"/>
  </r>
  <r>
    <x v="2"/>
    <x v="36"/>
    <x v="0"/>
    <x v="27"/>
    <m/>
    <m/>
    <s v="COPPER_TUBE_SOFTDRAWN, HAILIANG 0.028 X 1/4 x 15 mtr"/>
    <s v="IM-000321"/>
    <n v="0.2"/>
    <n v="2500"/>
    <m/>
    <n v="500"/>
    <x v="0"/>
    <n v="0"/>
    <n v="0"/>
    <n v="0"/>
    <n v="0"/>
    <n v="500"/>
    <n v="0"/>
    <x v="13"/>
    <x v="3"/>
    <e v="#REF!"/>
    <e v="#REF!"/>
    <s v=""/>
    <n v="1"/>
  </r>
  <r>
    <x v="2"/>
    <x v="36"/>
    <x v="0"/>
    <x v="27"/>
    <m/>
    <m/>
    <s v="COPPER_TUBE_SOFTDRAWN, HAILIANG 0.028 X 1/2  x 15 mtr"/>
    <s v="IM-000328"/>
    <n v="0.2"/>
    <n v="4250"/>
    <m/>
    <n v="850"/>
    <x v="0"/>
    <n v="6554"/>
    <n v="3636"/>
    <n v="727.2"/>
    <n v="749.01600000000008"/>
    <n v="100.98399999999992"/>
    <n v="0"/>
    <x v="0"/>
    <x v="0"/>
    <e v="#REF!"/>
    <e v="#REF!"/>
    <s v=""/>
    <n v="0.11880470588235285"/>
  </r>
  <r>
    <x v="2"/>
    <x v="36"/>
    <x v="0"/>
    <x v="27"/>
    <m/>
    <m/>
    <s v="BRACKET , AERO 2HP, COATED"/>
    <s v="IM-000300"/>
    <n v="1"/>
    <n v="450"/>
    <m/>
    <n v="450"/>
    <x v="0"/>
    <n v="0"/>
    <n v="0"/>
    <n v="0"/>
    <n v="0"/>
    <n v="450"/>
    <n v="0"/>
    <x v="3"/>
    <x v="0"/>
    <e v="#REF!"/>
    <e v="#REF!"/>
    <s v=""/>
    <n v="1"/>
  </r>
  <r>
    <x v="2"/>
    <x v="36"/>
    <x v="0"/>
    <x v="4"/>
    <m/>
    <m/>
    <s v="COPPER_TUBE_SOFTDRAWN, HAILIANG 0.028 X 5/8 x 15 mtr"/>
    <s v="IM-000324"/>
    <n v="1"/>
    <n v="4890"/>
    <m/>
    <n v="4890"/>
    <x v="0"/>
    <n v="0"/>
    <n v="0"/>
    <n v="0"/>
    <n v="0"/>
    <n v="4890"/>
    <n v="0"/>
    <x v="13"/>
    <x v="3"/>
    <e v="#REF!"/>
    <e v="#REF!"/>
    <s v=""/>
    <n v="1"/>
  </r>
  <r>
    <x v="2"/>
    <x v="37"/>
    <x v="0"/>
    <x v="18"/>
    <m/>
    <m/>
    <s v="REFRIGERANT, ENTALPIA EUROPE R134A 13.6   2/7/26"/>
    <s v="GE-000517"/>
    <n v="1"/>
    <n v="8000"/>
    <m/>
    <n v="8000"/>
    <x v="0"/>
    <n v="10489"/>
    <n v="7684"/>
    <n v="7684"/>
    <n v="8068.2000000000007"/>
    <n v="-68.200000000000728"/>
    <n v="0"/>
    <x v="5"/>
    <x v="1"/>
    <e v="#REF!"/>
    <e v="#REF!"/>
    <s v=""/>
    <n v="-8.5250000000000915E-3"/>
  </r>
  <r>
    <x v="2"/>
    <x v="38"/>
    <x v="1"/>
    <x v="5"/>
    <m/>
    <m/>
    <s v="REFRIGERANT, ENTALPIA EUROPE R134A 13.6   2/7/26"/>
    <s v="GE-000517"/>
    <n v="1"/>
    <n v="8000"/>
    <m/>
    <n v="8000"/>
    <x v="0"/>
    <n v="10489"/>
    <n v="7684"/>
    <n v="7684"/>
    <n v="8068.2000000000007"/>
    <n v="-68.200000000000728"/>
    <n v="-20.460000000000218"/>
    <x v="5"/>
    <x v="1"/>
    <e v="#REF!"/>
    <e v="#REF!"/>
    <s v=""/>
    <n v="-8.5250000000000915E-3"/>
  </r>
  <r>
    <x v="2"/>
    <x v="38"/>
    <x v="0"/>
    <x v="1"/>
    <m/>
    <m/>
    <s v="COPPER_TUBE_SOFTDRAWN, HAILIANG 0.028 X 1/4 x 15 mtr"/>
    <s v="IM-000321"/>
    <n v="0.2"/>
    <n v="2250"/>
    <m/>
    <n v="450"/>
    <x v="0"/>
    <n v="0"/>
    <n v="0"/>
    <n v="0"/>
    <n v="0"/>
    <n v="450"/>
    <n v="0"/>
    <x v="13"/>
    <x v="3"/>
    <e v="#REF!"/>
    <e v="#REF!"/>
    <s v=""/>
    <n v="1"/>
  </r>
  <r>
    <x v="2"/>
    <x v="38"/>
    <x v="0"/>
    <x v="1"/>
    <m/>
    <m/>
    <s v="COPPER_TUBE_SOFTDRAWN, HAILIANG 0.028 X 3/8 x 15 mtr"/>
    <s v="IM-000327"/>
    <n v="0.2"/>
    <n v="3000"/>
    <m/>
    <n v="600"/>
    <x v="0"/>
    <n v="4774"/>
    <n v="2648"/>
    <n v="529.6"/>
    <n v="545.48800000000006"/>
    <n v="54.511999999999944"/>
    <n v="0"/>
    <x v="0"/>
    <x v="0"/>
    <e v="#REF!"/>
    <e v="#REF!"/>
    <s v=""/>
    <n v="9.0853333333333244E-2"/>
  </r>
  <r>
    <x v="2"/>
    <x v="39"/>
    <x v="0"/>
    <x v="8"/>
    <m/>
    <m/>
    <s v="REFRIGERANT, ENTALPIA EUROPE R134A 13.6   2/7/26"/>
    <s v="GE-000517"/>
    <n v="1"/>
    <n v="8000"/>
    <m/>
    <n v="8000"/>
    <x v="0"/>
    <n v="10489"/>
    <n v="7684"/>
    <n v="7684"/>
    <n v="8068.2000000000007"/>
    <n v="-68.200000000000728"/>
    <n v="0"/>
    <x v="5"/>
    <x v="1"/>
    <e v="#REF!"/>
    <e v="#REF!"/>
    <s v=""/>
    <n v="-8.5250000000000915E-3"/>
  </r>
  <r>
    <x v="2"/>
    <x v="40"/>
    <x v="0"/>
    <x v="8"/>
    <m/>
    <m/>
    <s v="REFRIGERANT, ENTALPIA EUROPE R134A 13.6   2/7/26"/>
    <s v="GE-000517"/>
    <n v="1"/>
    <n v="8000"/>
    <m/>
    <n v="8000"/>
    <x v="0"/>
    <n v="10489"/>
    <n v="7684"/>
    <n v="7684"/>
    <n v="8068.2000000000007"/>
    <n v="-68.200000000000728"/>
    <n v="0"/>
    <x v="5"/>
    <x v="1"/>
    <e v="#REF!"/>
    <e v="#REF!"/>
    <s v=""/>
    <n v="-8.5250000000000915E-3"/>
  </r>
  <r>
    <x v="2"/>
    <x v="40"/>
    <x v="0"/>
    <x v="31"/>
    <m/>
    <m/>
    <s v="COPPER_TUBE_SOFTDRAWN, HAILIANG 0.028 X 3/8 x 15 mtr"/>
    <s v="IM-000327"/>
    <n v="0.4"/>
    <n v="3250"/>
    <m/>
    <n v="1300"/>
    <x v="0"/>
    <n v="4774"/>
    <n v="2648"/>
    <n v="1059.2"/>
    <n v="1090.9760000000001"/>
    <n v="209.02399999999989"/>
    <n v="0"/>
    <x v="0"/>
    <x v="0"/>
    <e v="#REF!"/>
    <e v="#REF!"/>
    <s v=""/>
    <n v="0.16078769230769221"/>
  </r>
  <r>
    <x v="2"/>
    <x v="41"/>
    <x v="1"/>
    <x v="5"/>
    <m/>
    <m/>
    <s v="REFRIGERANT, ENTALPIA EUROPE R134A 13.6   2/7/26"/>
    <s v="GE-000517"/>
    <n v="1"/>
    <n v="8000"/>
    <m/>
    <n v="8000"/>
    <x v="0"/>
    <n v="10489"/>
    <n v="7684"/>
    <n v="7684"/>
    <n v="8068.2000000000007"/>
    <n v="-68.200000000000728"/>
    <n v="-20.460000000000218"/>
    <x v="5"/>
    <x v="1"/>
    <e v="#REF!"/>
    <e v="#REF!"/>
    <s v=""/>
    <n v="-8.5250000000000915E-3"/>
  </r>
  <r>
    <x v="2"/>
    <x v="42"/>
    <x v="0"/>
    <x v="1"/>
    <m/>
    <m/>
    <s v="COPPER_TUBE_SOFTDRAWN, HAILIANG 0.028 X 1/4 x 15 mtr"/>
    <s v="IM-000321"/>
    <n v="0.2"/>
    <n v="2500"/>
    <m/>
    <n v="500"/>
    <x v="0"/>
    <n v="0"/>
    <n v="0"/>
    <n v="0"/>
    <n v="0"/>
    <n v="500"/>
    <n v="0"/>
    <x v="13"/>
    <x v="3"/>
    <e v="#REF!"/>
    <e v="#REF!"/>
    <s v=""/>
    <n v="1"/>
  </r>
  <r>
    <x v="2"/>
    <x v="42"/>
    <x v="0"/>
    <x v="1"/>
    <m/>
    <m/>
    <s v="COPPER_TUBE_SOFTDRAWN, HAILIANG 0.028 X 3/8 x 15 mtr"/>
    <s v="IM-000327"/>
    <n v="0.2"/>
    <n v="3250"/>
    <m/>
    <n v="650"/>
    <x v="0"/>
    <n v="4774"/>
    <n v="2648"/>
    <n v="529.6"/>
    <n v="545.48800000000006"/>
    <n v="104.51199999999994"/>
    <n v="0"/>
    <x v="0"/>
    <x v="0"/>
    <e v="#REF!"/>
    <e v="#REF!"/>
    <s v=""/>
    <n v="0.16078769230769221"/>
  </r>
  <r>
    <x v="2"/>
    <x v="42"/>
    <x v="0"/>
    <x v="27"/>
    <m/>
    <m/>
    <s v="COPPER_TUBE_SOFTDRAWN, HAILIANG 0.028 X 1/4 x 15 mtr"/>
    <s v="IM-000321"/>
    <n v="0.2"/>
    <n v="2500"/>
    <m/>
    <n v="500"/>
    <x v="0"/>
    <n v="0"/>
    <n v="0"/>
    <n v="0"/>
    <n v="0"/>
    <n v="500"/>
    <n v="0"/>
    <x v="13"/>
    <x v="3"/>
    <e v="#REF!"/>
    <e v="#REF!"/>
    <s v=""/>
    <n v="1"/>
  </r>
  <r>
    <x v="2"/>
    <x v="42"/>
    <x v="0"/>
    <x v="27"/>
    <m/>
    <m/>
    <s v="COPPER_TUBE_SOFTDRAWN, HAILIANG 0.028 X 1/2  x 15 mtr"/>
    <s v="IM-000328"/>
    <n v="0.2"/>
    <n v="4250"/>
    <m/>
    <n v="850"/>
    <x v="0"/>
    <n v="6554"/>
    <n v="3636"/>
    <n v="727.2"/>
    <n v="749.01600000000008"/>
    <n v="100.98399999999992"/>
    <n v="0"/>
    <x v="0"/>
    <x v="0"/>
    <e v="#REF!"/>
    <e v="#REF!"/>
    <s v=""/>
    <n v="0.11880470588235285"/>
  </r>
  <r>
    <x v="2"/>
    <x v="42"/>
    <x v="0"/>
    <x v="27"/>
    <m/>
    <m/>
    <s v="BRACKET , AERO 2HP, COATED"/>
    <s v="IM-000300"/>
    <n v="1"/>
    <n v="450"/>
    <m/>
    <n v="450"/>
    <x v="0"/>
    <n v="0"/>
    <n v="0"/>
    <n v="0"/>
    <n v="0"/>
    <n v="450"/>
    <n v="0"/>
    <x v="3"/>
    <x v="0"/>
    <e v="#REF!"/>
    <e v="#REF!"/>
    <s v=""/>
    <n v="1"/>
  </r>
  <r>
    <x v="0"/>
    <x v="43"/>
    <x v="4"/>
    <x v="25"/>
    <m/>
    <m/>
    <s v="EVAPORATOR, KIA PICANTO 2013"/>
    <s v="CA-001240"/>
    <n v="1"/>
    <n v="2200"/>
    <m/>
    <n v="2200"/>
    <x v="0"/>
    <n v="2665"/>
    <n v="1450"/>
    <n v="1450"/>
    <n v="1522.5"/>
    <n v="677.5"/>
    <n v="203.25"/>
    <x v="10"/>
    <x v="2"/>
    <e v="#REF!"/>
    <e v="#REF!"/>
    <s v=""/>
    <n v="0.30795454545454548"/>
  </r>
  <r>
    <x v="2"/>
    <x v="42"/>
    <x v="0"/>
    <x v="17"/>
    <m/>
    <m/>
    <s v="REFRIGERANT, ENTALPIA EUROPE R134A 13.6   2/7/26"/>
    <s v="GE-000517"/>
    <n v="1"/>
    <n v="8000"/>
    <m/>
    <n v="8000"/>
    <x v="0"/>
    <n v="10489"/>
    <n v="7684"/>
    <n v="7684"/>
    <n v="8068.2000000000007"/>
    <n v="-68.200000000000728"/>
    <n v="0"/>
    <x v="5"/>
    <x v="1"/>
    <e v="#REF!"/>
    <e v="#REF!"/>
    <s v=""/>
    <n v="-8.5250000000000915E-3"/>
  </r>
  <r>
    <x v="2"/>
    <x v="44"/>
    <x v="0"/>
    <x v="32"/>
    <m/>
    <m/>
    <s v="COPPER_TUBE_SOFTDRAWN, HAILIANG 0.028 X 1/4 x 15 mtr"/>
    <s v="IM-000321"/>
    <n v="0.2"/>
    <n v="2500"/>
    <m/>
    <n v="500"/>
    <x v="0"/>
    <n v="0"/>
    <n v="0"/>
    <n v="0"/>
    <n v="0"/>
    <n v="500"/>
    <n v="0"/>
    <x v="13"/>
    <x v="3"/>
    <e v="#REF!"/>
    <e v="#REF!"/>
    <s v=""/>
    <n v="1"/>
  </r>
  <r>
    <x v="2"/>
    <x v="44"/>
    <x v="0"/>
    <x v="32"/>
    <m/>
    <m/>
    <s v="COPPER_TUBE_SOFTDRAWN, HAILIANG 0.028 X 3/8 x 15 mtr"/>
    <s v="IM-000327"/>
    <n v="0.2"/>
    <n v="3250"/>
    <m/>
    <n v="650"/>
    <x v="0"/>
    <n v="4774"/>
    <n v="2648"/>
    <n v="529.6"/>
    <n v="545.48800000000006"/>
    <n v="104.51199999999994"/>
    <n v="0"/>
    <x v="0"/>
    <x v="0"/>
    <e v="#REF!"/>
    <e v="#REF!"/>
    <s v=""/>
    <n v="0.16078769230769221"/>
  </r>
  <r>
    <x v="2"/>
    <x v="44"/>
    <x v="0"/>
    <x v="24"/>
    <m/>
    <m/>
    <s v="COPPER_TUBE_SOFTDRAWN, HAILIANG 0.028 X 1/4 x 15 mtr"/>
    <s v="IM-000321"/>
    <n v="2"/>
    <n v="1800"/>
    <m/>
    <n v="3600"/>
    <x v="0"/>
    <n v="0"/>
    <n v="0"/>
    <n v="0"/>
    <n v="0"/>
    <n v="3600"/>
    <n v="0"/>
    <x v="13"/>
    <x v="3"/>
    <e v="#REF!"/>
    <e v="#REF!"/>
    <s v=""/>
    <n v="1"/>
  </r>
  <r>
    <x v="2"/>
    <x v="44"/>
    <x v="0"/>
    <x v="24"/>
    <m/>
    <m/>
    <s v="COPPER_TUBE_SOFTDRAWN, HAILIANG 0.028 X 3/8 x 15 mtr"/>
    <s v="IM-000327"/>
    <n v="1"/>
    <n v="2850"/>
    <m/>
    <n v="2850"/>
    <x v="0"/>
    <n v="4774"/>
    <n v="2648"/>
    <n v="2648"/>
    <n v="2727.44"/>
    <n v="122.55999999999995"/>
    <n v="0"/>
    <x v="0"/>
    <x v="0"/>
    <e v="#REF!"/>
    <e v="#REF!"/>
    <s v=""/>
    <n v="4.3003508771929808E-2"/>
  </r>
  <r>
    <x v="2"/>
    <x v="44"/>
    <x v="0"/>
    <x v="27"/>
    <m/>
    <m/>
    <s v="COPPER_TUBE_SOFTDRAWN, HAILIANG 0.028 X 1/4 x 15 mtr"/>
    <s v="IM-000321"/>
    <n v="0.2"/>
    <n v="2500"/>
    <m/>
    <n v="500"/>
    <x v="0"/>
    <n v="0"/>
    <n v="0"/>
    <n v="0"/>
    <n v="0"/>
    <n v="500"/>
    <n v="0"/>
    <x v="13"/>
    <x v="3"/>
    <e v="#REF!"/>
    <e v="#REF!"/>
    <s v=""/>
    <n v="1"/>
  </r>
  <r>
    <x v="2"/>
    <x v="44"/>
    <x v="0"/>
    <x v="27"/>
    <m/>
    <m/>
    <s v="COPPER_TUBE_SOFTDRAWN, HAILIANG 0.028 X 3/8 x 15 mtr"/>
    <s v="IM-000327"/>
    <n v="0.2"/>
    <n v="3250"/>
    <m/>
    <n v="650"/>
    <x v="0"/>
    <n v="4774"/>
    <n v="2648"/>
    <n v="529.6"/>
    <n v="545.48800000000006"/>
    <n v="104.51199999999994"/>
    <n v="0"/>
    <x v="0"/>
    <x v="0"/>
    <e v="#REF!"/>
    <e v="#REF!"/>
    <s v=""/>
    <n v="0.16078769230769221"/>
  </r>
  <r>
    <x v="2"/>
    <x v="45"/>
    <x v="0"/>
    <x v="8"/>
    <m/>
    <m/>
    <s v="REFRIGERANT, ENTALPIA EUROPE R134A 13.6   2/7/26"/>
    <s v="GE-000517"/>
    <n v="1"/>
    <n v="8000"/>
    <m/>
    <n v="8000"/>
    <x v="0"/>
    <n v="10489"/>
    <n v="7684"/>
    <n v="7684"/>
    <n v="8068.2000000000007"/>
    <n v="-68.200000000000728"/>
    <n v="0"/>
    <x v="5"/>
    <x v="1"/>
    <e v="#REF!"/>
    <e v="#REF!"/>
    <s v=""/>
    <n v="-8.5250000000000915E-3"/>
  </r>
  <r>
    <x v="2"/>
    <x v="46"/>
    <x v="0"/>
    <x v="11"/>
    <m/>
    <m/>
    <s v="REFRIGERANT, ENTALPIA EUROPE R134A 13.6   2/7/26"/>
    <s v="GE-000517"/>
    <n v="1"/>
    <n v="8000"/>
    <m/>
    <n v="8000"/>
    <x v="0"/>
    <n v="10489"/>
    <n v="7684"/>
    <n v="7684"/>
    <n v="8068.2000000000007"/>
    <n v="-68.200000000000728"/>
    <n v="0"/>
    <x v="5"/>
    <x v="1"/>
    <e v="#REF!"/>
    <e v="#REF!"/>
    <s v=""/>
    <n v="-8.5250000000000915E-3"/>
  </r>
  <r>
    <x v="0"/>
    <x v="47"/>
    <x v="1"/>
    <x v="3"/>
    <m/>
    <m/>
    <s v="EVAPORATOR, TOYOTA AVANZA 14 (STAL)"/>
    <s v="CA-000143"/>
    <n v="1"/>
    <n v="2100"/>
    <m/>
    <n v="2100"/>
    <x v="0"/>
    <n v="2022"/>
    <n v="1100"/>
    <n v="1100"/>
    <n v="1155"/>
    <n v="945"/>
    <n v="283.5"/>
    <x v="10"/>
    <x v="2"/>
    <m/>
    <m/>
    <s v=""/>
    <n v="0.45"/>
  </r>
  <r>
    <x v="2"/>
    <x v="48"/>
    <x v="0"/>
    <x v="10"/>
    <m/>
    <m/>
    <s v="REFRIGERANT, ENTALPIA EUROPE R134A 13.6   2/7/26"/>
    <s v="GE-000517"/>
    <n v="1"/>
    <n v="8000"/>
    <m/>
    <n v="8000"/>
    <x v="0"/>
    <n v="10489"/>
    <n v="7684"/>
    <n v="7684"/>
    <n v="8068.2000000000007"/>
    <n v="-68.200000000000728"/>
    <n v="0"/>
    <x v="5"/>
    <x v="1"/>
    <e v="#REF!"/>
    <e v="#REF!"/>
    <s v=""/>
    <n v="-8.5250000000000915E-3"/>
  </r>
  <r>
    <x v="2"/>
    <x v="49"/>
    <x v="0"/>
    <x v="33"/>
    <m/>
    <m/>
    <s v="COPPER_TUBE_SOFTDRAWN, HAILIANG 0.028 X 1/4 x 15 mtr"/>
    <s v="IM-000321"/>
    <n v="1"/>
    <n v="1800"/>
    <m/>
    <n v="1800"/>
    <x v="0"/>
    <n v="0"/>
    <n v="0"/>
    <n v="0"/>
    <n v="0"/>
    <n v="1800"/>
    <n v="0"/>
    <x v="13"/>
    <x v="3"/>
    <e v="#REF!"/>
    <e v="#REF!"/>
    <s v=""/>
    <n v="1"/>
  </r>
  <r>
    <x v="2"/>
    <x v="49"/>
    <x v="0"/>
    <x v="33"/>
    <m/>
    <m/>
    <s v="COPPER_TUBE_SOFTDRAWN, HAILIANG 0.028 X 1/2  x 15 mtr"/>
    <s v="IM-000328"/>
    <n v="1"/>
    <n v="3870"/>
    <m/>
    <n v="3870"/>
    <x v="0"/>
    <n v="6554"/>
    <n v="3636"/>
    <n v="3636"/>
    <n v="3745.08"/>
    <n v="124.92000000000007"/>
    <n v="0"/>
    <x v="0"/>
    <x v="0"/>
    <e v="#REF!"/>
    <e v="#REF!"/>
    <s v=""/>
    <n v="3.2279069767441881E-2"/>
  </r>
  <r>
    <x v="2"/>
    <x v="49"/>
    <x v="0"/>
    <x v="23"/>
    <m/>
    <m/>
    <s v="REFRIGERANT, ENTALPIA EUROPE R134A 13.6   2/7/26"/>
    <s v="GE-000517"/>
    <n v="1"/>
    <n v="8000"/>
    <m/>
    <n v="8000"/>
    <x v="0"/>
    <n v="10489"/>
    <n v="7684"/>
    <n v="7684"/>
    <n v="8068.2000000000007"/>
    <n v="-68.200000000000728"/>
    <n v="0"/>
    <x v="5"/>
    <x v="1"/>
    <e v="#REF!"/>
    <e v="#REF!"/>
    <s v=""/>
    <n v="-8.5250000000000915E-3"/>
  </r>
  <r>
    <x v="2"/>
    <x v="50"/>
    <x v="0"/>
    <x v="34"/>
    <m/>
    <m/>
    <s v="REFRIGERANT, ENTALPIA EUROPE R134A 13.6   2/7/26"/>
    <s v="GE-000517"/>
    <n v="1"/>
    <n v="8000"/>
    <m/>
    <n v="8000"/>
    <x v="0"/>
    <n v="10489"/>
    <n v="7684"/>
    <n v="7684"/>
    <n v="8068.2000000000007"/>
    <n v="-68.200000000000728"/>
    <n v="0"/>
    <x v="5"/>
    <x v="1"/>
    <e v="#REF!"/>
    <e v="#REF!"/>
    <s v=""/>
    <n v="-8.5250000000000915E-3"/>
  </r>
  <r>
    <x v="2"/>
    <x v="50"/>
    <x v="1"/>
    <x v="5"/>
    <m/>
    <m/>
    <s v="REFRIGERANT, ENTALPIA EUROPE R134A 13.6   2/7/26"/>
    <s v="GE-000517"/>
    <n v="1"/>
    <n v="8000"/>
    <m/>
    <n v="8000"/>
    <x v="0"/>
    <n v="10489"/>
    <n v="7684"/>
    <n v="7684"/>
    <n v="8068.2000000000007"/>
    <n v="-68.200000000000728"/>
    <n v="-20.460000000000218"/>
    <x v="5"/>
    <x v="1"/>
    <e v="#REF!"/>
    <e v="#REF!"/>
    <s v=""/>
    <n v="-8.5250000000000915E-3"/>
  </r>
  <r>
    <x v="2"/>
    <x v="51"/>
    <x v="0"/>
    <x v="18"/>
    <m/>
    <m/>
    <s v="REFRIGERANT, ENTALPIA EUROPE R134A 13.6   2/7/26"/>
    <s v="GE-000517"/>
    <n v="1"/>
    <n v="8000"/>
    <m/>
    <n v="8000"/>
    <x v="0"/>
    <n v="10489"/>
    <n v="7684"/>
    <n v="7684"/>
    <n v="8068.2000000000007"/>
    <n v="-68.200000000000728"/>
    <n v="0"/>
    <x v="5"/>
    <x v="1"/>
    <e v="#REF!"/>
    <e v="#REF!"/>
    <s v=""/>
    <n v="-8.5250000000000915E-3"/>
  </r>
  <r>
    <x v="2"/>
    <x v="51"/>
    <x v="0"/>
    <x v="33"/>
    <m/>
    <m/>
    <s v="COPPER_TUBE_SOFTDRAWN, HAILIANG 0.028 X 3/8 x 15 mtr"/>
    <s v="IM-000327"/>
    <n v="1"/>
    <n v="2850"/>
    <m/>
    <n v="2850"/>
    <x v="0"/>
    <n v="4774"/>
    <n v="2648"/>
    <n v="2648"/>
    <n v="2727.44"/>
    <n v="122.55999999999995"/>
    <n v="0"/>
    <x v="0"/>
    <x v="0"/>
    <e v="#REF!"/>
    <e v="#REF!"/>
    <s v=""/>
    <n v="4.3003508771929808E-2"/>
  </r>
  <r>
    <x v="2"/>
    <x v="51"/>
    <x v="0"/>
    <x v="26"/>
    <m/>
    <m/>
    <s v="COPPER_TUBE_SOFTDRAWN, HAILIANG 0.028 X 5/8 x 15 mtr"/>
    <s v="IM-000324"/>
    <n v="3"/>
    <n v="4890"/>
    <m/>
    <n v="14670"/>
    <x v="0"/>
    <n v="0"/>
    <n v="0"/>
    <n v="0"/>
    <n v="0"/>
    <n v="14670"/>
    <n v="0"/>
    <x v="13"/>
    <x v="3"/>
    <e v="#REF!"/>
    <e v="#REF!"/>
    <s v=""/>
    <n v="1"/>
  </r>
  <r>
    <x v="2"/>
    <x v="51"/>
    <x v="0"/>
    <x v="26"/>
    <m/>
    <m/>
    <s v="COPPER_TUBE_SOFTDRAWN, HAILIANG 0.028 X 3/8 x 15 mtr"/>
    <s v="IM-000327"/>
    <n v="3"/>
    <n v="2850"/>
    <m/>
    <n v="8550"/>
    <x v="0"/>
    <n v="4774"/>
    <n v="2648"/>
    <n v="7944"/>
    <n v="8182.3200000000006"/>
    <n v="367.67999999999938"/>
    <n v="0"/>
    <x v="0"/>
    <x v="0"/>
    <e v="#REF!"/>
    <e v="#REF!"/>
    <s v=""/>
    <n v="4.3003508771929752E-2"/>
  </r>
  <r>
    <x v="2"/>
    <x v="52"/>
    <x v="0"/>
    <x v="16"/>
    <m/>
    <m/>
    <s v="REFRIGERANT, ENTALPIA EUROPE R134A 13.6   2/7/26"/>
    <s v="GE-000517"/>
    <n v="1"/>
    <n v="8000"/>
    <m/>
    <n v="8000"/>
    <x v="0"/>
    <n v="10489"/>
    <n v="7684"/>
    <n v="7684"/>
    <n v="8068.2000000000007"/>
    <n v="-68.200000000000728"/>
    <n v="0"/>
    <x v="5"/>
    <x v="1"/>
    <e v="#REF!"/>
    <e v="#REF!"/>
    <s v=""/>
    <n v="-8.5250000000000915E-3"/>
  </r>
  <r>
    <x v="2"/>
    <x v="52"/>
    <x v="0"/>
    <x v="35"/>
    <m/>
    <m/>
    <s v="COPPER_TUBE_SOFTDRAWN, HAILIANG 0.028 X 1/4 x 15 mtr"/>
    <s v="IM-000321"/>
    <n v="0.4"/>
    <n v="2500"/>
    <m/>
    <n v="1000"/>
    <x v="0"/>
    <n v="0"/>
    <n v="0"/>
    <n v="0"/>
    <n v="0"/>
    <n v="1000"/>
    <n v="0"/>
    <x v="13"/>
    <x v="3"/>
    <e v="#REF!"/>
    <e v="#REF!"/>
    <s v=""/>
    <n v="1"/>
  </r>
  <r>
    <x v="2"/>
    <x v="52"/>
    <x v="0"/>
    <x v="35"/>
    <m/>
    <m/>
    <s v="COPPER_TUBE_SOFTDRAWN, HAILIANG 0.028 X 3/8 x 15 mtr"/>
    <s v="IM-000327"/>
    <n v="0.4"/>
    <n v="3250"/>
    <m/>
    <n v="1300"/>
    <x v="0"/>
    <n v="4774"/>
    <n v="2648"/>
    <n v="1059.2"/>
    <n v="1090.9760000000001"/>
    <n v="209.02399999999989"/>
    <n v="0"/>
    <x v="0"/>
    <x v="0"/>
    <e v="#REF!"/>
    <e v="#REF!"/>
    <s v=""/>
    <n v="0.16078769230769221"/>
  </r>
  <r>
    <x v="2"/>
    <x v="52"/>
    <x v="0"/>
    <x v="35"/>
    <m/>
    <m/>
    <s v="COPPER_TUBE_SOFTDRAWN, HAILIANG 0.028 X 3/8 x 15 mtr"/>
    <s v="IM-000327"/>
    <n v="0.2"/>
    <n v="3250"/>
    <m/>
    <n v="650"/>
    <x v="0"/>
    <n v="4774"/>
    <n v="2648"/>
    <n v="529.6"/>
    <n v="545.48800000000006"/>
    <n v="104.51199999999994"/>
    <n v="0"/>
    <x v="0"/>
    <x v="0"/>
    <e v="#REF!"/>
    <e v="#REF!"/>
    <s v=""/>
    <n v="0.16078769230769221"/>
  </r>
  <r>
    <x v="2"/>
    <x v="52"/>
    <x v="0"/>
    <x v="35"/>
    <m/>
    <m/>
    <s v="COPPER_TUBE_SOFTDRAWN, HAILIANG 0.028 X 1/4 x 15 mtr"/>
    <s v="IM-000321"/>
    <n v="0.2"/>
    <n v="2500"/>
    <m/>
    <n v="500"/>
    <x v="0"/>
    <n v="0"/>
    <n v="0"/>
    <n v="0"/>
    <n v="0"/>
    <n v="500"/>
    <n v="0"/>
    <x v="13"/>
    <x v="3"/>
    <e v="#REF!"/>
    <e v="#REF!"/>
    <s v=""/>
    <n v="1"/>
  </r>
  <r>
    <x v="0"/>
    <x v="11"/>
    <x v="0"/>
    <x v="36"/>
    <m/>
    <m/>
    <s v="PULLEY_ASSEMBLY, HONDA CRV 2008 2.0 7PK"/>
    <s v="CA-001004"/>
    <n v="1"/>
    <n v="2100"/>
    <m/>
    <n v="2100"/>
    <x v="0"/>
    <n v="0"/>
    <n v="0"/>
    <n v="0"/>
    <n v="0"/>
    <n v="2100"/>
    <n v="0"/>
    <x v="11"/>
    <x v="2"/>
    <e v="#REF!"/>
    <e v="#REF!"/>
    <s v=""/>
    <n v="1"/>
  </r>
  <r>
    <x v="2"/>
    <x v="53"/>
    <x v="0"/>
    <x v="2"/>
    <m/>
    <m/>
    <s v="COPPER_TUBE_SOFTDRAWN, HAILIANG 0.028 X 1/2  x 15 mtr"/>
    <s v="IM-000328"/>
    <n v="0.4"/>
    <n v="4250"/>
    <m/>
    <n v="1700"/>
    <x v="0"/>
    <n v="6554"/>
    <n v="3636"/>
    <n v="1454.4"/>
    <n v="1498.0320000000002"/>
    <n v="201.96799999999985"/>
    <n v="0"/>
    <x v="0"/>
    <x v="0"/>
    <e v="#REF!"/>
    <e v="#REF!"/>
    <s v=""/>
    <n v="0.11880470588235285"/>
  </r>
  <r>
    <x v="2"/>
    <x v="54"/>
    <x v="0"/>
    <x v="31"/>
    <m/>
    <m/>
    <s v="COPPER_TUBE_SOFTDRAWN, HAILIANG 0.028 X 3/8 x 15 mtr"/>
    <s v="IM-000327"/>
    <n v="0.4"/>
    <n v="3250"/>
    <m/>
    <n v="1300"/>
    <x v="0"/>
    <n v="4774"/>
    <n v="2648"/>
    <n v="1059.2"/>
    <n v="1090.9760000000001"/>
    <n v="209.02399999999989"/>
    <n v="0"/>
    <x v="0"/>
    <x v="0"/>
    <e v="#REF!"/>
    <e v="#REF!"/>
    <s v=""/>
    <n v="0.16078769230769221"/>
  </r>
  <r>
    <x v="2"/>
    <x v="54"/>
    <x v="0"/>
    <x v="31"/>
    <m/>
    <m/>
    <s v="COPPER_TUBE_SOFTDRAWN, HAILIANG 0.028 X 1/4 x 15 mtr"/>
    <s v="IM-000321"/>
    <n v="0.2"/>
    <n v="2500"/>
    <m/>
    <n v="500"/>
    <x v="0"/>
    <n v="0"/>
    <n v="0"/>
    <n v="0"/>
    <n v="0"/>
    <n v="500"/>
    <n v="0"/>
    <x v="13"/>
    <x v="3"/>
    <e v="#REF!"/>
    <e v="#REF!"/>
    <s v=""/>
    <n v="1"/>
  </r>
  <r>
    <x v="0"/>
    <x v="1"/>
    <x v="3"/>
    <x v="12"/>
    <m/>
    <m/>
    <s v="PULLEY_ASSEMBLY, TOYOTA HI LUX 7pk"/>
    <s v="CA-001067"/>
    <n v="1"/>
    <n v="2100"/>
    <m/>
    <n v="2100"/>
    <x v="0"/>
    <n v="2352"/>
    <n v="1400"/>
    <n v="1400"/>
    <n v="1470"/>
    <n v="630"/>
    <n v="189"/>
    <x v="11"/>
    <x v="2"/>
    <m/>
    <m/>
    <s v=""/>
    <n v="0.3"/>
  </r>
  <r>
    <x v="0"/>
    <x v="2"/>
    <x v="2"/>
    <x v="7"/>
    <m/>
    <m/>
    <s v="EVAPORATOR, HYUNDAI H100 2008"/>
    <s v="CA-000489"/>
    <n v="1"/>
    <n v="2100"/>
    <m/>
    <n v="2100"/>
    <x v="0"/>
    <n v="2573"/>
    <n v="1400"/>
    <n v="1400"/>
    <n v="1470"/>
    <n v="630"/>
    <n v="189"/>
    <x v="10"/>
    <x v="2"/>
    <m/>
    <m/>
    <s v=""/>
    <n v="0.3"/>
  </r>
  <r>
    <x v="2"/>
    <x v="55"/>
    <x v="0"/>
    <x v="1"/>
    <m/>
    <m/>
    <s v="COPPER_TUBE_SOFTDRAWN, HAILIANG 0.028 X 1/4 x 15 mtr"/>
    <s v="IM-000321"/>
    <n v="0.2"/>
    <n v="2500"/>
    <m/>
    <n v="500"/>
    <x v="0"/>
    <n v="0"/>
    <n v="0"/>
    <n v="0"/>
    <n v="0"/>
    <n v="500"/>
    <n v="0"/>
    <x v="13"/>
    <x v="3"/>
    <e v="#REF!"/>
    <e v="#REF!"/>
    <s v=""/>
    <n v="1"/>
  </r>
  <r>
    <x v="0"/>
    <x v="27"/>
    <x v="2"/>
    <x v="9"/>
    <m/>
    <m/>
    <s v="EVAPORATOR, NISSAN EXALTA/ GRANDURE"/>
    <s v="CA-001611"/>
    <n v="1"/>
    <n v="2100"/>
    <m/>
    <n v="2100"/>
    <x v="0"/>
    <n v="2573"/>
    <n v="1400"/>
    <n v="1400"/>
    <n v="1470"/>
    <n v="630"/>
    <n v="189"/>
    <x v="10"/>
    <x v="2"/>
    <m/>
    <m/>
    <s v=""/>
    <n v="0.3"/>
  </r>
  <r>
    <x v="2"/>
    <x v="56"/>
    <x v="0"/>
    <x v="34"/>
    <m/>
    <m/>
    <s v="COPPER_TUBE_SOFTDRAWN, HAILIANG 0.028 X 5/8 x 15 mtr"/>
    <s v="IM-000324"/>
    <n v="1"/>
    <n v="4890"/>
    <m/>
    <n v="4890"/>
    <x v="0"/>
    <n v="0"/>
    <n v="0"/>
    <n v="0"/>
    <n v="0"/>
    <n v="4890"/>
    <n v="0"/>
    <x v="13"/>
    <x v="3"/>
    <e v="#REF!"/>
    <e v="#REF!"/>
    <s v=""/>
    <n v="1"/>
  </r>
  <r>
    <x v="2"/>
    <x v="56"/>
    <x v="0"/>
    <x v="2"/>
    <m/>
    <m/>
    <s v="COPPER_TUBE_SOFTDRAWN, HAILIANG 0.028 X 1/4 x 15 mtr"/>
    <s v="IM-000321"/>
    <n v="0.2"/>
    <n v="2500"/>
    <m/>
    <n v="500"/>
    <x v="0"/>
    <n v="0"/>
    <n v="0"/>
    <n v="0"/>
    <n v="0"/>
    <n v="500"/>
    <n v="0"/>
    <x v="13"/>
    <x v="3"/>
    <e v="#REF!"/>
    <e v="#REF!"/>
    <s v=""/>
    <n v="1"/>
  </r>
  <r>
    <x v="2"/>
    <x v="57"/>
    <x v="0"/>
    <x v="10"/>
    <m/>
    <m/>
    <s v="REFRIGERANT, ENTALPIA EUROPE R134A 13.6   2/7/26"/>
    <s v="GE-000517"/>
    <n v="1"/>
    <n v="8000"/>
    <m/>
    <n v="8000"/>
    <x v="0"/>
    <n v="10489"/>
    <n v="7684"/>
    <n v="7684"/>
    <n v="8068.2000000000007"/>
    <n v="-68.200000000000728"/>
    <n v="0"/>
    <x v="5"/>
    <x v="1"/>
    <e v="#REF!"/>
    <e v="#REF!"/>
    <s v=""/>
    <n v="-8.5250000000000915E-3"/>
  </r>
  <r>
    <x v="2"/>
    <x v="58"/>
    <x v="0"/>
    <x v="8"/>
    <m/>
    <m/>
    <s v="REFRIGERANT, ENTALPIA EUROPE R134A 13.6   2/7/26"/>
    <s v="GE-000517"/>
    <n v="1"/>
    <n v="8000"/>
    <m/>
    <n v="8000"/>
    <x v="0"/>
    <n v="10489"/>
    <n v="7684"/>
    <n v="7684"/>
    <n v="8068.2000000000007"/>
    <n v="-68.200000000000728"/>
    <n v="0"/>
    <x v="5"/>
    <x v="1"/>
    <e v="#REF!"/>
    <e v="#REF!"/>
    <s v=""/>
    <n v="-8.5250000000000915E-3"/>
  </r>
  <r>
    <x v="3"/>
    <x v="59"/>
    <x v="5"/>
    <x v="37"/>
    <m/>
    <n v="6000"/>
    <s v="ELECTRICAL WIRE_STRANDED, POWERFLEX THNN STRANDED   #10, ROLL 09/11/25"/>
    <s v="GE-000482"/>
    <n v="1"/>
    <n v="5357"/>
    <m/>
    <n v="5357"/>
    <x v="0"/>
    <n v="9412"/>
    <n v="5122"/>
    <n v="5122"/>
    <n v="5378.1"/>
    <n v="-21.100000000000364"/>
    <n v="-6.3300000000001093"/>
    <x v="2"/>
    <x v="1"/>
    <m/>
    <m/>
    <n v="5999.84"/>
    <n v="-3.9387717005787502E-3"/>
  </r>
  <r>
    <x v="3"/>
    <x v="59"/>
    <x v="5"/>
    <x v="37"/>
    <m/>
    <m/>
    <s v="ELECTRICAL WIRE_STRANDED, POWERFLEX THNN STRANDED   #10, MTR"/>
    <s v="GE-000113"/>
    <n v="38"/>
    <n v="50"/>
    <m/>
    <n v="1900"/>
    <x v="0"/>
    <n v="74"/>
    <n v="40"/>
    <n v="1520"/>
    <n v="1596"/>
    <n v="304"/>
    <n v="91.2"/>
    <x v="2"/>
    <x v="1"/>
    <m/>
    <m/>
    <s v=""/>
    <n v="0.16"/>
  </r>
  <r>
    <x v="3"/>
    <x v="59"/>
    <x v="0"/>
    <x v="38"/>
    <m/>
    <m/>
    <s v="REFRIGERANT, ENTALPIA EUROPE R134A 13.6   2/7/26"/>
    <s v="GE-000517"/>
    <n v="1"/>
    <n v="8000"/>
    <m/>
    <n v="8000"/>
    <x v="0"/>
    <n v="10489"/>
    <n v="7684"/>
    <n v="7684"/>
    <n v="8068.2000000000007"/>
    <n v="-68.200000000000728"/>
    <n v="0"/>
    <x v="5"/>
    <x v="1"/>
    <m/>
    <m/>
    <s v=""/>
    <n v="-8.5250000000000915E-3"/>
  </r>
  <r>
    <x v="3"/>
    <x v="59"/>
    <x v="0"/>
    <x v="27"/>
    <m/>
    <m/>
    <s v="COPPER_TUBE_SOFTDRAWN, HAILIANG 0.028 X 1/4 x 15 mtr"/>
    <s v="IM-000321"/>
    <n v="0.2"/>
    <n v="2500"/>
    <m/>
    <n v="500"/>
    <x v="0"/>
    <n v="0"/>
    <n v="0"/>
    <n v="0"/>
    <n v="0"/>
    <n v="500"/>
    <n v="0"/>
    <x v="13"/>
    <x v="3"/>
    <m/>
    <m/>
    <s v=""/>
    <n v="1"/>
  </r>
  <r>
    <x v="3"/>
    <x v="59"/>
    <x v="0"/>
    <x v="1"/>
    <m/>
    <m/>
    <s v="COPPER_TUBE_SOFTDRAWN, HAILIANG 0.028 X 1/4 x 15 mtr"/>
    <s v="IM-000321"/>
    <n v="0.6"/>
    <n v="2500"/>
    <m/>
    <n v="1500"/>
    <x v="0"/>
    <n v="0"/>
    <n v="0"/>
    <n v="0"/>
    <n v="0"/>
    <n v="1500"/>
    <n v="0"/>
    <x v="13"/>
    <x v="3"/>
    <m/>
    <m/>
    <s v=""/>
    <n v="1"/>
  </r>
  <r>
    <x v="3"/>
    <x v="59"/>
    <x v="0"/>
    <x v="6"/>
    <m/>
    <m/>
    <s v="COPPER_TUBE_SOFTDRAWN, HAILIANG 0.028 X 1/2  x 15 mtr"/>
    <s v="IM-000328"/>
    <n v="1"/>
    <n v="3870"/>
    <m/>
    <n v="3870"/>
    <x v="0"/>
    <n v="6554"/>
    <n v="3636"/>
    <n v="3636"/>
    <n v="3745.08"/>
    <n v="124.92000000000007"/>
    <n v="0"/>
    <x v="0"/>
    <x v="0"/>
    <m/>
    <m/>
    <s v=""/>
    <n v="3.2279069767441881E-2"/>
  </r>
  <r>
    <x v="3"/>
    <x v="59"/>
    <x v="0"/>
    <x v="6"/>
    <m/>
    <m/>
    <s v="ELECTRICAL WIRE_STRANDED, POWERFLEX THNN STRANDED   #14, ROLL 02/23/26"/>
    <s v="GE-000514"/>
    <n v="1"/>
    <n v="2650"/>
    <m/>
    <n v="2650"/>
    <x v="0"/>
    <n v="4317"/>
    <n v="2349"/>
    <n v="2349"/>
    <n v="2466.4500000000003"/>
    <n v="183.54999999999973"/>
    <n v="0"/>
    <x v="2"/>
    <x v="1"/>
    <m/>
    <m/>
    <s v=""/>
    <n v="6.9264150943396122E-2"/>
  </r>
  <r>
    <x v="3"/>
    <x v="60"/>
    <x v="0"/>
    <x v="1"/>
    <m/>
    <m/>
    <s v="COPPER_TUBE_SOFTDRAWN, HAILIANG 0.028 X 1/4 x 15 mtr"/>
    <s v="IM-000321"/>
    <n v="0.6"/>
    <n v="2500"/>
    <m/>
    <n v="1500"/>
    <x v="0"/>
    <n v="0"/>
    <n v="0"/>
    <n v="0"/>
    <n v="0"/>
    <n v="1500"/>
    <n v="0"/>
    <x v="13"/>
    <x v="3"/>
    <m/>
    <m/>
    <s v=""/>
    <n v="1"/>
  </r>
  <r>
    <x v="3"/>
    <x v="60"/>
    <x v="0"/>
    <x v="2"/>
    <m/>
    <m/>
    <s v="COPPER_TUBE_SOFTDRAWN, HAILIANG 0.028 X 1/4 x 15 mtr"/>
    <s v="IM-000321"/>
    <n v="0.2"/>
    <n v="2500"/>
    <m/>
    <n v="500"/>
    <x v="0"/>
    <n v="0"/>
    <n v="0"/>
    <n v="0"/>
    <n v="0"/>
    <n v="500"/>
    <n v="0"/>
    <x v="13"/>
    <x v="3"/>
    <m/>
    <m/>
    <s v=""/>
    <n v="1"/>
  </r>
  <r>
    <x v="3"/>
    <x v="60"/>
    <x v="0"/>
    <x v="2"/>
    <m/>
    <m/>
    <s v="COPPER_TUBE_SOFTDRAWN, HAILIANG 0.028 X 1/2  x 15 mtr"/>
    <s v="IM-000328"/>
    <n v="0.2"/>
    <n v="4250"/>
    <m/>
    <n v="850"/>
    <x v="0"/>
    <n v="6554"/>
    <n v="3636"/>
    <n v="727.2"/>
    <n v="749.01600000000008"/>
    <n v="100.98399999999992"/>
    <n v="0"/>
    <x v="0"/>
    <x v="0"/>
    <m/>
    <m/>
    <s v=""/>
    <n v="0.11880470588235285"/>
  </r>
  <r>
    <x v="3"/>
    <x v="60"/>
    <x v="0"/>
    <x v="1"/>
    <m/>
    <m/>
    <s v="COPPER_TUBE_SOFTDRAWN, HAILIANG 0.028 X 1/4 x 15 mtr"/>
    <s v="IM-000321"/>
    <n v="0.4"/>
    <n v="2500"/>
    <m/>
    <n v="1000"/>
    <x v="0"/>
    <n v="0"/>
    <n v="0"/>
    <n v="0"/>
    <n v="0"/>
    <n v="1000"/>
    <n v="0"/>
    <x v="13"/>
    <x v="3"/>
    <m/>
    <m/>
    <s v=""/>
    <n v="1"/>
  </r>
  <r>
    <x v="3"/>
    <x v="61"/>
    <x v="5"/>
    <x v="37"/>
    <m/>
    <m/>
    <s v="COPPER_TUBE_SOFTDRAWN, HAILIANG 0.028 X 1/4 x 15 mtr"/>
    <s v="IM-000321"/>
    <n v="0.2"/>
    <n v="2500"/>
    <m/>
    <n v="500"/>
    <x v="0"/>
    <n v="0"/>
    <n v="0"/>
    <n v="0"/>
    <n v="0"/>
    <n v="500"/>
    <n v="150"/>
    <x v="13"/>
    <x v="3"/>
    <m/>
    <m/>
    <s v=""/>
    <n v="1"/>
  </r>
  <r>
    <x v="3"/>
    <x v="61"/>
    <x v="5"/>
    <x v="37"/>
    <m/>
    <m/>
    <s v="COPPER_TUBE_SOFTDRAWN, HAILIANG 0.028 X 1/2  x 15 mtr"/>
    <s v="IM-000328"/>
    <n v="0.2"/>
    <n v="4250"/>
    <m/>
    <n v="850"/>
    <x v="0"/>
    <n v="6554"/>
    <n v="3636"/>
    <n v="727.2"/>
    <n v="749.01600000000008"/>
    <n v="100.98399999999992"/>
    <n v="30.295199999999976"/>
    <x v="0"/>
    <x v="0"/>
    <m/>
    <m/>
    <s v=""/>
    <n v="0.11880470588235285"/>
  </r>
  <r>
    <x v="3"/>
    <x v="61"/>
    <x v="6"/>
    <x v="39"/>
    <m/>
    <m/>
    <s v="COPPER_TUBE_SOFTDRAWN, HAILIANG 0.028 X 1/4 x 15 mtr"/>
    <s v="IM-000321"/>
    <n v="0.2"/>
    <n v="2500"/>
    <m/>
    <n v="500"/>
    <x v="0"/>
    <n v="0"/>
    <n v="0"/>
    <n v="0"/>
    <n v="0"/>
    <n v="500"/>
    <n v="150"/>
    <x v="13"/>
    <x v="3"/>
    <m/>
    <m/>
    <s v=""/>
    <n v="1"/>
  </r>
  <r>
    <x v="3"/>
    <x v="61"/>
    <x v="6"/>
    <x v="39"/>
    <m/>
    <m/>
    <s v="COPPER_TUBE_SOFTDRAWN, HAILIANG 0.028 X 1/2  x 15 mtr"/>
    <s v="IM-000328"/>
    <n v="0.2"/>
    <n v="4250"/>
    <m/>
    <n v="850"/>
    <x v="0"/>
    <n v="6554"/>
    <n v="3636"/>
    <n v="727.2"/>
    <n v="749.01600000000008"/>
    <n v="100.98399999999992"/>
    <n v="30.295199999999976"/>
    <x v="0"/>
    <x v="0"/>
    <m/>
    <m/>
    <s v=""/>
    <n v="0.11880470588235285"/>
  </r>
  <r>
    <x v="3"/>
    <x v="61"/>
    <x v="0"/>
    <x v="18"/>
    <m/>
    <m/>
    <s v="REFRIGERANT, ENTALPIA EUROPE R134A 13.6   2/7/26"/>
    <s v="GE-000517"/>
    <n v="1"/>
    <n v="8200"/>
    <m/>
    <n v="8200"/>
    <x v="0"/>
    <n v="10489"/>
    <n v="7684"/>
    <n v="7684"/>
    <n v="8068.2000000000007"/>
    <n v="131.79999999999927"/>
    <n v="0"/>
    <x v="5"/>
    <x v="1"/>
    <m/>
    <m/>
    <s v=""/>
    <n v="1.6073170731707227E-2"/>
  </r>
  <r>
    <x v="3"/>
    <x v="62"/>
    <x v="0"/>
    <x v="2"/>
    <m/>
    <m/>
    <s v="COPPER_TUBE_SOFTDRAWN, HAILIANG 0.028 X 1/4 x 15 mtr"/>
    <s v="IM-000321"/>
    <n v="1"/>
    <n v="1800"/>
    <m/>
    <n v="1800"/>
    <x v="0"/>
    <n v="0"/>
    <n v="0"/>
    <n v="0"/>
    <n v="0"/>
    <n v="1800"/>
    <n v="0"/>
    <x v="13"/>
    <x v="3"/>
    <m/>
    <m/>
    <s v=""/>
    <n v="1"/>
  </r>
  <r>
    <x v="3"/>
    <x v="62"/>
    <x v="0"/>
    <x v="2"/>
    <m/>
    <m/>
    <s v="COPPER_TUBE_SOFTDRAWN, HAILIANG 0.028 X 1/2  x 15 mtr"/>
    <s v="IM-000328"/>
    <n v="0.2"/>
    <n v="4250"/>
    <m/>
    <n v="850"/>
    <x v="0"/>
    <n v="6554"/>
    <n v="3636"/>
    <n v="727.2"/>
    <n v="749.01600000000008"/>
    <n v="100.98399999999992"/>
    <n v="0"/>
    <x v="0"/>
    <x v="0"/>
    <m/>
    <m/>
    <s v=""/>
    <n v="0.11880470588235285"/>
  </r>
  <r>
    <x v="0"/>
    <x v="4"/>
    <x v="1"/>
    <x v="3"/>
    <m/>
    <m/>
    <s v="BLOWER_MOTOR, TOYOTA FX / CITY 97"/>
    <s v="CA-000221"/>
    <n v="1"/>
    <n v="1900"/>
    <m/>
    <n v="1900"/>
    <x v="0"/>
    <n v="2205"/>
    <n v="1200"/>
    <n v="1200"/>
    <n v="1260"/>
    <n v="640"/>
    <n v="192"/>
    <x v="15"/>
    <x v="2"/>
    <m/>
    <m/>
    <s v=""/>
    <n v="0.33684210526315789"/>
  </r>
  <r>
    <x v="3"/>
    <x v="62"/>
    <x v="0"/>
    <x v="11"/>
    <m/>
    <m/>
    <s v="REFRIGERANT, ENTALPIA EUROPE R134A 13.6   2/7/26"/>
    <s v="GE-000517"/>
    <n v="1"/>
    <n v="8200"/>
    <m/>
    <n v="8200"/>
    <x v="0"/>
    <n v="10489"/>
    <n v="7684"/>
    <n v="7684"/>
    <n v="8068.2000000000007"/>
    <n v="131.79999999999927"/>
    <n v="0"/>
    <x v="5"/>
    <x v="1"/>
    <m/>
    <m/>
    <s v=""/>
    <n v="1.6073170731707227E-2"/>
  </r>
  <r>
    <x v="3"/>
    <x v="62"/>
    <x v="0"/>
    <x v="32"/>
    <m/>
    <m/>
    <s v="COPPER_TUBE_SOFTDRAWN, HAILIANG 0.028 X 1/4 x 15 mtr"/>
    <s v="IM-000321"/>
    <n v="0.2"/>
    <n v="2500"/>
    <m/>
    <n v="500"/>
    <x v="0"/>
    <n v="0"/>
    <n v="0"/>
    <n v="0"/>
    <n v="0"/>
    <n v="500"/>
    <n v="0"/>
    <x v="13"/>
    <x v="3"/>
    <m/>
    <m/>
    <s v=""/>
    <n v="1"/>
  </r>
  <r>
    <x v="3"/>
    <x v="62"/>
    <x v="0"/>
    <x v="17"/>
    <m/>
    <m/>
    <s v="REFRIGERANT, ENTALPIA EUROPE R134A 13.6   2/7/26"/>
    <s v="GE-000517"/>
    <n v="1"/>
    <n v="8200"/>
    <m/>
    <n v="8200"/>
    <x v="0"/>
    <n v="10489"/>
    <n v="7684"/>
    <n v="7684"/>
    <n v="8068.2000000000007"/>
    <n v="131.79999999999927"/>
    <n v="0"/>
    <x v="5"/>
    <x v="1"/>
    <m/>
    <m/>
    <s v=""/>
    <n v="1.6073170731707227E-2"/>
  </r>
  <r>
    <x v="3"/>
    <x v="62"/>
    <x v="1"/>
    <x v="5"/>
    <m/>
    <m/>
    <s v="REFRIGERANT, ENTALPIA EUROPE R134A 13.6   2/7/26"/>
    <s v="GE-000517"/>
    <n v="1"/>
    <n v="8200"/>
    <m/>
    <n v="8200"/>
    <x v="0"/>
    <n v="10489"/>
    <n v="7684"/>
    <n v="7684"/>
    <n v="8068.2000000000007"/>
    <n v="131.79999999999927"/>
    <n v="39.539999999999779"/>
    <x v="5"/>
    <x v="1"/>
    <m/>
    <m/>
    <s v=""/>
    <n v="1.6073170731707227E-2"/>
  </r>
  <r>
    <x v="3"/>
    <x v="63"/>
    <x v="0"/>
    <x v="1"/>
    <m/>
    <m/>
    <s v="COPPER_TUBE_SOFTDRAWN, HAILIANG 0.028 X 5/8 x 15 mtr"/>
    <s v="IM-000324"/>
    <n v="0.2"/>
    <n v="5000"/>
    <m/>
    <n v="1000"/>
    <x v="0"/>
    <n v="0"/>
    <n v="0"/>
    <n v="0"/>
    <n v="0"/>
    <n v="1000"/>
    <n v="0"/>
    <x v="13"/>
    <x v="3"/>
    <m/>
    <m/>
    <s v=""/>
    <n v="1"/>
  </r>
  <r>
    <x v="3"/>
    <x v="64"/>
    <x v="0"/>
    <x v="40"/>
    <m/>
    <m/>
    <s v="COPPER_TUBE_SOFTDRAWN, HAILIANG 0.028 X 1/4 x 15 mtr"/>
    <s v="IM-000321"/>
    <n v="0.2"/>
    <n v="2500"/>
    <m/>
    <n v="500"/>
    <x v="0"/>
    <n v="0"/>
    <n v="0"/>
    <n v="0"/>
    <n v="0"/>
    <n v="500"/>
    <n v="0"/>
    <x v="13"/>
    <x v="3"/>
    <m/>
    <m/>
    <s v=""/>
    <n v="1"/>
  </r>
  <r>
    <x v="3"/>
    <x v="64"/>
    <x v="0"/>
    <x v="40"/>
    <m/>
    <m/>
    <s v="BRACKET , AERO 1HP, COATED"/>
    <s v="IM-000096"/>
    <n v="1"/>
    <n v="350"/>
    <m/>
    <n v="350"/>
    <x v="0"/>
    <n v="0"/>
    <n v="0"/>
    <n v="0"/>
    <n v="0"/>
    <n v="350"/>
    <n v="0"/>
    <x v="3"/>
    <x v="0"/>
    <m/>
    <m/>
    <s v=""/>
    <n v="1"/>
  </r>
  <r>
    <x v="3"/>
    <x v="64"/>
    <x v="0"/>
    <x v="1"/>
    <m/>
    <n v="350"/>
    <s v="BRACKET , AERO 1HP, COATED"/>
    <s v="IM-000096"/>
    <n v="1"/>
    <n v="312"/>
    <m/>
    <n v="312"/>
    <x v="0"/>
    <n v="0"/>
    <n v="0"/>
    <n v="0"/>
    <n v="0"/>
    <n v="312"/>
    <n v="0"/>
    <x v="3"/>
    <x v="0"/>
    <m/>
    <m/>
    <n v="349.44000000000005"/>
    <n v="1"/>
  </r>
  <r>
    <x v="0"/>
    <x v="13"/>
    <x v="2"/>
    <x v="9"/>
    <m/>
    <m/>
    <s v="EVAPORATOR, MITSUBISHI PAJERO GEN 4"/>
    <s v="CA-001507"/>
    <n v="1"/>
    <n v="1900"/>
    <m/>
    <n v="1900"/>
    <x v="0"/>
    <n v="2573"/>
    <n v="1400"/>
    <n v="1400"/>
    <n v="1470"/>
    <n v="430"/>
    <n v="129"/>
    <x v="10"/>
    <x v="2"/>
    <e v="#REF!"/>
    <e v="#REF!"/>
    <s v=""/>
    <n v="0.22631578947368422"/>
  </r>
  <r>
    <x v="3"/>
    <x v="64"/>
    <x v="0"/>
    <x v="19"/>
    <m/>
    <m/>
    <s v="COPPER_TUBE_SOFTDRAWN, HAILIANG 0.028 X 1/2  x 15 mtr"/>
    <s v="IM-000328"/>
    <n v="0.2"/>
    <n v="4250"/>
    <m/>
    <n v="850"/>
    <x v="0"/>
    <n v="6554"/>
    <n v="3636"/>
    <n v="727.2"/>
    <n v="749.01600000000008"/>
    <n v="100.98399999999992"/>
    <n v="0"/>
    <x v="0"/>
    <x v="0"/>
    <m/>
    <m/>
    <s v=""/>
    <n v="0.11880470588235285"/>
  </r>
  <r>
    <x v="3"/>
    <x v="65"/>
    <x v="0"/>
    <x v="30"/>
    <m/>
    <m/>
    <s v="BRACKET , AERO 1HP, COATED"/>
    <s v="IM-000096"/>
    <n v="1"/>
    <n v="360"/>
    <m/>
    <n v="360"/>
    <x v="0"/>
    <n v="0"/>
    <n v="0"/>
    <n v="0"/>
    <n v="0"/>
    <n v="360"/>
    <n v="0"/>
    <x v="3"/>
    <x v="0"/>
    <m/>
    <m/>
    <s v=""/>
    <n v="1"/>
  </r>
  <r>
    <x v="3"/>
    <x v="66"/>
    <x v="0"/>
    <x v="41"/>
    <m/>
    <m/>
    <s v="COPPER_TUBE_SOFTDRAWN, HAILIANG 0.028 X 1/2  x 15 mtr"/>
    <s v="IM-000328"/>
    <n v="0.2"/>
    <n v="4250"/>
    <m/>
    <n v="850"/>
    <x v="0"/>
    <n v="6554"/>
    <n v="3636"/>
    <n v="727.2"/>
    <n v="749.01600000000008"/>
    <n v="100.98399999999992"/>
    <n v="0"/>
    <x v="0"/>
    <x v="0"/>
    <m/>
    <m/>
    <s v=""/>
    <n v="0.11880470588235285"/>
  </r>
  <r>
    <x v="3"/>
    <x v="66"/>
    <x v="0"/>
    <x v="19"/>
    <m/>
    <m/>
    <s v="COPPER_TUBE_SOFTDRAWN, HAILIANG 0.028 X 1/2  x 15 mtr"/>
    <s v="IM-000328"/>
    <n v="0.2"/>
    <n v="4250"/>
    <m/>
    <n v="850"/>
    <x v="0"/>
    <n v="6554"/>
    <n v="3636"/>
    <n v="727.2"/>
    <n v="749.01600000000008"/>
    <n v="100.98399999999992"/>
    <n v="0"/>
    <x v="0"/>
    <x v="0"/>
    <m/>
    <m/>
    <s v=""/>
    <n v="0.11880470588235285"/>
  </r>
  <r>
    <x v="3"/>
    <x v="67"/>
    <x v="1"/>
    <x v="5"/>
    <m/>
    <m/>
    <s v="REFRIGERANT, ENTALPIA EUROPE R134A 13.6   2/7/26"/>
    <s v="GE-000517"/>
    <n v="1"/>
    <n v="8300"/>
    <m/>
    <n v="8300"/>
    <x v="0"/>
    <n v="10489"/>
    <n v="7684"/>
    <n v="7684"/>
    <n v="8068.2000000000007"/>
    <n v="231.79999999999927"/>
    <n v="69.539999999999779"/>
    <x v="5"/>
    <x v="1"/>
    <m/>
    <m/>
    <s v=""/>
    <n v="2.7927710843373407E-2"/>
  </r>
  <r>
    <x v="3"/>
    <x v="68"/>
    <x v="1"/>
    <x v="42"/>
    <m/>
    <m/>
    <s v="REFRIGERANT, ENTALPIA EUROPE R134A 13.6   2/7/26"/>
    <s v="GE-000517"/>
    <n v="1"/>
    <n v="8100"/>
    <m/>
    <n v="8100"/>
    <x v="0"/>
    <n v="10489"/>
    <n v="7684"/>
    <n v="7684"/>
    <n v="8068.2000000000007"/>
    <n v="31.799999999999272"/>
    <n v="9.5399999999997807"/>
    <x v="5"/>
    <x v="1"/>
    <m/>
    <m/>
    <s v=""/>
    <n v="3.9259259259258363E-3"/>
  </r>
  <r>
    <x v="3"/>
    <x v="69"/>
    <x v="0"/>
    <x v="35"/>
    <m/>
    <m/>
    <s v="BRACKET , AERO 1HP, COATED"/>
    <s v="IM-000096"/>
    <n v="1"/>
    <n v="360"/>
    <m/>
    <n v="360"/>
    <x v="0"/>
    <n v="0"/>
    <n v="0"/>
    <n v="0"/>
    <n v="0"/>
    <n v="360"/>
    <n v="0"/>
    <x v="3"/>
    <x v="0"/>
    <m/>
    <m/>
    <s v=""/>
    <n v="1"/>
  </r>
  <r>
    <x v="3"/>
    <x v="70"/>
    <x v="5"/>
    <x v="37"/>
    <m/>
    <m/>
    <s v="ELECTRICAL WIRE_STRANDED, POWERFLEX THNN STRANDED   #12, ROLL 2/23/2026"/>
    <s v="GE-000476"/>
    <n v="1"/>
    <n v="5000"/>
    <m/>
    <n v="5000"/>
    <x v="0"/>
    <n v="0"/>
    <n v="0"/>
    <n v="0"/>
    <n v="0"/>
    <n v="5000"/>
    <n v="1500"/>
    <x v="2"/>
    <x v="1"/>
    <m/>
    <m/>
    <s v=""/>
    <n v="1"/>
  </r>
  <r>
    <x v="3"/>
    <x v="70"/>
    <x v="5"/>
    <x v="37"/>
    <m/>
    <m/>
    <s v="ELECTRICAL WIRE_STRANDED, POWERFLEX THNN STRANDED   #14, ROLL 02/23/26"/>
    <s v="GE-000514"/>
    <n v="1"/>
    <n v="4000"/>
    <m/>
    <n v="4000"/>
    <x v="0"/>
    <n v="4317"/>
    <n v="2349"/>
    <n v="2349"/>
    <n v="2466.4500000000003"/>
    <n v="1533.5499999999997"/>
    <n v="460.06499999999988"/>
    <x v="2"/>
    <x v="1"/>
    <m/>
    <m/>
    <s v=""/>
    <n v="0.38338749999999994"/>
  </r>
  <r>
    <x v="3"/>
    <x v="71"/>
    <x v="0"/>
    <x v="34"/>
    <m/>
    <m/>
    <s v="COPPER_TUBE_SOFTDRAWN, HAILIANG 0.028 X 1/2  x 15 mtr"/>
    <s v="IM-000328"/>
    <n v="1"/>
    <n v="3870"/>
    <m/>
    <n v="3870"/>
    <x v="0"/>
    <n v="6554"/>
    <n v="3636"/>
    <n v="3636"/>
    <n v="3745.08"/>
    <n v="124.92000000000007"/>
    <n v="0"/>
    <x v="0"/>
    <x v="0"/>
    <m/>
    <m/>
    <s v=""/>
    <n v="3.2279069767441881E-2"/>
  </r>
  <r>
    <x v="3"/>
    <x v="71"/>
    <x v="7"/>
    <x v="43"/>
    <m/>
    <m/>
    <s v="COPPER_TUBE_SOFTDRAWN, HAILIANG 0.028 X 1/2  x 15 mtr"/>
    <s v="IM-000328"/>
    <n v="0.2"/>
    <n v="4250"/>
    <m/>
    <n v="850"/>
    <x v="0"/>
    <n v="6554"/>
    <n v="3636"/>
    <n v="727.2"/>
    <n v="749.01600000000008"/>
    <n v="100.98399999999992"/>
    <n v="30.295199999999976"/>
    <x v="0"/>
    <x v="0"/>
    <m/>
    <m/>
    <s v=""/>
    <n v="0.11880470588235285"/>
  </r>
  <r>
    <x v="3"/>
    <x v="71"/>
    <x v="0"/>
    <x v="2"/>
    <m/>
    <m/>
    <s v="COPPER_TUBE_SOFTDRAWN, HAILIANG 0.028 X 1/2  x 15 mtr"/>
    <s v="IM-000328"/>
    <n v="0.2"/>
    <n v="4250"/>
    <m/>
    <n v="850"/>
    <x v="0"/>
    <n v="6554"/>
    <n v="3636"/>
    <n v="727.2"/>
    <n v="749.01600000000008"/>
    <n v="100.98399999999992"/>
    <n v="0"/>
    <x v="0"/>
    <x v="0"/>
    <m/>
    <m/>
    <s v=""/>
    <n v="0.11880470588235285"/>
  </r>
  <r>
    <x v="3"/>
    <x v="71"/>
    <x v="0"/>
    <x v="44"/>
    <m/>
    <m/>
    <s v="COPPER_TUBE_SOFTDRAWN, HAILIANG 0.028 X 5/8 x 15 mtr"/>
    <s v="IM-000324"/>
    <n v="0.2"/>
    <n v="5000"/>
    <m/>
    <n v="1000"/>
    <x v="0"/>
    <n v="0"/>
    <n v="0"/>
    <n v="0"/>
    <n v="0"/>
    <n v="1000"/>
    <n v="0"/>
    <x v="13"/>
    <x v="3"/>
    <m/>
    <m/>
    <s v=""/>
    <n v="1"/>
  </r>
  <r>
    <x v="3"/>
    <x v="71"/>
    <x v="5"/>
    <x v="37"/>
    <m/>
    <m/>
    <s v="ELECTRICAL WIRE_STRANDED, POWERFLEX THNN STRANDED   #14, ROLL 02/23/26"/>
    <s v="GE-000514"/>
    <n v="1"/>
    <n v="4000"/>
    <m/>
    <n v="4000"/>
    <x v="0"/>
    <n v="4317"/>
    <n v="2349"/>
    <n v="2349"/>
    <n v="2466.4500000000003"/>
    <n v="1533.5499999999997"/>
    <n v="460.06499999999988"/>
    <x v="2"/>
    <x v="1"/>
    <m/>
    <m/>
    <s v=""/>
    <n v="0.38338749999999994"/>
  </r>
  <r>
    <x v="3"/>
    <x v="71"/>
    <x v="0"/>
    <x v="26"/>
    <m/>
    <m/>
    <s v="COPPER_TUBE_SOFTDRAWN, HAILIANG 0.028 X 1/2  x 15 mtr"/>
    <s v="IM-000328"/>
    <n v="1"/>
    <n v="3870"/>
    <m/>
    <n v="3870"/>
    <x v="0"/>
    <n v="6554"/>
    <n v="3636"/>
    <n v="3636"/>
    <n v="3745.08"/>
    <n v="124.92000000000007"/>
    <n v="0"/>
    <x v="0"/>
    <x v="0"/>
    <m/>
    <m/>
    <s v=""/>
    <n v="3.2279069767441881E-2"/>
  </r>
  <r>
    <x v="3"/>
    <x v="72"/>
    <x v="0"/>
    <x v="45"/>
    <m/>
    <m/>
    <s v="BRACKET , AERO 1HP, COATED"/>
    <s v="IM-000096"/>
    <n v="1"/>
    <n v="360"/>
    <m/>
    <n v="360"/>
    <x v="0"/>
    <n v="0"/>
    <n v="0"/>
    <n v="0"/>
    <n v="0"/>
    <n v="360"/>
    <n v="0"/>
    <x v="3"/>
    <x v="0"/>
    <m/>
    <m/>
    <s v=""/>
    <n v="1"/>
  </r>
  <r>
    <x v="0"/>
    <x v="73"/>
    <x v="2"/>
    <x v="7"/>
    <m/>
    <m/>
    <s v="AUXFAN_MOTOR, TOYOTA HI-ACE FRONT NEW 4810"/>
    <s v="CA-000089"/>
    <n v="1"/>
    <n v="1900"/>
    <m/>
    <n v="1900"/>
    <x v="0"/>
    <n v="2481"/>
    <n v="1350"/>
    <n v="1350"/>
    <n v="1417.5"/>
    <n v="482.5"/>
    <n v="144.75"/>
    <x v="14"/>
    <x v="2"/>
    <e v="#REF!"/>
    <e v="#REF!"/>
    <s v=""/>
    <n v="0.25394736842105264"/>
  </r>
  <r>
    <x v="3"/>
    <x v="74"/>
    <x v="0"/>
    <x v="1"/>
    <m/>
    <m/>
    <s v="COPPER_TUBE_SOFTDRAWN, HAILIANG 0.028 X 1/2  x 15 mtr"/>
    <s v="IM-000328"/>
    <n v="0.4"/>
    <n v="4250"/>
    <m/>
    <n v="1700"/>
    <x v="0"/>
    <n v="6554"/>
    <n v="3636"/>
    <n v="1454.4"/>
    <n v="1498.0320000000002"/>
    <n v="201.96799999999985"/>
    <n v="0"/>
    <x v="0"/>
    <x v="0"/>
    <m/>
    <m/>
    <m/>
    <n v="0.11880470588235285"/>
  </r>
  <r>
    <x v="0"/>
    <x v="31"/>
    <x v="8"/>
    <x v="46"/>
    <m/>
    <n v="13500"/>
    <s v="COMPRESSOR, BMW 320i 2006 (STAL)"/>
    <s v="CA-001796"/>
    <n v="1"/>
    <n v="13200"/>
    <m/>
    <n v="13200"/>
    <x v="0"/>
    <n v="14333"/>
    <n v="7800"/>
    <n v="7800"/>
    <n v="8190"/>
    <n v="5010"/>
    <n v="1503"/>
    <x v="7"/>
    <x v="2"/>
    <m/>
    <m/>
    <n v="14784.000000000002"/>
    <n v="0.37954545454545452"/>
  </r>
  <r>
    <x v="0"/>
    <x v="0"/>
    <x v="2"/>
    <x v="22"/>
    <m/>
    <m/>
    <s v="EVAPORATOR, HONDA CITY 2003 HS-40A46"/>
    <s v="CA-000474"/>
    <n v="1"/>
    <n v="1950"/>
    <m/>
    <n v="1950"/>
    <x v="0"/>
    <n v="2389"/>
    <n v="1300"/>
    <n v="1300"/>
    <n v="1365"/>
    <n v="585"/>
    <n v="175.5"/>
    <x v="10"/>
    <x v="2"/>
    <e v="#REF!"/>
    <e v="#REF!"/>
    <e v="#REF!"/>
    <n v="0.3"/>
  </r>
  <r>
    <x v="0"/>
    <x v="2"/>
    <x v="0"/>
    <x v="23"/>
    <m/>
    <m/>
    <s v="REFRIGERANT, EUFRON R134A, 13.6 KGS 9/11/25"/>
    <s v="GE-000467"/>
    <n v="2"/>
    <n v="7800"/>
    <m/>
    <n v="15600"/>
    <x v="0"/>
    <n v="8483"/>
    <n v="6732"/>
    <n v="13464"/>
    <n v="14137.2"/>
    <n v="1462.7999999999993"/>
    <n v="0"/>
    <x v="5"/>
    <x v="1"/>
    <m/>
    <m/>
    <s v=""/>
    <n v="9.3769230769230716E-2"/>
  </r>
  <r>
    <x v="4"/>
    <x v="75"/>
    <x v="0"/>
    <x v="47"/>
    <m/>
    <m/>
    <s v="COPPER_TUBE_SOFTDRAWN, HAILIANG 0.028 X 1/2  x 15 mtr 04/25/26"/>
    <s v="IM-000328"/>
    <n v="4"/>
    <n v="3870"/>
    <m/>
    <n v="15480"/>
    <x v="0"/>
    <n v="6554"/>
    <n v="3636"/>
    <n v="14544"/>
    <n v="14980.32"/>
    <n v="499.68000000000029"/>
    <n v="0"/>
    <x v="0"/>
    <x v="0"/>
    <e v="#REF!"/>
    <e v="#REF!"/>
    <e v="#REF!"/>
    <n v="0"/>
  </r>
  <r>
    <x v="1"/>
    <x v="76"/>
    <x v="0"/>
    <x v="15"/>
    <m/>
    <m/>
    <s v="REFRIGERANT, EUFRON R22, 13.6 KGS  02/10/26"/>
    <s v="GE-000520"/>
    <n v="2"/>
    <n v="6800"/>
    <m/>
    <n v="13600"/>
    <x v="0"/>
    <n v="8190"/>
    <n v="6500"/>
    <n v="13000"/>
    <n v="13650"/>
    <n v="-50"/>
    <n v="0"/>
    <x v="5"/>
    <x v="1"/>
    <e v="#REF!"/>
    <e v="#REF!"/>
    <s v=""/>
    <n v="-3.6764705882352941E-3"/>
  </r>
  <r>
    <x v="4"/>
    <x v="77"/>
    <x v="0"/>
    <x v="26"/>
    <m/>
    <m/>
    <s v="COPPER_TUBE_SOFTDRAWN, HAILIANG 0.028 X 5/8 x 15 mtr 04/25/26"/>
    <s v=""/>
    <n v="2"/>
    <n v="5000"/>
    <m/>
    <n v="10000"/>
    <x v="0"/>
    <n v="0"/>
    <n v="0"/>
    <n v="0"/>
    <n v="0"/>
    <n v="10000"/>
    <n v="0"/>
    <x v="13"/>
    <x v="3"/>
    <e v="#REF!"/>
    <e v="#REF!"/>
    <e v="#REF!"/>
    <n v="0"/>
  </r>
  <r>
    <x v="3"/>
    <x v="68"/>
    <x v="1"/>
    <x v="42"/>
    <m/>
    <m/>
    <s v="AUXIALLIARY_FAN, POKKA 10 BLADES X 12VOLTS"/>
    <s v="CA-000106"/>
    <n v="20"/>
    <n v="510"/>
    <m/>
    <n v="10200"/>
    <x v="0"/>
    <n v="772"/>
    <n v="420"/>
    <n v="8400"/>
    <n v="8820"/>
    <n v="1380"/>
    <n v="414"/>
    <x v="16"/>
    <x v="2"/>
    <m/>
    <m/>
    <s v=""/>
    <n v="0.13529411764705881"/>
  </r>
  <r>
    <x v="0"/>
    <x v="1"/>
    <x v="4"/>
    <x v="25"/>
    <m/>
    <m/>
    <s v="PULLEY_ASSEMBLY, TOYOTA AVANZA 6PK"/>
    <s v="CA-001060"/>
    <n v="1"/>
    <n v="2000"/>
    <m/>
    <n v="2000"/>
    <x v="0"/>
    <n v="2184"/>
    <n v="1300"/>
    <n v="1300"/>
    <n v="1365"/>
    <n v="635"/>
    <n v="190.5"/>
    <x v="11"/>
    <x v="2"/>
    <m/>
    <m/>
    <s v=""/>
    <n v="0.3175"/>
  </r>
  <r>
    <x v="4"/>
    <x v="78"/>
    <x v="0"/>
    <x v="18"/>
    <m/>
    <m/>
    <s v="REFRIGERANT, ENTALPIA EUROPE R134A 13.6   5/19/26 NBO"/>
    <s v=""/>
    <n v="1"/>
    <n v="8700"/>
    <m/>
    <n v="8700"/>
    <x v="0"/>
    <n v="0"/>
    <n v="0"/>
    <n v="0"/>
    <n v="0"/>
    <n v="8700"/>
    <n v="0"/>
    <x v="13"/>
    <x v="3"/>
    <m/>
    <m/>
    <m/>
    <n v="1"/>
  </r>
  <r>
    <x v="4"/>
    <x v="78"/>
    <x v="0"/>
    <x v="11"/>
    <m/>
    <m/>
    <s v="REFRIGERANT, ENTALPIA EUROPE R134A 13.6   5/19/26 NBO"/>
    <s v=""/>
    <n v="1"/>
    <n v="8700"/>
    <m/>
    <n v="8700"/>
    <x v="0"/>
    <n v="0"/>
    <n v="0"/>
    <n v="0"/>
    <n v="0"/>
    <n v="8700"/>
    <n v="0"/>
    <x v="13"/>
    <x v="3"/>
    <m/>
    <m/>
    <m/>
    <n v="1"/>
  </r>
  <r>
    <x v="4"/>
    <x v="79"/>
    <x v="0"/>
    <x v="10"/>
    <m/>
    <m/>
    <s v="REFRIGERANT, ENTALPIA EUROPE R134A 13.6   5/19/26 NBO"/>
    <s v=""/>
    <n v="1"/>
    <n v="8700"/>
    <m/>
    <n v="8700"/>
    <x v="0"/>
    <n v="0"/>
    <n v="0"/>
    <n v="0"/>
    <n v="0"/>
    <n v="8700"/>
    <n v="0"/>
    <x v="13"/>
    <x v="3"/>
    <m/>
    <m/>
    <m/>
    <n v="1"/>
  </r>
  <r>
    <x v="4"/>
    <x v="80"/>
    <x v="0"/>
    <x v="8"/>
    <m/>
    <m/>
    <s v="REFRIGERANT, ENTALPIA EUROPE R134A 13.6   5/19/26 NBO"/>
    <s v=""/>
    <n v="1"/>
    <n v="8700"/>
    <m/>
    <n v="8700"/>
    <x v="0"/>
    <n v="0"/>
    <n v="0"/>
    <n v="0"/>
    <n v="0"/>
    <n v="8700"/>
    <n v="0"/>
    <x v="13"/>
    <x v="3"/>
    <m/>
    <m/>
    <m/>
    <n v="1"/>
  </r>
  <r>
    <x v="4"/>
    <x v="80"/>
    <x v="1"/>
    <x v="5"/>
    <m/>
    <m/>
    <s v="REFRIGERANT, ENTALPIA EUROPE R134A 13.6   5/19/26 NBO"/>
    <s v=""/>
    <n v="1"/>
    <n v="8700"/>
    <m/>
    <n v="8700"/>
    <x v="0"/>
    <n v="0"/>
    <n v="0"/>
    <n v="0"/>
    <n v="0"/>
    <n v="8700"/>
    <n v="2610"/>
    <x v="13"/>
    <x v="3"/>
    <m/>
    <m/>
    <m/>
    <n v="1"/>
  </r>
  <r>
    <x v="4"/>
    <x v="80"/>
    <x v="0"/>
    <x v="17"/>
    <m/>
    <m/>
    <s v="REFRIGERANT, ENTALPIA EUROPE R134A 13.6   5/19/26 NBO"/>
    <s v=""/>
    <n v="1"/>
    <n v="8700"/>
    <m/>
    <n v="8700"/>
    <x v="0"/>
    <n v="0"/>
    <n v="0"/>
    <n v="0"/>
    <n v="0"/>
    <n v="8700"/>
    <n v="0"/>
    <x v="13"/>
    <x v="3"/>
    <e v="#REF!"/>
    <e v="#REF!"/>
    <e v="#REF!"/>
    <n v="0"/>
  </r>
  <r>
    <x v="4"/>
    <x v="81"/>
    <x v="0"/>
    <x v="1"/>
    <m/>
    <m/>
    <s v="REFRIGERANT, ENTALPIA EUROPE R134A 13.6   5/19/26 NBO"/>
    <s v=""/>
    <n v="1"/>
    <n v="8700"/>
    <m/>
    <n v="8700"/>
    <x v="0"/>
    <n v="0"/>
    <n v="0"/>
    <n v="0"/>
    <n v="0"/>
    <n v="8700"/>
    <n v="0"/>
    <x v="13"/>
    <x v="3"/>
    <m/>
    <m/>
    <m/>
    <n v="1"/>
  </r>
  <r>
    <x v="4"/>
    <x v="75"/>
    <x v="1"/>
    <x v="5"/>
    <m/>
    <m/>
    <s v="REFRIGERANT, ENTALPIA EUROPE R134A 13.6   5/19/26 NBO"/>
    <s v=""/>
    <n v="1"/>
    <n v="8700"/>
    <m/>
    <n v="8700"/>
    <x v="0"/>
    <n v="0"/>
    <n v="0"/>
    <n v="0"/>
    <n v="0"/>
    <n v="8700"/>
    <n v="2610"/>
    <x v="13"/>
    <x v="3"/>
    <e v="#REF!"/>
    <e v="#REF!"/>
    <e v="#REF!"/>
    <n v="0"/>
  </r>
  <r>
    <x v="0"/>
    <x v="47"/>
    <x v="2"/>
    <x v="9"/>
    <m/>
    <n v="2000"/>
    <s v="EVAPORATOR, MITSUBISHI ADVENTURE LAM  (STAL)"/>
    <s v="CA-001719"/>
    <n v="1"/>
    <n v="2000"/>
    <m/>
    <n v="1780"/>
    <x v="0"/>
    <n v="2536"/>
    <n v="1380"/>
    <n v="1380"/>
    <n v="1449"/>
    <n v="331"/>
    <n v="99.3"/>
    <x v="10"/>
    <x v="2"/>
    <m/>
    <m/>
    <n v="2240"/>
    <n v="0.18595505617977529"/>
  </r>
  <r>
    <x v="4"/>
    <x v="82"/>
    <x v="0"/>
    <x v="23"/>
    <m/>
    <m/>
    <s v="REFRIGERANT, ENTALPIA EUROPE R134A 13.6   5/19/26 NBO"/>
    <s v=""/>
    <n v="1"/>
    <n v="8700"/>
    <m/>
    <n v="8700"/>
    <x v="0"/>
    <n v="0"/>
    <n v="0"/>
    <n v="0"/>
    <n v="0"/>
    <n v="8700"/>
    <n v="0"/>
    <x v="13"/>
    <x v="3"/>
    <e v="#REF!"/>
    <e v="#REF!"/>
    <e v="#REF!"/>
    <n v="0"/>
  </r>
  <r>
    <x v="5"/>
    <x v="83"/>
    <x v="0"/>
    <x v="10"/>
    <m/>
    <m/>
    <s v="REFRIGERANT, ENTALPIA EUROPE R134A 13.6   5/19/26 NBO"/>
    <s v=""/>
    <n v="1"/>
    <n v="8700"/>
    <m/>
    <n v="8700"/>
    <x v="0"/>
    <n v="0"/>
    <n v="0"/>
    <n v="0"/>
    <n v="0"/>
    <n v="8700"/>
    <n v="0"/>
    <x v="13"/>
    <x v="3"/>
    <e v="#REF!"/>
    <e v="#REF!"/>
    <s v=""/>
    <n v="1"/>
  </r>
  <r>
    <x v="5"/>
    <x v="83"/>
    <x v="0"/>
    <x v="34"/>
    <m/>
    <m/>
    <s v="COPPER_TUBE_SOFTDRAWN, HAILIANG 0.028 X 5/8 x 15 mtr 04/25/26"/>
    <s v=""/>
    <n v="1"/>
    <n v="5000"/>
    <m/>
    <n v="5000"/>
    <x v="0"/>
    <n v="0"/>
    <n v="0"/>
    <n v="0"/>
    <n v="0"/>
    <n v="5000"/>
    <n v="0"/>
    <x v="13"/>
    <x v="3"/>
    <e v="#REF!"/>
    <e v="#REF!"/>
    <s v=""/>
    <n v="1"/>
  </r>
  <r>
    <x v="5"/>
    <x v="83"/>
    <x v="0"/>
    <x v="26"/>
    <m/>
    <m/>
    <s v="COPPER_TUBE_SOFTDRAWN, HAILIANG 0.028 X 5/8 x 15 mtr 04/25/26"/>
    <s v=""/>
    <n v="1"/>
    <n v="5000"/>
    <m/>
    <n v="5000"/>
    <x v="0"/>
    <n v="0"/>
    <n v="0"/>
    <n v="0"/>
    <n v="0"/>
    <n v="5000"/>
    <n v="0"/>
    <x v="13"/>
    <x v="3"/>
    <e v="#REF!"/>
    <e v="#REF!"/>
    <s v=""/>
    <n v="1"/>
  </r>
  <r>
    <x v="5"/>
    <x v="83"/>
    <x v="0"/>
    <x v="34"/>
    <m/>
    <m/>
    <s v="COPPER_TUBE_SOFTDRAWN, HAILIANG 0.028 X 1/2  x 15 mtr 04/25/26"/>
    <s v="IM-000328"/>
    <n v="1"/>
    <n v="3950"/>
    <m/>
    <n v="3950"/>
    <x v="0"/>
    <n v="6554"/>
    <n v="3636"/>
    <n v="3636"/>
    <n v="3745.08"/>
    <n v="204.92000000000007"/>
    <n v="0"/>
    <x v="0"/>
    <x v="0"/>
    <e v="#REF!"/>
    <e v="#REF!"/>
    <s v=""/>
    <n v="5.1878481012658247E-2"/>
  </r>
  <r>
    <x v="5"/>
    <x v="83"/>
    <x v="0"/>
    <x v="34"/>
    <m/>
    <m/>
    <s v="COPPER_TUBE_SOFTDRAWN, HAILIANG 0.028 X 3/8 x 15 mtr 06/02/26"/>
    <s v="IM-000327"/>
    <n v="1"/>
    <n v="2950"/>
    <m/>
    <n v="2950"/>
    <x v="0"/>
    <n v="4774"/>
    <n v="2648"/>
    <n v="2648"/>
    <n v="2727.44"/>
    <n v="222.55999999999995"/>
    <n v="0"/>
    <x v="0"/>
    <x v="0"/>
    <e v="#REF!"/>
    <e v="#REF!"/>
    <s v=""/>
    <n v="7.5444067796610156E-2"/>
  </r>
  <r>
    <x v="3"/>
    <x v="63"/>
    <x v="0"/>
    <x v="23"/>
    <m/>
    <m/>
    <s v="REFRIGERANT, ENTALPIA EUROPE R134A 13.6   4/8/26 NBO"/>
    <s v="GE-000510"/>
    <n v="1"/>
    <n v="8300"/>
    <m/>
    <n v="8300"/>
    <x v="0"/>
    <n v="0"/>
    <n v="0"/>
    <n v="0"/>
    <n v="0"/>
    <n v="8300"/>
    <n v="0"/>
    <x v="13"/>
    <x v="3"/>
    <m/>
    <m/>
    <s v=""/>
    <n v="1"/>
  </r>
  <r>
    <x v="3"/>
    <x v="65"/>
    <x v="0"/>
    <x v="10"/>
    <m/>
    <m/>
    <s v="REFRIGERANT, ENTALPIA EUROPE R134A 13.6   4/8/26 NBO"/>
    <s v="GE-000510"/>
    <n v="1"/>
    <n v="8300"/>
    <m/>
    <n v="8300"/>
    <x v="0"/>
    <n v="0"/>
    <n v="0"/>
    <n v="0"/>
    <n v="0"/>
    <n v="8300"/>
    <n v="0"/>
    <x v="13"/>
    <x v="3"/>
    <m/>
    <m/>
    <s v=""/>
    <n v="1"/>
  </r>
  <r>
    <x v="3"/>
    <x v="65"/>
    <x v="0"/>
    <x v="8"/>
    <m/>
    <m/>
    <s v="REFRIGERANT, ENTALPIA EUROPE R134A 13.6   4/8/26 NBO"/>
    <s v="GE-000510"/>
    <n v="1"/>
    <n v="8300"/>
    <m/>
    <n v="8300"/>
    <x v="0"/>
    <n v="0"/>
    <n v="0"/>
    <n v="0"/>
    <n v="0"/>
    <n v="8300"/>
    <n v="0"/>
    <x v="13"/>
    <x v="3"/>
    <m/>
    <m/>
    <s v=""/>
    <n v="1"/>
  </r>
  <r>
    <x v="3"/>
    <x v="68"/>
    <x v="0"/>
    <x v="48"/>
    <m/>
    <m/>
    <s v="REFRIGERANT, ENTALPIA EUROPE R134A 13.6   4/8/26 NBO"/>
    <s v="GE-000510"/>
    <n v="1"/>
    <n v="8300"/>
    <m/>
    <n v="8300"/>
    <x v="0"/>
    <n v="0"/>
    <n v="0"/>
    <n v="0"/>
    <n v="0"/>
    <n v="8300"/>
    <n v="0"/>
    <x v="13"/>
    <x v="3"/>
    <m/>
    <m/>
    <s v=""/>
    <n v="1"/>
  </r>
  <r>
    <x v="3"/>
    <x v="68"/>
    <x v="0"/>
    <x v="18"/>
    <m/>
    <m/>
    <s v="REFRIGERANT, ENTALPIA EUROPE R134A 13.6   4/8/26 NBO"/>
    <s v="GE-000510"/>
    <n v="1"/>
    <n v="8300"/>
    <m/>
    <n v="8300"/>
    <x v="0"/>
    <n v="0"/>
    <n v="0"/>
    <n v="0"/>
    <n v="0"/>
    <n v="8300"/>
    <n v="0"/>
    <x v="13"/>
    <x v="3"/>
    <m/>
    <m/>
    <s v=""/>
    <n v="1"/>
  </r>
  <r>
    <x v="3"/>
    <x v="71"/>
    <x v="0"/>
    <x v="10"/>
    <m/>
    <m/>
    <s v="REFRIGERANT, ENTALPIA EUROPE R134A 13.6   4/8/26 NBO"/>
    <s v="GE-000510"/>
    <n v="1"/>
    <n v="8300"/>
    <m/>
    <n v="8300"/>
    <x v="0"/>
    <n v="0"/>
    <n v="0"/>
    <n v="0"/>
    <n v="0"/>
    <n v="8300"/>
    <n v="0"/>
    <x v="13"/>
    <x v="3"/>
    <m/>
    <m/>
    <s v=""/>
    <n v="1"/>
  </r>
  <r>
    <x v="0"/>
    <x v="84"/>
    <x v="2"/>
    <x v="9"/>
    <m/>
    <m/>
    <s v="BLOWER_MOTOR, TOYOTA VIOS SUPERMAN"/>
    <s v="CA-000233"/>
    <n v="1"/>
    <n v="1900"/>
    <m/>
    <n v="1900"/>
    <x v="0"/>
    <n v="2389"/>
    <n v="1300"/>
    <n v="1300"/>
    <n v="1365"/>
    <n v="535"/>
    <n v="160.5"/>
    <x v="15"/>
    <x v="2"/>
    <m/>
    <m/>
    <s v=""/>
    <n v="0.28157894736842104"/>
  </r>
  <r>
    <x v="0"/>
    <x v="4"/>
    <x v="1"/>
    <x v="3"/>
    <m/>
    <m/>
    <s v="RECEIVER_DRIER_STEEL , MAXX 3/8 (O) 4-HOLES"/>
    <s v="CA-001132"/>
    <n v="1"/>
    <n v="450"/>
    <m/>
    <n v="450"/>
    <x v="0"/>
    <n v="399"/>
    <n v="185"/>
    <n v="185"/>
    <n v="194.25"/>
    <n v="255.75"/>
    <n v="76.724999999999994"/>
    <x v="17"/>
    <x v="2"/>
    <e v="#REF!"/>
    <e v="#REF!"/>
    <s v=""/>
    <n v="0.56833333333333336"/>
  </r>
  <r>
    <x v="3"/>
    <x v="74"/>
    <x v="1"/>
    <x v="5"/>
    <m/>
    <m/>
    <s v="REFRIGERANT, ENTALPIA EUROPE R134A 13.6   4/8/26 NBO"/>
    <s v="GE-000510"/>
    <n v="1"/>
    <n v="8300"/>
    <m/>
    <n v="8300"/>
    <x v="0"/>
    <n v="0"/>
    <n v="0"/>
    <n v="0"/>
    <n v="0"/>
    <n v="8300"/>
    <n v="2490"/>
    <x v="13"/>
    <x v="3"/>
    <m/>
    <m/>
    <m/>
    <n v="1"/>
  </r>
  <r>
    <x v="3"/>
    <x v="85"/>
    <x v="0"/>
    <x v="18"/>
    <m/>
    <m/>
    <s v="REFRIGERANT, ENTALPIA EUROPE R134A 13.6   4/8/26 NBO"/>
    <s v="GE-000510"/>
    <n v="1"/>
    <n v="8300"/>
    <m/>
    <n v="8300"/>
    <x v="0"/>
    <n v="0"/>
    <n v="0"/>
    <n v="0"/>
    <n v="0"/>
    <n v="8300"/>
    <n v="0"/>
    <x v="13"/>
    <x v="3"/>
    <m/>
    <m/>
    <m/>
    <n v="1"/>
  </r>
  <r>
    <x v="3"/>
    <x v="85"/>
    <x v="0"/>
    <x v="11"/>
    <m/>
    <m/>
    <s v="REFRIGERANT, ENTALPIA EUROPE R134A 13.6   4/8/26 NBO"/>
    <s v="GE-000510"/>
    <n v="1"/>
    <n v="8300"/>
    <m/>
    <n v="8300"/>
    <x v="0"/>
    <n v="0"/>
    <n v="0"/>
    <n v="0"/>
    <n v="0"/>
    <n v="8300"/>
    <n v="0"/>
    <x v="13"/>
    <x v="3"/>
    <m/>
    <m/>
    <m/>
    <n v="1"/>
  </r>
  <r>
    <x v="3"/>
    <x v="85"/>
    <x v="0"/>
    <x v="10"/>
    <m/>
    <m/>
    <s v="REFRIGERANT, ENTALPIA EUROPE R134A 13.6   4/8/26 NBO"/>
    <s v="GE-000510"/>
    <n v="1"/>
    <n v="8500"/>
    <m/>
    <n v="8500"/>
    <x v="0"/>
    <n v="0"/>
    <n v="0"/>
    <n v="0"/>
    <n v="0"/>
    <n v="8500"/>
    <n v="0"/>
    <x v="13"/>
    <x v="3"/>
    <m/>
    <m/>
    <m/>
    <n v="1"/>
  </r>
  <r>
    <x v="3"/>
    <x v="86"/>
    <x v="0"/>
    <x v="23"/>
    <m/>
    <m/>
    <s v="REFRIGERANT, ENTALPIA EUROPE R134A 13.6   4/8/26 NBO"/>
    <s v="GE-000510"/>
    <n v="1"/>
    <n v="8500"/>
    <m/>
    <n v="8500"/>
    <x v="0"/>
    <n v="0"/>
    <n v="0"/>
    <n v="0"/>
    <n v="0"/>
    <n v="8500"/>
    <n v="0"/>
    <x v="13"/>
    <x v="3"/>
    <m/>
    <m/>
    <m/>
    <n v="1"/>
  </r>
  <r>
    <x v="3"/>
    <x v="87"/>
    <x v="0"/>
    <x v="16"/>
    <m/>
    <m/>
    <s v="REFRIGERANT, ENTALPIA EUROPE R134A 13.6   4/8/26 NBO"/>
    <s v="GE-000510"/>
    <n v="1"/>
    <n v="8500"/>
    <m/>
    <n v="8500"/>
    <x v="0"/>
    <n v="0"/>
    <n v="0"/>
    <n v="0"/>
    <n v="0"/>
    <n v="8500"/>
    <n v="0"/>
    <x v="13"/>
    <x v="3"/>
    <m/>
    <m/>
    <m/>
    <n v="1"/>
  </r>
  <r>
    <x v="0"/>
    <x v="84"/>
    <x v="3"/>
    <x v="12"/>
    <m/>
    <m/>
    <s v="EVAPORATOR, HONDA CRV 2003"/>
    <s v="CA-000481"/>
    <n v="1"/>
    <n v="2100"/>
    <m/>
    <n v="2100"/>
    <x v="0"/>
    <n v="2389"/>
    <n v="1300"/>
    <n v="1300"/>
    <n v="1365"/>
    <n v="735"/>
    <n v="220.5"/>
    <x v="10"/>
    <x v="2"/>
    <m/>
    <m/>
    <s v=""/>
    <n v="0.35"/>
  </r>
  <r>
    <x v="4"/>
    <x v="88"/>
    <x v="0"/>
    <x v="10"/>
    <m/>
    <m/>
    <s v="REFRIGERANT, ENTALPIA EUROPE R134A 13.6   4/8/26 NBO"/>
    <s v="GE-000510"/>
    <n v="1"/>
    <n v="8500"/>
    <m/>
    <n v="8500"/>
    <x v="0"/>
    <n v="0"/>
    <n v="0"/>
    <n v="0"/>
    <n v="0"/>
    <n v="8500"/>
    <n v="0"/>
    <x v="13"/>
    <x v="3"/>
    <m/>
    <m/>
    <m/>
    <n v="1"/>
  </r>
  <r>
    <x v="0"/>
    <x v="5"/>
    <x v="1"/>
    <x v="3"/>
    <m/>
    <m/>
    <s v="REFRIGERANT, EUFRON R134A, 13.6 KGS 9/11/25"/>
    <s v="GE-000467"/>
    <n v="1"/>
    <n v="7800"/>
    <m/>
    <n v="7800"/>
    <x v="0"/>
    <n v="8483"/>
    <n v="6732"/>
    <n v="6732"/>
    <n v="7068.6"/>
    <n v="731.39999999999964"/>
    <n v="219.41999999999987"/>
    <x v="5"/>
    <x v="1"/>
    <m/>
    <m/>
    <s v=""/>
    <n v="9.3769230769230716E-2"/>
  </r>
  <r>
    <x v="4"/>
    <x v="89"/>
    <x v="0"/>
    <x v="8"/>
    <m/>
    <m/>
    <s v="REFRIGERANT, ENTALPIA EUROPE R134A 13.6   4/8/26 NBO"/>
    <s v="GE-000510"/>
    <n v="1"/>
    <n v="8500"/>
    <m/>
    <n v="8500"/>
    <x v="0"/>
    <n v="0"/>
    <n v="0"/>
    <n v="0"/>
    <n v="0"/>
    <n v="8500"/>
    <n v="0"/>
    <x v="13"/>
    <x v="3"/>
    <m/>
    <m/>
    <m/>
    <n v="1"/>
  </r>
  <r>
    <x v="4"/>
    <x v="89"/>
    <x v="0"/>
    <x v="18"/>
    <m/>
    <m/>
    <s v="REFRIGERANT, ENTALPIA EUROPE R134A 13.6   4/8/26 NBO"/>
    <s v="GE-000510"/>
    <n v="1"/>
    <n v="8500"/>
    <m/>
    <n v="8500"/>
    <x v="0"/>
    <n v="0"/>
    <n v="0"/>
    <n v="0"/>
    <n v="0"/>
    <n v="8500"/>
    <n v="0"/>
    <x v="13"/>
    <x v="3"/>
    <m/>
    <m/>
    <m/>
    <n v="1"/>
  </r>
  <r>
    <x v="4"/>
    <x v="89"/>
    <x v="0"/>
    <x v="11"/>
    <m/>
    <m/>
    <s v="REFRIGERANT, ENTALPIA EUROPE R134A 13.6   4/8/26 NBO"/>
    <s v="GE-000510"/>
    <n v="1"/>
    <n v="8500"/>
    <m/>
    <n v="8500"/>
    <x v="0"/>
    <n v="0"/>
    <n v="0"/>
    <n v="0"/>
    <n v="0"/>
    <n v="8500"/>
    <n v="0"/>
    <x v="13"/>
    <x v="3"/>
    <m/>
    <m/>
    <m/>
    <n v="1"/>
  </r>
  <r>
    <x v="4"/>
    <x v="90"/>
    <x v="0"/>
    <x v="49"/>
    <m/>
    <m/>
    <s v="REFRIGERANT, ENTALPIA EUROPE R134A 13.6   4/8/26 NBO"/>
    <s v="GE-000510"/>
    <n v="1"/>
    <n v="8500"/>
    <m/>
    <n v="8500"/>
    <x v="0"/>
    <n v="0"/>
    <n v="0"/>
    <n v="0"/>
    <n v="0"/>
    <n v="8500"/>
    <n v="0"/>
    <x v="13"/>
    <x v="3"/>
    <m/>
    <m/>
    <m/>
    <n v="1"/>
  </r>
  <r>
    <x v="0"/>
    <x v="91"/>
    <x v="2"/>
    <x v="9"/>
    <m/>
    <m/>
    <s v="EVAPORATOR, TOYOTA AVANZA 14 HS-40A523"/>
    <s v="CA-000536"/>
    <n v="1"/>
    <n v="2100"/>
    <m/>
    <n v="2100"/>
    <x v="0"/>
    <n v="2389"/>
    <n v="1300"/>
    <n v="1300"/>
    <n v="1365"/>
    <n v="735"/>
    <n v="220.5"/>
    <x v="10"/>
    <x v="2"/>
    <e v="#REF!"/>
    <e v="#REF!"/>
    <s v=""/>
    <n v="0.35"/>
  </r>
  <r>
    <x v="0"/>
    <x v="43"/>
    <x v="2"/>
    <x v="50"/>
    <m/>
    <m/>
    <s v="EVAPORATOR, SUZUKI JIMNY/ALTO"/>
    <s v="CA-000530"/>
    <n v="1"/>
    <n v="2000"/>
    <m/>
    <n v="2000"/>
    <x v="0"/>
    <n v="2389"/>
    <n v="1300"/>
    <n v="1300"/>
    <n v="1365"/>
    <n v="635"/>
    <n v="190.5"/>
    <x v="10"/>
    <x v="2"/>
    <e v="#REF!"/>
    <e v="#REF!"/>
    <s v=""/>
    <n v="0.3175"/>
  </r>
  <r>
    <x v="4"/>
    <x v="92"/>
    <x v="1"/>
    <x v="5"/>
    <m/>
    <m/>
    <s v="REFRIGERANT, ENTALPIA EUROPE R134A 13.6   4/8/26 NBO"/>
    <s v="GE-000510"/>
    <n v="1"/>
    <n v="8500"/>
    <m/>
    <n v="8500"/>
    <x v="0"/>
    <n v="0"/>
    <n v="0"/>
    <n v="0"/>
    <n v="0"/>
    <n v="8500"/>
    <n v="2550"/>
    <x v="13"/>
    <x v="3"/>
    <m/>
    <m/>
    <m/>
    <n v="1"/>
  </r>
  <r>
    <x v="4"/>
    <x v="93"/>
    <x v="0"/>
    <x v="10"/>
    <s v="."/>
    <m/>
    <s v="REFRIGERANT, ENTALPIA EUROPE R134A 13.6   4/8/26 NBO"/>
    <s v="GE-000510"/>
    <n v="1"/>
    <n v="8500"/>
    <m/>
    <n v="8500"/>
    <x v="0"/>
    <n v="0"/>
    <n v="0"/>
    <n v="0"/>
    <n v="0"/>
    <n v="8500"/>
    <n v="0"/>
    <x v="13"/>
    <x v="3"/>
    <m/>
    <m/>
    <m/>
    <n v="1"/>
  </r>
  <r>
    <x v="4"/>
    <x v="93"/>
    <x v="0"/>
    <x v="8"/>
    <m/>
    <m/>
    <s v="REFRIGERANT, ENTALPIA EUROPE R134A 13.6   4/8/26 NBO"/>
    <s v="GE-000510"/>
    <n v="1"/>
    <n v="8500"/>
    <m/>
    <n v="8500"/>
    <x v="0"/>
    <n v="0"/>
    <n v="0"/>
    <n v="0"/>
    <n v="0"/>
    <n v="8500"/>
    <n v="0"/>
    <x v="13"/>
    <x v="3"/>
    <m/>
    <m/>
    <m/>
    <n v="1"/>
  </r>
  <r>
    <x v="4"/>
    <x v="93"/>
    <x v="0"/>
    <x v="11"/>
    <m/>
    <m/>
    <s v="REFRIGERANT, ENTALPIA EUROPE R134A 13.6   4/8/26 NBO"/>
    <s v="GE-000510"/>
    <n v="1"/>
    <n v="8500"/>
    <m/>
    <n v="8500"/>
    <x v="0"/>
    <n v="0"/>
    <n v="0"/>
    <n v="0"/>
    <n v="0"/>
    <n v="8500"/>
    <n v="0"/>
    <x v="13"/>
    <x v="3"/>
    <m/>
    <m/>
    <m/>
    <n v="1"/>
  </r>
  <r>
    <x v="4"/>
    <x v="94"/>
    <x v="0"/>
    <x v="23"/>
    <m/>
    <m/>
    <s v="REFRIGERANT, ENTALPIA EUROPE R134A 13.6   4/8/26 NBO"/>
    <s v="GE-000510"/>
    <n v="1"/>
    <n v="8500"/>
    <m/>
    <n v="8500"/>
    <x v="0"/>
    <n v="0"/>
    <n v="0"/>
    <n v="0"/>
    <n v="0"/>
    <n v="8500"/>
    <n v="0"/>
    <x v="13"/>
    <x v="3"/>
    <m/>
    <m/>
    <m/>
    <n v="1"/>
  </r>
  <r>
    <x v="4"/>
    <x v="95"/>
    <x v="1"/>
    <x v="5"/>
    <m/>
    <m/>
    <s v="REFRIGERANT, ENTALPIA EUROPE R134A 13.6   4/8/26 NBO"/>
    <s v="GE-000510"/>
    <n v="1"/>
    <n v="8500"/>
    <m/>
    <n v="8500"/>
    <x v="0"/>
    <n v="0"/>
    <n v="0"/>
    <n v="0"/>
    <n v="0"/>
    <n v="8500"/>
    <n v="2550"/>
    <x v="13"/>
    <x v="3"/>
    <m/>
    <m/>
    <m/>
    <n v="1"/>
  </r>
  <r>
    <x v="4"/>
    <x v="95"/>
    <x v="0"/>
    <x v="16"/>
    <m/>
    <m/>
    <s v="REFRIGERANT, ENTALPIA EUROPE R134A 13.6   4/8/26 NBO"/>
    <s v="GE-000510"/>
    <n v="1"/>
    <n v="8500"/>
    <m/>
    <n v="8500"/>
    <x v="0"/>
    <n v="0"/>
    <n v="0"/>
    <n v="0"/>
    <n v="0"/>
    <n v="8500"/>
    <n v="0"/>
    <x v="13"/>
    <x v="3"/>
    <m/>
    <m/>
    <m/>
    <n v="1"/>
  </r>
  <r>
    <x v="0"/>
    <x v="9"/>
    <x v="2"/>
    <x v="9"/>
    <m/>
    <m/>
    <s v="BLOWER_MOTOR, TOYOTA INNOVA OLD F"/>
    <s v="CA-000227"/>
    <n v="1"/>
    <n v="1900"/>
    <m/>
    <n v="1900"/>
    <x v="0"/>
    <n v="2389"/>
    <n v="1300"/>
    <n v="1300"/>
    <n v="1365"/>
    <n v="535"/>
    <n v="160.5"/>
    <x v="15"/>
    <x v="2"/>
    <e v="#REF!"/>
    <e v="#REF!"/>
    <s v=""/>
    <n v="0.28157894736842104"/>
  </r>
  <r>
    <x v="0"/>
    <x v="5"/>
    <x v="1"/>
    <x v="3"/>
    <m/>
    <m/>
    <s v="EVAPORATOR, TOYOTA INNOVA NEW (F) JBE-0115ZX (STAL)"/>
    <s v="CA-001631"/>
    <n v="1"/>
    <n v="2000"/>
    <m/>
    <n v="2000"/>
    <x v="0"/>
    <n v="1562"/>
    <n v="850"/>
    <n v="850"/>
    <n v="892.5"/>
    <n v="1107.5"/>
    <n v="332.25"/>
    <x v="10"/>
    <x v="2"/>
    <m/>
    <m/>
    <s v=""/>
    <n v="0.55374999999999996"/>
  </r>
  <r>
    <x v="4"/>
    <x v="96"/>
    <x v="0"/>
    <x v="49"/>
    <m/>
    <m/>
    <s v="REFRIGERANT, ENTALPIA EUROPE R134A 13.6   4/8/26 NBO"/>
    <s v="GE-000510"/>
    <n v="1"/>
    <n v="8700"/>
    <m/>
    <n v="8700"/>
    <x v="0"/>
    <n v="0"/>
    <n v="0"/>
    <n v="0"/>
    <n v="0"/>
    <n v="8700"/>
    <n v="0"/>
    <x v="13"/>
    <x v="3"/>
    <m/>
    <m/>
    <m/>
    <n v="1"/>
  </r>
  <r>
    <x v="0"/>
    <x v="97"/>
    <x v="0"/>
    <x v="14"/>
    <m/>
    <m/>
    <s v="REFRIGERANT, EUFRON R134A, 13.6 KGS 9/11/25"/>
    <s v="GE-000467"/>
    <n v="1"/>
    <n v="7800"/>
    <m/>
    <n v="7800"/>
    <x v="0"/>
    <n v="8483"/>
    <n v="6732"/>
    <n v="6732"/>
    <n v="7068.6"/>
    <n v="731.39999999999964"/>
    <n v="0"/>
    <x v="5"/>
    <x v="1"/>
    <m/>
    <m/>
    <s v=""/>
    <n v="9.3769230769230716E-2"/>
  </r>
  <r>
    <x v="0"/>
    <x v="1"/>
    <x v="0"/>
    <x v="8"/>
    <m/>
    <m/>
    <s v="REFRIGERANT, EUFRON R134A, 13.6 KGS 9/11/25"/>
    <s v="GE-000467"/>
    <n v="1"/>
    <n v="7800"/>
    <m/>
    <n v="7800"/>
    <x v="0"/>
    <n v="8483"/>
    <n v="6732"/>
    <n v="6732"/>
    <n v="7068.6"/>
    <n v="731.39999999999964"/>
    <n v="0"/>
    <x v="5"/>
    <x v="1"/>
    <m/>
    <m/>
    <s v=""/>
    <n v="9.3769230769230716E-2"/>
  </r>
  <r>
    <x v="0"/>
    <x v="9"/>
    <x v="2"/>
    <x v="22"/>
    <m/>
    <m/>
    <s v="EVAPORATOR, ISUZU TRAVIS /NHR DC 40A492"/>
    <s v="CA-001836"/>
    <n v="1"/>
    <n v="1820"/>
    <m/>
    <n v="1820"/>
    <x v="0"/>
    <n v="2389"/>
    <n v="1300"/>
    <n v="1300"/>
    <n v="1365"/>
    <n v="455"/>
    <n v="136.5"/>
    <x v="10"/>
    <x v="2"/>
    <e v="#REF!"/>
    <e v="#REF!"/>
    <e v="#REF!"/>
    <n v="0.25"/>
  </r>
  <r>
    <x v="0"/>
    <x v="4"/>
    <x v="1"/>
    <x v="5"/>
    <m/>
    <m/>
    <s v="REFRIGERANT, EUFRON R134A, 13.6 KGS 9/11/25"/>
    <s v="GE-000467"/>
    <n v="1"/>
    <n v="7800"/>
    <m/>
    <n v="7800"/>
    <x v="0"/>
    <n v="8483"/>
    <n v="6732"/>
    <n v="6732"/>
    <n v="7068.6"/>
    <n v="731.39999999999964"/>
    <n v="219.41999999999987"/>
    <x v="5"/>
    <x v="1"/>
    <m/>
    <m/>
    <s v=""/>
    <n v="9.3769230769230716E-2"/>
  </r>
  <r>
    <x v="0"/>
    <x v="4"/>
    <x v="0"/>
    <x v="48"/>
    <m/>
    <m/>
    <s v="REFRIGERANT, EUFRON R134A, 13.6 KGS 9/11/25"/>
    <s v="GE-000467"/>
    <n v="1"/>
    <n v="7800"/>
    <m/>
    <n v="7800"/>
    <x v="0"/>
    <n v="8483"/>
    <n v="6732"/>
    <n v="6732"/>
    <n v="7068.6"/>
    <n v="731.39999999999964"/>
    <n v="0"/>
    <x v="5"/>
    <x v="1"/>
    <m/>
    <m/>
    <s v=""/>
    <n v="9.3769230769230716E-2"/>
  </r>
  <r>
    <x v="0"/>
    <x v="98"/>
    <x v="1"/>
    <x v="3"/>
    <m/>
    <m/>
    <s v="CONDENSER, UNIVERSAL 12 x 18 x 20"/>
    <s v="CA-000443"/>
    <n v="1"/>
    <n v="1800"/>
    <m/>
    <n v="1800"/>
    <x v="0"/>
    <n v="0"/>
    <n v="0"/>
    <n v="0"/>
    <n v="0"/>
    <n v="1800"/>
    <n v="540"/>
    <x v="8"/>
    <x v="2"/>
    <m/>
    <m/>
    <s v=""/>
    <n v="1"/>
  </r>
  <r>
    <x v="0"/>
    <x v="98"/>
    <x v="0"/>
    <x v="8"/>
    <m/>
    <m/>
    <s v="REFRIGERANT, EUFRON R134A, 13.6 KGS 9/11/25"/>
    <s v="GE-000467"/>
    <n v="1"/>
    <n v="7800"/>
    <m/>
    <n v="7800"/>
    <x v="0"/>
    <n v="8483"/>
    <n v="6732"/>
    <n v="6732"/>
    <n v="7068.6"/>
    <n v="731.39999999999964"/>
    <n v="0"/>
    <x v="5"/>
    <x v="1"/>
    <m/>
    <m/>
    <s v=""/>
    <n v="9.3769230769230716E-2"/>
  </r>
  <r>
    <x v="0"/>
    <x v="99"/>
    <x v="0"/>
    <x v="11"/>
    <m/>
    <m/>
    <s v="REFRIGERANT, EUFRON R134A, 13.6 KGS 9/11/25"/>
    <s v="GE-000467"/>
    <n v="1"/>
    <n v="7800"/>
    <m/>
    <n v="7800"/>
    <x v="0"/>
    <n v="8483"/>
    <n v="6732"/>
    <n v="6732"/>
    <n v="7068.6"/>
    <n v="731.39999999999964"/>
    <n v="0"/>
    <x v="5"/>
    <x v="1"/>
    <m/>
    <m/>
    <s v=""/>
    <n v="9.3769230769230716E-2"/>
  </r>
  <r>
    <x v="0"/>
    <x v="99"/>
    <x v="1"/>
    <x v="51"/>
    <m/>
    <m/>
    <s v="REFRIGERANT, EUFRON R134A, 13.6 KGS 9/11/25"/>
    <s v="GE-000467"/>
    <n v="1"/>
    <n v="7800"/>
    <m/>
    <n v="7800"/>
    <x v="0"/>
    <n v="8483"/>
    <n v="6732"/>
    <n v="6732"/>
    <n v="7068.6"/>
    <n v="731.39999999999964"/>
    <n v="219.41999999999987"/>
    <x v="5"/>
    <x v="1"/>
    <m/>
    <m/>
    <e v="#REF!"/>
    <n v="9.3769230769230716E-2"/>
  </r>
  <r>
    <x v="1"/>
    <x v="76"/>
    <x v="0"/>
    <x v="15"/>
    <m/>
    <m/>
    <s v="REFRIGERANT, EUFRON R410A 11.3 KGS 02/10/26"/>
    <s v="GE-000474"/>
    <n v="1"/>
    <n v="7100"/>
    <m/>
    <n v="7100"/>
    <x v="0"/>
    <n v="13391"/>
    <n v="6712"/>
    <n v="6712"/>
    <n v="7047.6"/>
    <n v="52.399999999999636"/>
    <n v="0"/>
    <x v="5"/>
    <x v="1"/>
    <e v="#REF!"/>
    <e v="#REF!"/>
    <s v=""/>
    <n v="7.3802816901407942E-3"/>
  </r>
  <r>
    <x v="4"/>
    <x v="75"/>
    <x v="0"/>
    <x v="47"/>
    <m/>
    <m/>
    <s v="COPPER_TUBE_SOFTDRAWN, HAILIANG 0.028 X 1/4 x 15 mtr 04/25/26"/>
    <s v=""/>
    <n v="4"/>
    <n v="1820"/>
    <m/>
    <n v="7280"/>
    <x v="0"/>
    <n v="0"/>
    <n v="0"/>
    <n v="0"/>
    <n v="0"/>
    <n v="7280"/>
    <n v="0"/>
    <x v="13"/>
    <x v="3"/>
    <e v="#REF!"/>
    <e v="#REF!"/>
    <e v="#REF!"/>
    <n v="0"/>
  </r>
  <r>
    <x v="1"/>
    <x v="17"/>
    <x v="0"/>
    <x v="15"/>
    <m/>
    <m/>
    <s v="REFRIGERANT, EUFRON R410A 11.3 KGS 10/29/25"/>
    <s v="GE-000474"/>
    <n v="1"/>
    <n v="7100"/>
    <m/>
    <n v="7100"/>
    <x v="0"/>
    <n v="13391"/>
    <n v="6712"/>
    <n v="6712"/>
    <n v="7047.6"/>
    <n v="52.399999999999636"/>
    <n v="0"/>
    <x v="5"/>
    <x v="1"/>
    <e v="#REF!"/>
    <e v="#REF!"/>
    <s v=""/>
    <n v="7.3802816901407942E-3"/>
  </r>
  <r>
    <x v="1"/>
    <x v="76"/>
    <x v="0"/>
    <x v="15"/>
    <m/>
    <m/>
    <s v="REFRIGERANT, EUFRON R410A 11.3 KGS 10/29/25"/>
    <s v="GE-000474"/>
    <n v="1"/>
    <n v="7000"/>
    <m/>
    <n v="7000"/>
    <x v="0"/>
    <n v="13391"/>
    <n v="6712"/>
    <n v="6712"/>
    <n v="7047.6"/>
    <n v="-47.600000000000364"/>
    <n v="0"/>
    <x v="5"/>
    <x v="1"/>
    <e v="#REF!"/>
    <e v="#REF!"/>
    <s v=""/>
    <n v="-6.8000000000000517E-3"/>
  </r>
  <r>
    <x v="3"/>
    <x v="68"/>
    <x v="1"/>
    <x v="42"/>
    <m/>
    <m/>
    <s v="CONDENSER, UNIVERSAL 12 x 23 x 20 3/8"/>
    <s v="CA-000444"/>
    <n v="5"/>
    <n v="1350"/>
    <m/>
    <n v="6750"/>
    <x v="0"/>
    <n v="2022"/>
    <n v="1100"/>
    <n v="5500"/>
    <n v="5775"/>
    <n v="975"/>
    <n v="292.5"/>
    <x v="8"/>
    <x v="2"/>
    <m/>
    <m/>
    <s v=""/>
    <n v="0.14444444444444443"/>
  </r>
  <r>
    <x v="3"/>
    <x v="68"/>
    <x v="0"/>
    <x v="34"/>
    <m/>
    <m/>
    <s v="REFRIGERANT, EUFRON R404A, 10.9 KGS 10/01/25"/>
    <s v="GE-000465"/>
    <n v="1"/>
    <n v="6700"/>
    <m/>
    <n v="6700"/>
    <x v="0"/>
    <n v="6318"/>
    <n v="5014"/>
    <n v="5014"/>
    <n v="5264.7"/>
    <n v="1435.3000000000002"/>
    <n v="0"/>
    <x v="5"/>
    <x v="1"/>
    <m/>
    <m/>
    <s v=""/>
    <n v="0.21422388059701494"/>
  </r>
  <r>
    <x v="3"/>
    <x v="87"/>
    <x v="0"/>
    <x v="52"/>
    <m/>
    <m/>
    <s v="REFRIGERANT, EUFRON R404A, 10.9 KGS 10/01/25"/>
    <s v="GE-000465"/>
    <n v="1"/>
    <n v="6700"/>
    <m/>
    <n v="6700"/>
    <x v="0"/>
    <n v="6318"/>
    <n v="5014"/>
    <n v="5014"/>
    <n v="5264.7"/>
    <n v="1435.3000000000002"/>
    <n v="0"/>
    <x v="5"/>
    <x v="1"/>
    <m/>
    <m/>
    <m/>
    <n v="0.21422388059701494"/>
  </r>
  <r>
    <x v="4"/>
    <x v="77"/>
    <x v="0"/>
    <x v="26"/>
    <m/>
    <m/>
    <s v="COPPER_TUBE_SOFTDRAWN, HAILIANG 0.028 X 3/8 x 15 mtr 04/25/26"/>
    <s v="IM-000327"/>
    <n v="2"/>
    <n v="2950"/>
    <m/>
    <n v="5900"/>
    <x v="0"/>
    <n v="4774"/>
    <n v="2648"/>
    <n v="5296"/>
    <n v="5454.88"/>
    <n v="445.11999999999989"/>
    <n v="0"/>
    <x v="0"/>
    <x v="0"/>
    <e v="#REF!"/>
    <e v="#REF!"/>
    <e v="#REF!"/>
    <n v="0"/>
  </r>
  <r>
    <x v="0"/>
    <x v="13"/>
    <x v="0"/>
    <x v="53"/>
    <m/>
    <m/>
    <s v="REFRIGERANT, EUFRON R32, 10 KGS 03/24/25"/>
    <s v="GE-000384"/>
    <n v="1"/>
    <n v="6700"/>
    <m/>
    <n v="6700"/>
    <x v="0"/>
    <n v="6048"/>
    <n v="4800"/>
    <n v="4800"/>
    <n v="5040"/>
    <n v="1660"/>
    <n v="0"/>
    <x v="5"/>
    <x v="1"/>
    <e v="#REF!"/>
    <e v="#REF!"/>
    <s v=""/>
    <n v="0.24776119402985075"/>
  </r>
  <r>
    <x v="1"/>
    <x v="100"/>
    <x v="6"/>
    <x v="54"/>
    <m/>
    <m/>
    <s v="REFRIGERANT, EUFRON R32, 10 KGS 03/24/25"/>
    <s v="GE-000384"/>
    <n v="1"/>
    <n v="6700"/>
    <m/>
    <n v="6700"/>
    <x v="0"/>
    <n v="6048"/>
    <n v="4800"/>
    <n v="4800"/>
    <n v="5040"/>
    <n v="1660"/>
    <n v="498"/>
    <x v="5"/>
    <x v="1"/>
    <e v="#REF!"/>
    <e v="#REF!"/>
    <s v=""/>
    <n v="0.24776119402985075"/>
  </r>
  <r>
    <x v="3"/>
    <x v="68"/>
    <x v="1"/>
    <x v="42"/>
    <m/>
    <m/>
    <s v="CONDENSER, ISUZU  HINO TRUCK"/>
    <s v="CA-001754"/>
    <n v="2"/>
    <n v="2800"/>
    <m/>
    <n v="5600"/>
    <x v="0"/>
    <n v="4227"/>
    <n v="2300"/>
    <n v="4600"/>
    <n v="4830"/>
    <n v="770"/>
    <n v="231"/>
    <x v="8"/>
    <x v="2"/>
    <m/>
    <m/>
    <s v=""/>
    <n v="0.13750000000000001"/>
  </r>
  <r>
    <x v="3"/>
    <x v="101"/>
    <x v="0"/>
    <x v="34"/>
    <m/>
    <m/>
    <s v="COPPER_TUBE_SOFTDRAWN, EVERSTRONG 0.028 X 5/8 x 15 mtr 03/24/26"/>
    <s v="IM-000320"/>
    <n v="1"/>
    <n v="4890"/>
    <m/>
    <n v="4890"/>
    <x v="0"/>
    <n v="8328"/>
    <n v="4255"/>
    <n v="4255"/>
    <n v="4382.6500000000005"/>
    <n v="507.34999999999945"/>
    <n v="0"/>
    <x v="0"/>
    <x v="0"/>
    <m/>
    <m/>
    <s v=""/>
    <n v="0.1037525562372187"/>
  </r>
  <r>
    <x v="4"/>
    <x v="79"/>
    <x v="0"/>
    <x v="6"/>
    <m/>
    <m/>
    <s v="COPPER_TUBE_SOFTDRAWN, HAILIANG 0.028 X 5/8 x 15 mtr 04/25/26"/>
    <s v=""/>
    <n v="1"/>
    <n v="5000"/>
    <m/>
    <n v="5000"/>
    <x v="0"/>
    <n v="0"/>
    <n v="0"/>
    <n v="0"/>
    <n v="0"/>
    <n v="5000"/>
    <n v="0"/>
    <x v="13"/>
    <x v="3"/>
    <m/>
    <m/>
    <m/>
    <n v="1"/>
  </r>
  <r>
    <x v="4"/>
    <x v="75"/>
    <x v="0"/>
    <x v="6"/>
    <m/>
    <m/>
    <s v="COPPER_TUBE_SOFTDRAWN, HAILIANG 0.028 X 5/8 x 15 mtr 04/25/26"/>
    <s v=""/>
    <n v="1"/>
    <n v="5000"/>
    <m/>
    <n v="5000"/>
    <x v="0"/>
    <n v="0"/>
    <n v="0"/>
    <n v="0"/>
    <n v="0"/>
    <n v="5000"/>
    <n v="0"/>
    <x v="13"/>
    <x v="3"/>
    <e v="#REF!"/>
    <e v="#REF!"/>
    <e v="#REF!"/>
    <n v="0"/>
  </r>
  <r>
    <x v="5"/>
    <x v="83"/>
    <x v="0"/>
    <x v="26"/>
    <m/>
    <m/>
    <s v="COPPER_TUBE_SOFTDRAWN, HAILIANG 0.028 X 3/8 x 15 mtr 06/02/26"/>
    <s v="IM-000327"/>
    <n v="1"/>
    <n v="2950"/>
    <m/>
    <n v="2950"/>
    <x v="0"/>
    <n v="4774"/>
    <n v="2648"/>
    <n v="2648"/>
    <n v="2727.44"/>
    <n v="222.55999999999995"/>
    <n v="0"/>
    <x v="0"/>
    <x v="0"/>
    <e v="#REF!"/>
    <e v="#REF!"/>
    <s v=""/>
    <n v="7.5444067796610156E-2"/>
  </r>
  <r>
    <x v="5"/>
    <x v="83"/>
    <x v="0"/>
    <x v="6"/>
    <m/>
    <m/>
    <s v="ELECTRICAL WIRE_STRANDED, POWERFLEX THNN STRANDED   #14, ROLL 06/13/26"/>
    <s v="GE-000514"/>
    <n v="1"/>
    <n v="2875"/>
    <m/>
    <n v="2875"/>
    <x v="0"/>
    <n v="4317"/>
    <n v="2349"/>
    <n v="2349"/>
    <n v="2466.4500000000003"/>
    <n v="408.54999999999973"/>
    <n v="0"/>
    <x v="2"/>
    <x v="1"/>
    <e v="#REF!"/>
    <e v="#REF!"/>
    <s v=""/>
    <n v="0.14210434782608686"/>
  </r>
  <r>
    <x v="3"/>
    <x v="68"/>
    <x v="1"/>
    <x v="42"/>
    <m/>
    <m/>
    <s v="CONDENSER, UNIVERSAL 14 x 18 x 20 3/8 STAL"/>
    <s v="CA-001652"/>
    <n v="5"/>
    <n v="1400"/>
    <m/>
    <n v="7000"/>
    <x v="0"/>
    <n v="1526"/>
    <n v="830"/>
    <n v="4150"/>
    <n v="4357.5"/>
    <n v="2642.5"/>
    <n v="792.75"/>
    <x v="8"/>
    <x v="2"/>
    <m/>
    <m/>
    <s v=""/>
    <n v="0.3775"/>
  </r>
  <r>
    <x v="1"/>
    <x v="22"/>
    <x v="9"/>
    <x v="55"/>
    <m/>
    <m/>
    <s v="COPPER_TUBE_SOFTDRAWN, EVERSTRONG 0.028 X 3/4 x 15 mtr"/>
    <s v="IM-000042"/>
    <n v="1"/>
    <n v="4300"/>
    <m/>
    <n v="4300"/>
    <x v="0"/>
    <n v="6940"/>
    <n v="3850"/>
    <n v="3850"/>
    <n v="3965.5"/>
    <n v="334.5"/>
    <n v="100.35"/>
    <x v="0"/>
    <x v="0"/>
    <e v="#REF!"/>
    <e v="#REF!"/>
    <e v="#REF!"/>
    <n v="7.779069767441861E-2"/>
  </r>
  <r>
    <x v="2"/>
    <x v="44"/>
    <x v="0"/>
    <x v="26"/>
    <m/>
    <m/>
    <s v="COPPER_TUBE_SOFTDRAWN, EVERSTRONG 0.028 X 3/4 x 15 mtr"/>
    <s v="IM-000042"/>
    <n v="1"/>
    <n v="5500"/>
    <m/>
    <n v="5500"/>
    <x v="0"/>
    <n v="6940"/>
    <n v="3850"/>
    <n v="3850"/>
    <n v="3965.5"/>
    <n v="1534.5"/>
    <n v="0"/>
    <x v="0"/>
    <x v="0"/>
    <e v="#REF!"/>
    <e v="#REF!"/>
    <s v=""/>
    <n v="0.27900000000000003"/>
  </r>
  <r>
    <x v="3"/>
    <x v="68"/>
    <x v="1"/>
    <x v="42"/>
    <m/>
    <m/>
    <s v="VACUUM_PUMP, NEK MULTI-FUNCTIONAL"/>
    <s v="TL-000054"/>
    <n v="1"/>
    <n v="4500"/>
    <m/>
    <n v="4500"/>
    <x v="0"/>
    <n v="7581"/>
    <n v="3800"/>
    <n v="3800"/>
    <n v="3990"/>
    <n v="510"/>
    <n v="153"/>
    <x v="18"/>
    <x v="4"/>
    <m/>
    <m/>
    <s v=""/>
    <n v="0.11333333333333333"/>
  </r>
  <r>
    <x v="5"/>
    <x v="83"/>
    <x v="0"/>
    <x v="34"/>
    <m/>
    <m/>
    <s v="COPPER_TUBE_SOFTDRAWN, HAILIANG 0.028 X 1/4 x 15 mtr 04/25/26"/>
    <s v=""/>
    <n v="1"/>
    <n v="1950"/>
    <m/>
    <n v="1950"/>
    <x v="0"/>
    <n v="0"/>
    <n v="0"/>
    <n v="0"/>
    <n v="0"/>
    <n v="1950"/>
    <n v="0"/>
    <x v="13"/>
    <x v="3"/>
    <e v="#REF!"/>
    <e v="#REF!"/>
    <s v=""/>
    <n v="1"/>
  </r>
  <r>
    <x v="4"/>
    <x v="102"/>
    <x v="0"/>
    <x v="27"/>
    <m/>
    <m/>
    <s v="COPPER_TUBE_SOFTDRAWN, HAILIANG 0.028 X 1/2  x 15 mtr 04/25/26"/>
    <s v="IM-000328"/>
    <n v="1"/>
    <n v="3870"/>
    <m/>
    <n v="3870"/>
    <x v="0"/>
    <n v="6554"/>
    <n v="3636"/>
    <n v="3636"/>
    <n v="3745.08"/>
    <n v="124.92000000000007"/>
    <n v="0"/>
    <x v="0"/>
    <x v="0"/>
    <m/>
    <m/>
    <m/>
    <n v="3.2279069767441881E-2"/>
  </r>
  <r>
    <x v="4"/>
    <x v="103"/>
    <x v="0"/>
    <x v="26"/>
    <m/>
    <m/>
    <s v="COPPER_TUBE_SOFTDRAWN, HAILIANG 0.028 X 1/2  x 15 mtr 04/25/26"/>
    <s v="IM-000328"/>
    <n v="1"/>
    <n v="3870"/>
    <m/>
    <n v="3870"/>
    <x v="0"/>
    <n v="6554"/>
    <n v="3636"/>
    <n v="3636"/>
    <n v="3745.08"/>
    <n v="124.92000000000007"/>
    <n v="0"/>
    <x v="0"/>
    <x v="0"/>
    <m/>
    <m/>
    <m/>
    <n v="3.2279069767441881E-2"/>
  </r>
  <r>
    <x v="4"/>
    <x v="79"/>
    <x v="0"/>
    <x v="6"/>
    <m/>
    <m/>
    <s v="ELECTRICAL WIRE_STRANDED, POWERFLEX THNN STRANDED   #12,  04/25/26"/>
    <s v="GE-000492"/>
    <n v="1"/>
    <n v="4000"/>
    <m/>
    <n v="4000"/>
    <x v="0"/>
    <n v="0"/>
    <n v="0"/>
    <n v="0"/>
    <n v="0"/>
    <n v="4000"/>
    <n v="0"/>
    <x v="2"/>
    <x v="1"/>
    <m/>
    <m/>
    <m/>
    <n v="1"/>
  </r>
  <r>
    <x v="4"/>
    <x v="79"/>
    <x v="0"/>
    <x v="6"/>
    <m/>
    <m/>
    <s v="COPPER_TUBE_SOFTDRAWN, HAILIANG 0.028 X 1/2  x 15 mtr 04/25/26"/>
    <s v="IM-000328"/>
    <n v="1"/>
    <n v="3870"/>
    <m/>
    <n v="3870"/>
    <x v="0"/>
    <n v="6554"/>
    <n v="3636"/>
    <n v="3636"/>
    <n v="3745.08"/>
    <n v="124.92000000000007"/>
    <n v="0"/>
    <x v="0"/>
    <x v="0"/>
    <m/>
    <m/>
    <m/>
    <n v="3.2279069767441881E-2"/>
  </r>
  <r>
    <x v="4"/>
    <x v="104"/>
    <x v="0"/>
    <x v="6"/>
    <m/>
    <m/>
    <s v="COPPER_TUBE_SOFTDRAWN, HAILIANG 0.028 X 1/2  x 15 mtr 04/25/26"/>
    <s v="IM-000328"/>
    <n v="1"/>
    <n v="3870"/>
    <m/>
    <n v="3870"/>
    <x v="0"/>
    <n v="6554"/>
    <n v="3636"/>
    <n v="3636"/>
    <n v="3745.08"/>
    <n v="124.92000000000007"/>
    <n v="0"/>
    <x v="0"/>
    <x v="0"/>
    <m/>
    <m/>
    <m/>
    <n v="3.2279069767441881E-2"/>
  </r>
  <r>
    <x v="4"/>
    <x v="77"/>
    <x v="0"/>
    <x v="27"/>
    <m/>
    <m/>
    <s v="COPPER_TUBE_SOFTDRAWN, HAILIANG 0.028 X 1/2  x 15 mtr 04/25/26"/>
    <s v="IM-000328"/>
    <n v="1"/>
    <n v="3950"/>
    <m/>
    <n v="3950"/>
    <x v="0"/>
    <n v="6554"/>
    <n v="3636"/>
    <n v="3636"/>
    <n v="3745.08"/>
    <n v="204.92000000000007"/>
    <n v="0"/>
    <x v="0"/>
    <x v="0"/>
    <e v="#REF!"/>
    <e v="#REF!"/>
    <e v="#REF!"/>
    <n v="0"/>
  </r>
  <r>
    <x v="5"/>
    <x v="83"/>
    <x v="0"/>
    <x v="1"/>
    <m/>
    <m/>
    <s v="COPPER_TUBE_SOFTDRAWN, HAILIANG 0.028 X 1/4 x 15 mtr 04/25/26"/>
    <s v=""/>
    <n v="1"/>
    <n v="1950"/>
    <m/>
    <n v="1950"/>
    <x v="0"/>
    <n v="0"/>
    <n v="0"/>
    <n v="0"/>
    <n v="0"/>
    <n v="1950"/>
    <n v="0"/>
    <x v="13"/>
    <x v="3"/>
    <e v="#REF!"/>
    <e v="#REF!"/>
    <s v=""/>
    <n v="1"/>
  </r>
  <r>
    <x v="2"/>
    <x v="50"/>
    <x v="0"/>
    <x v="49"/>
    <m/>
    <m/>
    <s v="EVAPORATOR, UNIVERSAL FORMULA YOKOHAMA DUAL"/>
    <s v="CA-001253"/>
    <n v="1"/>
    <n v="4700"/>
    <m/>
    <n v="4700"/>
    <x v="0"/>
    <n v="6064"/>
    <n v="3300"/>
    <n v="3300"/>
    <n v="3465"/>
    <n v="1235"/>
    <n v="0"/>
    <x v="10"/>
    <x v="2"/>
    <e v="#REF!"/>
    <e v="#REF!"/>
    <s v=""/>
    <n v="0.26276595744680853"/>
  </r>
  <r>
    <x v="3"/>
    <x v="68"/>
    <x v="1"/>
    <x v="42"/>
    <m/>
    <m/>
    <s v="HOSE, COOLMATE 5/8 SUNCTION (82.5 ft/ 25m)"/>
    <s v="GE-000178"/>
    <n v="1"/>
    <n v="4600"/>
    <m/>
    <n v="4600"/>
    <x v="0"/>
    <n v="6064"/>
    <n v="3300"/>
    <n v="3300"/>
    <n v="3465"/>
    <n v="1135"/>
    <n v="340.5"/>
    <x v="19"/>
    <x v="1"/>
    <m/>
    <m/>
    <s v=""/>
    <n v="0.2467391304347826"/>
  </r>
  <r>
    <x v="3"/>
    <x v="68"/>
    <x v="1"/>
    <x v="42"/>
    <m/>
    <m/>
    <s v="HOSE, COOLMATE 1/2 DISCHARGE (82.5 ft/ 25m)"/>
    <s v="GE-000177"/>
    <n v="1"/>
    <n v="4550"/>
    <m/>
    <n v="4550"/>
    <x v="0"/>
    <n v="6156"/>
    <n v="3350"/>
    <n v="3350"/>
    <n v="3517.5"/>
    <n v="1032.5"/>
    <n v="309.75"/>
    <x v="19"/>
    <x v="1"/>
    <m/>
    <m/>
    <s v=""/>
    <n v="0.22692307692307692"/>
  </r>
  <r>
    <x v="3"/>
    <x v="86"/>
    <x v="8"/>
    <x v="56"/>
    <m/>
    <m/>
    <s v="BOARD, QUNDA UNIVERSAL DC/AC BOARD"/>
    <s v="GE-000394"/>
    <n v="1"/>
    <n v="5600"/>
    <m/>
    <n v="5600"/>
    <x v="0"/>
    <n v="5880"/>
    <n v="3200"/>
    <n v="3200"/>
    <n v="3360"/>
    <n v="2240"/>
    <n v="672"/>
    <x v="20"/>
    <x v="1"/>
    <m/>
    <m/>
    <m/>
    <n v="0.4"/>
  </r>
  <r>
    <x v="3"/>
    <x v="65"/>
    <x v="0"/>
    <x v="57"/>
    <m/>
    <m/>
    <s v="COPPER_TUBE_SOFTDRAWN, EVERSTRONG 0.028 X 1/4 x 15 mtr 03/24/26"/>
    <s v="IM-000318"/>
    <n v="2"/>
    <n v="1800"/>
    <m/>
    <n v="3600"/>
    <x v="0"/>
    <n v="2866"/>
    <n v="1590"/>
    <n v="3180"/>
    <n v="3275.4"/>
    <n v="324.59999999999991"/>
    <n v="0"/>
    <x v="0"/>
    <x v="0"/>
    <m/>
    <m/>
    <s v=""/>
    <n v="9.0166666666666645E-2"/>
  </r>
  <r>
    <x v="4"/>
    <x v="79"/>
    <x v="0"/>
    <x v="6"/>
    <m/>
    <m/>
    <s v="COPPER_TUBE_SOFTDRAWN, HAILIANG 0.028 X 1/4 x 15 mtr 04/25/26"/>
    <s v=""/>
    <n v="2"/>
    <n v="1820"/>
    <m/>
    <n v="3640"/>
    <x v="0"/>
    <n v="0"/>
    <n v="0"/>
    <n v="0"/>
    <n v="0"/>
    <n v="3640"/>
    <n v="0"/>
    <x v="13"/>
    <x v="3"/>
    <m/>
    <m/>
    <m/>
    <n v="1"/>
  </r>
  <r>
    <x v="3"/>
    <x v="63"/>
    <x v="0"/>
    <x v="58"/>
    <m/>
    <n v="2250"/>
    <s v="DRAIN_PUMP, KING PUMP HIPPO 2 (SMALL), 3M"/>
    <s v="GE-000100"/>
    <n v="2"/>
    <n v="2009"/>
    <m/>
    <n v="4018"/>
    <x v="0"/>
    <n v="2757"/>
    <n v="1500"/>
    <n v="3000"/>
    <n v="3150"/>
    <n v="868"/>
    <n v="0"/>
    <x v="21"/>
    <x v="1"/>
    <m/>
    <m/>
    <n v="2250.0800000000004"/>
    <n v="0.21602787456445993"/>
  </r>
  <r>
    <x v="3"/>
    <x v="72"/>
    <x v="0"/>
    <x v="59"/>
    <m/>
    <m/>
    <s v="DRAIN_PUMP, KING PUMP HIPPO 2 (SMALL), 3M"/>
    <s v="GE-000100"/>
    <n v="2"/>
    <n v="2500"/>
    <m/>
    <n v="5000"/>
    <x v="0"/>
    <n v="2757"/>
    <n v="1500"/>
    <n v="3000"/>
    <n v="3150"/>
    <n v="1850"/>
    <n v="0"/>
    <x v="21"/>
    <x v="1"/>
    <m/>
    <m/>
    <s v=""/>
    <n v="0.37"/>
  </r>
  <r>
    <x v="0"/>
    <x v="11"/>
    <x v="3"/>
    <x v="12"/>
    <m/>
    <m/>
    <s v="EVAPORATOR, MITSUBISHI LANCER 04 40A85"/>
    <s v="CA-001605"/>
    <n v="1"/>
    <n v="1900"/>
    <m/>
    <n v="1900"/>
    <x v="0"/>
    <n v="2389"/>
    <n v="1300"/>
    <n v="1300"/>
    <n v="1365"/>
    <n v="535"/>
    <n v="160.5"/>
    <x v="10"/>
    <x v="2"/>
    <e v="#REF!"/>
    <e v="#REF!"/>
    <s v=""/>
    <n v="0.28157894736842104"/>
  </r>
  <r>
    <x v="1"/>
    <x v="29"/>
    <x v="0"/>
    <x v="17"/>
    <m/>
    <m/>
    <s v="LUBRICANT, ND-OIL 8  250 CC (134A),OIL COMPRESSOR"/>
    <s v="GE-000197"/>
    <n v="1"/>
    <n v="200"/>
    <m/>
    <n v="200"/>
    <x v="0"/>
    <n v="188"/>
    <n v="85"/>
    <n v="85"/>
    <n v="89.25"/>
    <n v="110.75"/>
    <n v="0"/>
    <x v="9"/>
    <x v="1"/>
    <e v="#REF!"/>
    <e v="#REF!"/>
    <e v="#REF!"/>
    <n v="0.55374999999999996"/>
  </r>
  <r>
    <x v="2"/>
    <x v="51"/>
    <x v="0"/>
    <x v="26"/>
    <m/>
    <m/>
    <s v="RUBBER_INSULATION, DURKFLEX  3/4&quot; x 3/4"/>
    <s v="IM-000179"/>
    <n v="26"/>
    <n v="140"/>
    <m/>
    <n v="3640"/>
    <x v="0"/>
    <n v="139"/>
    <n v="107.39"/>
    <n v="2792.14"/>
    <n v="2875.9041999999999"/>
    <n v="764.09580000000005"/>
    <n v="0"/>
    <x v="22"/>
    <x v="0"/>
    <e v="#REF!"/>
    <e v="#REF!"/>
    <s v=""/>
    <n v="0.20991642857142859"/>
  </r>
  <r>
    <x v="4"/>
    <x v="105"/>
    <x v="0"/>
    <x v="17"/>
    <m/>
    <n v="4900"/>
    <s v="CONDENSER, MITSUBISHI MONTERO 2016"/>
    <s v="CA-000411"/>
    <n v="1"/>
    <n v="4375"/>
    <m/>
    <n v="4375"/>
    <x v="0"/>
    <n v="4962"/>
    <n v="2700"/>
    <n v="2700"/>
    <n v="2835"/>
    <n v="1540"/>
    <n v="0"/>
    <x v="8"/>
    <x v="2"/>
    <m/>
    <m/>
    <m/>
    <n v="0.35199999999999998"/>
  </r>
  <r>
    <x v="4"/>
    <x v="102"/>
    <x v="1"/>
    <x v="60"/>
    <m/>
    <m/>
    <s v="COPPER_TUBE_SOFTDRAWN, HAILIANG 0.028 X 1/2  x 15 mtr 04/25/26"/>
    <s v="IM-000328"/>
    <n v="0.8"/>
    <n v="4250"/>
    <m/>
    <n v="3400"/>
    <x v="0"/>
    <n v="6554"/>
    <n v="3636"/>
    <n v="2908.8"/>
    <n v="2996.0640000000003"/>
    <n v="403.93599999999969"/>
    <n v="121.18079999999991"/>
    <x v="0"/>
    <x v="0"/>
    <m/>
    <m/>
    <m/>
    <n v="0.11880470588235285"/>
  </r>
  <r>
    <x v="0"/>
    <x v="98"/>
    <x v="1"/>
    <x v="3"/>
    <m/>
    <m/>
    <s v="PULLEY_ASSEMBLY, HYUNDAI GRAND STAREX 7PK"/>
    <s v="CA-001009"/>
    <n v="1"/>
    <n v="2150"/>
    <m/>
    <n v="2150"/>
    <x v="0"/>
    <n v="3032"/>
    <n v="1650"/>
    <n v="1650"/>
    <n v="1732.5"/>
    <n v="417.5"/>
    <n v="125.25"/>
    <x v="11"/>
    <x v="2"/>
    <m/>
    <m/>
    <s v=""/>
    <n v="0.19418604651162791"/>
  </r>
  <r>
    <x v="0"/>
    <x v="12"/>
    <x v="2"/>
    <x v="50"/>
    <m/>
    <m/>
    <s v="EVAPORATOR, MITSUBISHI ADVENTURE LAM  (STAL)"/>
    <s v="CA-001719"/>
    <n v="1"/>
    <n v="2100"/>
    <m/>
    <n v="2100"/>
    <x v="0"/>
    <n v="2536"/>
    <n v="1380"/>
    <n v="1380"/>
    <n v="1449"/>
    <n v="651"/>
    <n v="195.29999999999998"/>
    <x v="10"/>
    <x v="2"/>
    <e v="#REF!"/>
    <e v="#REF!"/>
    <s v=""/>
    <n v="0.31"/>
  </r>
  <r>
    <x v="4"/>
    <x v="89"/>
    <x v="0"/>
    <x v="61"/>
    <m/>
    <m/>
    <s v="EVAPORATOR, UNIVERSAL FORMULA 408 LAMINATED 24V"/>
    <s v="CA-001309"/>
    <n v="1"/>
    <n v="3900"/>
    <m/>
    <n v="3900"/>
    <x v="0"/>
    <n v="4870"/>
    <n v="2650"/>
    <n v="2650"/>
    <n v="2782.5"/>
    <n v="1117.5"/>
    <n v="0"/>
    <x v="10"/>
    <x v="2"/>
    <m/>
    <m/>
    <m/>
    <n v="0.28653846153846152"/>
  </r>
  <r>
    <x v="3"/>
    <x v="68"/>
    <x v="1"/>
    <x v="42"/>
    <m/>
    <m/>
    <s v="EVAPORATOR, ISUZU GIGA/TRUCK 40A193"/>
    <s v="CA-001546"/>
    <n v="2"/>
    <n v="1950"/>
    <m/>
    <n v="3900"/>
    <x v="0"/>
    <n v="2389"/>
    <n v="1300"/>
    <n v="2600"/>
    <n v="2730"/>
    <n v="1170"/>
    <n v="351"/>
    <x v="10"/>
    <x v="2"/>
    <m/>
    <m/>
    <s v=""/>
    <n v="0.3"/>
  </r>
  <r>
    <x v="1"/>
    <x v="30"/>
    <x v="0"/>
    <x v="24"/>
    <m/>
    <m/>
    <s v="COPPER_TUBE_SOFTDRAWN, EVERSTRONG 0.028 X 1/2 x 15 mtr  07/15/25"/>
    <s v="IM-000307"/>
    <n v="1"/>
    <n v="3000"/>
    <m/>
    <n v="3000"/>
    <x v="0"/>
    <n v="4543"/>
    <n v="2520"/>
    <n v="2520"/>
    <n v="2595.6"/>
    <n v="404.40000000000009"/>
    <n v="0"/>
    <x v="0"/>
    <x v="0"/>
    <e v="#REF!"/>
    <e v="#REF!"/>
    <e v="#REF!"/>
    <n v="0.13480000000000003"/>
  </r>
  <r>
    <x v="0"/>
    <x v="106"/>
    <x v="2"/>
    <x v="9"/>
    <m/>
    <m/>
    <s v="EVAPORATOR, ISUZU MUX/D-MAX 2013"/>
    <s v="CA-000500"/>
    <n v="1"/>
    <n v="2000"/>
    <m/>
    <n v="2000"/>
    <x v="0"/>
    <n v="2481"/>
    <n v="1350"/>
    <n v="1350"/>
    <n v="1417.5"/>
    <n v="582.5"/>
    <n v="174.75"/>
    <x v="10"/>
    <x v="2"/>
    <e v="#REF!"/>
    <e v="#REF!"/>
    <s v=""/>
    <n v="0.29125000000000001"/>
  </r>
  <r>
    <x v="2"/>
    <x v="56"/>
    <x v="0"/>
    <x v="34"/>
    <m/>
    <m/>
    <s v="COPPER_TUBE_SOFTDRAWN, EVERSTRONG 0.028 X 3/8 x 15 mtr  03/24/26"/>
    <s v="IM-000319"/>
    <n v="1"/>
    <n v="2850"/>
    <m/>
    <n v="2850"/>
    <x v="0"/>
    <n v="4844"/>
    <n v="2475"/>
    <n v="2475"/>
    <n v="2549.25"/>
    <n v="300.75"/>
    <n v="0"/>
    <x v="0"/>
    <x v="0"/>
    <e v="#REF!"/>
    <e v="#REF!"/>
    <s v=""/>
    <n v="0.10552631578947369"/>
  </r>
  <r>
    <x v="3"/>
    <x v="71"/>
    <x v="0"/>
    <x v="6"/>
    <m/>
    <m/>
    <s v="COPPER_TUBE_SOFTDRAWN, EVERSTRONG 0.028 X 3/8 x 15 mtr  03/24/26"/>
    <s v="IM-000319"/>
    <n v="1"/>
    <n v="2850"/>
    <m/>
    <n v="2850"/>
    <x v="0"/>
    <n v="4844"/>
    <n v="2475"/>
    <n v="2475"/>
    <n v="2549.25"/>
    <n v="300.75"/>
    <n v="0"/>
    <x v="0"/>
    <x v="0"/>
    <m/>
    <m/>
    <s v=""/>
    <n v="0.10552631578947369"/>
  </r>
  <r>
    <x v="3"/>
    <x v="72"/>
    <x v="9"/>
    <x v="55"/>
    <m/>
    <m/>
    <s v="COPPER_TUBE_SOFTDRAWN, EVERSTRONG 0.028 X 3/8 x 15 mtr  03/24/26"/>
    <s v="IM-000319"/>
    <n v="1"/>
    <n v="2850"/>
    <m/>
    <n v="2850"/>
    <x v="0"/>
    <n v="4844"/>
    <n v="2475"/>
    <n v="2475"/>
    <n v="2549.25"/>
    <n v="300.75"/>
    <n v="90.224999999999994"/>
    <x v="0"/>
    <x v="0"/>
    <m/>
    <m/>
    <s v=""/>
    <n v="0.10552631578947369"/>
  </r>
  <r>
    <x v="3"/>
    <x v="101"/>
    <x v="0"/>
    <x v="34"/>
    <m/>
    <m/>
    <s v="COPPER_TUBE_SOFTDRAWN, EVERSTRONG 0.028 X 3/8 x 15 mtr  03/24/26"/>
    <s v="IM-000319"/>
    <n v="1"/>
    <n v="2850"/>
    <m/>
    <n v="2850"/>
    <x v="0"/>
    <n v="4844"/>
    <n v="2475"/>
    <n v="2475"/>
    <n v="2549.25"/>
    <n v="300.75"/>
    <n v="0"/>
    <x v="0"/>
    <x v="0"/>
    <m/>
    <m/>
    <s v=""/>
    <n v="0.10552631578947369"/>
  </r>
  <r>
    <x v="4"/>
    <x v="107"/>
    <x v="0"/>
    <x v="62"/>
    <m/>
    <m/>
    <s v="COPPER_TUBE_SOFTDRAWN, EVERSTRONG 0.028 X 3/8 x 15 mtr  03/24/26"/>
    <s v="IM-000319"/>
    <n v="1"/>
    <n v="2850"/>
    <m/>
    <n v="2850"/>
    <x v="0"/>
    <n v="4844"/>
    <n v="2475"/>
    <n v="2475"/>
    <n v="2549.25"/>
    <n v="300.75"/>
    <n v="0"/>
    <x v="0"/>
    <x v="0"/>
    <m/>
    <m/>
    <m/>
    <n v="0.10552631578947369"/>
  </r>
  <r>
    <x v="4"/>
    <x v="88"/>
    <x v="0"/>
    <x v="63"/>
    <m/>
    <m/>
    <s v="COPPER_TUBE_SOFTDRAWN, HAILIANG 0.028 X 3/8 x 15 mtr 04/25/26"/>
    <s v="IM-000327"/>
    <n v="1"/>
    <n v="2850"/>
    <m/>
    <n v="2850"/>
    <x v="0"/>
    <n v="4774"/>
    <n v="2648"/>
    <n v="2648"/>
    <n v="2727.44"/>
    <n v="122.55999999999995"/>
    <n v="0"/>
    <x v="0"/>
    <x v="0"/>
    <m/>
    <m/>
    <m/>
    <n v="4.3003508771929808E-2"/>
  </r>
  <r>
    <x v="4"/>
    <x v="89"/>
    <x v="0"/>
    <x v="29"/>
    <m/>
    <m/>
    <s v="COPPER_TUBE_SOFTDRAWN, HAILIANG 0.028 X 3/8 x 15 mtr 04/25/26"/>
    <s v="IM-000327"/>
    <n v="1"/>
    <n v="2850"/>
    <m/>
    <n v="2850"/>
    <x v="0"/>
    <n v="4774"/>
    <n v="2648"/>
    <n v="2648"/>
    <n v="2727.44"/>
    <n v="122.55999999999995"/>
    <n v="0"/>
    <x v="0"/>
    <x v="0"/>
    <m/>
    <m/>
    <m/>
    <n v="4.3003508771929808E-2"/>
  </r>
  <r>
    <x v="4"/>
    <x v="93"/>
    <x v="0"/>
    <x v="2"/>
    <m/>
    <m/>
    <s v="COPPER_TUBE_SOFTDRAWN, HAILIANG 0.028 X 3/8 x 15 mtr 04/25/26"/>
    <s v="IM-000327"/>
    <n v="1"/>
    <n v="2850"/>
    <m/>
    <n v="2850"/>
    <x v="0"/>
    <n v="4774"/>
    <n v="2648"/>
    <n v="2648"/>
    <n v="2727.44"/>
    <n v="122.55999999999995"/>
    <n v="0"/>
    <x v="0"/>
    <x v="0"/>
    <m/>
    <m/>
    <m/>
    <n v="4.3003508771929808E-2"/>
  </r>
  <r>
    <x v="4"/>
    <x v="79"/>
    <x v="0"/>
    <x v="6"/>
    <m/>
    <m/>
    <s v="COPPER_TUBE_SOFTDRAWN, HAILIANG 0.028 X 3/8 x 15 mtr 04/25/26"/>
    <s v="IM-000327"/>
    <n v="1"/>
    <n v="2850"/>
    <m/>
    <n v="2850"/>
    <x v="0"/>
    <n v="4774"/>
    <n v="2648"/>
    <n v="2648"/>
    <n v="2727.44"/>
    <n v="122.55999999999995"/>
    <n v="0"/>
    <x v="0"/>
    <x v="0"/>
    <m/>
    <m/>
    <m/>
    <n v="4.3003508771929808E-2"/>
  </r>
  <r>
    <x v="4"/>
    <x v="80"/>
    <x v="0"/>
    <x v="63"/>
    <m/>
    <m/>
    <s v="COPPER_TUBE_SOFTDRAWN, HAILIANG 0.028 X 3/8 x 15 mtr 04/25/26"/>
    <s v="IM-000327"/>
    <n v="1"/>
    <n v="2850"/>
    <m/>
    <n v="2850"/>
    <x v="0"/>
    <n v="4774"/>
    <n v="2648"/>
    <n v="2648"/>
    <n v="2727.44"/>
    <n v="122.55999999999995"/>
    <n v="0"/>
    <x v="0"/>
    <x v="0"/>
    <m/>
    <m/>
    <m/>
    <n v="4.3003508771929808E-2"/>
  </r>
  <r>
    <x v="4"/>
    <x v="75"/>
    <x v="0"/>
    <x v="1"/>
    <m/>
    <m/>
    <s v="COPPER_TUBE_SOFTDRAWN, HAILIANG 0.028 X 3/8 x 15 mtr 04/25/26"/>
    <s v="IM-000327"/>
    <n v="1"/>
    <n v="2850"/>
    <m/>
    <n v="2850"/>
    <x v="0"/>
    <n v="4774"/>
    <n v="2648"/>
    <n v="2648"/>
    <n v="2727.44"/>
    <n v="122.55999999999995"/>
    <n v="0"/>
    <x v="0"/>
    <x v="0"/>
    <m/>
    <m/>
    <m/>
    <n v="4.3003508771929808E-2"/>
  </r>
  <r>
    <x v="4"/>
    <x v="75"/>
    <x v="0"/>
    <x v="63"/>
    <m/>
    <m/>
    <s v="COPPER_TUBE_SOFTDRAWN, HAILIANG 0.028 X 3/8 x 15 mtr 04/25/26"/>
    <s v="IM-000327"/>
    <n v="1"/>
    <n v="2850"/>
    <m/>
    <n v="2850"/>
    <x v="0"/>
    <n v="4774"/>
    <n v="2648"/>
    <n v="2648"/>
    <n v="2727.44"/>
    <n v="122.55999999999995"/>
    <n v="0"/>
    <x v="0"/>
    <x v="0"/>
    <m/>
    <m/>
    <m/>
    <n v="4.3003508771929808E-2"/>
  </r>
  <r>
    <x v="5"/>
    <x v="83"/>
    <x v="0"/>
    <x v="1"/>
    <m/>
    <m/>
    <s v="DRAIN_PUMP, KING PUMP HIPPO 2 (SMALL), 3M"/>
    <s v="GE-000100"/>
    <n v="1"/>
    <n v="2500"/>
    <m/>
    <n v="2500"/>
    <x v="0"/>
    <n v="2757"/>
    <n v="1500"/>
    <n v="1500"/>
    <n v="1575"/>
    <n v="925"/>
    <n v="0"/>
    <x v="21"/>
    <x v="1"/>
    <e v="#REF!"/>
    <e v="#REF!"/>
    <s v=""/>
    <n v="0.37"/>
  </r>
  <r>
    <x v="0"/>
    <x v="98"/>
    <x v="1"/>
    <x v="3"/>
    <m/>
    <m/>
    <s v="RECEIVER_DRIER_STEEL , MAXX 5116 (L300 F/B)"/>
    <s v="CA-001134"/>
    <n v="1"/>
    <n v="600"/>
    <m/>
    <n v="600"/>
    <x v="0"/>
    <n v="686"/>
    <n v="290"/>
    <n v="290"/>
    <n v="304.5"/>
    <n v="295.5"/>
    <n v="88.649999999999991"/>
    <x v="17"/>
    <x v="2"/>
    <e v="#REF!"/>
    <e v="#REF!"/>
    <s v=""/>
    <n v="0.49249999999999999"/>
  </r>
  <r>
    <x v="0"/>
    <x v="98"/>
    <x v="0"/>
    <x v="28"/>
    <m/>
    <n v="4500"/>
    <s v="CONDENSER, NISSAN NV350"/>
    <s v="CA-000418"/>
    <n v="1"/>
    <n v="4200"/>
    <m/>
    <n v="4200"/>
    <x v="0"/>
    <n v="4410"/>
    <n v="2400"/>
    <n v="2400"/>
    <n v="2520"/>
    <n v="1680"/>
    <n v="0"/>
    <x v="8"/>
    <x v="2"/>
    <m/>
    <m/>
    <n v="4704"/>
    <n v="0.4"/>
  </r>
  <r>
    <x v="3"/>
    <x v="68"/>
    <x v="1"/>
    <x v="42"/>
    <m/>
    <m/>
    <s v="EXP. VALVE LT, POKKA 9A56 INNOVA F"/>
    <s v="CA-000637"/>
    <n v="10"/>
    <n v="330"/>
    <m/>
    <n v="3300"/>
    <x v="0"/>
    <n v="460"/>
    <n v="250"/>
    <n v="2500"/>
    <n v="2625"/>
    <n v="675"/>
    <n v="202.5"/>
    <x v="23"/>
    <x v="2"/>
    <m/>
    <m/>
    <s v=""/>
    <n v="0.20454545454545456"/>
  </r>
  <r>
    <x v="4"/>
    <x v="108"/>
    <x v="0"/>
    <x v="64"/>
    <m/>
    <m/>
    <s v="DRAIN_PUMP, JFCOOL JF380"/>
    <s v="GE-000411"/>
    <n v="1"/>
    <n v="4800"/>
    <m/>
    <n v="4800"/>
    <x v="0"/>
    <n v="4225"/>
    <n v="2299"/>
    <n v="2299"/>
    <n v="2413.9500000000003"/>
    <n v="2386.0499999999997"/>
    <n v="0"/>
    <x v="21"/>
    <x v="1"/>
    <m/>
    <m/>
    <m/>
    <n v="0.49709374999999995"/>
  </r>
  <r>
    <x v="4"/>
    <x v="107"/>
    <x v="0"/>
    <x v="62"/>
    <m/>
    <m/>
    <s v="ELECTRICAL WIRE_STRANDED, POWERFLEX THNN STRANDED   #14, ROLL 04/25/26"/>
    <s v="GE-000514"/>
    <n v="1"/>
    <n v="2875"/>
    <m/>
    <n v="2875"/>
    <x v="0"/>
    <n v="4317"/>
    <n v="2349"/>
    <n v="2349"/>
    <n v="2466.4500000000003"/>
    <n v="408.54999999999973"/>
    <n v="0"/>
    <x v="2"/>
    <x v="1"/>
    <m/>
    <m/>
    <m/>
    <n v="0.14210434782608686"/>
  </r>
  <r>
    <x v="4"/>
    <x v="79"/>
    <x v="0"/>
    <x v="6"/>
    <m/>
    <m/>
    <s v="ELECTRICAL WIRE_STRANDED, POWERFLEX THNN STRANDED   #14, ROLL 04/25/26"/>
    <s v="GE-000514"/>
    <n v="1"/>
    <n v="2900"/>
    <m/>
    <n v="2900"/>
    <x v="0"/>
    <n v="4317"/>
    <n v="2349"/>
    <n v="2349"/>
    <n v="2466.4500000000003"/>
    <n v="433.54999999999973"/>
    <n v="0"/>
    <x v="2"/>
    <x v="1"/>
    <m/>
    <m/>
    <m/>
    <n v="0.14949999999999991"/>
  </r>
  <r>
    <x v="5"/>
    <x v="83"/>
    <x v="0"/>
    <x v="2"/>
    <m/>
    <m/>
    <s v="COPPER_TUBE_SOFTDRAWN, HAILIANG 0.028 X 1/2  x 15 mtr 04/25/26"/>
    <s v="IM-000328"/>
    <n v="0.4"/>
    <n v="4500"/>
    <m/>
    <n v="1800"/>
    <x v="0"/>
    <n v="6554"/>
    <n v="3636"/>
    <n v="1454.4"/>
    <n v="1498.0320000000002"/>
    <n v="301.96799999999985"/>
    <n v="0"/>
    <x v="0"/>
    <x v="0"/>
    <e v="#REF!"/>
    <e v="#REF!"/>
    <s v=""/>
    <n v="0.16775999999999991"/>
  </r>
  <r>
    <x v="1"/>
    <x v="109"/>
    <x v="0"/>
    <x v="23"/>
    <m/>
    <m/>
    <s v="MANIFOLD_GAUGE, HEAVY DUTY, NEK R134A/R32 (BLACK GAUGE)"/>
    <s v="TL-000033"/>
    <n v="1"/>
    <n v="3500"/>
    <m/>
    <n v="3500"/>
    <x v="0"/>
    <n v="4043"/>
    <n v="2200"/>
    <n v="2200"/>
    <n v="2310"/>
    <n v="1190"/>
    <n v="0"/>
    <x v="24"/>
    <x v="4"/>
    <e v="#REF!"/>
    <e v="#REF!"/>
    <e v="#REF!"/>
    <n v="0.34"/>
  </r>
  <r>
    <x v="0"/>
    <x v="91"/>
    <x v="2"/>
    <x v="50"/>
    <m/>
    <n v="2100"/>
    <s v="EVAPORATOR, TOYOTA HIACE 08 REAR (STAL)"/>
    <s v="CA-001780"/>
    <n v="1"/>
    <n v="1875"/>
    <m/>
    <n v="1875"/>
    <x v="0"/>
    <n v="2297"/>
    <n v="1250"/>
    <n v="1250"/>
    <n v="1312.5"/>
    <n v="562.5"/>
    <n v="168.75"/>
    <x v="10"/>
    <x v="2"/>
    <m/>
    <m/>
    <n v="2100"/>
    <n v="0.3"/>
  </r>
  <r>
    <x v="2"/>
    <x v="38"/>
    <x v="0"/>
    <x v="65"/>
    <m/>
    <m/>
    <s v="MANIFOLD_GAUGE, HEAVY DUTY, NEK R134A/R22(BLUE GAUGE)"/>
    <s v="TL-000036"/>
    <n v="1"/>
    <n v="3600"/>
    <m/>
    <n v="3600"/>
    <x v="0"/>
    <n v="4043"/>
    <n v="2200"/>
    <n v="2200"/>
    <n v="2310"/>
    <n v="1290"/>
    <n v="0"/>
    <x v="24"/>
    <x v="4"/>
    <e v="#REF!"/>
    <e v="#REF!"/>
    <s v=""/>
    <n v="0.35833333333333334"/>
  </r>
  <r>
    <x v="1"/>
    <x v="33"/>
    <x v="6"/>
    <x v="66"/>
    <m/>
    <m/>
    <s v="DRAIN_PUMP, HYSYS KOREA, 6M"/>
    <s v="GE-000207"/>
    <n v="1"/>
    <n v="4000"/>
    <m/>
    <n v="4000"/>
    <x v="0"/>
    <n v="3937"/>
    <n v="2142.4"/>
    <n v="2142.4"/>
    <n v="2249.52"/>
    <n v="1750.48"/>
    <n v="525.14400000000001"/>
    <x v="21"/>
    <x v="1"/>
    <e v="#REF!"/>
    <e v="#REF!"/>
    <e v="#REF!"/>
    <n v="0.43762000000000001"/>
  </r>
  <r>
    <x v="1"/>
    <x v="28"/>
    <x v="0"/>
    <x v="27"/>
    <m/>
    <m/>
    <s v="REFRIGERANT, ENTALPIA EUROPE R32, 3KGS"/>
    <s v="GE-000475"/>
    <n v="1"/>
    <n v="2600"/>
    <m/>
    <n v="2600"/>
    <x v="0"/>
    <n v="2867"/>
    <n v="2100"/>
    <n v="2100"/>
    <n v="2205"/>
    <n v="395"/>
    <n v="0"/>
    <x v="5"/>
    <x v="1"/>
    <e v="#REF!"/>
    <e v="#REF!"/>
    <e v="#REF!"/>
    <n v="0.15192307692307691"/>
  </r>
  <r>
    <x v="2"/>
    <x v="38"/>
    <x v="0"/>
    <x v="34"/>
    <m/>
    <m/>
    <s v="REFRIGERANT, ENTALPIA EUROPE R32, 3KGS"/>
    <s v="GE-000475"/>
    <n v="1"/>
    <n v="2700"/>
    <m/>
    <n v="2700"/>
    <x v="0"/>
    <n v="2867"/>
    <n v="2100"/>
    <n v="2100"/>
    <n v="2205"/>
    <n v="495"/>
    <n v="0"/>
    <x v="5"/>
    <x v="1"/>
    <e v="#REF!"/>
    <e v="#REF!"/>
    <s v=""/>
    <n v="0.18333333333333332"/>
  </r>
  <r>
    <x v="2"/>
    <x v="56"/>
    <x v="0"/>
    <x v="67"/>
    <m/>
    <m/>
    <s v="REFRIGERANT, ENTALPIA EUROPE R32, 3KGS"/>
    <s v="GE-000475"/>
    <n v="1"/>
    <n v="2700"/>
    <m/>
    <n v="2700"/>
    <x v="0"/>
    <n v="2867"/>
    <n v="2100"/>
    <n v="2100"/>
    <n v="2205"/>
    <n v="495"/>
    <n v="0"/>
    <x v="5"/>
    <x v="1"/>
    <e v="#REF!"/>
    <e v="#REF!"/>
    <s v=""/>
    <n v="0.18333333333333332"/>
  </r>
  <r>
    <x v="3"/>
    <x v="59"/>
    <x v="0"/>
    <x v="34"/>
    <m/>
    <m/>
    <s v="REFRIGERANT, ENTALPIA EUROPE R32, 3KGS"/>
    <s v="GE-000475"/>
    <n v="1"/>
    <n v="2700"/>
    <m/>
    <n v="2700"/>
    <x v="0"/>
    <n v="2867"/>
    <n v="2100"/>
    <n v="2100"/>
    <n v="2205"/>
    <n v="495"/>
    <n v="0"/>
    <x v="5"/>
    <x v="1"/>
    <m/>
    <m/>
    <s v=""/>
    <n v="0.18333333333333332"/>
  </r>
  <r>
    <x v="3"/>
    <x v="71"/>
    <x v="0"/>
    <x v="17"/>
    <m/>
    <m/>
    <s v="EVAPORATOR, MITSUBISHI MONTERO 2016 (F)  (STAL)"/>
    <s v="CA-000341"/>
    <n v="2"/>
    <n v="2200"/>
    <m/>
    <n v="4400"/>
    <x v="0"/>
    <n v="1930"/>
    <n v="1050"/>
    <n v="2100"/>
    <n v="2205"/>
    <n v="2195"/>
    <n v="0"/>
    <x v="10"/>
    <x v="2"/>
    <m/>
    <m/>
    <s v=""/>
    <n v="0.49886363636363634"/>
  </r>
  <r>
    <x v="4"/>
    <x v="105"/>
    <x v="0"/>
    <x v="1"/>
    <m/>
    <m/>
    <s v="REFRIGERANT, ENTALPIA EUROPE R32, 3KGS"/>
    <s v="GE-000475"/>
    <n v="1"/>
    <n v="2700"/>
    <m/>
    <n v="2700"/>
    <x v="0"/>
    <n v="2867"/>
    <n v="2100"/>
    <n v="2100"/>
    <n v="2205"/>
    <n v="495"/>
    <n v="0"/>
    <x v="5"/>
    <x v="1"/>
    <m/>
    <m/>
    <m/>
    <n v="0.18333333333333332"/>
  </r>
  <r>
    <x v="4"/>
    <x v="79"/>
    <x v="0"/>
    <x v="68"/>
    <m/>
    <m/>
    <s v="REFRIGERANT, ENTALPIA EUROPE R32, 3KGS"/>
    <s v="GE-000475"/>
    <n v="1"/>
    <n v="3000"/>
    <m/>
    <n v="3000"/>
    <x v="0"/>
    <n v="2867"/>
    <n v="2100"/>
    <n v="2100"/>
    <n v="2205"/>
    <n v="795"/>
    <n v="0"/>
    <x v="5"/>
    <x v="1"/>
    <m/>
    <m/>
    <m/>
    <n v="0.26500000000000001"/>
  </r>
  <r>
    <x v="4"/>
    <x v="82"/>
    <x v="0"/>
    <x v="69"/>
    <m/>
    <m/>
    <s v="REFRIGERANT, ENTALPIA EUROPE R32, 3KGS"/>
    <s v="GE-000475"/>
    <n v="1"/>
    <n v="3000"/>
    <m/>
    <n v="3000"/>
    <x v="0"/>
    <n v="2867"/>
    <n v="2100"/>
    <n v="2100"/>
    <n v="2205"/>
    <n v="795"/>
    <n v="0"/>
    <x v="5"/>
    <x v="1"/>
    <e v="#REF!"/>
    <e v="#REF!"/>
    <e v="#REF!"/>
    <n v="0"/>
  </r>
  <r>
    <x v="0"/>
    <x v="16"/>
    <x v="0"/>
    <x v="58"/>
    <m/>
    <m/>
    <s v="TAPE_FOAM, AEROTAPE 3MM X 50 MM X 9.1 MTR  04/02/25"/>
    <s v="IM-000332"/>
    <n v="7"/>
    <n v="360"/>
    <m/>
    <n v="2520"/>
    <x v="0"/>
    <n v="510"/>
    <n v="330"/>
    <n v="2310"/>
    <n v="2379.3000000000002"/>
    <n v="140.69999999999982"/>
    <n v="0"/>
    <x v="25"/>
    <x v="0"/>
    <m/>
    <m/>
    <s v=""/>
    <n v="5.5833333333333263E-2"/>
  </r>
  <r>
    <x v="0"/>
    <x v="12"/>
    <x v="0"/>
    <x v="18"/>
    <m/>
    <m/>
    <s v="PULLEY_ASSEMBLY, MITSUBISHI L300"/>
    <s v="CA-001034"/>
    <n v="1"/>
    <n v="2400"/>
    <m/>
    <n v="2400"/>
    <x v="0"/>
    <n v="3192"/>
    <n v="1900"/>
    <n v="1900"/>
    <n v="1995"/>
    <n v="405"/>
    <n v="0"/>
    <x v="11"/>
    <x v="2"/>
    <e v="#REF!"/>
    <e v="#REF!"/>
    <s v=""/>
    <n v="0.16875000000000001"/>
  </r>
  <r>
    <x v="0"/>
    <x v="2"/>
    <x v="0"/>
    <x v="2"/>
    <m/>
    <m/>
    <s v="COPPER_TUBE_SOFTDRAWN, DAEJIN 0.028 X 3/8 x 15 mtr"/>
    <s v="IM-000189"/>
    <n v="1"/>
    <n v="2300"/>
    <m/>
    <n v="2300"/>
    <x v="0"/>
    <n v="3374"/>
    <n v="1871.8"/>
    <n v="1871.8"/>
    <n v="1927.954"/>
    <n v="372.04600000000005"/>
    <n v="0"/>
    <x v="0"/>
    <x v="0"/>
    <m/>
    <m/>
    <s v=""/>
    <n v="0.16175913043478263"/>
  </r>
  <r>
    <x v="3"/>
    <x v="62"/>
    <x v="5"/>
    <x v="37"/>
    <m/>
    <m/>
    <s v="ELECTRICAL WIRE_STRANDED, POWERFLEX THNN STRANDED   #10, MTR 04/06/26"/>
    <s v="GE-000113"/>
    <n v="45"/>
    <n v="65"/>
    <m/>
    <n v="2925"/>
    <x v="0"/>
    <n v="74"/>
    <n v="40"/>
    <n v="1800"/>
    <n v="1890"/>
    <n v="1035"/>
    <n v="310.5"/>
    <x v="2"/>
    <x v="1"/>
    <m/>
    <m/>
    <s v=""/>
    <n v="0.35384615384615387"/>
  </r>
  <r>
    <x v="1"/>
    <x v="32"/>
    <x v="0"/>
    <x v="26"/>
    <m/>
    <m/>
    <s v="RUBBER_INSULATION, M-FLEX 3/4&quot; 5/8"/>
    <s v="IM-000331"/>
    <n v="20"/>
    <n v="125"/>
    <m/>
    <n v="2500"/>
    <x v="0"/>
    <n v="140"/>
    <n v="100"/>
    <n v="2000"/>
    <n v="2060"/>
    <n v="440"/>
    <n v="0"/>
    <x v="22"/>
    <x v="0"/>
    <e v="#REF!"/>
    <e v="#REF!"/>
    <e v="#REF!"/>
    <n v="0.17599999999999999"/>
  </r>
  <r>
    <x v="0"/>
    <x v="31"/>
    <x v="2"/>
    <x v="22"/>
    <m/>
    <m/>
    <s v="BLOWER_MOTOR, TOYOTA REVO"/>
    <s v="CA-000229"/>
    <n v="1"/>
    <n v="1700"/>
    <m/>
    <n v="1700"/>
    <x v="0"/>
    <n v="2205"/>
    <n v="1200"/>
    <n v="1200"/>
    <n v="1260"/>
    <n v="440"/>
    <n v="132"/>
    <x v="15"/>
    <x v="2"/>
    <m/>
    <m/>
    <s v=""/>
    <n v="0.25882352941176473"/>
  </r>
  <r>
    <x v="4"/>
    <x v="110"/>
    <x v="0"/>
    <x v="19"/>
    <m/>
    <m/>
    <s v="COPPER_TUBE_SOFTDRAWN, HAILIANG 0.028 X 5/8 x 15 mtr 04/25/26"/>
    <s v=""/>
    <n v="0.4"/>
    <n v="5500"/>
    <m/>
    <n v="2200"/>
    <x v="0"/>
    <n v="0"/>
    <n v="0"/>
    <n v="0"/>
    <n v="0"/>
    <n v="2200"/>
    <n v="0"/>
    <x v="13"/>
    <x v="3"/>
    <m/>
    <m/>
    <m/>
    <n v="1"/>
  </r>
  <r>
    <x v="0"/>
    <x v="99"/>
    <x v="1"/>
    <x v="3"/>
    <m/>
    <m/>
    <s v="EXP. VALVE LT, POKKA 9A129B ACCENT"/>
    <s v="CA-000629"/>
    <n v="1"/>
    <n v="600"/>
    <m/>
    <n v="600"/>
    <x v="0"/>
    <n v="625"/>
    <n v="340"/>
    <n v="340"/>
    <n v="357"/>
    <n v="243"/>
    <n v="72.899999999999991"/>
    <x v="23"/>
    <x v="2"/>
    <m/>
    <m/>
    <s v=""/>
    <n v="0.40500000000000003"/>
  </r>
  <r>
    <x v="0"/>
    <x v="84"/>
    <x v="2"/>
    <x v="22"/>
    <m/>
    <m/>
    <s v="ECV, TOYOTA VIOS BATMAN, 8-5A"/>
    <s v="CA-000458"/>
    <n v="1"/>
    <n v="1800"/>
    <m/>
    <n v="1800"/>
    <x v="0"/>
    <n v="1838"/>
    <n v="1000"/>
    <n v="1000"/>
    <n v="1050"/>
    <n v="750"/>
    <n v="225"/>
    <x v="26"/>
    <x v="2"/>
    <m/>
    <m/>
    <s v=""/>
    <n v="0.41666666666666669"/>
  </r>
  <r>
    <x v="0"/>
    <x v="16"/>
    <x v="3"/>
    <x v="12"/>
    <m/>
    <n v="2100"/>
    <s v="EVAPORATOR, NISSAN NAVARRA 2015 /TERRA/ CALIBRE 16  (STAL)"/>
    <s v="CA-001659"/>
    <n v="1"/>
    <n v="1875"/>
    <m/>
    <n v="1875"/>
    <x v="0"/>
    <n v="2205"/>
    <n v="1200"/>
    <n v="1200"/>
    <n v="1260"/>
    <n v="615"/>
    <n v="184.5"/>
    <x v="10"/>
    <x v="2"/>
    <m/>
    <m/>
    <n v="2100"/>
    <n v="0.32800000000000001"/>
  </r>
  <r>
    <x v="0"/>
    <x v="73"/>
    <x v="2"/>
    <x v="9"/>
    <m/>
    <m/>
    <s v="EVAPORATOR, TOYOTA AVANZA 08"/>
    <s v="CA-000537"/>
    <n v="1"/>
    <n v="2000"/>
    <m/>
    <n v="2000"/>
    <x v="0"/>
    <n v="2205"/>
    <n v="1200"/>
    <n v="1200"/>
    <n v="1260"/>
    <n v="740"/>
    <n v="222"/>
    <x v="10"/>
    <x v="2"/>
    <e v="#REF!"/>
    <e v="#REF!"/>
    <s v=""/>
    <n v="0.37"/>
  </r>
  <r>
    <x v="2"/>
    <x v="111"/>
    <x v="0"/>
    <x v="17"/>
    <m/>
    <m/>
    <s v="EVAPORATOR, SUZUKI SPRESSO JY4594"/>
    <s v="CA-001820"/>
    <n v="1"/>
    <n v="2200"/>
    <m/>
    <n v="2200"/>
    <x v="0"/>
    <n v="3032"/>
    <n v="1650"/>
    <n v="1650"/>
    <n v="1732.5"/>
    <n v="467.5"/>
    <n v="0"/>
    <x v="10"/>
    <x v="2"/>
    <e v="#REF!"/>
    <e v="#REF!"/>
    <s v=""/>
    <n v="0.21249999999999999"/>
  </r>
  <r>
    <x v="0"/>
    <x v="3"/>
    <x v="2"/>
    <x v="9"/>
    <m/>
    <m/>
    <s v="AUXFAN_MOTOR, NISSAN NV350"/>
    <s v="CA-000066"/>
    <n v="1"/>
    <n v="1800"/>
    <m/>
    <n v="1800"/>
    <x v="0"/>
    <n v="2114"/>
    <n v="1150"/>
    <n v="1150"/>
    <n v="1207.5"/>
    <n v="592.5"/>
    <n v="177.75"/>
    <x v="14"/>
    <x v="2"/>
    <m/>
    <m/>
    <s v=""/>
    <n v="0.32916666666666666"/>
  </r>
  <r>
    <x v="1"/>
    <x v="17"/>
    <x v="0"/>
    <x v="15"/>
    <m/>
    <m/>
    <s v="ELECTRICAL WIRE_STRANDED, POWERFLEX THNN STRANDED   #12, MTR"/>
    <s v="GE-000120"/>
    <n v="60"/>
    <n v="35"/>
    <m/>
    <n v="2100"/>
    <x v="0"/>
    <n v="50"/>
    <n v="27"/>
    <n v="1620"/>
    <n v="1701"/>
    <n v="399"/>
    <n v="0"/>
    <x v="2"/>
    <x v="1"/>
    <e v="#REF!"/>
    <e v="#REF!"/>
    <s v=""/>
    <n v="0.19"/>
  </r>
  <r>
    <x v="3"/>
    <x v="60"/>
    <x v="0"/>
    <x v="58"/>
    <m/>
    <m/>
    <s v="RECEIVER_DRIER_ALUMINUM, YK MIT FUSION"/>
    <s v="CA-001259"/>
    <n v="6"/>
    <n v="550"/>
    <m/>
    <n v="3300"/>
    <x v="0"/>
    <n v="638"/>
    <n v="270"/>
    <n v="1620"/>
    <n v="1701"/>
    <n v="1599"/>
    <n v="0"/>
    <x v="27"/>
    <x v="2"/>
    <m/>
    <m/>
    <s v=""/>
    <n v="0.48454545454545456"/>
  </r>
  <r>
    <x v="0"/>
    <x v="16"/>
    <x v="4"/>
    <x v="25"/>
    <m/>
    <n v="1900"/>
    <s v="AUXFAN_MOTOR, HONDA CITY 2009 (19030)"/>
    <s v="CA-000016"/>
    <n v="1"/>
    <n v="1700"/>
    <m/>
    <n v="1700"/>
    <x v="0"/>
    <n v="2114"/>
    <n v="1150"/>
    <n v="1150"/>
    <n v="1207.5"/>
    <n v="492.5"/>
    <n v="147.75"/>
    <x v="14"/>
    <x v="2"/>
    <m/>
    <m/>
    <n v="1904.0000000000002"/>
    <n v="0.2897058823529412"/>
  </r>
  <r>
    <x v="0"/>
    <x v="12"/>
    <x v="2"/>
    <x v="22"/>
    <m/>
    <m/>
    <s v="AUXFAN_MOTOR, NISSAN NV350"/>
    <s v="CA-000066"/>
    <n v="1"/>
    <n v="1600"/>
    <m/>
    <n v="1600"/>
    <x v="0"/>
    <n v="2114"/>
    <n v="1150"/>
    <n v="1150"/>
    <n v="1207.5"/>
    <n v="392.5"/>
    <n v="117.75"/>
    <x v="14"/>
    <x v="2"/>
    <e v="#REF!"/>
    <e v="#REF!"/>
    <s v=""/>
    <n v="0.24531249999999999"/>
  </r>
  <r>
    <x v="2"/>
    <x v="112"/>
    <x v="0"/>
    <x v="8"/>
    <m/>
    <m/>
    <s v="EVAPORATOR, HYUNDAI GRAND I10"/>
    <s v="CA-001417"/>
    <n v="1"/>
    <n v="2200"/>
    <m/>
    <n v="2200"/>
    <x v="0"/>
    <n v="2940"/>
    <n v="1600"/>
    <n v="1600"/>
    <n v="1680"/>
    <n v="520"/>
    <n v="0"/>
    <x v="10"/>
    <x v="2"/>
    <e v="#REF!"/>
    <e v="#REF!"/>
    <s v=""/>
    <n v="0.23636363636363636"/>
  </r>
  <r>
    <x v="0"/>
    <x v="0"/>
    <x v="2"/>
    <x v="9"/>
    <m/>
    <n v="2100"/>
    <s v="EVAPORATOR, TOYOTA AVANZA 14 (STAL)"/>
    <s v="CA-000143"/>
    <n v="1"/>
    <n v="1875"/>
    <m/>
    <n v="1875"/>
    <x v="0"/>
    <n v="2022"/>
    <n v="1100"/>
    <n v="1100"/>
    <n v="1155"/>
    <n v="720"/>
    <n v="216"/>
    <x v="10"/>
    <x v="2"/>
    <m/>
    <m/>
    <m/>
    <n v="0.38400000000000001"/>
  </r>
  <r>
    <x v="2"/>
    <x v="54"/>
    <x v="0"/>
    <x v="6"/>
    <m/>
    <m/>
    <s v="COPPER_TUBE_SOFTDRAWN, EVERSTRONG 0.028 X 1/4 x 15 mtr 03/24/26"/>
    <s v="IM-000318"/>
    <n v="1"/>
    <n v="1800"/>
    <m/>
    <n v="1800"/>
    <x v="0"/>
    <n v="2866"/>
    <n v="1590"/>
    <n v="1590"/>
    <n v="1637.7"/>
    <n v="162.29999999999995"/>
    <n v="0"/>
    <x v="0"/>
    <x v="0"/>
    <e v="#REF!"/>
    <e v="#REF!"/>
    <s v=""/>
    <n v="9.0166666666666645E-2"/>
  </r>
  <r>
    <x v="3"/>
    <x v="71"/>
    <x v="0"/>
    <x v="34"/>
    <m/>
    <m/>
    <s v="COPPER_TUBE_SOFTDRAWN, EVERSTRONG 0.028 X 1/4 x 15 mtr 03/24/26"/>
    <s v="IM-000318"/>
    <n v="1"/>
    <n v="1800"/>
    <m/>
    <n v="1800"/>
    <x v="0"/>
    <n v="2866"/>
    <n v="1590"/>
    <n v="1590"/>
    <n v="1637.7"/>
    <n v="162.29999999999995"/>
    <n v="0"/>
    <x v="0"/>
    <x v="0"/>
    <m/>
    <m/>
    <s v=""/>
    <n v="9.0166666666666645E-2"/>
  </r>
  <r>
    <x v="3"/>
    <x v="71"/>
    <x v="0"/>
    <x v="6"/>
    <m/>
    <m/>
    <s v="COPPER_TUBE_SOFTDRAWN, EVERSTRONG 0.028 X 1/4 x 15 mtr 03/24/26"/>
    <s v="IM-000318"/>
    <n v="1"/>
    <n v="1800"/>
    <m/>
    <n v="1800"/>
    <x v="0"/>
    <n v="2866"/>
    <n v="1590"/>
    <n v="1590"/>
    <n v="1637.7"/>
    <n v="162.29999999999995"/>
    <n v="0"/>
    <x v="0"/>
    <x v="0"/>
    <m/>
    <m/>
    <s v=""/>
    <n v="9.0166666666666645E-2"/>
  </r>
  <r>
    <x v="3"/>
    <x v="71"/>
    <x v="0"/>
    <x v="26"/>
    <m/>
    <m/>
    <s v="COPPER_TUBE_SOFTDRAWN, EVERSTRONG 0.028 X 1/4 x 15 mtr 03/24/26"/>
    <s v="IM-000318"/>
    <n v="1"/>
    <n v="1800"/>
    <m/>
    <n v="1800"/>
    <x v="0"/>
    <n v="2866"/>
    <n v="1590"/>
    <n v="1590"/>
    <n v="1637.7"/>
    <n v="162.29999999999995"/>
    <n v="0"/>
    <x v="0"/>
    <x v="0"/>
    <m/>
    <m/>
    <s v=""/>
    <n v="9.0166666666666645E-2"/>
  </r>
  <r>
    <x v="3"/>
    <x v="72"/>
    <x v="9"/>
    <x v="55"/>
    <m/>
    <m/>
    <s v="COPPER_TUBE_SOFTDRAWN, EVERSTRONG 0.028 X 1/4 x 15 mtr 03/24/26"/>
    <s v="IM-000318"/>
    <n v="1"/>
    <n v="1800"/>
    <m/>
    <n v="1800"/>
    <x v="0"/>
    <n v="2866"/>
    <n v="1590"/>
    <n v="1590"/>
    <n v="1637.7"/>
    <n v="162.29999999999995"/>
    <n v="48.689999999999984"/>
    <x v="0"/>
    <x v="0"/>
    <m/>
    <m/>
    <s v=""/>
    <n v="9.0166666666666645E-2"/>
  </r>
  <r>
    <x v="4"/>
    <x v="107"/>
    <x v="0"/>
    <x v="26"/>
    <m/>
    <m/>
    <s v="COPPER_TUBE_SOFTDRAWN, EVERSTRONG 0.028 X 1/4 x 15 mtr 03/24/26"/>
    <s v="IM-000318"/>
    <n v="1"/>
    <n v="1820"/>
    <m/>
    <n v="1820"/>
    <x v="0"/>
    <n v="2866"/>
    <n v="1590"/>
    <n v="1590"/>
    <n v="1637.7"/>
    <n v="182.29999999999995"/>
    <n v="0"/>
    <x v="0"/>
    <x v="0"/>
    <m/>
    <m/>
    <m/>
    <n v="0.10016483516483514"/>
  </r>
  <r>
    <x v="4"/>
    <x v="107"/>
    <x v="0"/>
    <x v="62"/>
    <m/>
    <m/>
    <s v="COPPER_TUBE_SOFTDRAWN, EVERSTRONG 0.028 X 1/4 x 15 mtr 03/24/26"/>
    <s v="IM-000318"/>
    <n v="1"/>
    <n v="1820"/>
    <m/>
    <n v="1820"/>
    <x v="0"/>
    <n v="2866"/>
    <n v="1590"/>
    <n v="1590"/>
    <n v="1637.7"/>
    <n v="182.29999999999995"/>
    <n v="0"/>
    <x v="0"/>
    <x v="0"/>
    <m/>
    <m/>
    <m/>
    <n v="0.10016483516483514"/>
  </r>
  <r>
    <x v="4"/>
    <x v="102"/>
    <x v="0"/>
    <x v="27"/>
    <m/>
    <m/>
    <s v="COPPER_TUBE_SOFTDRAWN, EVERSTRONG 0.028 X 1/4 x 15 mtr 03/24/26"/>
    <s v="IM-000318"/>
    <n v="1"/>
    <n v="1820"/>
    <m/>
    <n v="1820"/>
    <x v="0"/>
    <n v="2866"/>
    <n v="1590"/>
    <n v="1590"/>
    <n v="1637.7"/>
    <n v="182.29999999999995"/>
    <n v="0"/>
    <x v="0"/>
    <x v="0"/>
    <m/>
    <m/>
    <m/>
    <n v="0.10016483516483514"/>
  </r>
  <r>
    <x v="4"/>
    <x v="113"/>
    <x v="0"/>
    <x v="57"/>
    <m/>
    <m/>
    <s v="COPPER_TUBE_SOFTDRAWN, EVERSTRONG 0.028 X 1/4 x 15 mtr 03/24/26"/>
    <s v="IM-000318"/>
    <n v="1"/>
    <n v="1820"/>
    <m/>
    <n v="1820"/>
    <x v="0"/>
    <n v="2866"/>
    <n v="1590"/>
    <n v="1590"/>
    <n v="1637.7"/>
    <n v="182.29999999999995"/>
    <n v="0"/>
    <x v="0"/>
    <x v="0"/>
    <m/>
    <m/>
    <m/>
    <n v="0.10016483516483514"/>
  </r>
  <r>
    <x v="4"/>
    <x v="89"/>
    <x v="0"/>
    <x v="29"/>
    <m/>
    <m/>
    <s v="COPPER_TUBE_SOFTDRAWN, EVERSTRONG 0.028 X 1/4 x 15 mtr 03/24/26"/>
    <s v="IM-000318"/>
    <n v="1"/>
    <n v="1820"/>
    <m/>
    <n v="1820"/>
    <x v="0"/>
    <n v="2866"/>
    <n v="1590"/>
    <n v="1590"/>
    <n v="1637.7"/>
    <n v="182.29999999999995"/>
    <n v="0"/>
    <x v="0"/>
    <x v="0"/>
    <m/>
    <m/>
    <m/>
    <n v="0.10016483516483514"/>
  </r>
  <r>
    <x v="3"/>
    <x v="68"/>
    <x v="1"/>
    <x v="42"/>
    <m/>
    <m/>
    <s v="SYSTEM_CLEANER, Cleanse GREEN 141B 500 ML"/>
    <s v="GE-000369"/>
    <n v="24"/>
    <n v="96"/>
    <m/>
    <n v="2304"/>
    <x v="0"/>
    <n v="113"/>
    <n v="65"/>
    <n v="1560"/>
    <n v="1638"/>
    <n v="666"/>
    <n v="199.79999999999998"/>
    <x v="28"/>
    <x v="1"/>
    <m/>
    <m/>
    <s v=""/>
    <n v="0.2890625"/>
  </r>
  <r>
    <x v="4"/>
    <x v="93"/>
    <x v="0"/>
    <x v="2"/>
    <m/>
    <m/>
    <s v="COPPER_TUBE_SOFTDRAWN, HAILIANG 0.028 X 1/4 x 15 mtr 04/25/26"/>
    <s v=""/>
    <n v="1"/>
    <n v="1820"/>
    <m/>
    <n v="1820"/>
    <x v="0"/>
    <n v="0"/>
    <n v="0"/>
    <n v="0"/>
    <n v="0"/>
    <n v="1820"/>
    <n v="0"/>
    <x v="13"/>
    <x v="3"/>
    <m/>
    <m/>
    <m/>
    <n v="1"/>
  </r>
  <r>
    <x v="4"/>
    <x v="103"/>
    <x v="0"/>
    <x v="26"/>
    <m/>
    <m/>
    <s v="COPPER_TUBE_SOFTDRAWN, HAILIANG 0.028 X 1/4 x 15 mtr 04/25/26"/>
    <s v=""/>
    <n v="1"/>
    <n v="1820"/>
    <m/>
    <n v="1820"/>
    <x v="0"/>
    <n v="0"/>
    <n v="0"/>
    <n v="0"/>
    <n v="0"/>
    <n v="1820"/>
    <n v="0"/>
    <x v="13"/>
    <x v="3"/>
    <m/>
    <m/>
    <m/>
    <n v="1"/>
  </r>
  <r>
    <x v="4"/>
    <x v="104"/>
    <x v="0"/>
    <x v="6"/>
    <m/>
    <m/>
    <s v="COPPER_TUBE_SOFTDRAWN, HAILIANG 0.028 X 1/4 x 15 mtr 04/25/26"/>
    <s v=""/>
    <n v="1"/>
    <n v="1820"/>
    <m/>
    <n v="1820"/>
    <x v="0"/>
    <n v="0"/>
    <n v="0"/>
    <n v="0"/>
    <n v="0"/>
    <n v="1820"/>
    <n v="0"/>
    <x v="13"/>
    <x v="3"/>
    <m/>
    <m/>
    <m/>
    <n v="1"/>
  </r>
  <r>
    <x v="4"/>
    <x v="77"/>
    <x v="0"/>
    <x v="27"/>
    <m/>
    <m/>
    <s v="COPPER_TUBE_SOFTDRAWN, HAILIANG 0.028 X 1/4 x 15 mtr 04/25/26"/>
    <s v=""/>
    <n v="1"/>
    <n v="1950"/>
    <m/>
    <n v="1950"/>
    <x v="0"/>
    <n v="0"/>
    <n v="0"/>
    <n v="0"/>
    <n v="0"/>
    <n v="1950"/>
    <n v="0"/>
    <x v="13"/>
    <x v="3"/>
    <e v="#REF!"/>
    <e v="#REF!"/>
    <e v="#REF!"/>
    <n v="0"/>
  </r>
  <r>
    <x v="5"/>
    <x v="83"/>
    <x v="0"/>
    <x v="20"/>
    <m/>
    <m/>
    <s v="COPPER_TUBE_SOFTDRAWN, HAILIANG 0.028 X 3/8 x 15 mtr 06/02/26"/>
    <s v="IM-000327"/>
    <n v="0.4"/>
    <n v="3000"/>
    <m/>
    <n v="1200"/>
    <x v="0"/>
    <n v="4774"/>
    <n v="2648"/>
    <n v="1059.2"/>
    <n v="1090.9760000000001"/>
    <n v="109.02399999999989"/>
    <n v="0"/>
    <x v="0"/>
    <x v="0"/>
    <e v="#REF!"/>
    <e v="#REF!"/>
    <s v=""/>
    <n v="9.0853333333333244E-2"/>
  </r>
  <r>
    <x v="5"/>
    <x v="83"/>
    <x v="0"/>
    <x v="26"/>
    <m/>
    <m/>
    <s v="RUBBER_INSULATION, M-FLEX 3/4&quot; X 3/4"/>
    <s v="IM-000240"/>
    <n v="10"/>
    <n v="135"/>
    <m/>
    <n v="1350"/>
    <x v="0"/>
    <n v="151"/>
    <n v="108"/>
    <n v="1080"/>
    <n v="1112.4000000000001"/>
    <n v="237.59999999999991"/>
    <n v="0"/>
    <x v="22"/>
    <x v="0"/>
    <e v="#REF!"/>
    <e v="#REF!"/>
    <s v=""/>
    <n v="0.17599999999999993"/>
  </r>
  <r>
    <x v="1"/>
    <x v="114"/>
    <x v="0"/>
    <x v="11"/>
    <m/>
    <m/>
    <s v="PULLEY_ASSEMBLY, NISSAN NV350"/>
    <s v="CA-001045"/>
    <n v="1"/>
    <n v="2200"/>
    <m/>
    <n v="2200"/>
    <x v="0"/>
    <n v="2604"/>
    <n v="1550"/>
    <n v="1550"/>
    <n v="1627.5"/>
    <n v="572.5"/>
    <n v="0"/>
    <x v="11"/>
    <x v="2"/>
    <e v="#REF!"/>
    <e v="#REF!"/>
    <s v=""/>
    <n v="0.26022727272727275"/>
  </r>
  <r>
    <x v="0"/>
    <x v="31"/>
    <x v="2"/>
    <x v="7"/>
    <m/>
    <n v="2100"/>
    <s v="EVAPORATOR, TOYOTA AVANZA 14 (STAL)"/>
    <s v="CA-000143"/>
    <n v="1"/>
    <n v="1875"/>
    <m/>
    <n v="1875"/>
    <x v="0"/>
    <n v="2022"/>
    <n v="1100"/>
    <n v="1100"/>
    <n v="1155"/>
    <n v="720"/>
    <n v="216"/>
    <x v="10"/>
    <x v="2"/>
    <m/>
    <m/>
    <n v="2100"/>
    <n v="0.38400000000000001"/>
  </r>
  <r>
    <x v="1"/>
    <x v="24"/>
    <x v="0"/>
    <x v="70"/>
    <m/>
    <m/>
    <s v="EVAPORATOR, NISSAN JUKE 2017"/>
    <s v="CA-001552"/>
    <n v="1"/>
    <n v="2100"/>
    <m/>
    <n v="2100"/>
    <x v="0"/>
    <n v="2849"/>
    <n v="1550"/>
    <n v="1550"/>
    <n v="1627.5"/>
    <n v="472.5"/>
    <n v="0"/>
    <x v="10"/>
    <x v="2"/>
    <e v="#REF!"/>
    <e v="#REF!"/>
    <e v="#REF!"/>
    <n v="0.22500000000000001"/>
  </r>
  <r>
    <x v="0"/>
    <x v="3"/>
    <x v="2"/>
    <x v="9"/>
    <m/>
    <n v="2100"/>
    <s v="EVAPORATOR, NISSAN NV350 (STAL)"/>
    <s v="CA-001660"/>
    <n v="1"/>
    <n v="2100"/>
    <m/>
    <n v="1875"/>
    <x v="0"/>
    <n v="2022"/>
    <n v="1100"/>
    <n v="1100"/>
    <n v="1155"/>
    <n v="720"/>
    <n v="216"/>
    <x v="10"/>
    <x v="2"/>
    <m/>
    <m/>
    <n v="2352"/>
    <n v="0.38400000000000001"/>
  </r>
  <r>
    <x v="4"/>
    <x v="94"/>
    <x v="0"/>
    <x v="1"/>
    <m/>
    <m/>
    <s v="BLOWER_MOTOR, HYUNDAI ACCENT 2013"/>
    <s v="CA-000158"/>
    <n v="1"/>
    <n v="2400"/>
    <m/>
    <n v="2400"/>
    <x v="0"/>
    <n v="2849"/>
    <n v="1550"/>
    <n v="1550"/>
    <n v="1627.5"/>
    <n v="772.5"/>
    <n v="0"/>
    <x v="15"/>
    <x v="2"/>
    <m/>
    <m/>
    <m/>
    <n v="0.32187500000000002"/>
  </r>
  <r>
    <x v="4"/>
    <x v="94"/>
    <x v="0"/>
    <x v="71"/>
    <m/>
    <m/>
    <s v="EVAPORATOR, NISSAN JUKE 2017"/>
    <s v="CA-001552"/>
    <n v="1"/>
    <n v="2200"/>
    <m/>
    <n v="2200"/>
    <x v="0"/>
    <n v="2849"/>
    <n v="1550"/>
    <n v="1550"/>
    <n v="1627.5"/>
    <n v="572.5"/>
    <n v="0"/>
    <x v="10"/>
    <x v="2"/>
    <m/>
    <m/>
    <m/>
    <n v="0.26022727272727275"/>
  </r>
  <r>
    <x v="4"/>
    <x v="79"/>
    <x v="0"/>
    <x v="72"/>
    <m/>
    <m/>
    <s v="PULLEY_ASSEMBLY, FORD RANGER 2015 7PK"/>
    <s v="CA-001733"/>
    <n v="1"/>
    <n v="2100"/>
    <m/>
    <n v="2100"/>
    <x v="0"/>
    <n v="2849"/>
    <n v="1550"/>
    <n v="1550"/>
    <n v="1627.5"/>
    <n v="472.5"/>
    <n v="0"/>
    <x v="11"/>
    <x v="2"/>
    <m/>
    <m/>
    <m/>
    <n v="0.22500000000000001"/>
  </r>
  <r>
    <x v="4"/>
    <x v="75"/>
    <x v="0"/>
    <x v="47"/>
    <m/>
    <m/>
    <s v="RUBBER_INSULATION, M-FLEX 1/2&quot; 1/2"/>
    <s v="IM-000227"/>
    <n v="33"/>
    <n v="70"/>
    <m/>
    <n v="2310"/>
    <x v="0"/>
    <n v="65"/>
    <n v="46.4"/>
    <n v="1531.2"/>
    <n v="1577.1360000000002"/>
    <n v="732.86399999999981"/>
    <n v="0"/>
    <x v="22"/>
    <x v="0"/>
    <e v="#REF!"/>
    <e v="#REF!"/>
    <e v="#REF!"/>
    <n v="0"/>
  </r>
  <r>
    <x v="1"/>
    <x v="20"/>
    <x v="0"/>
    <x v="30"/>
    <m/>
    <m/>
    <s v="COPPER_TUBE_SOFTDRAWN, EVERSTRONG 0.028 X 1/2 x 15 mtr  07/15/25"/>
    <s v="IM-000307"/>
    <n v="0.6"/>
    <n v="3750"/>
    <m/>
    <n v="2250"/>
    <x v="0"/>
    <n v="4543"/>
    <n v="2520"/>
    <n v="1512"/>
    <n v="1557.3600000000001"/>
    <n v="692.63999999999987"/>
    <n v="0"/>
    <x v="0"/>
    <x v="0"/>
    <e v="#REF!"/>
    <e v="#REF!"/>
    <s v=""/>
    <n v="0.30783999999999995"/>
  </r>
  <r>
    <x v="0"/>
    <x v="98"/>
    <x v="4"/>
    <x v="25"/>
    <m/>
    <m/>
    <s v="AUXFAN_MOTOR, MITSUBISHI MIRAGE 2 PIN / WIGO 1030"/>
    <s v="CA-000053"/>
    <n v="1"/>
    <n v="1700"/>
    <m/>
    <n v="1700"/>
    <x v="0"/>
    <n v="2022"/>
    <n v="1100"/>
    <n v="1100"/>
    <n v="1155"/>
    <n v="545"/>
    <n v="163.5"/>
    <x v="14"/>
    <x v="2"/>
    <m/>
    <m/>
    <s v=""/>
    <n v="0.32058823529411767"/>
  </r>
  <r>
    <x v="0"/>
    <x v="6"/>
    <x v="1"/>
    <x v="3"/>
    <m/>
    <m/>
    <s v="EXP. VALVE LT, POKKA 9A224 / 9A219 NISSAN JUKE"/>
    <s v="CA-001831"/>
    <n v="1"/>
    <n v="550"/>
    <m/>
    <n v="550"/>
    <x v="0"/>
    <n v="478"/>
    <n v="260"/>
    <n v="260"/>
    <n v="273"/>
    <n v="277"/>
    <n v="83.1"/>
    <x v="23"/>
    <x v="2"/>
    <m/>
    <m/>
    <s v=""/>
    <n v="0.50363636363636366"/>
  </r>
  <r>
    <x v="0"/>
    <x v="2"/>
    <x v="0"/>
    <x v="23"/>
    <m/>
    <m/>
    <s v="EVAPORATOR, TOYOTA CAMRY 2008 - 2017"/>
    <s v="CA-000539"/>
    <n v="1"/>
    <n v="2100"/>
    <m/>
    <n v="2100"/>
    <x v="0"/>
    <n v="2757"/>
    <n v="1500"/>
    <n v="1500"/>
    <n v="1575"/>
    <n v="525"/>
    <n v="0"/>
    <x v="10"/>
    <x v="2"/>
    <m/>
    <m/>
    <s v=""/>
    <n v="0.25"/>
  </r>
  <r>
    <x v="0"/>
    <x v="8"/>
    <x v="0"/>
    <x v="1"/>
    <m/>
    <m/>
    <s v="DRAIN_PUMP, KING PUMP HIPPO 2 (SMALL), 3M"/>
    <s v="GE-000100"/>
    <n v="1"/>
    <n v="2500"/>
    <m/>
    <n v="2500"/>
    <x v="0"/>
    <n v="2757"/>
    <n v="1500"/>
    <n v="1500"/>
    <n v="1575"/>
    <n v="925"/>
    <n v="0"/>
    <x v="21"/>
    <x v="1"/>
    <m/>
    <m/>
    <s v=""/>
    <n v="0.37"/>
  </r>
  <r>
    <x v="0"/>
    <x v="43"/>
    <x v="0"/>
    <x v="17"/>
    <m/>
    <m/>
    <s v="EVAPORATOR, FORD RANGER 12 40A547"/>
    <s v="CA-001833"/>
    <n v="1"/>
    <n v="2300"/>
    <m/>
    <n v="2300"/>
    <x v="0"/>
    <n v="2757"/>
    <n v="1500"/>
    <n v="1500"/>
    <n v="1575"/>
    <n v="725"/>
    <n v="0"/>
    <x v="10"/>
    <x v="2"/>
    <e v="#REF!"/>
    <e v="#REF!"/>
    <s v=""/>
    <n v="0.31521739130434784"/>
  </r>
  <r>
    <x v="0"/>
    <x v="9"/>
    <x v="0"/>
    <x v="17"/>
    <m/>
    <m/>
    <s v="EVAPORATOR, SUZUKI ERTIGA OLD 40A518"/>
    <s v="CA-000529"/>
    <n v="1"/>
    <n v="2100"/>
    <m/>
    <n v="2100"/>
    <x v="0"/>
    <n v="2481"/>
    <n v="1350"/>
    <n v="1350"/>
    <n v="1417.5"/>
    <n v="682.5"/>
    <n v="0"/>
    <x v="10"/>
    <x v="2"/>
    <e v="#REF!"/>
    <e v="#REF!"/>
    <s v=""/>
    <n v="0.32500000000000001"/>
  </r>
  <r>
    <x v="0"/>
    <x v="2"/>
    <x v="0"/>
    <x v="36"/>
    <m/>
    <n v="2000"/>
    <s v="EVAPORATOR, TOYOTA ALTIS 2003 / RAV 4 (STAL)"/>
    <s v="CA-001241"/>
    <n v="1"/>
    <n v="1780"/>
    <m/>
    <n v="1780"/>
    <x v="0"/>
    <n v="1930"/>
    <n v="1050"/>
    <n v="1050"/>
    <n v="1102.5"/>
    <n v="677.5"/>
    <n v="0"/>
    <x v="10"/>
    <x v="2"/>
    <m/>
    <m/>
    <n v="1993.6000000000001"/>
    <n v="0.3806179775280899"/>
  </r>
  <r>
    <x v="1"/>
    <x v="17"/>
    <x v="0"/>
    <x v="2"/>
    <m/>
    <m/>
    <s v="DRAIN_PUMP, KING PUMP HIPPO 2 (SMALL), 3M"/>
    <s v="GE-000100"/>
    <n v="1"/>
    <n v="2500"/>
    <m/>
    <n v="2500"/>
    <x v="0"/>
    <n v="2757"/>
    <n v="1500"/>
    <n v="1500"/>
    <n v="1575"/>
    <n v="925"/>
    <n v="0"/>
    <x v="21"/>
    <x v="1"/>
    <e v="#REF!"/>
    <e v="#REF!"/>
    <s v=""/>
    <n v="0.37"/>
  </r>
  <r>
    <x v="0"/>
    <x v="7"/>
    <x v="4"/>
    <x v="25"/>
    <m/>
    <m/>
    <s v="BLOWER_MOTOR, NISSAN XTRAIL NO BLADE"/>
    <s v="CA-000202"/>
    <n v="1"/>
    <n v="1600"/>
    <m/>
    <n v="1600"/>
    <x v="0"/>
    <n v="1930"/>
    <n v="1050"/>
    <n v="1050"/>
    <n v="1102.5"/>
    <n v="497.5"/>
    <n v="149.25"/>
    <x v="15"/>
    <x v="2"/>
    <m/>
    <m/>
    <e v="#REF!"/>
    <n v="0.31093749999999998"/>
  </r>
  <r>
    <x v="1"/>
    <x v="18"/>
    <x v="0"/>
    <x v="11"/>
    <m/>
    <m/>
    <s v="PULLEY_ASSEMBLY, TOYOTA INNOVA DENSO 7PK 2008"/>
    <s v="CA-000242"/>
    <n v="1"/>
    <n v="2000"/>
    <m/>
    <n v="2000"/>
    <x v="0"/>
    <n v="2520"/>
    <n v="1500"/>
    <n v="1500"/>
    <n v="1575"/>
    <n v="425"/>
    <n v="0"/>
    <x v="11"/>
    <x v="2"/>
    <e v="#REF!"/>
    <e v="#REF!"/>
    <s v=""/>
    <n v="0.21249999999999999"/>
  </r>
  <r>
    <x v="1"/>
    <x v="19"/>
    <x v="9"/>
    <x v="55"/>
    <m/>
    <n v="2500"/>
    <s v="DRAIN_PUMP, KING PUMP HIPPO 2 (SMALL), 3M"/>
    <s v="GE-000100"/>
    <n v="1"/>
    <n v="2235"/>
    <m/>
    <n v="2235"/>
    <x v="0"/>
    <n v="2757"/>
    <n v="1500"/>
    <n v="1500"/>
    <n v="1575"/>
    <n v="660"/>
    <n v="198"/>
    <x v="21"/>
    <x v="1"/>
    <e v="#REF!"/>
    <e v="#REF!"/>
    <n v="2503.2000000000003"/>
    <n v="0.29530201342281881"/>
  </r>
  <r>
    <x v="1"/>
    <x v="76"/>
    <x v="0"/>
    <x v="73"/>
    <m/>
    <m/>
    <s v="DRAIN_PUMP, KING PUMP HIPPO 2 (SMALL), 3M"/>
    <s v="GE-000100"/>
    <n v="1"/>
    <n v="2500"/>
    <m/>
    <n v="2500"/>
    <x v="0"/>
    <n v="2757"/>
    <n v="1500"/>
    <n v="1500"/>
    <n v="1575"/>
    <n v="925"/>
    <n v="0"/>
    <x v="21"/>
    <x v="1"/>
    <e v="#REF!"/>
    <e v="#REF!"/>
    <s v=""/>
    <n v="0.37"/>
  </r>
  <r>
    <x v="1"/>
    <x v="23"/>
    <x v="0"/>
    <x v="23"/>
    <m/>
    <m/>
    <s v="EVAPORATOR, FORD RANGER 12 40A547"/>
    <s v="CA-001833"/>
    <n v="1"/>
    <n v="2100"/>
    <m/>
    <n v="2100"/>
    <x v="0"/>
    <n v="2757"/>
    <n v="1500"/>
    <n v="1500"/>
    <n v="1575"/>
    <n v="525"/>
    <n v="0"/>
    <x v="10"/>
    <x v="2"/>
    <e v="#REF!"/>
    <e v="#REF!"/>
    <e v="#REF!"/>
    <n v="0.25"/>
  </r>
  <r>
    <x v="0"/>
    <x v="0"/>
    <x v="2"/>
    <x v="22"/>
    <m/>
    <n v="1850"/>
    <s v="EVAPORATOR, ISUZU MUX/D-MAX 2013 (STAL)"/>
    <s v="CA-000701"/>
    <n v="1"/>
    <n v="1655"/>
    <m/>
    <n v="1655"/>
    <x v="0"/>
    <n v="1995"/>
    <n v="1000"/>
    <n v="1000"/>
    <n v="1050"/>
    <n v="605"/>
    <n v="181.5"/>
    <x v="10"/>
    <x v="2"/>
    <e v="#REF!"/>
    <e v="#REF!"/>
    <e v="#REF!"/>
    <n v="0.36555891238670696"/>
  </r>
  <r>
    <x v="0"/>
    <x v="91"/>
    <x v="2"/>
    <x v="22"/>
    <m/>
    <m/>
    <s v="AUXFAN_MOTOR, MITSUBISHI MONTERO (ORIG) SILVER"/>
    <s v="CA-000055"/>
    <n v="1"/>
    <n v="1400"/>
    <m/>
    <n v="1400"/>
    <x v="0"/>
    <n v="1838"/>
    <n v="1000"/>
    <n v="1000"/>
    <n v="1050"/>
    <n v="350"/>
    <n v="105"/>
    <x v="14"/>
    <x v="2"/>
    <e v="#REF!"/>
    <e v="#REF!"/>
    <s v=""/>
    <n v="0.25"/>
  </r>
  <r>
    <x v="0"/>
    <x v="6"/>
    <x v="2"/>
    <x v="22"/>
    <m/>
    <m/>
    <s v="SYSTEM_CLEANER, Cleanse GREEN 141B 500 ML"/>
    <s v="GE-000369"/>
    <n v="15"/>
    <n v="95"/>
    <m/>
    <n v="1425"/>
    <x v="0"/>
    <n v="113"/>
    <n v="65"/>
    <n v="975"/>
    <n v="1023.75"/>
    <n v="401.25"/>
    <n v="120.375"/>
    <x v="28"/>
    <x v="1"/>
    <m/>
    <m/>
    <s v=""/>
    <n v="0.28157894736842104"/>
  </r>
  <r>
    <x v="1"/>
    <x v="33"/>
    <x v="6"/>
    <x v="66"/>
    <m/>
    <m/>
    <s v="DRAIN_PUMP, KING PUMP HIPPO 2 (SMALL), 3M"/>
    <s v="GE-000100"/>
    <n v="1"/>
    <n v="2500"/>
    <m/>
    <n v="2500"/>
    <x v="0"/>
    <n v="2757"/>
    <n v="1500"/>
    <n v="1500"/>
    <n v="1575"/>
    <n v="925"/>
    <n v="277.5"/>
    <x v="21"/>
    <x v="1"/>
    <e v="#REF!"/>
    <e v="#REF!"/>
    <e v="#REF!"/>
    <n v="0.37"/>
  </r>
  <r>
    <x v="2"/>
    <x v="56"/>
    <x v="0"/>
    <x v="17"/>
    <m/>
    <m/>
    <s v="PULLEY_ASSEMBLY, MITSUBISHI MIRAGE SHORT"/>
    <s v="CA-001305"/>
    <n v="1"/>
    <n v="2200"/>
    <m/>
    <n v="2200"/>
    <x v="0"/>
    <n v="2520"/>
    <n v="1500"/>
    <n v="1500"/>
    <n v="1575"/>
    <n v="625"/>
    <n v="0"/>
    <x v="11"/>
    <x v="2"/>
    <e v="#REF!"/>
    <e v="#REF!"/>
    <s v=""/>
    <n v="0.28409090909090912"/>
  </r>
  <r>
    <x v="3"/>
    <x v="61"/>
    <x v="0"/>
    <x v="40"/>
    <m/>
    <n v="2500"/>
    <s v="DRAIN_PUMP, KING PUMP HIPPO 2 (SMALL), 3M"/>
    <s v="GE-000100"/>
    <n v="1"/>
    <n v="2232"/>
    <m/>
    <n v="2232"/>
    <x v="0"/>
    <n v="2757"/>
    <n v="1500"/>
    <n v="1500"/>
    <n v="1575"/>
    <n v="657"/>
    <n v="0"/>
    <x v="21"/>
    <x v="1"/>
    <m/>
    <m/>
    <n v="2499.84"/>
    <n v="0.29435483870967744"/>
  </r>
  <r>
    <x v="3"/>
    <x v="62"/>
    <x v="0"/>
    <x v="2"/>
    <m/>
    <n v="2500"/>
    <s v="DRAIN_PUMP, KING PUMP HIPPO 2 (SMALL), 3M"/>
    <s v="GE-000100"/>
    <n v="1"/>
    <n v="2232"/>
    <m/>
    <n v="2232"/>
    <x v="0"/>
    <n v="2757"/>
    <n v="1500"/>
    <n v="1500"/>
    <n v="1575"/>
    <n v="657"/>
    <n v="0"/>
    <x v="21"/>
    <x v="1"/>
    <m/>
    <m/>
    <n v="2499.84"/>
    <n v="0.29435483870967744"/>
  </r>
  <r>
    <x v="3"/>
    <x v="62"/>
    <x v="0"/>
    <x v="8"/>
    <m/>
    <m/>
    <s v="PULLEY_ASSEMBLY, MITSUBISHI MONTERO 2.5"/>
    <s v="CA-001038"/>
    <n v="1"/>
    <n v="2200"/>
    <m/>
    <n v="2200"/>
    <x v="0"/>
    <n v="2520"/>
    <n v="1500"/>
    <n v="1500"/>
    <n v="1575"/>
    <n v="625"/>
    <n v="0"/>
    <x v="11"/>
    <x v="2"/>
    <m/>
    <m/>
    <s v=""/>
    <n v="0.28409090909090912"/>
  </r>
  <r>
    <x v="0"/>
    <x v="11"/>
    <x v="0"/>
    <x v="36"/>
    <m/>
    <m/>
    <s v="AUXFAN_MOTOR, HONDA CRV (3070 / 3130)"/>
    <s v="CA-000007"/>
    <n v="1"/>
    <n v="1600"/>
    <m/>
    <n v="1600"/>
    <x v="0"/>
    <n v="1654"/>
    <n v="900"/>
    <n v="900"/>
    <n v="945"/>
    <n v="655"/>
    <n v="0"/>
    <x v="14"/>
    <x v="2"/>
    <e v="#REF!"/>
    <e v="#REF!"/>
    <s v=""/>
    <n v="0.40937499999999999"/>
  </r>
  <r>
    <x v="3"/>
    <x v="64"/>
    <x v="0"/>
    <x v="11"/>
    <m/>
    <m/>
    <s v="EVAPORATOR, FORD EVEREST SC (R) HS-40A3"/>
    <s v="CA-001248"/>
    <n v="1"/>
    <n v="2150"/>
    <m/>
    <n v="2150"/>
    <x v="0"/>
    <n v="2757"/>
    <n v="1500"/>
    <n v="1500"/>
    <n v="1575"/>
    <n v="575"/>
    <n v="0"/>
    <x v="10"/>
    <x v="2"/>
    <m/>
    <m/>
    <s v=""/>
    <n v="0.26744186046511625"/>
  </r>
  <r>
    <x v="3"/>
    <x v="65"/>
    <x v="0"/>
    <x v="23"/>
    <m/>
    <m/>
    <s v="EVAPORATOR, TOYOTA CAMRY 2008 - 2017"/>
    <s v="CA-000539"/>
    <n v="1"/>
    <n v="2200"/>
    <m/>
    <n v="2200"/>
    <x v="0"/>
    <n v="2757"/>
    <n v="1500"/>
    <n v="1500"/>
    <n v="1575"/>
    <n v="625"/>
    <n v="0"/>
    <x v="10"/>
    <x v="2"/>
    <m/>
    <m/>
    <s v=""/>
    <n v="0.28409090909090912"/>
  </r>
  <r>
    <x v="3"/>
    <x v="65"/>
    <x v="0"/>
    <x v="10"/>
    <m/>
    <m/>
    <s v="EVAPORATOR, ISUZU MUX REAR 2012"/>
    <s v="CA-001768"/>
    <n v="1"/>
    <n v="2100"/>
    <m/>
    <n v="2100"/>
    <x v="0"/>
    <n v="2993"/>
    <n v="1500"/>
    <n v="1500"/>
    <n v="1575"/>
    <n v="525"/>
    <n v="0"/>
    <x v="10"/>
    <x v="2"/>
    <m/>
    <m/>
    <s v=""/>
    <n v="0.25"/>
  </r>
  <r>
    <x v="0"/>
    <x v="9"/>
    <x v="2"/>
    <x v="7"/>
    <m/>
    <n v="2100"/>
    <s v="EVAPORATOR, TOYOTA INNOVA NEW (F) JBE-0115ZX (STAL)"/>
    <s v="CA-001631"/>
    <n v="1"/>
    <n v="1875"/>
    <m/>
    <n v="1875"/>
    <x v="0"/>
    <n v="1562"/>
    <n v="850"/>
    <n v="850"/>
    <n v="892.5"/>
    <n v="982.5"/>
    <n v="294.75"/>
    <x v="10"/>
    <x v="2"/>
    <e v="#REF!"/>
    <e v="#REF!"/>
    <n v="2100"/>
    <n v="0.52400000000000002"/>
  </r>
  <r>
    <x v="3"/>
    <x v="66"/>
    <x v="0"/>
    <x v="70"/>
    <m/>
    <m/>
    <s v="PULLEY_ASSEMBLY, MITSUBISHI MIRAGE SHORT"/>
    <s v="CA-001305"/>
    <n v="1"/>
    <n v="2200"/>
    <m/>
    <n v="2200"/>
    <x v="0"/>
    <n v="2520"/>
    <n v="1500"/>
    <n v="1500"/>
    <n v="1575"/>
    <n v="625"/>
    <n v="0"/>
    <x v="11"/>
    <x v="2"/>
    <m/>
    <m/>
    <s v=""/>
    <n v="0.28409090909090912"/>
  </r>
  <r>
    <x v="0"/>
    <x v="73"/>
    <x v="2"/>
    <x v="9"/>
    <m/>
    <m/>
    <s v="AUXIALLIARY_FAN, POKKA 10 BLADES X 12VOLTS"/>
    <s v="CA-000106"/>
    <n v="2"/>
    <n v="600"/>
    <m/>
    <n v="1200"/>
    <x v="0"/>
    <n v="772"/>
    <n v="420"/>
    <n v="840"/>
    <n v="882"/>
    <n v="318"/>
    <n v="95.399999999999991"/>
    <x v="16"/>
    <x v="2"/>
    <e v="#REF!"/>
    <e v="#REF!"/>
    <s v=""/>
    <n v="0.26500000000000001"/>
  </r>
  <r>
    <x v="3"/>
    <x v="115"/>
    <x v="0"/>
    <x v="74"/>
    <m/>
    <n v="2800"/>
    <s v="DRAIN_PUMP, KING PUMP HIPPO 2 (SMALL), 3M"/>
    <s v="GE-000100"/>
    <n v="1"/>
    <n v="2500"/>
    <m/>
    <n v="2500"/>
    <x v="0"/>
    <n v="2757"/>
    <n v="1500"/>
    <n v="1500"/>
    <n v="1575"/>
    <n v="925"/>
    <n v="0"/>
    <x v="21"/>
    <x v="1"/>
    <m/>
    <m/>
    <n v="2800.0000000000005"/>
    <n v="0.37"/>
  </r>
  <r>
    <x v="3"/>
    <x v="115"/>
    <x v="0"/>
    <x v="57"/>
    <m/>
    <m/>
    <s v="DRAIN_PUMP, KING PUMP HIPPO 2 (SMALL), 3M"/>
    <s v="GE-000100"/>
    <n v="1"/>
    <n v="2500"/>
    <m/>
    <n v="2500"/>
    <x v="0"/>
    <n v="2757"/>
    <n v="1500"/>
    <n v="1500"/>
    <n v="1575"/>
    <n v="925"/>
    <n v="0"/>
    <x v="21"/>
    <x v="1"/>
    <m/>
    <m/>
    <s v=""/>
    <n v="0.37"/>
  </r>
  <r>
    <x v="3"/>
    <x v="68"/>
    <x v="9"/>
    <x v="75"/>
    <m/>
    <m/>
    <s v="DRAIN_PUMP, KING PUMP HIPPO 2 (SMALL), 3M"/>
    <s v="GE-000100"/>
    <n v="1"/>
    <n v="2500"/>
    <m/>
    <n v="2500"/>
    <x v="0"/>
    <n v="2757"/>
    <n v="1500"/>
    <n v="1500"/>
    <n v="1575"/>
    <n v="925"/>
    <n v="277.5"/>
    <x v="21"/>
    <x v="1"/>
    <m/>
    <m/>
    <s v=""/>
    <n v="0.37"/>
  </r>
  <r>
    <x v="3"/>
    <x v="68"/>
    <x v="0"/>
    <x v="18"/>
    <m/>
    <m/>
    <s v="PULLEY_ASSEMBLY, TOYOTA INNOVA SANDEN"/>
    <s v="CA-001271"/>
    <n v="1"/>
    <n v="2200"/>
    <m/>
    <n v="2200"/>
    <x v="0"/>
    <n v="2520"/>
    <n v="1500"/>
    <n v="1500"/>
    <n v="1575"/>
    <n v="625"/>
    <n v="0"/>
    <x v="11"/>
    <x v="2"/>
    <m/>
    <m/>
    <s v=""/>
    <n v="0.28409090909090912"/>
  </r>
  <r>
    <x v="3"/>
    <x v="68"/>
    <x v="1"/>
    <x v="42"/>
    <m/>
    <m/>
    <s v="PULLEY_ASSEMBLY, MITSUBISHI MONTERO 2.5"/>
    <s v="CA-001038"/>
    <n v="1"/>
    <n v="1850"/>
    <m/>
    <n v="1850"/>
    <x v="0"/>
    <n v="2520"/>
    <n v="1500"/>
    <n v="1500"/>
    <n v="1575"/>
    <n v="275"/>
    <n v="82.5"/>
    <x v="11"/>
    <x v="2"/>
    <m/>
    <m/>
    <s v=""/>
    <n v="0.14864864864864866"/>
  </r>
  <r>
    <x v="3"/>
    <x v="70"/>
    <x v="6"/>
    <x v="66"/>
    <m/>
    <m/>
    <s v="DRAIN_PUMP, KING PUMP HIPPO 2 (SMALL), 3M"/>
    <s v="GE-000100"/>
    <n v="1"/>
    <n v="2500"/>
    <m/>
    <n v="2500"/>
    <x v="0"/>
    <n v="2757"/>
    <n v="1500"/>
    <n v="1500"/>
    <n v="1575"/>
    <n v="925"/>
    <n v="277.5"/>
    <x v="21"/>
    <x v="1"/>
    <m/>
    <m/>
    <s v=""/>
    <n v="0.37"/>
  </r>
  <r>
    <x v="0"/>
    <x v="4"/>
    <x v="2"/>
    <x v="22"/>
    <m/>
    <n v="2000"/>
    <s v="EVAPORATOR, TOYOTA INNOVA OLD (F) JBE-0103ZX (STAL)"/>
    <s v="CA-001633"/>
    <n v="1"/>
    <n v="2000"/>
    <m/>
    <n v="1780"/>
    <x v="0"/>
    <n v="1654"/>
    <n v="900"/>
    <n v="900"/>
    <n v="945"/>
    <n v="835"/>
    <n v="250.5"/>
    <x v="10"/>
    <x v="2"/>
    <e v="#REF!"/>
    <e v="#REF!"/>
    <e v="#REF!"/>
    <n v="0.4691011235955056"/>
  </r>
  <r>
    <x v="3"/>
    <x v="85"/>
    <x v="0"/>
    <x v="73"/>
    <m/>
    <m/>
    <s v="DRAIN_PUMP, KING PUMP HIPPO 2 (SMALL), 3M"/>
    <s v="GE-000100"/>
    <n v="1"/>
    <n v="2500"/>
    <m/>
    <n v="2500"/>
    <x v="0"/>
    <n v="2757"/>
    <n v="1500"/>
    <n v="1500"/>
    <n v="1575"/>
    <n v="925"/>
    <n v="0"/>
    <x v="21"/>
    <x v="1"/>
    <m/>
    <m/>
    <m/>
    <n v="0.37"/>
  </r>
  <r>
    <x v="4"/>
    <x v="107"/>
    <x v="0"/>
    <x v="76"/>
    <m/>
    <m/>
    <s v="DRAIN_PUMP, KING PUMP HIPPO 2 (SMALL), 3M"/>
    <s v="GE-000100"/>
    <n v="1"/>
    <n v="2500"/>
    <m/>
    <n v="2500"/>
    <x v="0"/>
    <n v="2757"/>
    <n v="1500"/>
    <n v="1500"/>
    <n v="1575"/>
    <n v="925"/>
    <n v="0"/>
    <x v="21"/>
    <x v="1"/>
    <m/>
    <m/>
    <m/>
    <n v="0.37"/>
  </r>
  <r>
    <x v="4"/>
    <x v="102"/>
    <x v="0"/>
    <x v="11"/>
    <m/>
    <m/>
    <s v="PULLEY_ASSEMBLY, TOYOTA INNOVA DENSO 7PK 2008"/>
    <s v="CA-000242"/>
    <n v="1"/>
    <n v="2200"/>
    <m/>
    <n v="2200"/>
    <x v="0"/>
    <n v="2520"/>
    <n v="1500"/>
    <n v="1500"/>
    <n v="1575"/>
    <n v="625"/>
    <n v="0"/>
    <x v="11"/>
    <x v="2"/>
    <m/>
    <m/>
    <m/>
    <n v="0.28409090909090912"/>
  </r>
  <r>
    <x v="4"/>
    <x v="102"/>
    <x v="0"/>
    <x v="19"/>
    <m/>
    <m/>
    <s v="DRAIN_PUMP, KING PUMP HIPPO 2 (SMALL), 3M"/>
    <s v="GE-000100"/>
    <n v="1"/>
    <n v="2500"/>
    <m/>
    <n v="2500"/>
    <x v="0"/>
    <n v="2757"/>
    <n v="1500"/>
    <n v="1500"/>
    <n v="1575"/>
    <n v="925"/>
    <n v="0"/>
    <x v="21"/>
    <x v="1"/>
    <m/>
    <m/>
    <m/>
    <n v="0.37"/>
  </r>
  <r>
    <x v="4"/>
    <x v="90"/>
    <x v="0"/>
    <x v="11"/>
    <m/>
    <m/>
    <s v="PULLEY_ASSEMBLY, TOYOTA INNOVA DENSO 7PK 2008"/>
    <s v="CA-000242"/>
    <n v="1"/>
    <n v="2200"/>
    <m/>
    <n v="2200"/>
    <x v="0"/>
    <n v="2520"/>
    <n v="1500"/>
    <n v="1500"/>
    <n v="1575"/>
    <n v="625"/>
    <n v="0"/>
    <x v="11"/>
    <x v="2"/>
    <m/>
    <m/>
    <m/>
    <n v="0.28409090909090912"/>
  </r>
  <r>
    <x v="4"/>
    <x v="90"/>
    <x v="0"/>
    <x v="1"/>
    <m/>
    <m/>
    <s v="DRAIN_PUMP, KING PUMP HIPPO 2 (SMALL), 3M"/>
    <s v="GE-000100"/>
    <n v="1"/>
    <n v="2500"/>
    <m/>
    <n v="2500"/>
    <x v="0"/>
    <n v="2757"/>
    <n v="1500"/>
    <n v="1500"/>
    <n v="1575"/>
    <n v="925"/>
    <n v="0"/>
    <x v="21"/>
    <x v="1"/>
    <m/>
    <m/>
    <m/>
    <n v="0.37"/>
  </r>
  <r>
    <x v="0"/>
    <x v="6"/>
    <x v="2"/>
    <x v="22"/>
    <m/>
    <m/>
    <s v="EVAPORATOR, TOYOTA INNOVA OLD (F) JBE-0103ZX (STAL)"/>
    <s v="CA-001633"/>
    <n v="1"/>
    <n v="1820"/>
    <m/>
    <n v="1820"/>
    <x v="0"/>
    <n v="1654"/>
    <n v="900"/>
    <n v="900"/>
    <n v="945"/>
    <n v="875"/>
    <n v="262.5"/>
    <x v="10"/>
    <x v="2"/>
    <e v="#REF!"/>
    <e v="#REF!"/>
    <e v="#REF!"/>
    <n v="0.48076923076923078"/>
  </r>
  <r>
    <x v="4"/>
    <x v="93"/>
    <x v="0"/>
    <x v="11"/>
    <m/>
    <m/>
    <s v="PULLEY_ASSEMBLY, TOYOTA INNOVA DENSO 7PK 2008"/>
    <s v="CA-000242"/>
    <n v="1"/>
    <n v="2200"/>
    <m/>
    <n v="2200"/>
    <x v="0"/>
    <n v="2520"/>
    <n v="1500"/>
    <n v="1500"/>
    <n v="1575"/>
    <n v="625"/>
    <n v="0"/>
    <x v="11"/>
    <x v="2"/>
    <m/>
    <m/>
    <m/>
    <n v="0.28409090909090912"/>
  </r>
  <r>
    <x v="4"/>
    <x v="79"/>
    <x v="0"/>
    <x v="23"/>
    <m/>
    <m/>
    <s v="EVAPORATOR, FORD RANGER 12 40A547"/>
    <s v="CA-001833"/>
    <n v="1"/>
    <n v="2100"/>
    <m/>
    <n v="2100"/>
    <x v="0"/>
    <n v="2757"/>
    <n v="1500"/>
    <n v="1500"/>
    <n v="1575"/>
    <n v="525"/>
    <n v="0"/>
    <x v="10"/>
    <x v="2"/>
    <m/>
    <m/>
    <m/>
    <n v="0.25"/>
  </r>
  <r>
    <x v="4"/>
    <x v="104"/>
    <x v="0"/>
    <x v="8"/>
    <m/>
    <m/>
    <s v="PULLEY_ASSEMBLY, MITSUBISHI MONTERO 2.5"/>
    <s v="CA-001038"/>
    <n v="1"/>
    <n v="2200"/>
    <m/>
    <n v="2200"/>
    <x v="0"/>
    <n v="2520"/>
    <n v="1500"/>
    <n v="1500"/>
    <n v="1575"/>
    <n v="625"/>
    <n v="0"/>
    <x v="11"/>
    <x v="2"/>
    <m/>
    <m/>
    <m/>
    <n v="0.28409090909090912"/>
  </r>
  <r>
    <x v="0"/>
    <x v="6"/>
    <x v="2"/>
    <x v="22"/>
    <m/>
    <n v="1820"/>
    <s v="EVAPORATOR, TOYOTA INNOVA OLD (F) JBE-0103ZX (STAL)"/>
    <s v="CA-001633"/>
    <n v="1"/>
    <n v="1625"/>
    <m/>
    <n v="1625"/>
    <x v="0"/>
    <n v="1654"/>
    <n v="900"/>
    <n v="900"/>
    <n v="945"/>
    <n v="680"/>
    <n v="204"/>
    <x v="10"/>
    <x v="2"/>
    <e v="#REF!"/>
    <e v="#REF!"/>
    <e v="#REF!"/>
    <n v="0.41846153846153844"/>
  </r>
  <r>
    <x v="0"/>
    <x v="9"/>
    <x v="2"/>
    <x v="22"/>
    <m/>
    <n v="1820"/>
    <s v="EVAPORATOR, TOYOTA INNOVA OLD (F) JBE-0103ZX (STAL)"/>
    <s v="CA-001633"/>
    <n v="1"/>
    <n v="1625"/>
    <m/>
    <n v="1625"/>
    <x v="0"/>
    <n v="1654"/>
    <n v="900"/>
    <n v="900"/>
    <n v="945"/>
    <n v="680"/>
    <n v="204"/>
    <x v="10"/>
    <x v="2"/>
    <e v="#REF!"/>
    <e v="#REF!"/>
    <e v="#REF!"/>
    <n v="0.41846153846153844"/>
  </r>
  <r>
    <x v="5"/>
    <x v="83"/>
    <x v="0"/>
    <x v="2"/>
    <m/>
    <m/>
    <s v="COPPER_TUBE_SOFTDRAWN, HAILIANG 0.028 X 1/4 x 15 mtr 04/25/26"/>
    <s v=""/>
    <n v="0.4"/>
    <n v="2500"/>
    <m/>
    <n v="1000"/>
    <x v="0"/>
    <n v="0"/>
    <n v="0"/>
    <n v="0"/>
    <n v="0"/>
    <n v="1000"/>
    <n v="0"/>
    <x v="13"/>
    <x v="3"/>
    <e v="#REF!"/>
    <e v="#REF!"/>
    <s v=""/>
    <n v="1"/>
  </r>
  <r>
    <x v="5"/>
    <x v="83"/>
    <x v="0"/>
    <x v="20"/>
    <m/>
    <m/>
    <s v="COPPER_TUBE_SOFTDRAWN, HAILIANG 0.028 X 1/4 x 15 mtr 04/25/26"/>
    <s v=""/>
    <n v="0.4"/>
    <n v="2500"/>
    <m/>
    <n v="1000"/>
    <x v="0"/>
    <n v="0"/>
    <n v="0"/>
    <n v="0"/>
    <n v="0"/>
    <n v="1000"/>
    <n v="0"/>
    <x v="13"/>
    <x v="3"/>
    <e v="#REF!"/>
    <e v="#REF!"/>
    <s v=""/>
    <n v="1"/>
  </r>
  <r>
    <x v="5"/>
    <x v="83"/>
    <x v="0"/>
    <x v="6"/>
    <m/>
    <m/>
    <s v="BRACKET , GB 2HP, COATED"/>
    <s v="IM-000011"/>
    <n v="2"/>
    <n v="460"/>
    <m/>
    <n v="920"/>
    <x v="0"/>
    <n v="532"/>
    <n v="295"/>
    <n v="590"/>
    <n v="607.70000000000005"/>
    <n v="312.29999999999995"/>
    <n v="0"/>
    <x v="1"/>
    <x v="0"/>
    <e v="#REF!"/>
    <e v="#REF!"/>
    <s v=""/>
    <n v="0.33945652173913038"/>
  </r>
  <r>
    <x v="5"/>
    <x v="83"/>
    <x v="0"/>
    <x v="6"/>
    <m/>
    <m/>
    <s v="TAPE_PE, PICUS Polythelene Tape (White)X 4&quot;"/>
    <s v="IM-000247"/>
    <n v="5"/>
    <n v="125"/>
    <m/>
    <n v="625"/>
    <x v="0"/>
    <n v="147"/>
    <n v="75"/>
    <n v="375"/>
    <n v="386.25"/>
    <n v="238.75"/>
    <n v="0"/>
    <x v="29"/>
    <x v="0"/>
    <e v="#REF!"/>
    <e v="#REF!"/>
    <s v=""/>
    <n v="0.38200000000000001"/>
  </r>
  <r>
    <x v="5"/>
    <x v="83"/>
    <x v="0"/>
    <x v="20"/>
    <m/>
    <m/>
    <s v="ELECTRICAL WIRE_STRANDED, POWERFLEX THNN STRANDED   #14, MTR"/>
    <s v="GE-000122"/>
    <n v="16"/>
    <n v="35"/>
    <m/>
    <n v="560"/>
    <x v="0"/>
    <n v="39"/>
    <n v="21"/>
    <n v="336"/>
    <n v="352.8"/>
    <n v="207.2"/>
    <n v="0"/>
    <x v="2"/>
    <x v="1"/>
    <e v="#REF!"/>
    <e v="#REF!"/>
    <s v=""/>
    <n v="0.37"/>
  </r>
  <r>
    <x v="3"/>
    <x v="60"/>
    <x v="0"/>
    <x v="1"/>
    <m/>
    <m/>
    <s v="COPPER_TUBE_SOFTDRAWN, EVERSTRONG 0.028 X 3/8 x 15 mtr  03/24/26"/>
    <s v="IM-000319"/>
    <n v="0.6"/>
    <n v="3250"/>
    <m/>
    <n v="1950"/>
    <x v="0"/>
    <n v="4844"/>
    <n v="2475"/>
    <n v="1485"/>
    <n v="1529.55"/>
    <n v="420.45000000000005"/>
    <n v="0"/>
    <x v="0"/>
    <x v="0"/>
    <m/>
    <m/>
    <s v=""/>
    <n v="0.21561538461538463"/>
  </r>
  <r>
    <x v="4"/>
    <x v="93"/>
    <x v="0"/>
    <x v="20"/>
    <m/>
    <m/>
    <s v="COPPER_TUBE_SOFTDRAWN, HAILIANG 0.028 X 3/8 x 15 mtr 04/25/26"/>
    <s v="IM-000327"/>
    <n v="0.6"/>
    <n v="3250"/>
    <m/>
    <n v="1950"/>
    <x v="0"/>
    <n v="4774"/>
    <n v="2648"/>
    <n v="1588.8"/>
    <n v="1636.4639999999999"/>
    <n v="313.53600000000006"/>
    <n v="0"/>
    <x v="0"/>
    <x v="0"/>
    <m/>
    <m/>
    <m/>
    <n v="0.16078769230769233"/>
  </r>
  <r>
    <x v="4"/>
    <x v="116"/>
    <x v="0"/>
    <x v="20"/>
    <m/>
    <m/>
    <s v="COPPER_TUBE_SOFTDRAWN, HAILIANG 0.028 X 3/8 x 15 mtr 04/25/26"/>
    <s v="IM-000327"/>
    <n v="0.6"/>
    <n v="3000"/>
    <m/>
    <n v="1800"/>
    <x v="0"/>
    <n v="4774"/>
    <n v="2648"/>
    <n v="1588.8"/>
    <n v="1636.4639999999999"/>
    <n v="163.53600000000006"/>
    <n v="0"/>
    <x v="0"/>
    <x v="0"/>
    <m/>
    <m/>
    <m/>
    <n v="9.0853333333333369E-2"/>
  </r>
  <r>
    <x v="0"/>
    <x v="73"/>
    <x v="2"/>
    <x v="9"/>
    <m/>
    <m/>
    <s v="AUXIALLIARY_FAN, POKKA 8 BLADES  12 VOLTS"/>
    <s v="CA-000116"/>
    <n v="2"/>
    <n v="550"/>
    <m/>
    <n v="1100"/>
    <x v="0"/>
    <n v="699"/>
    <n v="380"/>
    <n v="760"/>
    <n v="798"/>
    <n v="302"/>
    <n v="90.6"/>
    <x v="16"/>
    <x v="2"/>
    <e v="#REF!"/>
    <e v="#REF!"/>
    <s v=""/>
    <n v="0.27454545454545454"/>
  </r>
  <r>
    <x v="0"/>
    <x v="2"/>
    <x v="0"/>
    <x v="1"/>
    <m/>
    <m/>
    <s v="PULLEY_ASSEMBLY, TOYOTA HI-ACE  D4D"/>
    <s v="CA-001606"/>
    <n v="1"/>
    <n v="2200"/>
    <m/>
    <n v="2200"/>
    <x v="0"/>
    <n v="2436"/>
    <n v="1450"/>
    <n v="1450"/>
    <n v="1522.5"/>
    <n v="677.5"/>
    <n v="0"/>
    <x v="11"/>
    <x v="2"/>
    <m/>
    <m/>
    <s v=""/>
    <n v="0.30795454545454548"/>
  </r>
  <r>
    <x v="0"/>
    <x v="2"/>
    <x v="0"/>
    <x v="11"/>
    <m/>
    <m/>
    <s v="EVAPORATOR, FORD EVEREST (F) HS-40A205"/>
    <s v="CA-000465"/>
    <n v="1"/>
    <n v="2100"/>
    <m/>
    <n v="2100"/>
    <x v="0"/>
    <n v="2665"/>
    <n v="1450"/>
    <n v="1450"/>
    <n v="1522.5"/>
    <n v="577.5"/>
    <n v="0"/>
    <x v="10"/>
    <x v="2"/>
    <m/>
    <m/>
    <s v=""/>
    <n v="0.27500000000000002"/>
  </r>
  <r>
    <x v="0"/>
    <x v="4"/>
    <x v="0"/>
    <x v="48"/>
    <m/>
    <m/>
    <s v="PULLEY_ASSEMBLY, HONDA CRV 2.4"/>
    <s v="CA-001415"/>
    <n v="1"/>
    <n v="2000"/>
    <m/>
    <n v="2000"/>
    <x v="0"/>
    <n v="2665"/>
    <n v="1450"/>
    <n v="1450"/>
    <n v="1522.5"/>
    <n v="477.5"/>
    <n v="0"/>
    <x v="11"/>
    <x v="2"/>
    <m/>
    <m/>
    <s v=""/>
    <n v="0.23874999999999999"/>
  </r>
  <r>
    <x v="0"/>
    <x v="84"/>
    <x v="0"/>
    <x v="49"/>
    <m/>
    <m/>
    <s v="PULLEY_ASSEMBLY, HONDA CITY 2015 5PK"/>
    <s v="CA-001854"/>
    <n v="1"/>
    <n v="2200"/>
    <m/>
    <n v="2200"/>
    <x v="0"/>
    <n v="2665"/>
    <n v="1450"/>
    <n v="1450"/>
    <n v="1522.5"/>
    <n v="677.5"/>
    <n v="0"/>
    <x v="11"/>
    <x v="2"/>
    <m/>
    <m/>
    <s v=""/>
    <n v="0.30795454545454548"/>
  </r>
  <r>
    <x v="0"/>
    <x v="16"/>
    <x v="0"/>
    <x v="58"/>
    <m/>
    <m/>
    <s v="EVAPORATOR, HYUNDAI STAREX DC"/>
    <s v="CA-000495"/>
    <n v="1"/>
    <n v="1800"/>
    <m/>
    <n v="1800"/>
    <x v="0"/>
    <n v="2665"/>
    <n v="1450"/>
    <n v="1450"/>
    <n v="1522.5"/>
    <n v="277.5"/>
    <n v="0"/>
    <x v="10"/>
    <x v="2"/>
    <m/>
    <m/>
    <e v="#REF!"/>
    <n v="0.15416666666666667"/>
  </r>
  <r>
    <x v="0"/>
    <x v="16"/>
    <x v="1"/>
    <x v="3"/>
    <m/>
    <m/>
    <s v="RECEIVER_DRIER_STEEL , MAXX 5116 (L300 F/B)"/>
    <s v="CA-001134"/>
    <n v="1"/>
    <n v="600"/>
    <m/>
    <n v="600"/>
    <x v="0"/>
    <n v="686"/>
    <n v="290"/>
    <n v="290"/>
    <n v="304.5"/>
    <n v="295.5"/>
    <n v="88.649999999999991"/>
    <x v="17"/>
    <x v="2"/>
    <e v="#REF!"/>
    <e v="#REF!"/>
    <s v=""/>
    <n v="0.49249999999999999"/>
  </r>
  <r>
    <x v="0"/>
    <x v="97"/>
    <x v="2"/>
    <x v="22"/>
    <m/>
    <n v="1820"/>
    <s v="EVAPORATOR, TOYOTA INNOVA OLD (R) JBE-0102X (STAL)"/>
    <s v="CA-001634"/>
    <n v="1"/>
    <n v="1625"/>
    <m/>
    <n v="1625"/>
    <x v="0"/>
    <n v="1470"/>
    <n v="800"/>
    <n v="800"/>
    <n v="840"/>
    <n v="785"/>
    <n v="235.5"/>
    <x v="10"/>
    <x v="2"/>
    <m/>
    <m/>
    <n v="1820.0000000000002"/>
    <n v="0.48307692307692307"/>
  </r>
  <r>
    <x v="0"/>
    <x v="1"/>
    <x v="3"/>
    <x v="12"/>
    <m/>
    <n v="1900"/>
    <s v="EVAPORATOR, TOYOTA INNOVA OLD (R) JBE-0102X (STAL)"/>
    <s v="CA-001634"/>
    <n v="1"/>
    <n v="1700"/>
    <m/>
    <n v="1700"/>
    <x v="0"/>
    <n v="1470"/>
    <n v="800"/>
    <n v="800"/>
    <n v="840"/>
    <n v="860"/>
    <n v="258"/>
    <x v="10"/>
    <x v="2"/>
    <m/>
    <m/>
    <n v="1904.0000000000002"/>
    <n v="0.50588235294117645"/>
  </r>
  <r>
    <x v="0"/>
    <x v="12"/>
    <x v="0"/>
    <x v="10"/>
    <m/>
    <m/>
    <s v="EVAPORATOR, HYUNDAI TUCSON 2013"/>
    <s v="CA-001734"/>
    <n v="1"/>
    <n v="2200"/>
    <m/>
    <n v="2200"/>
    <x v="0"/>
    <n v="2665"/>
    <n v="1450"/>
    <n v="1450"/>
    <n v="1522.5"/>
    <n v="677.5"/>
    <n v="0"/>
    <x v="10"/>
    <x v="2"/>
    <e v="#REF!"/>
    <e v="#REF!"/>
    <s v=""/>
    <n v="0.30795454545454548"/>
  </r>
  <r>
    <x v="0"/>
    <x v="106"/>
    <x v="0"/>
    <x v="11"/>
    <m/>
    <m/>
    <s v="BLOWER_MOTOR, TOYOTA INNOVA NEW F"/>
    <s v="CA-000225"/>
    <n v="1"/>
    <n v="2100"/>
    <m/>
    <n v="2100"/>
    <x v="0"/>
    <n v="2665"/>
    <n v="1450"/>
    <n v="1450"/>
    <n v="1522.5"/>
    <n v="577.5"/>
    <n v="0"/>
    <x v="15"/>
    <x v="2"/>
    <e v="#REF!"/>
    <e v="#REF!"/>
    <s v=""/>
    <n v="0.27500000000000002"/>
  </r>
  <r>
    <x v="0"/>
    <x v="73"/>
    <x v="0"/>
    <x v="11"/>
    <m/>
    <m/>
    <s v="EVAPORATOR, NISSAN NAVARRA 2007"/>
    <s v="CA-000521"/>
    <n v="1"/>
    <n v="2000"/>
    <m/>
    <n v="2000"/>
    <x v="0"/>
    <n v="2665"/>
    <n v="1450"/>
    <n v="1450"/>
    <n v="1522.5"/>
    <n v="477.5"/>
    <n v="0"/>
    <x v="10"/>
    <x v="2"/>
    <e v="#REF!"/>
    <e v="#REF!"/>
    <s v=""/>
    <n v="0.23874999999999999"/>
  </r>
  <r>
    <x v="0"/>
    <x v="73"/>
    <x v="0"/>
    <x v="18"/>
    <m/>
    <m/>
    <s v="EVAPORATOR, TOYOTA RUSH  40A507"/>
    <s v="CA-001613"/>
    <n v="1"/>
    <n v="2100"/>
    <m/>
    <n v="2100"/>
    <x v="0"/>
    <n v="2665"/>
    <n v="1450"/>
    <n v="1450"/>
    <n v="1522.5"/>
    <n v="577.5"/>
    <n v="0"/>
    <x v="10"/>
    <x v="2"/>
    <e v="#REF!"/>
    <e v="#REF!"/>
    <s v=""/>
    <n v="0.27500000000000002"/>
  </r>
  <r>
    <x v="0"/>
    <x v="10"/>
    <x v="2"/>
    <x v="7"/>
    <m/>
    <n v="550"/>
    <s v="EXP. VALVE LT, POKKA 9A56 INNOVA F"/>
    <s v="CA-000637"/>
    <n v="3"/>
    <n v="495"/>
    <m/>
    <n v="1485"/>
    <x v="0"/>
    <n v="460"/>
    <n v="250"/>
    <n v="750"/>
    <n v="787.5"/>
    <n v="697.5"/>
    <n v="209.25"/>
    <x v="23"/>
    <x v="2"/>
    <e v="#REF!"/>
    <e v="#REF!"/>
    <n v="554.40000000000009"/>
    <n v="0.46969696969696972"/>
  </r>
  <r>
    <x v="1"/>
    <x v="114"/>
    <x v="0"/>
    <x v="23"/>
    <m/>
    <m/>
    <s v="PULLEY_ASSEMBLY, HONDA CITY 2015 5PK"/>
    <s v="CA-001854"/>
    <n v="1"/>
    <n v="2100"/>
    <m/>
    <n v="2100"/>
    <x v="0"/>
    <n v="2665"/>
    <n v="1450"/>
    <n v="1450"/>
    <n v="1522.5"/>
    <n v="577.5"/>
    <n v="0"/>
    <x v="11"/>
    <x v="2"/>
    <e v="#REF!"/>
    <e v="#REF!"/>
    <s v=""/>
    <n v="0.27500000000000002"/>
  </r>
  <r>
    <x v="1"/>
    <x v="109"/>
    <x v="0"/>
    <x v="1"/>
    <m/>
    <m/>
    <s v="EVAPORATOR, CHEVROLET TRAILBLAZER REAR"/>
    <s v="CA-001379"/>
    <n v="1"/>
    <n v="2100"/>
    <m/>
    <n v="2100"/>
    <x v="0"/>
    <n v="2665"/>
    <n v="1450"/>
    <n v="1450"/>
    <n v="1522.5"/>
    <n v="577.5"/>
    <n v="0"/>
    <x v="10"/>
    <x v="2"/>
    <e v="#REF!"/>
    <e v="#REF!"/>
    <e v="#REF!"/>
    <n v="0.27500000000000002"/>
  </r>
  <r>
    <x v="1"/>
    <x v="29"/>
    <x v="0"/>
    <x v="17"/>
    <m/>
    <m/>
    <s v="EVAPORATOR, HYUNDAI TUCSON 2013"/>
    <s v="CA-001734"/>
    <n v="1"/>
    <n v="2100"/>
    <m/>
    <n v="2100"/>
    <x v="0"/>
    <n v="2665"/>
    <n v="1450"/>
    <n v="1450"/>
    <n v="1522.5"/>
    <n v="577.5"/>
    <n v="0"/>
    <x v="10"/>
    <x v="2"/>
    <e v="#REF!"/>
    <e v="#REF!"/>
    <e v="#REF!"/>
    <n v="0.27500000000000002"/>
  </r>
  <r>
    <x v="1"/>
    <x v="30"/>
    <x v="0"/>
    <x v="8"/>
    <m/>
    <m/>
    <s v="PULLEY_ASSEMBLY, TOYOTA ALTIS 03 DENSO"/>
    <s v="CA-001057"/>
    <n v="1"/>
    <n v="2000"/>
    <m/>
    <n v="2000"/>
    <x v="0"/>
    <n v="2436"/>
    <n v="1450"/>
    <n v="1450"/>
    <n v="1522.5"/>
    <n v="477.5"/>
    <n v="0"/>
    <x v="11"/>
    <x v="2"/>
    <e v="#REF!"/>
    <e v="#REF!"/>
    <e v="#REF!"/>
    <n v="0.23874999999999999"/>
  </r>
  <r>
    <x v="2"/>
    <x v="35"/>
    <x v="0"/>
    <x v="11"/>
    <m/>
    <m/>
    <s v="BLOWER_MOTOR, TOYOTA INNOVA NEW R"/>
    <s v="CA-000226"/>
    <n v="1"/>
    <n v="2000"/>
    <m/>
    <n v="2000"/>
    <x v="0"/>
    <n v="2665"/>
    <n v="1450"/>
    <n v="1450"/>
    <n v="1522.5"/>
    <n v="477.5"/>
    <n v="0"/>
    <x v="15"/>
    <x v="2"/>
    <e v="#REF!"/>
    <e v="#REF!"/>
    <s v=""/>
    <n v="0.23874999999999999"/>
  </r>
  <r>
    <x v="2"/>
    <x v="117"/>
    <x v="0"/>
    <x v="58"/>
    <m/>
    <m/>
    <s v="EVAPORATOR, FORD ESCAPE SANDEN 2003 40A116"/>
    <s v="CA-000464"/>
    <n v="1"/>
    <n v="2100"/>
    <m/>
    <n v="2100"/>
    <x v="0"/>
    <n v="2389"/>
    <n v="1300"/>
    <n v="1300"/>
    <n v="1365"/>
    <n v="735"/>
    <n v="0"/>
    <x v="10"/>
    <x v="2"/>
    <e v="#REF!"/>
    <e v="#REF!"/>
    <s v=""/>
    <n v="0.35"/>
  </r>
  <r>
    <x v="2"/>
    <x v="117"/>
    <x v="0"/>
    <x v="58"/>
    <m/>
    <m/>
    <s v="EVAPORATOR, FORD ESCAPE SANDEN 2003 40A116"/>
    <s v="CA-000464"/>
    <n v="1"/>
    <n v="2100"/>
    <m/>
    <n v="2100"/>
    <x v="0"/>
    <n v="2389"/>
    <n v="1300"/>
    <n v="1300"/>
    <n v="1365"/>
    <n v="735"/>
    <n v="0"/>
    <x v="10"/>
    <x v="2"/>
    <e v="#REF!"/>
    <e v="#REF!"/>
    <s v=""/>
    <n v="0.35"/>
  </r>
  <r>
    <x v="2"/>
    <x v="36"/>
    <x v="0"/>
    <x v="10"/>
    <m/>
    <m/>
    <s v="BLOWER_MOTOR, TOYOTA INNOVA NEW F"/>
    <s v="CA-000225"/>
    <n v="1"/>
    <n v="1900"/>
    <m/>
    <n v="1900"/>
    <x v="0"/>
    <n v="2665"/>
    <n v="1450"/>
    <n v="1450"/>
    <n v="1522.5"/>
    <n v="377.5"/>
    <n v="0"/>
    <x v="15"/>
    <x v="2"/>
    <e v="#REF!"/>
    <e v="#REF!"/>
    <s v=""/>
    <n v="0.1986842105263158"/>
  </r>
  <r>
    <x v="0"/>
    <x v="4"/>
    <x v="2"/>
    <x v="22"/>
    <m/>
    <m/>
    <s v="RECEIVER_DRIER_STEEL , MAXX 5116 (L300 F/B)"/>
    <s v="CA-001134"/>
    <n v="2"/>
    <n v="400"/>
    <m/>
    <n v="800"/>
    <x v="0"/>
    <n v="686"/>
    <n v="290"/>
    <n v="580"/>
    <n v="609"/>
    <n v="191"/>
    <n v="57.3"/>
    <x v="17"/>
    <x v="2"/>
    <e v="#REF!"/>
    <e v="#REF!"/>
    <s v=""/>
    <n v="0.23874999999999999"/>
  </r>
  <r>
    <x v="0"/>
    <x v="8"/>
    <x v="1"/>
    <x v="3"/>
    <m/>
    <m/>
    <s v="RECEIVER_DRIER_ALUMINUM, YK 8015 (S) (Lancer)"/>
    <s v="CA-001086"/>
    <n v="1"/>
    <n v="550"/>
    <m/>
    <n v="550"/>
    <x v="0"/>
    <n v="532"/>
    <n v="225"/>
    <n v="225"/>
    <n v="236.25"/>
    <n v="313.75"/>
    <n v="94.125"/>
    <x v="27"/>
    <x v="2"/>
    <m/>
    <m/>
    <s v=""/>
    <n v="0.57045454545454544"/>
  </r>
  <r>
    <x v="2"/>
    <x v="40"/>
    <x v="0"/>
    <x v="72"/>
    <m/>
    <m/>
    <s v="PULLEY_ASSEMBLY, HONDA CRV 2008 2.0 7PK"/>
    <s v="CA-001004"/>
    <n v="1"/>
    <n v="2000"/>
    <m/>
    <n v="2000"/>
    <x v="0"/>
    <n v="0"/>
    <n v="0"/>
    <n v="0"/>
    <n v="0"/>
    <n v="2000"/>
    <n v="0"/>
    <x v="11"/>
    <x v="2"/>
    <e v="#REF!"/>
    <e v="#REF!"/>
    <s v=""/>
    <n v="1"/>
  </r>
  <r>
    <x v="2"/>
    <x v="50"/>
    <x v="0"/>
    <x v="11"/>
    <m/>
    <m/>
    <s v="EVAPORATOR, SUBARU FORESTER"/>
    <s v="CA-001363"/>
    <n v="1"/>
    <n v="2050"/>
    <m/>
    <n v="2050"/>
    <x v="0"/>
    <n v="2665"/>
    <n v="1450"/>
    <n v="1450"/>
    <n v="1522.5"/>
    <n v="527.5"/>
    <n v="0"/>
    <x v="10"/>
    <x v="2"/>
    <e v="#REF!"/>
    <e v="#REF!"/>
    <s v=""/>
    <n v="0.25731707317073171"/>
  </r>
  <r>
    <x v="0"/>
    <x v="73"/>
    <x v="2"/>
    <x v="9"/>
    <m/>
    <m/>
    <s v="RECEIVER_DRIER_ALUMINUM, YK 40 X 235 (DMAX)"/>
    <s v="CA-001082"/>
    <n v="2"/>
    <n v="550"/>
    <m/>
    <n v="1100"/>
    <x v="0"/>
    <n v="662"/>
    <n v="280"/>
    <n v="560"/>
    <n v="588"/>
    <n v="512"/>
    <n v="153.6"/>
    <x v="27"/>
    <x v="2"/>
    <m/>
    <m/>
    <s v=""/>
    <n v="0.46545454545454545"/>
  </r>
  <r>
    <x v="2"/>
    <x v="56"/>
    <x v="0"/>
    <x v="17"/>
    <m/>
    <m/>
    <s v="EVAPORATOR, TOYOTA RUSH  40A507"/>
    <s v="CA-001613"/>
    <n v="1"/>
    <n v="2200"/>
    <m/>
    <n v="2200"/>
    <x v="0"/>
    <n v="2665"/>
    <n v="1450"/>
    <n v="1450"/>
    <n v="1522.5"/>
    <n v="677.5"/>
    <n v="0"/>
    <x v="10"/>
    <x v="2"/>
    <e v="#REF!"/>
    <e v="#REF!"/>
    <s v=""/>
    <n v="0.30795454545454548"/>
  </r>
  <r>
    <x v="3"/>
    <x v="64"/>
    <x v="0"/>
    <x v="11"/>
    <m/>
    <m/>
    <s v="EVAPORATOR, FORD EVEREST (F) HS-40A205"/>
    <s v="CA-000465"/>
    <n v="1"/>
    <n v="2100"/>
    <m/>
    <n v="2100"/>
    <x v="0"/>
    <n v="2665"/>
    <n v="1450"/>
    <n v="1450"/>
    <n v="1522.5"/>
    <n v="577.5"/>
    <n v="0"/>
    <x v="10"/>
    <x v="2"/>
    <m/>
    <m/>
    <s v=""/>
    <n v="0.27500000000000002"/>
  </r>
  <r>
    <x v="3"/>
    <x v="68"/>
    <x v="0"/>
    <x v="10"/>
    <m/>
    <m/>
    <s v="EVAPORATOR, HYUNDAI H100 2018"/>
    <s v="CA-000490"/>
    <n v="1"/>
    <n v="2100"/>
    <m/>
    <n v="2100"/>
    <x v="0"/>
    <n v="2665"/>
    <n v="1450"/>
    <n v="1450"/>
    <n v="1522.5"/>
    <n v="577.5"/>
    <n v="0"/>
    <x v="10"/>
    <x v="2"/>
    <m/>
    <m/>
    <s v=""/>
    <n v="0.27500000000000002"/>
  </r>
  <r>
    <x v="0"/>
    <x v="10"/>
    <x v="2"/>
    <x v="7"/>
    <m/>
    <n v="550"/>
    <s v="EXP. VALVE LT, POKKA 9A55 HONDA NEW"/>
    <s v="CA-000636"/>
    <n v="2"/>
    <n v="495"/>
    <m/>
    <n v="990"/>
    <x v="0"/>
    <n v="497"/>
    <n v="270"/>
    <n v="540"/>
    <n v="567"/>
    <n v="423"/>
    <n v="126.89999999999999"/>
    <x v="23"/>
    <x v="2"/>
    <e v="#REF!"/>
    <e v="#REF!"/>
    <n v="554.40000000000009"/>
    <n v="0.42727272727272725"/>
  </r>
  <r>
    <x v="3"/>
    <x v="118"/>
    <x v="0"/>
    <x v="77"/>
    <m/>
    <m/>
    <s v="EVAPORATOR, ISUZU CROSSWIND ('R)"/>
    <s v="CA-000499"/>
    <n v="1"/>
    <n v="2200"/>
    <m/>
    <n v="2200"/>
    <x v="0"/>
    <n v="2665"/>
    <n v="1450"/>
    <n v="1450"/>
    <n v="1522.5"/>
    <n v="677.5"/>
    <n v="0"/>
    <x v="10"/>
    <x v="2"/>
    <m/>
    <m/>
    <s v=""/>
    <n v="0.30795454545454548"/>
  </r>
  <r>
    <x v="3"/>
    <x v="118"/>
    <x v="0"/>
    <x v="18"/>
    <m/>
    <m/>
    <s v="EVAPORATOR, HYUNDAI H100 2018"/>
    <s v="CA-000490"/>
    <n v="1"/>
    <n v="2100"/>
    <m/>
    <n v="2100"/>
    <x v="0"/>
    <n v="2665"/>
    <n v="1450"/>
    <n v="1450"/>
    <n v="1522.5"/>
    <n v="577.5"/>
    <n v="0"/>
    <x v="10"/>
    <x v="2"/>
    <m/>
    <m/>
    <s v=""/>
    <n v="0.27500000000000002"/>
  </r>
  <r>
    <x v="0"/>
    <x v="0"/>
    <x v="2"/>
    <x v="22"/>
    <m/>
    <m/>
    <s v="EXP. VALVE LT, POKKA 9A56 INNOVA F"/>
    <s v="CA-000637"/>
    <n v="2"/>
    <n v="420"/>
    <m/>
    <n v="840"/>
    <x v="0"/>
    <n v="460"/>
    <n v="250"/>
    <n v="500"/>
    <n v="525"/>
    <n v="315"/>
    <n v="94.5"/>
    <x v="23"/>
    <x v="2"/>
    <m/>
    <m/>
    <s v=""/>
    <n v="0.375"/>
  </r>
  <r>
    <x v="0"/>
    <x v="9"/>
    <x v="2"/>
    <x v="22"/>
    <m/>
    <m/>
    <s v="EXP. VALVE LT, POKKA 9A56 INNOVA F"/>
    <s v="CA-000637"/>
    <n v="2"/>
    <n v="420"/>
    <m/>
    <n v="840"/>
    <x v="0"/>
    <n v="460"/>
    <n v="250"/>
    <n v="500"/>
    <n v="525"/>
    <n v="315"/>
    <n v="94.5"/>
    <x v="23"/>
    <x v="2"/>
    <e v="#REF!"/>
    <e v="#REF!"/>
    <s v=""/>
    <n v="0.375"/>
  </r>
  <r>
    <x v="0"/>
    <x v="3"/>
    <x v="2"/>
    <x v="22"/>
    <m/>
    <n v="25"/>
    <s v="VALVE CORE 134A ,  PITO"/>
    <s v="GE-000256"/>
    <n v="36"/>
    <n v="25"/>
    <m/>
    <n v="900"/>
    <x v="0"/>
    <n v="21"/>
    <n v="11"/>
    <n v="396"/>
    <n v="415.8"/>
    <n v="484.2"/>
    <n v="145.26"/>
    <x v="30"/>
    <x v="1"/>
    <m/>
    <m/>
    <n v="28.000000000000004"/>
    <n v="0.53800000000000003"/>
  </r>
  <r>
    <x v="0"/>
    <x v="9"/>
    <x v="4"/>
    <x v="25"/>
    <m/>
    <m/>
    <s v="MAGNETIC_CLUTCH, MITSUBISHI MIRAGE"/>
    <s v="CA-000801"/>
    <n v="1"/>
    <n v="800"/>
    <m/>
    <n v="800"/>
    <x v="0"/>
    <n v="680"/>
    <n v="370"/>
    <n v="370"/>
    <n v="388.5"/>
    <n v="411.5"/>
    <n v="123.44999999999999"/>
    <x v="4"/>
    <x v="2"/>
    <e v="#REF!"/>
    <e v="#REF!"/>
    <s v=""/>
    <n v="0.51437500000000003"/>
  </r>
  <r>
    <x v="4"/>
    <x v="78"/>
    <x v="0"/>
    <x v="11"/>
    <m/>
    <m/>
    <s v="PULLEY_ASSEMBLY, HONDA CITY 2015 5PK"/>
    <s v="CA-001854"/>
    <n v="1"/>
    <n v="2100"/>
    <m/>
    <n v="2100"/>
    <x v="0"/>
    <n v="2665"/>
    <n v="1450"/>
    <n v="1450"/>
    <n v="1522.5"/>
    <n v="577.5"/>
    <n v="0"/>
    <x v="11"/>
    <x v="2"/>
    <m/>
    <m/>
    <m/>
    <n v="0.27500000000000002"/>
  </r>
  <r>
    <x v="0"/>
    <x v="73"/>
    <x v="2"/>
    <x v="9"/>
    <m/>
    <m/>
    <s v="THERMOSTAT, NEK CAR"/>
    <s v="CA-001647"/>
    <n v="4"/>
    <n v="250"/>
    <m/>
    <n v="1000"/>
    <x v="0"/>
    <n v="180"/>
    <n v="90"/>
    <n v="360"/>
    <n v="378"/>
    <n v="622"/>
    <n v="186.6"/>
    <x v="31"/>
    <x v="2"/>
    <e v="#REF!"/>
    <e v="#REF!"/>
    <s v=""/>
    <n v="0.622"/>
  </r>
  <r>
    <x v="0"/>
    <x v="6"/>
    <x v="2"/>
    <x v="22"/>
    <m/>
    <n v="700"/>
    <s v="TEMPERATURE_RESISTANCE, HYUNDAI ACCENT 97143"/>
    <s v="CA-001825"/>
    <n v="1"/>
    <n v="625"/>
    <m/>
    <n v="625"/>
    <x v="0"/>
    <n v="699"/>
    <n v="350"/>
    <n v="350"/>
    <n v="367.5"/>
    <n v="257.5"/>
    <n v="77.25"/>
    <x v="32"/>
    <x v="2"/>
    <m/>
    <m/>
    <n v="700.00000000000011"/>
    <n v="0.41199999999999998"/>
  </r>
  <r>
    <x v="4"/>
    <x v="82"/>
    <x v="0"/>
    <x v="72"/>
    <m/>
    <m/>
    <s v="EVAPORATOR, HYUNDAI H100 2018"/>
    <s v="CA-000490"/>
    <n v="1"/>
    <n v="2000"/>
    <m/>
    <n v="2000"/>
    <x v="0"/>
    <n v="2665"/>
    <n v="1450"/>
    <n v="1450"/>
    <n v="1522.5"/>
    <n v="477.5"/>
    <n v="0"/>
    <x v="10"/>
    <x v="2"/>
    <e v="#REF!"/>
    <e v="#REF!"/>
    <e v="#REF!"/>
    <n v="0"/>
  </r>
  <r>
    <x v="4"/>
    <x v="82"/>
    <x v="0"/>
    <x v="58"/>
    <m/>
    <m/>
    <s v="EVAPORATOR, HYUNDAI STAREX DC"/>
    <s v="CA-000495"/>
    <n v="1"/>
    <n v="2100"/>
    <m/>
    <n v="2100"/>
    <x v="0"/>
    <n v="2665"/>
    <n v="1450"/>
    <n v="1450"/>
    <n v="1522.5"/>
    <n v="577.5"/>
    <n v="0"/>
    <x v="10"/>
    <x v="2"/>
    <m/>
    <m/>
    <m/>
    <n v="0.27500000000000002"/>
  </r>
  <r>
    <x v="5"/>
    <x v="83"/>
    <x v="0"/>
    <x v="6"/>
    <m/>
    <m/>
    <s v="HOSE, ELECTRICAL FLEXIBLE ROLL 1/2 50 MTRS"/>
    <s v="GE-000243"/>
    <n v="1"/>
    <n v="600"/>
    <m/>
    <n v="600"/>
    <x v="0"/>
    <n v="588"/>
    <n v="320"/>
    <n v="320"/>
    <n v="336"/>
    <n v="264"/>
    <n v="0"/>
    <x v="19"/>
    <x v="1"/>
    <e v="#REF!"/>
    <e v="#REF!"/>
    <s v=""/>
    <n v="0.44"/>
  </r>
  <r>
    <x v="5"/>
    <x v="83"/>
    <x v="0"/>
    <x v="1"/>
    <m/>
    <m/>
    <s v="BRACKET , GB 2HP, COATED"/>
    <s v="IM-000011"/>
    <n v="1"/>
    <n v="460"/>
    <m/>
    <n v="460"/>
    <x v="0"/>
    <n v="532"/>
    <n v="295"/>
    <n v="295"/>
    <n v="303.85000000000002"/>
    <n v="156.14999999999998"/>
    <n v="0"/>
    <x v="1"/>
    <x v="0"/>
    <e v="#REF!"/>
    <e v="#REF!"/>
    <s v=""/>
    <n v="0.33945652173913038"/>
  </r>
  <r>
    <x v="5"/>
    <x v="83"/>
    <x v="0"/>
    <x v="20"/>
    <m/>
    <m/>
    <s v="TAPE_FOAM, AEROTAPE 3MM X 50 MM X 9.1 MTR  04/02/25"/>
    <s v="IM-000332"/>
    <n v="1"/>
    <n v="380"/>
    <m/>
    <n v="380"/>
    <x v="0"/>
    <n v="510"/>
    <n v="330"/>
    <n v="330"/>
    <n v="339.90000000000003"/>
    <n v="40.099999999999966"/>
    <n v="0"/>
    <x v="25"/>
    <x v="0"/>
    <e v="#REF!"/>
    <e v="#REF!"/>
    <s v=""/>
    <n v="0.10552631578947359"/>
  </r>
  <r>
    <x v="0"/>
    <x v="9"/>
    <x v="2"/>
    <x v="22"/>
    <m/>
    <m/>
    <s v="FITTINGS, ELBOW ORING TYPE  5/8"/>
    <s v="CA-000661"/>
    <n v="20"/>
    <n v="23"/>
    <m/>
    <n v="460"/>
    <x v="0"/>
    <n v="33"/>
    <n v="17.5"/>
    <n v="350"/>
    <n v="367.5"/>
    <n v="92.5"/>
    <n v="27.75"/>
    <x v="33"/>
    <x v="2"/>
    <e v="#REF!"/>
    <e v="#REF!"/>
    <s v=""/>
    <n v="0.20108695652173914"/>
  </r>
  <r>
    <x v="0"/>
    <x v="6"/>
    <x v="2"/>
    <x v="22"/>
    <m/>
    <m/>
    <s v="EXP. VALVE LT, POKKA 9A129B ACCENT"/>
    <s v="CA-000629"/>
    <n v="1"/>
    <n v="450"/>
    <m/>
    <n v="450"/>
    <x v="0"/>
    <n v="625"/>
    <n v="340"/>
    <n v="340"/>
    <n v="357"/>
    <n v="93"/>
    <n v="27.9"/>
    <x v="23"/>
    <x v="2"/>
    <m/>
    <m/>
    <e v="#REF!"/>
    <n v="0.20666666666666667"/>
  </r>
  <r>
    <x v="0"/>
    <x v="2"/>
    <x v="0"/>
    <x v="8"/>
    <m/>
    <m/>
    <s v="BLOWER_MOTOR, HYUNDAI GRAND STAREX"/>
    <s v="CA-000160"/>
    <n v="1"/>
    <n v="2000"/>
    <m/>
    <n v="2000"/>
    <x v="0"/>
    <n v="2573"/>
    <n v="1400"/>
    <n v="1400"/>
    <n v="1470"/>
    <n v="530"/>
    <n v="0"/>
    <x v="15"/>
    <x v="2"/>
    <m/>
    <m/>
    <s v=""/>
    <n v="0.26500000000000001"/>
  </r>
  <r>
    <x v="0"/>
    <x v="9"/>
    <x v="4"/>
    <x v="25"/>
    <m/>
    <n v="600"/>
    <s v="EXP. VALVE LT, POKKA 9A129B ACCENT"/>
    <s v="CA-000629"/>
    <n v="1"/>
    <n v="540"/>
    <m/>
    <n v="540"/>
    <x v="0"/>
    <n v="625"/>
    <n v="340"/>
    <n v="340"/>
    <n v="357"/>
    <n v="183"/>
    <n v="54.9"/>
    <x v="23"/>
    <x v="2"/>
    <e v="#REF!"/>
    <e v="#REF!"/>
    <n v="604.80000000000007"/>
    <n v="0.33888888888888891"/>
  </r>
  <r>
    <x v="0"/>
    <x v="27"/>
    <x v="0"/>
    <x v="10"/>
    <m/>
    <m/>
    <s v="EVAPORATOR, HYUNDAI EON"/>
    <s v="CA-000485"/>
    <n v="1"/>
    <n v="2000"/>
    <m/>
    <n v="2000"/>
    <x v="0"/>
    <n v="2573"/>
    <n v="1400"/>
    <n v="1400"/>
    <n v="1470"/>
    <n v="530"/>
    <n v="0"/>
    <x v="10"/>
    <x v="2"/>
    <m/>
    <m/>
    <s v=""/>
    <n v="0.26500000000000001"/>
  </r>
  <r>
    <x v="0"/>
    <x v="6"/>
    <x v="0"/>
    <x v="8"/>
    <m/>
    <m/>
    <s v="PULLEY_ASSEMBLY, TOYOTA HI LUX 7pk"/>
    <s v="CA-001067"/>
    <n v="1"/>
    <n v="2100"/>
    <m/>
    <n v="2100"/>
    <x v="0"/>
    <n v="2352"/>
    <n v="1400"/>
    <n v="1400"/>
    <n v="1470"/>
    <n v="630"/>
    <n v="0"/>
    <x v="11"/>
    <x v="2"/>
    <m/>
    <m/>
    <s v=""/>
    <n v="0.3"/>
  </r>
  <r>
    <x v="0"/>
    <x v="7"/>
    <x v="0"/>
    <x v="17"/>
    <m/>
    <m/>
    <s v="EVAPORATOR, ISUZU ALTERA  / D-MAX 2008 FRONT"/>
    <s v="CA-000497"/>
    <n v="1"/>
    <n v="2100"/>
    <m/>
    <n v="2100"/>
    <x v="0"/>
    <n v="2573"/>
    <n v="1400"/>
    <n v="1400"/>
    <n v="1470"/>
    <n v="630"/>
    <n v="0"/>
    <x v="10"/>
    <x v="2"/>
    <m/>
    <m/>
    <s v=""/>
    <n v="0.3"/>
  </r>
  <r>
    <x v="0"/>
    <x v="0"/>
    <x v="2"/>
    <x v="22"/>
    <m/>
    <m/>
    <s v="SYSTEM_CLEANER, Cleanse GREEN 141B 500 ML"/>
    <s v="GE-000369"/>
    <n v="5"/>
    <n v="95"/>
    <m/>
    <n v="475"/>
    <x v="0"/>
    <n v="113"/>
    <n v="65"/>
    <n v="325"/>
    <n v="341.25"/>
    <n v="133.75"/>
    <n v="40.125"/>
    <x v="28"/>
    <x v="1"/>
    <m/>
    <m/>
    <m/>
    <n v="0.28157894736842104"/>
  </r>
  <r>
    <x v="0"/>
    <x v="73"/>
    <x v="0"/>
    <x v="17"/>
    <m/>
    <m/>
    <s v="BLOWER_MOTOR, MITSUBISHI EXPANDER"/>
    <s v="CA-000185"/>
    <n v="1"/>
    <n v="2000"/>
    <m/>
    <n v="2000"/>
    <x v="0"/>
    <n v="2573"/>
    <n v="1400"/>
    <n v="1400"/>
    <n v="1470"/>
    <n v="530"/>
    <n v="0"/>
    <x v="15"/>
    <x v="2"/>
    <e v="#REF!"/>
    <e v="#REF!"/>
    <s v=""/>
    <n v="0.26500000000000001"/>
  </r>
  <r>
    <x v="0"/>
    <x v="8"/>
    <x v="1"/>
    <x v="3"/>
    <m/>
    <m/>
    <s v="FITTINGS, STRAIGHT 134A WITH VALVE 5/8"/>
    <s v="CA-000670"/>
    <n v="1"/>
    <n v="110"/>
    <m/>
    <n v="110"/>
    <x v="0"/>
    <n v="103"/>
    <n v="56"/>
    <n v="56"/>
    <n v="58.800000000000004"/>
    <n v="51.199999999999996"/>
    <n v="15.359999999999998"/>
    <x v="33"/>
    <x v="2"/>
    <m/>
    <m/>
    <s v=""/>
    <n v="0.4654545454545454"/>
  </r>
  <r>
    <x v="0"/>
    <x v="9"/>
    <x v="2"/>
    <x v="22"/>
    <m/>
    <m/>
    <s v="SYSTEM_CLEANER, Cleanse GREEN 141B 500 ML"/>
    <s v="GE-000369"/>
    <n v="5"/>
    <n v="95"/>
    <m/>
    <n v="475"/>
    <x v="0"/>
    <n v="113"/>
    <n v="65"/>
    <n v="325"/>
    <n v="341.25"/>
    <n v="133.75"/>
    <n v="40.125"/>
    <x v="28"/>
    <x v="1"/>
    <e v="#REF!"/>
    <e v="#REF!"/>
    <s v=""/>
    <n v="0.28157894736842104"/>
  </r>
  <r>
    <x v="1"/>
    <x v="33"/>
    <x v="0"/>
    <x v="78"/>
    <m/>
    <m/>
    <s v="EVAPORATOR, TOYOTA COROLLA SANDEN/ BIG BODY - 40A548"/>
    <s v="CA-000541"/>
    <n v="1"/>
    <n v="1900"/>
    <m/>
    <n v="1900"/>
    <x v="0"/>
    <n v="2573"/>
    <n v="1400"/>
    <n v="1400"/>
    <n v="1470"/>
    <n v="430"/>
    <n v="0"/>
    <x v="10"/>
    <x v="2"/>
    <e v="#REF!"/>
    <e v="#REF!"/>
    <e v="#REF!"/>
    <n v="0.22631578947368422"/>
  </r>
  <r>
    <x v="2"/>
    <x v="35"/>
    <x v="0"/>
    <x v="8"/>
    <m/>
    <m/>
    <s v="PULLEY_ASSEMBLY, TOYOTA HI LUX 7pk"/>
    <s v="CA-001067"/>
    <n v="1"/>
    <n v="2000"/>
    <m/>
    <n v="2000"/>
    <x v="0"/>
    <n v="2352"/>
    <n v="1400"/>
    <n v="1400"/>
    <n v="1470"/>
    <n v="530"/>
    <n v="0"/>
    <x v="11"/>
    <x v="2"/>
    <e v="#REF!"/>
    <e v="#REF!"/>
    <s v=""/>
    <n v="0.26500000000000001"/>
  </r>
  <r>
    <x v="0"/>
    <x v="10"/>
    <x v="2"/>
    <x v="7"/>
    <m/>
    <m/>
    <s v="SYSTEM_CLEANER, Cleanse GREEN 141B 500 ML"/>
    <s v="GE-000369"/>
    <n v="5"/>
    <n v="120"/>
    <m/>
    <n v="600"/>
    <x v="0"/>
    <n v="113"/>
    <n v="65"/>
    <n v="325"/>
    <n v="341.25"/>
    <n v="258.75"/>
    <n v="77.625"/>
    <x v="28"/>
    <x v="1"/>
    <e v="#REF!"/>
    <e v="#REF!"/>
    <s v=""/>
    <n v="0.43125000000000002"/>
  </r>
  <r>
    <x v="2"/>
    <x v="48"/>
    <x v="0"/>
    <x v="11"/>
    <m/>
    <m/>
    <s v="EVAPORATOR, TOYOTA COROLLA SANDEN/ BIG BODY - 40A548"/>
    <s v="CA-000541"/>
    <n v="1"/>
    <n v="2000"/>
    <m/>
    <n v="2000"/>
    <x v="0"/>
    <n v="2573"/>
    <n v="1400"/>
    <n v="1400"/>
    <n v="1470"/>
    <n v="530"/>
    <n v="0"/>
    <x v="10"/>
    <x v="2"/>
    <e v="#REF!"/>
    <e v="#REF!"/>
    <s v=""/>
    <n v="0.26500000000000001"/>
  </r>
  <r>
    <x v="3"/>
    <x v="59"/>
    <x v="0"/>
    <x v="79"/>
    <m/>
    <m/>
    <s v="EVAPORATOR, NISSAN EXALTA/ GRANDURE"/>
    <s v="CA-001611"/>
    <n v="1"/>
    <n v="1875"/>
    <m/>
    <n v="1875"/>
    <x v="0"/>
    <n v="2573"/>
    <n v="1400"/>
    <n v="1400"/>
    <n v="1470"/>
    <n v="405"/>
    <n v="0"/>
    <x v="10"/>
    <x v="2"/>
    <m/>
    <m/>
    <s v=""/>
    <n v="0.216"/>
  </r>
  <r>
    <x v="3"/>
    <x v="67"/>
    <x v="0"/>
    <x v="23"/>
    <m/>
    <m/>
    <s v="EVAPORATOR, HONDA CITY 2015"/>
    <s v="CA-000476"/>
    <n v="1"/>
    <n v="2100"/>
    <m/>
    <n v="2100"/>
    <x v="0"/>
    <n v="2573"/>
    <n v="1400"/>
    <n v="1400"/>
    <n v="1470"/>
    <n v="630"/>
    <n v="0"/>
    <x v="10"/>
    <x v="2"/>
    <m/>
    <m/>
    <s v=""/>
    <n v="0.3"/>
  </r>
  <r>
    <x v="0"/>
    <x v="91"/>
    <x v="1"/>
    <x v="3"/>
    <m/>
    <m/>
    <s v="PULLEY_ASSEMBLY, TOYOTA HI-ACE  D4D"/>
    <s v="CA-001606"/>
    <n v="1"/>
    <n v="2100"/>
    <m/>
    <n v="2100"/>
    <x v="0"/>
    <n v="2436"/>
    <n v="1450"/>
    <n v="1450"/>
    <n v="1522.5"/>
    <n v="577.5"/>
    <n v="173.25"/>
    <x v="11"/>
    <x v="2"/>
    <m/>
    <m/>
    <s v=""/>
    <n v="0.27500000000000002"/>
  </r>
  <r>
    <x v="3"/>
    <x v="87"/>
    <x v="0"/>
    <x v="8"/>
    <m/>
    <m/>
    <s v="EVAPORATOR, NISSAN LEC 40A22"/>
    <s v="CA-001392"/>
    <n v="1"/>
    <n v="2100"/>
    <m/>
    <n v="2100"/>
    <x v="0"/>
    <n v="2573"/>
    <n v="1400"/>
    <n v="1400"/>
    <n v="1470"/>
    <n v="630"/>
    <n v="0"/>
    <x v="10"/>
    <x v="2"/>
    <m/>
    <m/>
    <m/>
    <n v="0.3"/>
  </r>
  <r>
    <x v="4"/>
    <x v="95"/>
    <x v="0"/>
    <x v="71"/>
    <m/>
    <m/>
    <s v="EVAPORATOR, HYUNDAI EON"/>
    <s v="CA-000485"/>
    <n v="1"/>
    <n v="2050"/>
    <m/>
    <n v="2050"/>
    <x v="0"/>
    <n v="2573"/>
    <n v="1400"/>
    <n v="1400"/>
    <n v="1470"/>
    <n v="580"/>
    <n v="0"/>
    <x v="10"/>
    <x v="2"/>
    <m/>
    <m/>
    <m/>
    <n v="0.28292682926829266"/>
  </r>
  <r>
    <x v="4"/>
    <x v="95"/>
    <x v="0"/>
    <x v="72"/>
    <m/>
    <m/>
    <s v="EVAPORATOR, HONDA CITY 2015"/>
    <s v="CA-000476"/>
    <n v="1"/>
    <n v="2100"/>
    <m/>
    <n v="2100"/>
    <x v="0"/>
    <n v="2573"/>
    <n v="1400"/>
    <n v="1400"/>
    <n v="1470"/>
    <n v="630"/>
    <n v="0"/>
    <x v="10"/>
    <x v="2"/>
    <m/>
    <m/>
    <m/>
    <n v="0.3"/>
  </r>
  <r>
    <x v="0"/>
    <x v="1"/>
    <x v="0"/>
    <x v="27"/>
    <m/>
    <n v="650"/>
    <s v="REFRIGERANT, POKKA R32, 600 GRMS "/>
    <s v="GE-000509"/>
    <n v="3"/>
    <n v="585"/>
    <m/>
    <n v="1755"/>
    <x v="0"/>
    <n v="756"/>
    <n v="480"/>
    <n v="1440"/>
    <n v="1512"/>
    <n v="243"/>
    <n v="0"/>
    <x v="5"/>
    <x v="1"/>
    <m/>
    <m/>
    <n v="655.20000000000005"/>
    <n v="0.13846153846153847"/>
  </r>
  <r>
    <x v="0"/>
    <x v="5"/>
    <x v="0"/>
    <x v="11"/>
    <m/>
    <m/>
    <s v="AUXFAN_MOTOR, NISSAN ALMERA 4 WIRE"/>
    <s v="CA-000061"/>
    <n v="1"/>
    <n v="2000"/>
    <m/>
    <n v="2000"/>
    <x v="0"/>
    <n v="2481"/>
    <n v="1350"/>
    <n v="1350"/>
    <n v="1417.5"/>
    <n v="582.5"/>
    <n v="0"/>
    <x v="14"/>
    <x v="2"/>
    <m/>
    <m/>
    <s v=""/>
    <n v="0.29125000000000001"/>
  </r>
  <r>
    <x v="0"/>
    <x v="27"/>
    <x v="0"/>
    <x v="11"/>
    <m/>
    <m/>
    <s v="BLOWER_MOTOR, NISSAN ALMERA"/>
    <s v="CA-000194"/>
    <n v="1"/>
    <n v="1900"/>
    <m/>
    <n v="1900"/>
    <x v="0"/>
    <n v="2481"/>
    <n v="1350"/>
    <n v="1350"/>
    <n v="1417.5"/>
    <n v="482.5"/>
    <n v="0"/>
    <x v="15"/>
    <x v="2"/>
    <m/>
    <m/>
    <e v="#REF!"/>
    <n v="0.25394736842105264"/>
  </r>
  <r>
    <x v="0"/>
    <x v="8"/>
    <x v="0"/>
    <x v="11"/>
    <m/>
    <m/>
    <s v="PULLEY_ASSEMBLY, TOYOTA VIOS 2017/ WIGO  6PK"/>
    <s v="CA-001788"/>
    <n v="1"/>
    <n v="1900"/>
    <m/>
    <n v="1900"/>
    <x v="0"/>
    <n v="2016"/>
    <n v="1200"/>
    <n v="1200"/>
    <n v="1260"/>
    <n v="640"/>
    <n v="0"/>
    <x v="11"/>
    <x v="2"/>
    <m/>
    <m/>
    <s v=""/>
    <n v="0.33684210526315789"/>
  </r>
  <r>
    <x v="0"/>
    <x v="91"/>
    <x v="1"/>
    <x v="3"/>
    <m/>
    <m/>
    <s v="BLOWER_MOTOR, ISUZU CROSSWIND ('R)"/>
    <s v="CA-000168"/>
    <n v="1"/>
    <n v="1900"/>
    <m/>
    <n v="1900"/>
    <x v="0"/>
    <n v="2481"/>
    <n v="1350"/>
    <n v="1350"/>
    <n v="1417.5"/>
    <n v="482.5"/>
    <n v="144.75"/>
    <x v="15"/>
    <x v="2"/>
    <m/>
    <m/>
    <s v=""/>
    <n v="0.25394736842105264"/>
  </r>
  <r>
    <x v="1"/>
    <x v="14"/>
    <x v="0"/>
    <x v="11"/>
    <m/>
    <m/>
    <s v="PULLEY_ASSEMBLY, TOYOTA VIOS 2017/ WIGO  6PK"/>
    <s v="CA-001788"/>
    <n v="1"/>
    <n v="2000"/>
    <m/>
    <n v="2000"/>
    <x v="0"/>
    <n v="2016"/>
    <n v="1200"/>
    <n v="1200"/>
    <n v="1260"/>
    <n v="740"/>
    <n v="0"/>
    <x v="11"/>
    <x v="2"/>
    <m/>
    <m/>
    <s v=""/>
    <n v="0.37"/>
  </r>
  <r>
    <x v="0"/>
    <x v="11"/>
    <x v="0"/>
    <x v="11"/>
    <m/>
    <m/>
    <s v="BLOWER_MOTOR, NISSAN ALMERA"/>
    <s v="CA-000194"/>
    <n v="1"/>
    <n v="1900"/>
    <m/>
    <n v="1900"/>
    <x v="0"/>
    <n v="2481"/>
    <n v="1350"/>
    <n v="1350"/>
    <n v="1417.5"/>
    <n v="482.5"/>
    <n v="0"/>
    <x v="15"/>
    <x v="2"/>
    <e v="#REF!"/>
    <e v="#REF!"/>
    <s v=""/>
    <n v="0.25394736842105264"/>
  </r>
  <r>
    <x v="0"/>
    <x v="13"/>
    <x v="0"/>
    <x v="17"/>
    <m/>
    <m/>
    <s v="PULLEY_ASSEMBLY, TOYOTA VIOS 2017/ WIGO  6PK"/>
    <s v="CA-001788"/>
    <n v="1"/>
    <n v="2000"/>
    <m/>
    <n v="2000"/>
    <x v="0"/>
    <n v="2016"/>
    <n v="1200"/>
    <n v="1200"/>
    <n v="1260"/>
    <n v="740"/>
    <n v="0"/>
    <x v="11"/>
    <x v="2"/>
    <e v="#REF!"/>
    <e v="#REF!"/>
    <s v=""/>
    <n v="0.37"/>
  </r>
  <r>
    <x v="0"/>
    <x v="4"/>
    <x v="2"/>
    <x v="22"/>
    <m/>
    <n v="220"/>
    <s v="CABIN_FILTER, TOYOTA INNOVA"/>
    <s v="CA-001294"/>
    <n v="3"/>
    <n v="200"/>
    <m/>
    <n v="600"/>
    <x v="0"/>
    <n v="315"/>
    <n v="100"/>
    <n v="300"/>
    <n v="315"/>
    <n v="285"/>
    <n v="85.5"/>
    <x v="12"/>
    <x v="2"/>
    <m/>
    <m/>
    <n v="224.00000000000003"/>
    <n v="0.47499999999999998"/>
  </r>
  <r>
    <x v="0"/>
    <x v="73"/>
    <x v="0"/>
    <x v="17"/>
    <m/>
    <m/>
    <s v="EVAPORATOR, MITSUBISHI EXPANDER"/>
    <s v="CA-001610"/>
    <n v="1"/>
    <n v="1900"/>
    <m/>
    <n v="1900"/>
    <x v="0"/>
    <n v="2481"/>
    <n v="1350"/>
    <n v="1350"/>
    <n v="1417.5"/>
    <n v="482.5"/>
    <n v="0"/>
    <x v="10"/>
    <x v="2"/>
    <e v="#REF!"/>
    <e v="#REF!"/>
    <s v=""/>
    <n v="0.25394736842105264"/>
  </r>
  <r>
    <x v="0"/>
    <x v="91"/>
    <x v="1"/>
    <x v="3"/>
    <m/>
    <m/>
    <s v="EVAPORATOR, ISUZU CROSSWIND (F)"/>
    <s v="CA-000498"/>
    <n v="1"/>
    <n v="1900"/>
    <m/>
    <n v="1900"/>
    <x v="0"/>
    <n v="2297"/>
    <n v="1250"/>
    <n v="1250"/>
    <n v="1312.5"/>
    <n v="587.5"/>
    <n v="176.25"/>
    <x v="10"/>
    <x v="2"/>
    <m/>
    <m/>
    <s v=""/>
    <n v="0.30921052631578949"/>
  </r>
  <r>
    <x v="0"/>
    <x v="0"/>
    <x v="2"/>
    <x v="22"/>
    <m/>
    <m/>
    <s v="TAPE_FOAM, AEROTAPE 3MM X 50 MM X 9.1 MTR  04/02/25"/>
    <s v="IM-000332"/>
    <n v="1"/>
    <n v="360"/>
    <m/>
    <n v="360"/>
    <x v="0"/>
    <n v="510"/>
    <n v="330"/>
    <n v="330"/>
    <n v="339.90000000000003"/>
    <n v="20.099999999999966"/>
    <n v="6.0299999999999896"/>
    <x v="25"/>
    <x v="0"/>
    <m/>
    <m/>
    <m/>
    <n v="5.5833333333333242E-2"/>
  </r>
  <r>
    <x v="0"/>
    <x v="84"/>
    <x v="2"/>
    <x v="9"/>
    <m/>
    <m/>
    <s v="FITTINGS, ELBOW ORING TYPE  5/8"/>
    <s v="CA-000661"/>
    <n v="15"/>
    <n v="40"/>
    <m/>
    <n v="600"/>
    <x v="0"/>
    <n v="33"/>
    <n v="17.5"/>
    <n v="262.5"/>
    <n v="275.625"/>
    <n v="324.375"/>
    <n v="97.3125"/>
    <x v="33"/>
    <x v="2"/>
    <m/>
    <m/>
    <s v=""/>
    <n v="0.54062500000000002"/>
  </r>
  <r>
    <x v="1"/>
    <x v="21"/>
    <x v="0"/>
    <x v="17"/>
    <m/>
    <m/>
    <s v="BLOWER_MOTOR, NISSAN ALMERA"/>
    <s v="CA-000194"/>
    <n v="1"/>
    <n v="2000"/>
    <m/>
    <n v="2000"/>
    <x v="0"/>
    <n v="2481"/>
    <n v="1350"/>
    <n v="1350"/>
    <n v="1417.5"/>
    <n v="582.5"/>
    <n v="0"/>
    <x v="15"/>
    <x v="2"/>
    <e v="#REF!"/>
    <e v="#REF!"/>
    <s v=""/>
    <n v="0.29125000000000001"/>
  </r>
  <r>
    <x v="1"/>
    <x v="109"/>
    <x v="0"/>
    <x v="23"/>
    <m/>
    <m/>
    <s v="PULLEY_ASSEMBLY, TOYOTA VIOS 2017/ WIGO  6PK"/>
    <s v="CA-001788"/>
    <n v="1"/>
    <n v="2000"/>
    <m/>
    <n v="2000"/>
    <x v="0"/>
    <n v="2016"/>
    <n v="1200"/>
    <n v="1200"/>
    <n v="1260"/>
    <n v="740"/>
    <n v="0"/>
    <x v="11"/>
    <x v="2"/>
    <e v="#REF!"/>
    <e v="#REF!"/>
    <e v="#REF!"/>
    <n v="0.37"/>
  </r>
  <r>
    <x v="1"/>
    <x v="25"/>
    <x v="0"/>
    <x v="6"/>
    <m/>
    <m/>
    <s v="REFRIGERANT, POKKA R32, 600 GRMS "/>
    <s v="GE-000509"/>
    <n v="3"/>
    <n v="650"/>
    <m/>
    <n v="1950"/>
    <x v="0"/>
    <n v="756"/>
    <n v="480"/>
    <n v="1440"/>
    <n v="1512"/>
    <n v="438"/>
    <n v="0"/>
    <x v="5"/>
    <x v="1"/>
    <e v="#REF!"/>
    <e v="#REF!"/>
    <e v="#REF!"/>
    <n v="0.22461538461538461"/>
  </r>
  <r>
    <x v="0"/>
    <x v="7"/>
    <x v="0"/>
    <x v="36"/>
    <m/>
    <n v="550"/>
    <s v="EXP. VALVE LT, POKKA 9A233 / 9A60 DMAX 03-11"/>
    <s v="CA-001832"/>
    <n v="1"/>
    <n v="495"/>
    <m/>
    <n v="495"/>
    <x v="0"/>
    <n v="478"/>
    <n v="260"/>
    <n v="260"/>
    <n v="273"/>
    <n v="222"/>
    <n v="0"/>
    <x v="23"/>
    <x v="2"/>
    <m/>
    <m/>
    <n v="554.40000000000009"/>
    <n v="0.44848484848484849"/>
  </r>
  <r>
    <x v="0"/>
    <x v="91"/>
    <x v="1"/>
    <x v="3"/>
    <m/>
    <m/>
    <s v="EXP. VALVE SC, HONDA OVERSIZE / FX R134A"/>
    <s v="CA-000569"/>
    <n v="2"/>
    <n v="500"/>
    <m/>
    <n v="1000"/>
    <x v="0"/>
    <n v="478"/>
    <n v="260"/>
    <n v="520"/>
    <n v="546"/>
    <n v="454"/>
    <n v="136.19999999999999"/>
    <x v="34"/>
    <x v="2"/>
    <m/>
    <m/>
    <s v=""/>
    <n v="0.45400000000000001"/>
  </r>
  <r>
    <x v="2"/>
    <x v="117"/>
    <x v="0"/>
    <x v="18"/>
    <m/>
    <m/>
    <s v="BLOWER_MOTOR, HONDA CITY 2009"/>
    <s v="CA-000140"/>
    <n v="1"/>
    <n v="1900"/>
    <m/>
    <n v="1900"/>
    <x v="0"/>
    <n v="2481"/>
    <n v="1350"/>
    <n v="1350"/>
    <n v="1417.5"/>
    <n v="482.5"/>
    <n v="0"/>
    <x v="15"/>
    <x v="2"/>
    <e v="#REF!"/>
    <e v="#REF!"/>
    <s v=""/>
    <n v="0.25394736842105264"/>
  </r>
  <r>
    <x v="2"/>
    <x v="38"/>
    <x v="0"/>
    <x v="80"/>
    <m/>
    <m/>
    <s v="CLEANER, AMBER AIRCON LIQUID LYE"/>
    <s v="GE-000251"/>
    <n v="5"/>
    <n v="535.71"/>
    <m/>
    <n v="2678.55"/>
    <x v="0"/>
    <n v="596"/>
    <n v="270"/>
    <n v="1350"/>
    <n v="1417.5"/>
    <n v="1261.0500000000002"/>
    <n v="0"/>
    <x v="35"/>
    <x v="1"/>
    <e v="#REF!"/>
    <e v="#REF!"/>
    <s v=""/>
    <n v="0.47079576636613096"/>
  </r>
  <r>
    <x v="0"/>
    <x v="9"/>
    <x v="4"/>
    <x v="25"/>
    <m/>
    <m/>
    <s v="SYSTEM_CLEANER, Cleanse GREEN 141B 500 ML"/>
    <s v="GE-000369"/>
    <n v="4"/>
    <n v="120"/>
    <m/>
    <n v="480"/>
    <x v="0"/>
    <n v="113"/>
    <n v="65"/>
    <n v="260"/>
    <n v="273"/>
    <n v="207"/>
    <n v="62.099999999999994"/>
    <x v="28"/>
    <x v="1"/>
    <e v="#REF!"/>
    <e v="#REF!"/>
    <s v=""/>
    <n v="0.43125000000000002"/>
  </r>
  <r>
    <x v="0"/>
    <x v="13"/>
    <x v="2"/>
    <x v="7"/>
    <m/>
    <n v="500"/>
    <s v="EXP. VALVE SC, HONDA OVERSIZE / FX R134A"/>
    <s v="CA-000569"/>
    <n v="1"/>
    <n v="450"/>
    <m/>
    <n v="450"/>
    <x v="0"/>
    <n v="478"/>
    <n v="260"/>
    <n v="260"/>
    <n v="273"/>
    <n v="177"/>
    <n v="53.1"/>
    <x v="34"/>
    <x v="2"/>
    <e v="#REF!"/>
    <e v="#REF!"/>
    <n v="504.00000000000006"/>
    <n v="0.39333333333333331"/>
  </r>
  <r>
    <x v="0"/>
    <x v="27"/>
    <x v="2"/>
    <x v="9"/>
    <m/>
    <m/>
    <s v="RECEIVER_DRIER_ALUMINUM, YK 9096 (EXTRAIL)"/>
    <s v="CA-001128"/>
    <n v="1"/>
    <n v="550"/>
    <m/>
    <n v="550"/>
    <x v="0"/>
    <n v="615"/>
    <n v="260"/>
    <n v="260"/>
    <n v="273"/>
    <n v="277"/>
    <n v="83.1"/>
    <x v="27"/>
    <x v="2"/>
    <e v="#REF!"/>
    <e v="#REF!"/>
    <s v=""/>
    <n v="0.50363636363636366"/>
  </r>
  <r>
    <x v="2"/>
    <x v="40"/>
    <x v="0"/>
    <x v="8"/>
    <m/>
    <m/>
    <s v="BLOWER_MOTOR, HONDA CITY 2009"/>
    <s v="CA-000140"/>
    <n v="1"/>
    <n v="2000"/>
    <m/>
    <n v="2000"/>
    <x v="0"/>
    <n v="2481"/>
    <n v="1350"/>
    <n v="1350"/>
    <n v="1417.5"/>
    <n v="582.5"/>
    <n v="0"/>
    <x v="15"/>
    <x v="2"/>
    <e v="#REF!"/>
    <e v="#REF!"/>
    <s v=""/>
    <n v="0.29125000000000001"/>
  </r>
  <r>
    <x v="2"/>
    <x v="41"/>
    <x v="0"/>
    <x v="81"/>
    <m/>
    <m/>
    <s v="EVAPORATOR, ISUZU TRAVIS / NHR LT HS -40A506"/>
    <s v="CA-001835"/>
    <n v="1"/>
    <n v="2000"/>
    <m/>
    <n v="2000"/>
    <x v="0"/>
    <n v="2481"/>
    <n v="1350"/>
    <n v="1350"/>
    <n v="1417.5"/>
    <n v="582.5"/>
    <n v="0"/>
    <x v="10"/>
    <x v="2"/>
    <e v="#REF!"/>
    <e v="#REF!"/>
    <s v=""/>
    <n v="0.29125000000000001"/>
  </r>
  <r>
    <x v="0"/>
    <x v="84"/>
    <x v="2"/>
    <x v="9"/>
    <m/>
    <m/>
    <s v="FITTINGS, STRAIGHT ORING TYPE 5/8"/>
    <s v="CA-000677"/>
    <n v="15"/>
    <n v="40"/>
    <m/>
    <n v="600"/>
    <x v="0"/>
    <n v="30"/>
    <n v="16"/>
    <n v="240"/>
    <n v="252"/>
    <n v="348"/>
    <n v="104.39999999999999"/>
    <x v="33"/>
    <x v="2"/>
    <m/>
    <m/>
    <s v=""/>
    <n v="0.57999999999999996"/>
  </r>
  <r>
    <x v="0"/>
    <x v="0"/>
    <x v="2"/>
    <x v="22"/>
    <m/>
    <m/>
    <s v="EXP. VALVE LT, POKKA 9A57 INNOVA R"/>
    <s v="CA-000638"/>
    <n v="1"/>
    <n v="420"/>
    <m/>
    <n v="420"/>
    <x v="0"/>
    <n v="460"/>
    <n v="250"/>
    <n v="250"/>
    <n v="262.5"/>
    <n v="157.5"/>
    <n v="47.25"/>
    <x v="23"/>
    <x v="2"/>
    <m/>
    <m/>
    <s v=""/>
    <n v="0.375"/>
  </r>
  <r>
    <x v="2"/>
    <x v="57"/>
    <x v="0"/>
    <x v="8"/>
    <m/>
    <m/>
    <s v="BLOWER_MOTOR, HONDA CITY 2009"/>
    <s v="CA-000140"/>
    <n v="1"/>
    <n v="1900"/>
    <m/>
    <n v="1900"/>
    <x v="0"/>
    <n v="2481"/>
    <n v="1350"/>
    <n v="1350"/>
    <n v="1417.5"/>
    <n v="482.5"/>
    <n v="0"/>
    <x v="15"/>
    <x v="2"/>
    <e v="#REF!"/>
    <e v="#REF!"/>
    <s v=""/>
    <n v="0.25394736842105264"/>
  </r>
  <r>
    <x v="3"/>
    <x v="60"/>
    <x v="0"/>
    <x v="8"/>
    <m/>
    <m/>
    <s v="AUXFAN ASSEMBLY, MITSUBISHI TRITON"/>
    <s v="CA-001740"/>
    <n v="1"/>
    <n v="2400"/>
    <m/>
    <n v="2400"/>
    <x v="0"/>
    <n v="2481"/>
    <n v="1350"/>
    <n v="1350"/>
    <n v="1417.5"/>
    <n v="982.5"/>
    <n v="0"/>
    <x v="36"/>
    <x v="2"/>
    <m/>
    <m/>
    <s v=""/>
    <n v="0.40937499999999999"/>
  </r>
  <r>
    <x v="0"/>
    <x v="4"/>
    <x v="2"/>
    <x v="7"/>
    <m/>
    <n v="550"/>
    <s v="EXP. VALVE LT, POKKA 9A57 INNOVA R"/>
    <s v="CA-000638"/>
    <n v="1"/>
    <n v="495"/>
    <m/>
    <n v="495"/>
    <x v="0"/>
    <n v="460"/>
    <n v="250"/>
    <n v="250"/>
    <n v="262.5"/>
    <n v="232.5"/>
    <n v="69.75"/>
    <x v="23"/>
    <x v="2"/>
    <m/>
    <m/>
    <n v="554.40000000000009"/>
    <n v="0.46969696969696972"/>
  </r>
  <r>
    <x v="3"/>
    <x v="64"/>
    <x v="0"/>
    <x v="8"/>
    <m/>
    <n v="2000"/>
    <s v="PULLEY_ASSEMBLY, TOYOTA VIOS 2017/ WIGO  6PK"/>
    <s v="CA-001788"/>
    <n v="1"/>
    <n v="1785"/>
    <m/>
    <n v="1785"/>
    <x v="0"/>
    <n v="2016"/>
    <n v="1200"/>
    <n v="1200"/>
    <n v="1260"/>
    <n v="525"/>
    <n v="0"/>
    <x v="11"/>
    <x v="2"/>
    <m/>
    <m/>
    <n v="1999.2000000000003"/>
    <n v="0.29411764705882354"/>
  </r>
  <r>
    <x v="3"/>
    <x v="64"/>
    <x v="5"/>
    <x v="37"/>
    <m/>
    <m/>
    <s v="ELECTRICAL WIRE_STRANDED, POWERFLEX THNN STRANDED   #12, MTR"/>
    <s v="GE-000120"/>
    <n v="50"/>
    <n v="52"/>
    <m/>
    <n v="2600"/>
    <x v="0"/>
    <n v="50"/>
    <n v="27"/>
    <n v="1350"/>
    <n v="1417.5"/>
    <n v="1182.5"/>
    <n v="354.75"/>
    <x v="2"/>
    <x v="1"/>
    <m/>
    <m/>
    <s v=""/>
    <n v="0.4548076923076923"/>
  </r>
  <r>
    <x v="0"/>
    <x v="91"/>
    <x v="1"/>
    <x v="3"/>
    <m/>
    <m/>
    <s v="RECEIVER_DRIER_ALUMINUM, YK 8106 (CROSSWIND, PAJERO, DENSO 134A M)"/>
    <s v="CA-001100"/>
    <n v="1"/>
    <n v="550"/>
    <m/>
    <n v="550"/>
    <x v="0"/>
    <n v="485"/>
    <n v="205"/>
    <n v="205"/>
    <n v="215.25"/>
    <n v="334.75"/>
    <n v="100.425"/>
    <x v="27"/>
    <x v="2"/>
    <m/>
    <m/>
    <s v=""/>
    <n v="0.60863636363636364"/>
  </r>
  <r>
    <x v="3"/>
    <x v="66"/>
    <x v="0"/>
    <x v="17"/>
    <m/>
    <m/>
    <s v="PULLEY_ASSEMBLY, TOYOTA VIOS 2017/ WIGO  6PK"/>
    <s v="CA-001788"/>
    <n v="1"/>
    <n v="2000"/>
    <m/>
    <n v="2000"/>
    <x v="0"/>
    <n v="2016"/>
    <n v="1200"/>
    <n v="1200"/>
    <n v="1260"/>
    <n v="740"/>
    <n v="0"/>
    <x v="11"/>
    <x v="2"/>
    <m/>
    <m/>
    <s v=""/>
    <n v="0.37"/>
  </r>
  <r>
    <x v="3"/>
    <x v="67"/>
    <x v="0"/>
    <x v="48"/>
    <m/>
    <m/>
    <s v="EVAPORATOR, MITSUBISHI EXPANDER"/>
    <s v="CA-001610"/>
    <n v="1"/>
    <n v="2000"/>
    <m/>
    <n v="2000"/>
    <x v="0"/>
    <n v="2481"/>
    <n v="1350"/>
    <n v="1350"/>
    <n v="1417.5"/>
    <n v="582.5"/>
    <n v="0"/>
    <x v="10"/>
    <x v="2"/>
    <m/>
    <m/>
    <s v=""/>
    <n v="0.29125000000000001"/>
  </r>
  <r>
    <x v="3"/>
    <x v="115"/>
    <x v="0"/>
    <x v="11"/>
    <m/>
    <m/>
    <s v="EVAPORATOR, ISUZU TRAVIS / NHR LT HS -40A506"/>
    <s v="CA-001835"/>
    <n v="1"/>
    <n v="2100"/>
    <m/>
    <n v="2100"/>
    <x v="0"/>
    <n v="2481"/>
    <n v="1350"/>
    <n v="1350"/>
    <n v="1417.5"/>
    <n v="682.5"/>
    <n v="0"/>
    <x v="10"/>
    <x v="2"/>
    <m/>
    <m/>
    <s v=""/>
    <n v="0.32500000000000001"/>
  </r>
  <r>
    <x v="0"/>
    <x v="4"/>
    <x v="2"/>
    <x v="7"/>
    <m/>
    <n v="550"/>
    <s v="EXP. VALVE LT, POKKA 9A56 INNOVA F"/>
    <s v="CA-000637"/>
    <n v="1"/>
    <n v="495"/>
    <m/>
    <n v="495"/>
    <x v="0"/>
    <n v="460"/>
    <n v="250"/>
    <n v="250"/>
    <n v="262.5"/>
    <n v="232.5"/>
    <n v="69.75"/>
    <x v="23"/>
    <x v="2"/>
    <m/>
    <m/>
    <n v="554.40000000000009"/>
    <n v="0.46969696969696972"/>
  </r>
  <r>
    <x v="3"/>
    <x v="68"/>
    <x v="1"/>
    <x v="42"/>
    <m/>
    <m/>
    <s v="PULLEY_ASSEMBLY, TOYOTA VIOS 2017/ WIGO  6PK"/>
    <s v="CA-001788"/>
    <n v="1"/>
    <n v="1800"/>
    <m/>
    <n v="1800"/>
    <x v="0"/>
    <n v="2016"/>
    <n v="1200"/>
    <n v="1200"/>
    <n v="1260"/>
    <n v="540"/>
    <n v="162"/>
    <x v="11"/>
    <x v="2"/>
    <m/>
    <m/>
    <s v=""/>
    <n v="0.3"/>
  </r>
  <r>
    <x v="3"/>
    <x v="69"/>
    <x v="0"/>
    <x v="49"/>
    <m/>
    <m/>
    <s v="BLOWER_MOTOR, MITSUBISHI MONTERO 2016"/>
    <s v="CA-000192"/>
    <n v="1"/>
    <n v="2000"/>
    <m/>
    <n v="2000"/>
    <x v="0"/>
    <n v="2481"/>
    <n v="1350"/>
    <n v="1350"/>
    <n v="1417.5"/>
    <n v="582.5"/>
    <n v="0"/>
    <x v="15"/>
    <x v="2"/>
    <m/>
    <m/>
    <s v=""/>
    <n v="0.29125000000000001"/>
  </r>
  <r>
    <x v="0"/>
    <x v="6"/>
    <x v="2"/>
    <x v="22"/>
    <m/>
    <m/>
    <s v="EXP. VALVE LT, POKKA 9A56 INNOVA F"/>
    <s v="CA-000637"/>
    <n v="1"/>
    <n v="420"/>
    <m/>
    <n v="420"/>
    <x v="0"/>
    <n v="460"/>
    <n v="250"/>
    <n v="250"/>
    <n v="262.5"/>
    <n v="157.5"/>
    <n v="47.25"/>
    <x v="23"/>
    <x v="2"/>
    <m/>
    <m/>
    <s v=""/>
    <n v="0.375"/>
  </r>
  <r>
    <x v="0"/>
    <x v="6"/>
    <x v="2"/>
    <x v="22"/>
    <m/>
    <n v="200"/>
    <s v="SILICA_GEL, STAL LONG"/>
    <s v="CA-001637"/>
    <n v="10"/>
    <n v="180"/>
    <m/>
    <n v="1800"/>
    <x v="0"/>
    <n v="50"/>
    <n v="25"/>
    <n v="250"/>
    <n v="262.5"/>
    <n v="1537.5"/>
    <n v="461.25"/>
    <x v="37"/>
    <x v="2"/>
    <m/>
    <m/>
    <n v="201.60000000000002"/>
    <n v="0.85416666666666663"/>
  </r>
  <r>
    <x v="0"/>
    <x v="43"/>
    <x v="1"/>
    <x v="3"/>
    <m/>
    <m/>
    <s v="BLOWER_MOTOR, MITSUBISHI LANCER 2008 "/>
    <s v="CA-000189"/>
    <n v="1"/>
    <n v="1900"/>
    <m/>
    <n v="1900"/>
    <x v="0"/>
    <n v="2389"/>
    <n v="1300"/>
    <n v="1300"/>
    <n v="1365"/>
    <n v="535"/>
    <n v="160.5"/>
    <x v="15"/>
    <x v="2"/>
    <e v="#REF!"/>
    <e v="#REF!"/>
    <s v=""/>
    <n v="0.28157894736842104"/>
  </r>
  <r>
    <x v="3"/>
    <x v="101"/>
    <x v="0"/>
    <x v="8"/>
    <m/>
    <m/>
    <s v="EVAPORATOR, MITSUBISHI EXPANDER"/>
    <s v="CA-001610"/>
    <n v="1"/>
    <n v="2000"/>
    <m/>
    <n v="2000"/>
    <x v="0"/>
    <n v="2481"/>
    <n v="1350"/>
    <n v="1350"/>
    <n v="1417.5"/>
    <n v="582.5"/>
    <n v="0"/>
    <x v="10"/>
    <x v="2"/>
    <m/>
    <m/>
    <s v=""/>
    <n v="0.29125000000000001"/>
  </r>
  <r>
    <x v="4"/>
    <x v="88"/>
    <x v="0"/>
    <x v="11"/>
    <m/>
    <m/>
    <s v="PULLEY_ASSEMBLY, TOYOTA VIOS 2017/ WIGO  6PK"/>
    <s v="CA-001788"/>
    <n v="1"/>
    <n v="2000"/>
    <m/>
    <n v="2000"/>
    <x v="0"/>
    <n v="2016"/>
    <n v="1200"/>
    <n v="1200"/>
    <n v="1260"/>
    <n v="740"/>
    <n v="0"/>
    <x v="11"/>
    <x v="2"/>
    <m/>
    <m/>
    <m/>
    <n v="0.37"/>
  </r>
  <r>
    <x v="4"/>
    <x v="88"/>
    <x v="10"/>
    <x v="82"/>
    <m/>
    <n v="2000"/>
    <s v="BLOWER_MOTOR, NISSAN ALMERA"/>
    <s v="CA-000194"/>
    <n v="1"/>
    <n v="1786"/>
    <m/>
    <n v="1786"/>
    <x v="0"/>
    <n v="2481"/>
    <n v="1350"/>
    <n v="1350"/>
    <n v="1417.5"/>
    <n v="368.5"/>
    <n v="110.55"/>
    <x v="15"/>
    <x v="2"/>
    <m/>
    <m/>
    <m/>
    <n v="0.20632698768197089"/>
  </r>
  <r>
    <x v="4"/>
    <x v="89"/>
    <x v="0"/>
    <x v="11"/>
    <m/>
    <m/>
    <s v="EVAPORATOR, FORD EVEREST (R)"/>
    <s v="CA-000466"/>
    <n v="1"/>
    <n v="2200"/>
    <m/>
    <n v="2200"/>
    <x v="0"/>
    <n v="2481"/>
    <n v="1350"/>
    <n v="1350"/>
    <n v="1417.5"/>
    <n v="782.5"/>
    <n v="0"/>
    <x v="10"/>
    <x v="2"/>
    <m/>
    <m/>
    <m/>
    <n v="0.35568181818181815"/>
  </r>
  <r>
    <x v="4"/>
    <x v="90"/>
    <x v="0"/>
    <x v="28"/>
    <m/>
    <m/>
    <s v="EVAPORATOR, ISUZU TRAVIS / NHR LT HS -40A506"/>
    <s v="CA-001835"/>
    <n v="1"/>
    <n v="2000"/>
    <m/>
    <n v="2000"/>
    <x v="0"/>
    <n v="2481"/>
    <n v="1350"/>
    <n v="1350"/>
    <n v="1417.5"/>
    <n v="582.5"/>
    <n v="0"/>
    <x v="10"/>
    <x v="2"/>
    <m/>
    <m/>
    <m/>
    <n v="0.29125000000000001"/>
  </r>
  <r>
    <x v="4"/>
    <x v="90"/>
    <x v="0"/>
    <x v="8"/>
    <m/>
    <m/>
    <s v="BLOWER_MOTOR, HONDA CITY 2009"/>
    <s v="CA-000140"/>
    <n v="1"/>
    <n v="1900"/>
    <m/>
    <n v="1900"/>
    <x v="0"/>
    <n v="2481"/>
    <n v="1350"/>
    <n v="1350"/>
    <n v="1417.5"/>
    <n v="482.5"/>
    <n v="0"/>
    <x v="15"/>
    <x v="2"/>
    <m/>
    <m/>
    <m/>
    <n v="0.25394736842105264"/>
  </r>
  <r>
    <x v="4"/>
    <x v="110"/>
    <x v="0"/>
    <x v="83"/>
    <m/>
    <m/>
    <s v="EVAPORATOR, SUZUKI APV"/>
    <s v="CA-000527"/>
    <n v="1"/>
    <n v="2200"/>
    <m/>
    <n v="2200"/>
    <x v="0"/>
    <n v="2481"/>
    <n v="1350"/>
    <n v="1350"/>
    <n v="1417.5"/>
    <n v="782.5"/>
    <n v="0"/>
    <x v="10"/>
    <x v="2"/>
    <m/>
    <m/>
    <m/>
    <n v="0.35568181818181815"/>
  </r>
  <r>
    <x v="4"/>
    <x v="93"/>
    <x v="0"/>
    <x v="72"/>
    <m/>
    <m/>
    <s v="AUXFAN_MOTOR, FORD ECOSPORT"/>
    <s v="CA-000259"/>
    <n v="1"/>
    <n v="1900"/>
    <m/>
    <n v="1900"/>
    <x v="0"/>
    <n v="2481"/>
    <n v="1350"/>
    <n v="1350"/>
    <n v="1417.5"/>
    <n v="482.5"/>
    <n v="0"/>
    <x v="14"/>
    <x v="2"/>
    <m/>
    <m/>
    <m/>
    <n v="0.25394736842105264"/>
  </r>
  <r>
    <x v="4"/>
    <x v="95"/>
    <x v="0"/>
    <x v="23"/>
    <m/>
    <m/>
    <s v="EVAPORATOR, MITSUBISHI PAJERO / HI ACE 40A7"/>
    <s v="CA-001811"/>
    <n v="1"/>
    <n v="2000"/>
    <m/>
    <n v="2000"/>
    <x v="0"/>
    <n v="2481"/>
    <n v="1350"/>
    <n v="1350"/>
    <n v="1417.5"/>
    <n v="582.5"/>
    <n v="0"/>
    <x v="10"/>
    <x v="2"/>
    <m/>
    <m/>
    <m/>
    <n v="0.29125000000000001"/>
  </r>
  <r>
    <x v="0"/>
    <x v="84"/>
    <x v="2"/>
    <x v="9"/>
    <m/>
    <m/>
    <s v="FITTINGS, STRAIGHT ORING TYPE 1/2"/>
    <s v="CA-000674"/>
    <n v="15"/>
    <n v="40"/>
    <m/>
    <n v="600"/>
    <x v="0"/>
    <n v="30"/>
    <n v="16"/>
    <n v="240"/>
    <n v="252"/>
    <n v="348"/>
    <n v="104.39999999999999"/>
    <x v="33"/>
    <x v="2"/>
    <m/>
    <m/>
    <s v=""/>
    <n v="0.57999999999999996"/>
  </r>
  <r>
    <x v="4"/>
    <x v="78"/>
    <x v="0"/>
    <x v="18"/>
    <m/>
    <m/>
    <s v="PULLEY_ASSEMBLY, TOYOTA VIOS 2017/ WIGO  6PK"/>
    <s v="CA-001788"/>
    <n v="1"/>
    <n v="2000"/>
    <m/>
    <n v="2000"/>
    <x v="0"/>
    <n v="2016"/>
    <n v="1200"/>
    <n v="1200"/>
    <n v="1260"/>
    <n v="740"/>
    <n v="0"/>
    <x v="11"/>
    <x v="2"/>
    <m/>
    <m/>
    <m/>
    <n v="0.37"/>
  </r>
  <r>
    <x v="0"/>
    <x v="10"/>
    <x v="1"/>
    <x v="3"/>
    <m/>
    <m/>
    <s v="CAPACITOR_SINGLE, PS CBB65 20 UF"/>
    <s v="GE-000065"/>
    <n v="1"/>
    <n v="360"/>
    <m/>
    <n v="360"/>
    <x v="0"/>
    <n v="239"/>
    <n v="130"/>
    <n v="130"/>
    <n v="136.5"/>
    <n v="223.5"/>
    <n v="67.05"/>
    <x v="38"/>
    <x v="1"/>
    <e v="#REF!"/>
    <e v="#REF!"/>
    <s v=""/>
    <n v="0.62083333333333335"/>
  </r>
  <r>
    <x v="0"/>
    <x v="84"/>
    <x v="2"/>
    <x v="9"/>
    <m/>
    <m/>
    <s v="FITTINGS, ELBOW ORING TYPE  1/2"/>
    <s v="CA-000658"/>
    <n v="15"/>
    <n v="40"/>
    <m/>
    <n v="600"/>
    <x v="0"/>
    <n v="27"/>
    <n v="14.5"/>
    <n v="217.5"/>
    <n v="228.375"/>
    <n v="371.625"/>
    <n v="111.4875"/>
    <x v="33"/>
    <x v="2"/>
    <m/>
    <m/>
    <s v=""/>
    <n v="0.61937500000000001"/>
  </r>
  <r>
    <x v="0"/>
    <x v="0"/>
    <x v="2"/>
    <x v="22"/>
    <m/>
    <n v="220"/>
    <s v="CABIN_FILTER, TOYOTA HI-ACE"/>
    <s v="CA-001292"/>
    <n v="2"/>
    <n v="200"/>
    <m/>
    <n v="400"/>
    <x v="0"/>
    <n v="331"/>
    <n v="105"/>
    <n v="210"/>
    <n v="220.5"/>
    <n v="179.5"/>
    <n v="53.85"/>
    <x v="12"/>
    <x v="2"/>
    <m/>
    <m/>
    <n v="224.00000000000003"/>
    <n v="0.44874999999999998"/>
  </r>
  <r>
    <x v="4"/>
    <x v="77"/>
    <x v="0"/>
    <x v="18"/>
    <m/>
    <m/>
    <s v="BLOWER_MOTOR, ISUZU CROSSWIND ('R)"/>
    <s v="CA-000168"/>
    <n v="1"/>
    <n v="2000"/>
    <m/>
    <n v="2000"/>
    <x v="0"/>
    <n v="2481"/>
    <n v="1350"/>
    <n v="1350"/>
    <n v="1417.5"/>
    <n v="582.5"/>
    <n v="0"/>
    <x v="15"/>
    <x v="2"/>
    <e v="#REF!"/>
    <e v="#REF!"/>
    <e v="#REF!"/>
    <n v="0"/>
  </r>
  <r>
    <x v="4"/>
    <x v="77"/>
    <x v="0"/>
    <x v="18"/>
    <m/>
    <m/>
    <s v="BLOWER_MOTOR, ISUZU CROSSWIND ('R)"/>
    <s v="CA-000168"/>
    <n v="1"/>
    <n v="2000"/>
    <m/>
    <n v="2000"/>
    <x v="0"/>
    <n v="2481"/>
    <n v="1350"/>
    <n v="1350"/>
    <n v="1417.5"/>
    <n v="582.5"/>
    <n v="0"/>
    <x v="15"/>
    <x v="2"/>
    <m/>
    <m/>
    <m/>
    <n v="0.29125000000000001"/>
  </r>
  <r>
    <x v="0"/>
    <x v="4"/>
    <x v="2"/>
    <x v="22"/>
    <m/>
    <n v="220"/>
    <s v="CABIN_FILTER, TOYOTA HI-ACE"/>
    <s v="CA-001292"/>
    <n v="2"/>
    <n v="200"/>
    <m/>
    <n v="400"/>
    <x v="0"/>
    <n v="331"/>
    <n v="105"/>
    <n v="210"/>
    <n v="220.5"/>
    <n v="179.5"/>
    <n v="53.85"/>
    <x v="12"/>
    <x v="2"/>
    <m/>
    <m/>
    <n v="224.00000000000003"/>
    <n v="0.44874999999999998"/>
  </r>
  <r>
    <x v="5"/>
    <x v="83"/>
    <x v="0"/>
    <x v="20"/>
    <m/>
    <m/>
    <s v="ELECTRICAL_PANEL, AMERICA NEMA 3R, 2P"/>
    <s v="GE-000418"/>
    <n v="1"/>
    <n v="500"/>
    <m/>
    <n v="500"/>
    <x v="0"/>
    <n v="478"/>
    <n v="260"/>
    <n v="260"/>
    <n v="273"/>
    <n v="227"/>
    <n v="0"/>
    <x v="39"/>
    <x v="1"/>
    <e v="#REF!"/>
    <e v="#REF!"/>
    <s v=""/>
    <n v="0.45400000000000001"/>
  </r>
  <r>
    <x v="3"/>
    <x v="119"/>
    <x v="5"/>
    <x v="37"/>
    <m/>
    <m/>
    <s v="ELECTRICAL WIRE_STRANDED, POWERFLEX THNN STRANDED   #12, MTR"/>
    <s v="GE-000120"/>
    <n v="49"/>
    <n v="45"/>
    <m/>
    <n v="2205"/>
    <x v="0"/>
    <n v="50"/>
    <n v="27"/>
    <n v="1323"/>
    <n v="1389.15"/>
    <n v="815.84999999999991"/>
    <n v="244.75499999999997"/>
    <x v="2"/>
    <x v="1"/>
    <m/>
    <m/>
    <s v=""/>
    <n v="0.36999999999999994"/>
  </r>
  <r>
    <x v="2"/>
    <x v="117"/>
    <x v="0"/>
    <x v="72"/>
    <m/>
    <m/>
    <s v="EXP. VALVE LT, POKKA 9A133 G-STAREX"/>
    <s v="CA-000631"/>
    <n v="4"/>
    <n v="600"/>
    <m/>
    <n v="2400"/>
    <x v="0"/>
    <n v="607"/>
    <n v="330"/>
    <n v="1320"/>
    <n v="1386"/>
    <n v="1014"/>
    <n v="0"/>
    <x v="23"/>
    <x v="2"/>
    <e v="#REF!"/>
    <e v="#REF!"/>
    <s v=""/>
    <n v="0.42249999999999999"/>
  </r>
  <r>
    <x v="0"/>
    <x v="43"/>
    <x v="0"/>
    <x v="8"/>
    <m/>
    <m/>
    <s v="BLOWER_MOTOR, HYUNDAI STAREX"/>
    <s v="CA-000163"/>
    <n v="1"/>
    <n v="2000"/>
    <m/>
    <n v="2000"/>
    <x v="0"/>
    <n v="2417"/>
    <n v="1315"/>
    <n v="1315"/>
    <n v="1380.75"/>
    <n v="619.25"/>
    <n v="0"/>
    <x v="15"/>
    <x v="2"/>
    <e v="#REF!"/>
    <e v="#REF!"/>
    <s v=""/>
    <n v="0.30962499999999998"/>
  </r>
  <r>
    <x v="1"/>
    <x v="19"/>
    <x v="0"/>
    <x v="18"/>
    <m/>
    <m/>
    <s v="BLOWER_MOTOR, HYUNDAI STAREX"/>
    <s v="CA-000163"/>
    <n v="1"/>
    <n v="1900"/>
    <m/>
    <n v="1900"/>
    <x v="0"/>
    <n v="2417"/>
    <n v="1315"/>
    <n v="1315"/>
    <n v="1380.75"/>
    <n v="519.25"/>
    <n v="0"/>
    <x v="15"/>
    <x v="2"/>
    <e v="#REF!"/>
    <e v="#REF!"/>
    <s v=""/>
    <n v="0.27328947368421053"/>
  </r>
  <r>
    <x v="1"/>
    <x v="22"/>
    <x v="0"/>
    <x v="1"/>
    <m/>
    <m/>
    <s v="RUBBER_INSULATION, M-FLEX 3/4&quot; 5/8"/>
    <s v="IM-000331"/>
    <n v="15"/>
    <n v="125"/>
    <m/>
    <n v="1875"/>
    <x v="0"/>
    <n v="140"/>
    <n v="100"/>
    <n v="1500"/>
    <n v="1545"/>
    <n v="330"/>
    <n v="0"/>
    <x v="22"/>
    <x v="0"/>
    <e v="#REF!"/>
    <e v="#REF!"/>
    <e v="#REF!"/>
    <n v="0.17599999999999999"/>
  </r>
  <r>
    <x v="0"/>
    <x v="120"/>
    <x v="2"/>
    <x v="22"/>
    <m/>
    <n v="220"/>
    <s v="CABIN_FILTER, TOYOTA HI-ACE"/>
    <s v="CA-001292"/>
    <n v="2"/>
    <n v="200"/>
    <m/>
    <n v="400"/>
    <x v="0"/>
    <n v="331"/>
    <n v="105"/>
    <n v="210"/>
    <n v="220.5"/>
    <n v="179.5"/>
    <n v="53.85"/>
    <x v="12"/>
    <x v="2"/>
    <e v="#REF!"/>
    <e v="#REF!"/>
    <n v="224.00000000000003"/>
    <n v="0.44874999999999998"/>
  </r>
  <r>
    <x v="0"/>
    <x v="0"/>
    <x v="2"/>
    <x v="22"/>
    <m/>
    <n v="350"/>
    <s v="CABIN_FILTER, MAZDA 3"/>
    <s v="CA-001697"/>
    <n v="1"/>
    <n v="315"/>
    <m/>
    <n v="315"/>
    <x v="0"/>
    <n v="567"/>
    <n v="180"/>
    <n v="180"/>
    <n v="189"/>
    <n v="126"/>
    <n v="37.799999999999997"/>
    <x v="12"/>
    <x v="2"/>
    <m/>
    <m/>
    <n v="352.8"/>
    <n v="0.4"/>
  </r>
  <r>
    <x v="0"/>
    <x v="0"/>
    <x v="2"/>
    <x v="22"/>
    <m/>
    <m/>
    <s v="LUBRICANT, EMKARATE RL 68H, 1 LITER"/>
    <s v="GE-000135"/>
    <n v="1"/>
    <n v="380"/>
    <m/>
    <n v="380"/>
    <x v="0"/>
    <n v="331"/>
    <n v="180"/>
    <n v="180"/>
    <n v="189"/>
    <n v="191"/>
    <n v="57.3"/>
    <x v="9"/>
    <x v="1"/>
    <m/>
    <m/>
    <m/>
    <n v="0.50263157894736843"/>
  </r>
  <r>
    <x v="0"/>
    <x v="2"/>
    <x v="0"/>
    <x v="36"/>
    <m/>
    <m/>
    <s v="LUBRICANT, EMKARATE RL 68H, 1 LITER"/>
    <s v="GE-000135"/>
    <n v="1"/>
    <n v="450"/>
    <m/>
    <n v="450"/>
    <x v="0"/>
    <n v="331"/>
    <n v="180"/>
    <n v="180"/>
    <n v="189"/>
    <n v="261"/>
    <n v="0"/>
    <x v="9"/>
    <x v="1"/>
    <m/>
    <m/>
    <s v=""/>
    <n v="0.57999999999999996"/>
  </r>
  <r>
    <x v="0"/>
    <x v="6"/>
    <x v="2"/>
    <x v="22"/>
    <m/>
    <n v="350"/>
    <s v="CABIN_FILTER, MITSUBISHI MONTERO OLD"/>
    <s v="CA-001704"/>
    <n v="1"/>
    <n v="315"/>
    <m/>
    <n v="315"/>
    <x v="0"/>
    <n v="567"/>
    <n v="180"/>
    <n v="180"/>
    <n v="189"/>
    <n v="126"/>
    <n v="37.799999999999997"/>
    <x v="12"/>
    <x v="2"/>
    <m/>
    <m/>
    <n v="352.8"/>
    <n v="0.4"/>
  </r>
  <r>
    <x v="1"/>
    <x v="14"/>
    <x v="0"/>
    <x v="18"/>
    <m/>
    <m/>
    <s v="EVAPORATOR, ISUZU MUX/D-MAX 2013"/>
    <s v="CA-000500"/>
    <n v="1"/>
    <n v="2000"/>
    <m/>
    <n v="2000"/>
    <x v="0"/>
    <n v="2481"/>
    <n v="1350"/>
    <n v="1350"/>
    <n v="1417.5"/>
    <n v="582.5"/>
    <n v="0"/>
    <x v="10"/>
    <x v="2"/>
    <m/>
    <m/>
    <s v=""/>
    <n v="0.29125000000000001"/>
  </r>
  <r>
    <x v="0"/>
    <x v="6"/>
    <x v="2"/>
    <x v="22"/>
    <m/>
    <m/>
    <s v="LUBRICANT, EMKARATE RL 68H, 1 LITER"/>
    <s v="GE-000135"/>
    <n v="1"/>
    <n v="380"/>
    <m/>
    <n v="380"/>
    <x v="0"/>
    <n v="331"/>
    <n v="180"/>
    <n v="180"/>
    <n v="189"/>
    <n v="191"/>
    <n v="57.3"/>
    <x v="9"/>
    <x v="1"/>
    <m/>
    <m/>
    <s v=""/>
    <n v="0.50263157894736843"/>
  </r>
  <r>
    <x v="0"/>
    <x v="12"/>
    <x v="1"/>
    <x v="3"/>
    <m/>
    <m/>
    <s v="AUXIALLIARY_FAN, POKKA 14 BLADES X 24VOLTS"/>
    <s v="CA-000113"/>
    <n v="1"/>
    <n v="700"/>
    <m/>
    <n v="700"/>
    <x v="0"/>
    <n v="882"/>
    <n v="480"/>
    <n v="480"/>
    <n v="504"/>
    <n v="196"/>
    <n v="58.8"/>
    <x v="16"/>
    <x v="2"/>
    <e v="#REF!"/>
    <e v="#REF!"/>
    <s v=""/>
    <n v="0.28000000000000003"/>
  </r>
  <r>
    <x v="0"/>
    <x v="13"/>
    <x v="2"/>
    <x v="7"/>
    <m/>
    <m/>
    <s v="LUBRICANT, EMKARATE RL 68H, 1 LITER"/>
    <s v="GE-000135"/>
    <n v="1"/>
    <n v="450"/>
    <m/>
    <n v="450"/>
    <x v="0"/>
    <n v="331"/>
    <n v="180"/>
    <n v="180"/>
    <n v="189"/>
    <n v="261"/>
    <n v="78.3"/>
    <x v="9"/>
    <x v="1"/>
    <e v="#REF!"/>
    <e v="#REF!"/>
    <s v=""/>
    <n v="0.57999999999999996"/>
  </r>
  <r>
    <x v="0"/>
    <x v="3"/>
    <x v="2"/>
    <x v="22"/>
    <m/>
    <n v="75"/>
    <s v="CHARGING_VALVE,  HIGH"/>
    <s v="GE-000119"/>
    <n v="5"/>
    <n v="70"/>
    <m/>
    <n v="350"/>
    <x v="0"/>
    <n v="92"/>
    <n v="35"/>
    <n v="175"/>
    <n v="183.75"/>
    <n v="166.25"/>
    <n v="49.875"/>
    <x v="40"/>
    <x v="1"/>
    <m/>
    <m/>
    <n v="78.400000000000006"/>
    <n v="0.47499999999999998"/>
  </r>
  <r>
    <x v="0"/>
    <x v="3"/>
    <x v="2"/>
    <x v="22"/>
    <m/>
    <n v="75"/>
    <s v="CHARGING_VALVE,  LOW"/>
    <s v="GE-000092"/>
    <n v="5"/>
    <n v="70"/>
    <m/>
    <n v="350"/>
    <x v="0"/>
    <n v="92"/>
    <n v="35"/>
    <n v="175"/>
    <n v="183.75"/>
    <n v="166.25"/>
    <n v="49.875"/>
    <x v="40"/>
    <x v="1"/>
    <m/>
    <m/>
    <n v="78.400000000000006"/>
    <n v="0.47499999999999998"/>
  </r>
  <r>
    <x v="0"/>
    <x v="0"/>
    <x v="2"/>
    <x v="22"/>
    <m/>
    <n v="300"/>
    <s v="CABIN_FILTER, MITSUBISHI MIRAGE"/>
    <s v="CA-001702"/>
    <n v="1"/>
    <n v="270"/>
    <m/>
    <n v="270"/>
    <x v="0"/>
    <n v="473"/>
    <n v="150"/>
    <n v="150"/>
    <n v="157.5"/>
    <n v="112.5"/>
    <n v="33.75"/>
    <x v="12"/>
    <x v="2"/>
    <m/>
    <m/>
    <n v="302.40000000000003"/>
    <n v="0.41666666666666669"/>
  </r>
  <r>
    <x v="0"/>
    <x v="12"/>
    <x v="0"/>
    <x v="18"/>
    <m/>
    <m/>
    <s v="EVAPORATOR, MITSUBISHI ADVENTURE LAM  (STAL)"/>
    <s v="CA-001719"/>
    <n v="1"/>
    <n v="2100"/>
    <m/>
    <n v="2100"/>
    <x v="0"/>
    <n v="2536"/>
    <n v="1380"/>
    <n v="1380"/>
    <n v="1449"/>
    <n v="651"/>
    <n v="0"/>
    <x v="10"/>
    <x v="2"/>
    <e v="#REF!"/>
    <e v="#REF!"/>
    <s v=""/>
    <n v="0.31"/>
  </r>
  <r>
    <x v="0"/>
    <x v="4"/>
    <x v="2"/>
    <x v="22"/>
    <m/>
    <n v="250"/>
    <s v="TAPE, EVER SEAL CORK TAPE"/>
    <s v="GE-000344"/>
    <n v="1"/>
    <n v="225"/>
    <m/>
    <n v="225"/>
    <x v="0"/>
    <n v="226"/>
    <n v="130"/>
    <n v="130"/>
    <n v="136.5"/>
    <n v="88.5"/>
    <n v="26.55"/>
    <x v="41"/>
    <x v="1"/>
    <m/>
    <m/>
    <n v="252.00000000000003"/>
    <n v="0.39333333333333331"/>
  </r>
  <r>
    <x v="0"/>
    <x v="12"/>
    <x v="0"/>
    <x v="8"/>
    <m/>
    <m/>
    <s v="BLOWER_MOTOR, TOYOTA INNOVA OLD F"/>
    <s v="CA-000227"/>
    <n v="1"/>
    <n v="2000"/>
    <m/>
    <n v="2000"/>
    <x v="0"/>
    <n v="2389"/>
    <n v="1300"/>
    <n v="1300"/>
    <n v="1365"/>
    <n v="635"/>
    <n v="0"/>
    <x v="15"/>
    <x v="2"/>
    <e v="#REF!"/>
    <e v="#REF!"/>
    <s v=""/>
    <n v="0.3175"/>
  </r>
  <r>
    <x v="0"/>
    <x v="13"/>
    <x v="0"/>
    <x v="48"/>
    <m/>
    <m/>
    <s v="EVAPORATOR, TOYOTA WIGO 16-21"/>
    <s v="CA-001497"/>
    <n v="1"/>
    <n v="2100"/>
    <m/>
    <n v="2100"/>
    <x v="0"/>
    <n v="2389"/>
    <n v="1300"/>
    <n v="1300"/>
    <n v="1365"/>
    <n v="735"/>
    <n v="0"/>
    <x v="10"/>
    <x v="2"/>
    <e v="#REF!"/>
    <e v="#REF!"/>
    <s v=""/>
    <n v="0.35"/>
  </r>
  <r>
    <x v="0"/>
    <x v="84"/>
    <x v="3"/>
    <x v="12"/>
    <m/>
    <m/>
    <s v="SYSTEM_CLEANER, Cleanse GREEN 141B 500 ML"/>
    <s v="GE-000369"/>
    <n v="2"/>
    <n v="120"/>
    <m/>
    <n v="240"/>
    <x v="0"/>
    <n v="113"/>
    <n v="65"/>
    <n v="130"/>
    <n v="136.5"/>
    <n v="103.5"/>
    <n v="31.049999999999997"/>
    <x v="28"/>
    <x v="1"/>
    <m/>
    <m/>
    <s v=""/>
    <n v="0.43125000000000002"/>
  </r>
  <r>
    <x v="1"/>
    <x v="14"/>
    <x v="0"/>
    <x v="11"/>
    <m/>
    <m/>
    <s v="BLOWER_MOTOR, TOYOTA VIOS BATMAN/ AVANZA"/>
    <s v="CA-000230"/>
    <n v="1"/>
    <n v="1900"/>
    <m/>
    <n v="1900"/>
    <x v="0"/>
    <n v="2389"/>
    <n v="1300"/>
    <n v="1300"/>
    <n v="1365"/>
    <n v="535"/>
    <n v="0"/>
    <x v="15"/>
    <x v="2"/>
    <e v="#REF!"/>
    <e v="#REF!"/>
    <s v=""/>
    <n v="0.28157894736842104"/>
  </r>
  <r>
    <x v="0"/>
    <x v="6"/>
    <x v="2"/>
    <x v="22"/>
    <m/>
    <n v="12"/>
    <s v="FERULLE,  1/2&quot;"/>
    <s v="CA-000644"/>
    <n v="20"/>
    <n v="11"/>
    <m/>
    <n v="220"/>
    <x v="0"/>
    <n v="13"/>
    <n v="7"/>
    <n v="140"/>
    <n v="147"/>
    <n v="73"/>
    <n v="21.9"/>
    <x v="42"/>
    <x v="2"/>
    <m/>
    <m/>
    <n v="12.32"/>
    <n v="0.33181818181818185"/>
  </r>
  <r>
    <x v="1"/>
    <x v="15"/>
    <x v="0"/>
    <x v="1"/>
    <m/>
    <m/>
    <s v="EVAPORATOR, TOYOTA VIOS 2008  (BATMAN) 40A29"/>
    <s v="CA-000552"/>
    <n v="1"/>
    <n v="1900"/>
    <m/>
    <n v="1900"/>
    <x v="0"/>
    <n v="2389"/>
    <n v="1300"/>
    <n v="1300"/>
    <n v="1365"/>
    <n v="535"/>
    <n v="0"/>
    <x v="10"/>
    <x v="2"/>
    <e v="#REF!"/>
    <e v="#REF!"/>
    <s v=""/>
    <n v="0.28157894736842104"/>
  </r>
  <r>
    <x v="1"/>
    <x v="121"/>
    <x v="10"/>
    <x v="82"/>
    <m/>
    <m/>
    <s v="BLOWER_MOTOR, TOYOTA VIOS BATMAN/ AVANZA"/>
    <s v="CA-000230"/>
    <n v="1"/>
    <n v="1800"/>
    <m/>
    <n v="1800"/>
    <x v="0"/>
    <n v="2389"/>
    <n v="1300"/>
    <n v="1300"/>
    <n v="1365"/>
    <n v="435"/>
    <n v="130.5"/>
    <x v="15"/>
    <x v="2"/>
    <e v="#REF!"/>
    <e v="#REF!"/>
    <s v=""/>
    <n v="0.24166666666666667"/>
  </r>
  <r>
    <x v="0"/>
    <x v="6"/>
    <x v="2"/>
    <x v="22"/>
    <m/>
    <n v="12"/>
    <s v="FERULLE,  5/8&quot;"/>
    <s v="CA-000646"/>
    <n v="20"/>
    <n v="11"/>
    <m/>
    <n v="220"/>
    <x v="0"/>
    <n v="13"/>
    <n v="7"/>
    <n v="140"/>
    <n v="147"/>
    <n v="73"/>
    <n v="21.9"/>
    <x v="42"/>
    <x v="2"/>
    <m/>
    <m/>
    <n v="12.32"/>
    <n v="0.33181818181818185"/>
  </r>
  <r>
    <x v="0"/>
    <x v="13"/>
    <x v="2"/>
    <x v="9"/>
    <m/>
    <m/>
    <s v="TAPE, EVER SEAL CORK TAPE"/>
    <s v="GE-000344"/>
    <n v="1"/>
    <n v="260"/>
    <m/>
    <n v="260"/>
    <x v="0"/>
    <n v="226"/>
    <n v="130"/>
    <n v="130"/>
    <n v="136.5"/>
    <n v="123.5"/>
    <n v="37.049999999999997"/>
    <x v="41"/>
    <x v="1"/>
    <e v="#REF!"/>
    <e v="#REF!"/>
    <s v=""/>
    <n v="0.47499999999999998"/>
  </r>
  <r>
    <x v="1"/>
    <x v="18"/>
    <x v="0"/>
    <x v="84"/>
    <m/>
    <m/>
    <s v="BLOWER_MOTOR, MITSUBISHI MIRAGE"/>
    <s v="CA-001727"/>
    <n v="1"/>
    <n v="1900"/>
    <m/>
    <n v="1900"/>
    <x v="0"/>
    <n v="2389"/>
    <n v="1300"/>
    <n v="1300"/>
    <n v="1365"/>
    <n v="535"/>
    <n v="0"/>
    <x v="15"/>
    <x v="2"/>
    <e v="#REF!"/>
    <e v="#REF!"/>
    <s v=""/>
    <n v="0.28157894736842104"/>
  </r>
  <r>
    <x v="0"/>
    <x v="84"/>
    <x v="3"/>
    <x v="12"/>
    <m/>
    <n v="350"/>
    <s v="CABIN_FILTER, HONDA CRV 2 IN 1"/>
    <s v="CA-001677"/>
    <n v="1"/>
    <n v="315"/>
    <m/>
    <n v="315"/>
    <x v="0"/>
    <n v="378"/>
    <n v="120"/>
    <n v="120"/>
    <n v="126"/>
    <n v="189"/>
    <n v="56.699999999999996"/>
    <x v="12"/>
    <x v="2"/>
    <m/>
    <m/>
    <n v="352.8"/>
    <n v="0.6"/>
  </r>
  <r>
    <x v="1"/>
    <x v="76"/>
    <x v="0"/>
    <x v="8"/>
    <m/>
    <m/>
    <s v="BLOWER_MOTOR, TOYOTA VIOS SUPERMAN"/>
    <s v="CA-000233"/>
    <n v="1"/>
    <n v="1900"/>
    <m/>
    <n v="1900"/>
    <x v="0"/>
    <n v="2389"/>
    <n v="1300"/>
    <n v="1300"/>
    <n v="1365"/>
    <n v="535"/>
    <n v="0"/>
    <x v="15"/>
    <x v="2"/>
    <e v="#REF!"/>
    <e v="#REF!"/>
    <s v=""/>
    <n v="0.28157894736842104"/>
  </r>
  <r>
    <x v="0"/>
    <x v="13"/>
    <x v="2"/>
    <x v="9"/>
    <m/>
    <m/>
    <s v="TAPE_FOAM, POKKA 5MM X 50 MM X 9.1 MTR"/>
    <s v="IM-000106"/>
    <n v="1"/>
    <n v="260"/>
    <m/>
    <n v="260"/>
    <x v="0"/>
    <n v="194"/>
    <n v="125"/>
    <n v="125"/>
    <n v="128.75"/>
    <n v="131.25"/>
    <n v="39.375"/>
    <x v="25"/>
    <x v="0"/>
    <e v="#REF!"/>
    <e v="#REF!"/>
    <s v=""/>
    <n v="0.50480769230769229"/>
  </r>
  <r>
    <x v="1"/>
    <x v="109"/>
    <x v="0"/>
    <x v="71"/>
    <m/>
    <m/>
    <s v="BLOWER_MOTOR, TOYOTA INNOVA OLD F"/>
    <s v="CA-000227"/>
    <n v="1"/>
    <n v="1900"/>
    <m/>
    <n v="1900"/>
    <x v="0"/>
    <n v="2389"/>
    <n v="1300"/>
    <n v="1300"/>
    <n v="1365"/>
    <n v="535"/>
    <n v="0"/>
    <x v="15"/>
    <x v="2"/>
    <e v="#REF!"/>
    <e v="#REF!"/>
    <e v="#REF!"/>
    <n v="0.28157894736842104"/>
  </r>
  <r>
    <x v="1"/>
    <x v="109"/>
    <x v="0"/>
    <x v="84"/>
    <m/>
    <m/>
    <s v="BLOWER_MOTOR, ISUZU D-MAX 2013 / MUX"/>
    <s v="CA-000171"/>
    <n v="1"/>
    <n v="1900"/>
    <m/>
    <n v="1900"/>
    <x v="0"/>
    <n v="2389"/>
    <n v="1300"/>
    <n v="1300"/>
    <n v="1365"/>
    <n v="535"/>
    <n v="0"/>
    <x v="15"/>
    <x v="2"/>
    <e v="#REF!"/>
    <e v="#REF!"/>
    <e v="#REF!"/>
    <n v="0.28157894736842104"/>
  </r>
  <r>
    <x v="0"/>
    <x v="31"/>
    <x v="2"/>
    <x v="7"/>
    <m/>
    <m/>
    <s v="RESISTOR_BLOCK, HONDA CIVIC  YL - 7511"/>
    <s v="CA-001150"/>
    <n v="1"/>
    <n v="600"/>
    <m/>
    <n v="600"/>
    <x v="0"/>
    <n v="1000"/>
    <n v="110"/>
    <n v="110"/>
    <n v="115.5"/>
    <n v="484.5"/>
    <n v="145.35"/>
    <x v="43"/>
    <x v="2"/>
    <m/>
    <m/>
    <m/>
    <n v="0.8075"/>
  </r>
  <r>
    <x v="1"/>
    <x v="30"/>
    <x v="0"/>
    <x v="84"/>
    <m/>
    <m/>
    <s v="BLOWER_MOTOR, TOYOTA INNOVA OLD F"/>
    <s v="CA-000227"/>
    <n v="1"/>
    <n v="1900"/>
    <m/>
    <n v="1900"/>
    <x v="0"/>
    <n v="2389"/>
    <n v="1300"/>
    <n v="1300"/>
    <n v="1365"/>
    <n v="535"/>
    <n v="0"/>
    <x v="15"/>
    <x v="2"/>
    <e v="#REF!"/>
    <e v="#REF!"/>
    <e v="#REF!"/>
    <n v="0.28157894736842104"/>
  </r>
  <r>
    <x v="0"/>
    <x v="6"/>
    <x v="2"/>
    <x v="22"/>
    <m/>
    <n v="220"/>
    <s v="CABIN_FILTER, TOYOTA HI-ACE"/>
    <s v="CA-001292"/>
    <n v="1"/>
    <n v="200"/>
    <m/>
    <n v="200"/>
    <x v="0"/>
    <n v="331"/>
    <n v="105"/>
    <n v="105"/>
    <n v="110.25"/>
    <n v="89.75"/>
    <n v="26.925000000000001"/>
    <x v="12"/>
    <x v="2"/>
    <m/>
    <m/>
    <n v="224.00000000000003"/>
    <n v="0.44874999999999998"/>
  </r>
  <r>
    <x v="0"/>
    <x v="0"/>
    <x v="2"/>
    <x v="22"/>
    <m/>
    <n v="220"/>
    <s v="CABIN_FILTER, HONDA MEDIUM"/>
    <s v="CA-001679"/>
    <n v="1"/>
    <n v="200"/>
    <m/>
    <n v="200"/>
    <x v="0"/>
    <n v="315"/>
    <n v="100"/>
    <n v="100"/>
    <n v="105"/>
    <n v="95"/>
    <n v="28.5"/>
    <x v="12"/>
    <x v="2"/>
    <m/>
    <m/>
    <n v="224.00000000000003"/>
    <n v="0.47499999999999998"/>
  </r>
  <r>
    <x v="0"/>
    <x v="0"/>
    <x v="2"/>
    <x v="22"/>
    <m/>
    <n v="220"/>
    <s v="CABIN_FILTER, FORD ECOSPORT"/>
    <s v="CA-001668"/>
    <n v="1"/>
    <n v="200"/>
    <m/>
    <n v="200"/>
    <x v="0"/>
    <n v="315"/>
    <n v="100"/>
    <n v="100"/>
    <n v="105"/>
    <n v="95"/>
    <n v="28.5"/>
    <x v="12"/>
    <x v="2"/>
    <m/>
    <m/>
    <n v="224.00000000000003"/>
    <n v="0.47499999999999998"/>
  </r>
  <r>
    <x v="0"/>
    <x v="0"/>
    <x v="2"/>
    <x v="22"/>
    <m/>
    <n v="220"/>
    <s v="CABIN_FILTER, NISSAN ALMERA"/>
    <s v="CA-001707"/>
    <n v="1"/>
    <n v="200"/>
    <m/>
    <n v="200"/>
    <x v="0"/>
    <n v="315"/>
    <n v="100"/>
    <n v="100"/>
    <n v="105"/>
    <n v="95"/>
    <n v="28.5"/>
    <x v="12"/>
    <x v="2"/>
    <m/>
    <m/>
    <n v="224.00000000000003"/>
    <n v="0.47499999999999998"/>
  </r>
  <r>
    <x v="0"/>
    <x v="6"/>
    <x v="2"/>
    <x v="22"/>
    <m/>
    <n v="220"/>
    <s v="CABIN_FILTER, HYUNDAI ACCENT 2013"/>
    <s v="CA-001681"/>
    <n v="1"/>
    <n v="200"/>
    <m/>
    <n v="200"/>
    <x v="0"/>
    <n v="315"/>
    <n v="100"/>
    <n v="100"/>
    <n v="105"/>
    <n v="95"/>
    <n v="28.5"/>
    <x v="12"/>
    <x v="2"/>
    <m/>
    <m/>
    <n v="224.00000000000003"/>
    <n v="0.47499999999999998"/>
  </r>
  <r>
    <x v="1"/>
    <x v="32"/>
    <x v="0"/>
    <x v="8"/>
    <m/>
    <m/>
    <s v="BLOWER_MOTOR, TOYOTA VIOS SUPERMAN"/>
    <s v="CA-000233"/>
    <n v="1"/>
    <n v="1900"/>
    <m/>
    <n v="1900"/>
    <x v="0"/>
    <n v="2389"/>
    <n v="1300"/>
    <n v="1300"/>
    <n v="1365"/>
    <n v="535"/>
    <n v="0"/>
    <x v="15"/>
    <x v="2"/>
    <e v="#REF!"/>
    <e v="#REF!"/>
    <e v="#REF!"/>
    <n v="0.28157894736842104"/>
  </r>
  <r>
    <x v="1"/>
    <x v="32"/>
    <x v="0"/>
    <x v="18"/>
    <m/>
    <m/>
    <s v="EVAPORATOR, MITSUBISHI ADVENTURE LAM  (STAL)"/>
    <s v="CA-001719"/>
    <n v="1"/>
    <n v="2100"/>
    <m/>
    <n v="2100"/>
    <x v="0"/>
    <n v="2536"/>
    <n v="1380"/>
    <n v="1380"/>
    <n v="1449"/>
    <n v="651"/>
    <n v="0"/>
    <x v="10"/>
    <x v="2"/>
    <e v="#REF!"/>
    <e v="#REF!"/>
    <e v="#REF!"/>
    <n v="0.31"/>
  </r>
  <r>
    <x v="0"/>
    <x v="10"/>
    <x v="2"/>
    <x v="22"/>
    <m/>
    <n v="220"/>
    <s v="CABIN_FILTER, HYUNDAI ACCENT 2013"/>
    <s v="CA-001681"/>
    <n v="1"/>
    <n v="200"/>
    <m/>
    <n v="200"/>
    <x v="0"/>
    <n v="315"/>
    <n v="100"/>
    <n v="100"/>
    <n v="105"/>
    <n v="95"/>
    <n v="28.5"/>
    <x v="12"/>
    <x v="2"/>
    <e v="#REF!"/>
    <e v="#REF!"/>
    <n v="224.00000000000003"/>
    <n v="0.47499999999999998"/>
  </r>
  <r>
    <x v="1"/>
    <x v="34"/>
    <x v="0"/>
    <x v="10"/>
    <m/>
    <m/>
    <s v="BLOWER_MOTOR, MITSUBISHI L300"/>
    <s v="CA-000187"/>
    <n v="1"/>
    <n v="1900"/>
    <m/>
    <n v="1900"/>
    <x v="0"/>
    <n v="2389"/>
    <n v="1300"/>
    <n v="1300"/>
    <n v="1365"/>
    <n v="535"/>
    <n v="0"/>
    <x v="15"/>
    <x v="2"/>
    <e v="#REF!"/>
    <e v="#REF!"/>
    <e v="#REF!"/>
    <n v="0"/>
  </r>
  <r>
    <x v="0"/>
    <x v="9"/>
    <x v="2"/>
    <x v="22"/>
    <m/>
    <n v="220"/>
    <s v="CABIN_FILTER, TOYOTA INNOVA"/>
    <s v="CA-001294"/>
    <n v="1"/>
    <n v="200"/>
    <m/>
    <n v="200"/>
    <x v="0"/>
    <n v="315"/>
    <n v="100"/>
    <n v="100"/>
    <n v="105"/>
    <n v="95"/>
    <n v="28.5"/>
    <x v="12"/>
    <x v="2"/>
    <e v="#REF!"/>
    <e v="#REF!"/>
    <n v="224.00000000000003"/>
    <n v="0.47499999999999998"/>
  </r>
  <r>
    <x v="0"/>
    <x v="10"/>
    <x v="2"/>
    <x v="7"/>
    <m/>
    <n v="200"/>
    <s v="SILICA_GEL, STAL LONG"/>
    <s v="CA-001637"/>
    <n v="3"/>
    <n v="180"/>
    <m/>
    <n v="540"/>
    <x v="0"/>
    <n v="50"/>
    <n v="25"/>
    <n v="75"/>
    <n v="78.75"/>
    <n v="461.25"/>
    <n v="138.375"/>
    <x v="37"/>
    <x v="2"/>
    <e v="#REF!"/>
    <e v="#REF!"/>
    <n v="201.60000000000002"/>
    <n v="0.85416666666666663"/>
  </r>
  <r>
    <x v="0"/>
    <x v="0"/>
    <x v="2"/>
    <x v="22"/>
    <m/>
    <n v="200"/>
    <s v="O_RING, NEK MAKAPAL 5/8"/>
    <s v="CA-000843"/>
    <n v="1"/>
    <n v="180"/>
    <m/>
    <n v="180"/>
    <x v="0"/>
    <n v="111"/>
    <n v="60"/>
    <n v="60"/>
    <n v="63"/>
    <n v="117"/>
    <n v="35.1"/>
    <x v="44"/>
    <x v="2"/>
    <m/>
    <m/>
    <n v="201.60000000000002"/>
    <n v="0.65"/>
  </r>
  <r>
    <x v="2"/>
    <x v="37"/>
    <x v="0"/>
    <x v="18"/>
    <m/>
    <n v="2100"/>
    <s v="EVAPORATOR, MITSUBISHI ADVENTURE LAM  (STAL)"/>
    <s v="CA-001719"/>
    <n v="1"/>
    <n v="1875"/>
    <m/>
    <n v="1875"/>
    <x v="0"/>
    <n v="2536"/>
    <n v="1380"/>
    <n v="1380"/>
    <n v="1449"/>
    <n v="426"/>
    <n v="0"/>
    <x v="10"/>
    <x v="2"/>
    <e v="#REF!"/>
    <e v="#REF!"/>
    <n v="2100"/>
    <n v="0.22720000000000001"/>
  </r>
  <r>
    <x v="0"/>
    <x v="0"/>
    <x v="2"/>
    <x v="22"/>
    <m/>
    <n v="200"/>
    <s v="O_RING, NEK MAKAPAL 1/2"/>
    <s v="CA-000840"/>
    <n v="1"/>
    <n v="180"/>
    <m/>
    <n v="180"/>
    <x v="0"/>
    <n v="111"/>
    <n v="60"/>
    <n v="60"/>
    <n v="63"/>
    <n v="117"/>
    <n v="35.1"/>
    <x v="44"/>
    <x v="2"/>
    <m/>
    <m/>
    <n v="201.60000000000002"/>
    <n v="0.65"/>
  </r>
  <r>
    <x v="2"/>
    <x v="38"/>
    <x v="0"/>
    <x v="17"/>
    <m/>
    <m/>
    <s v="EVAPORATOR, TOYOTA WIGO 16-21"/>
    <s v="CA-001497"/>
    <n v="1"/>
    <n v="2100"/>
    <m/>
    <n v="2100"/>
    <x v="0"/>
    <n v="2389"/>
    <n v="1300"/>
    <n v="1300"/>
    <n v="1365"/>
    <n v="735"/>
    <n v="0"/>
    <x v="10"/>
    <x v="2"/>
    <e v="#REF!"/>
    <e v="#REF!"/>
    <s v=""/>
    <n v="0.35"/>
  </r>
  <r>
    <x v="2"/>
    <x v="39"/>
    <x v="0"/>
    <x v="11"/>
    <m/>
    <m/>
    <s v="PULLEY_ASSEMBLY, TOYOTA VIOS 08 4PK"/>
    <s v="CA-001075"/>
    <n v="1"/>
    <n v="1900"/>
    <m/>
    <n v="1900"/>
    <x v="0"/>
    <n v="2184"/>
    <n v="1300"/>
    <n v="1300"/>
    <n v="1365"/>
    <n v="535"/>
    <n v="0"/>
    <x v="11"/>
    <x v="2"/>
    <e v="#REF!"/>
    <e v="#REF!"/>
    <s v=""/>
    <n v="0.28157894736842104"/>
  </r>
  <r>
    <x v="2"/>
    <x v="39"/>
    <x v="0"/>
    <x v="17"/>
    <m/>
    <m/>
    <s v="BLOWER_MOTOR, TOYOTA VIOS BATMAN/ AVANZA"/>
    <s v="CA-000230"/>
    <n v="1"/>
    <n v="1900"/>
    <m/>
    <n v="1900"/>
    <x v="0"/>
    <n v="2389"/>
    <n v="1300"/>
    <n v="1300"/>
    <n v="1365"/>
    <n v="535"/>
    <n v="0"/>
    <x v="15"/>
    <x v="2"/>
    <e v="#REF!"/>
    <e v="#REF!"/>
    <s v=""/>
    <n v="0.28157894736842104"/>
  </r>
  <r>
    <x v="2"/>
    <x v="39"/>
    <x v="0"/>
    <x v="85"/>
    <m/>
    <m/>
    <s v="BLOWER_MOTOR, TOYOTA VIOS BATMAN/ AVANZA"/>
    <s v="CA-000230"/>
    <n v="1"/>
    <n v="1900"/>
    <m/>
    <n v="1900"/>
    <x v="0"/>
    <n v="2389"/>
    <n v="1300"/>
    <n v="1300"/>
    <n v="1365"/>
    <n v="535"/>
    <n v="0"/>
    <x v="15"/>
    <x v="2"/>
    <e v="#REF!"/>
    <e v="#REF!"/>
    <s v=""/>
    <n v="0.28157894736842104"/>
  </r>
  <r>
    <x v="2"/>
    <x v="39"/>
    <x v="0"/>
    <x v="78"/>
    <m/>
    <m/>
    <s v="EVAPORATOR, MITSUBISHI ADVENTURE LAM  (STAL)"/>
    <s v="CA-001719"/>
    <n v="1"/>
    <n v="2000"/>
    <m/>
    <n v="2000"/>
    <x v="0"/>
    <n v="2536"/>
    <n v="1380"/>
    <n v="1380"/>
    <n v="1449"/>
    <n v="551"/>
    <n v="0"/>
    <x v="10"/>
    <x v="2"/>
    <e v="#REF!"/>
    <e v="#REF!"/>
    <s v=""/>
    <n v="0.27550000000000002"/>
  </r>
  <r>
    <x v="2"/>
    <x v="39"/>
    <x v="0"/>
    <x v="10"/>
    <m/>
    <m/>
    <s v="BLOWER_MOTOR, TOYOTA VIOS BATMAN/ AVANZA"/>
    <s v="CA-000230"/>
    <n v="1"/>
    <n v="1900"/>
    <m/>
    <n v="1900"/>
    <x v="0"/>
    <n v="2389"/>
    <n v="1300"/>
    <n v="1300"/>
    <n v="1365"/>
    <n v="535"/>
    <n v="0"/>
    <x v="15"/>
    <x v="2"/>
    <e v="#REF!"/>
    <e v="#REF!"/>
    <s v=""/>
    <n v="0.28157894736842104"/>
  </r>
  <r>
    <x v="0"/>
    <x v="0"/>
    <x v="2"/>
    <x v="22"/>
    <m/>
    <n v="200"/>
    <s v="O_RING, NEK MAKAPAL 3/8"/>
    <s v="CA-000841"/>
    <n v="1"/>
    <n v="180"/>
    <m/>
    <n v="180"/>
    <x v="0"/>
    <n v="111"/>
    <n v="60"/>
    <n v="60"/>
    <n v="63"/>
    <n v="117"/>
    <n v="35.1"/>
    <x v="44"/>
    <x v="2"/>
    <m/>
    <m/>
    <m/>
    <n v="0.65"/>
  </r>
  <r>
    <x v="0"/>
    <x v="10"/>
    <x v="2"/>
    <x v="7"/>
    <m/>
    <m/>
    <s v="O_RING, NEK MANIPIS 1/2"/>
    <s v="CA-000844"/>
    <n v="1"/>
    <n v="200"/>
    <m/>
    <n v="200"/>
    <x v="0"/>
    <n v="111"/>
    <n v="60"/>
    <n v="60"/>
    <n v="63"/>
    <n v="137"/>
    <n v="41.1"/>
    <x v="44"/>
    <x v="2"/>
    <e v="#REF!"/>
    <e v="#REF!"/>
    <s v=""/>
    <n v="0.68500000000000005"/>
  </r>
  <r>
    <x v="0"/>
    <x v="10"/>
    <x v="2"/>
    <x v="7"/>
    <m/>
    <n v="200"/>
    <s v="SILICA_GEL, STAL SHORT"/>
    <s v="CA-001638"/>
    <n v="2"/>
    <n v="180"/>
    <m/>
    <n v="360"/>
    <x v="0"/>
    <n v="44"/>
    <n v="22"/>
    <n v="44"/>
    <n v="46.2"/>
    <n v="313.8"/>
    <n v="94.14"/>
    <x v="37"/>
    <x v="2"/>
    <e v="#REF!"/>
    <e v="#REF!"/>
    <n v="201.60000000000002"/>
    <n v="0.8716666666666667"/>
  </r>
  <r>
    <x v="1"/>
    <x v="14"/>
    <x v="3"/>
    <x v="12"/>
    <m/>
    <m/>
    <s v="REFRIGERANT, ENTALPIA EUROPE R134A 13.6   2/7/26"/>
    <s v="GE-000517"/>
    <n v="1"/>
    <n v="7800"/>
    <m/>
    <n v="7800"/>
    <x v="0"/>
    <n v="10489"/>
    <n v="7684"/>
    <n v="7684"/>
    <n v="8068.2000000000007"/>
    <n v="-268.20000000000073"/>
    <n v="-80.460000000000221"/>
    <x v="5"/>
    <x v="1"/>
    <e v="#REF!"/>
    <e v="#REF!"/>
    <s v=""/>
    <n v="-3.4384615384615479E-2"/>
  </r>
  <r>
    <x v="2"/>
    <x v="40"/>
    <x v="0"/>
    <x v="49"/>
    <m/>
    <m/>
    <s v="EVAPORATOR, HYUNDAI ACCENT 2013"/>
    <s v="CA-000484"/>
    <n v="1"/>
    <n v="1900"/>
    <m/>
    <n v="1900"/>
    <x v="0"/>
    <n v="0"/>
    <n v="0"/>
    <n v="0"/>
    <n v="0"/>
    <n v="1900"/>
    <n v="0"/>
    <x v="10"/>
    <x v="2"/>
    <e v="#REF!"/>
    <e v="#REF!"/>
    <s v=""/>
    <n v="1"/>
  </r>
  <r>
    <x v="2"/>
    <x v="41"/>
    <x v="0"/>
    <x v="1"/>
    <m/>
    <m/>
    <s v="BLOWER_MOTOR, TOYOTA VIOS SUPERMAN"/>
    <s v="CA-000233"/>
    <n v="1"/>
    <n v="2100"/>
    <m/>
    <n v="2100"/>
    <x v="0"/>
    <n v="2389"/>
    <n v="1300"/>
    <n v="1300"/>
    <n v="1365"/>
    <n v="735"/>
    <n v="0"/>
    <x v="15"/>
    <x v="2"/>
    <e v="#REF!"/>
    <e v="#REF!"/>
    <s v=""/>
    <n v="0.35"/>
  </r>
  <r>
    <x v="2"/>
    <x v="44"/>
    <x v="0"/>
    <x v="17"/>
    <m/>
    <m/>
    <s v="EVAPORATOR, HYUNDAI ACCENT 2008"/>
    <s v="CA-000483"/>
    <n v="1"/>
    <n v="2000"/>
    <m/>
    <n v="2000"/>
    <x v="0"/>
    <n v="2389"/>
    <n v="1300"/>
    <n v="1300"/>
    <n v="1365"/>
    <n v="635"/>
    <n v="0"/>
    <x v="10"/>
    <x v="2"/>
    <e v="#REF!"/>
    <e v="#REF!"/>
    <s v=""/>
    <n v="0.3175"/>
  </r>
  <r>
    <x v="2"/>
    <x v="45"/>
    <x v="10"/>
    <x v="82"/>
    <m/>
    <m/>
    <s v="BLOWER_MOTOR, ISUZU D-MAX 2013 / MUX"/>
    <s v="CA-000171"/>
    <n v="1"/>
    <n v="1900"/>
    <m/>
    <n v="1900"/>
    <x v="0"/>
    <n v="2389"/>
    <n v="1300"/>
    <n v="1300"/>
    <n v="1365"/>
    <n v="535"/>
    <n v="160.5"/>
    <x v="15"/>
    <x v="2"/>
    <e v="#REF!"/>
    <e v="#REF!"/>
    <s v=""/>
    <n v="0.28157894736842104"/>
  </r>
  <r>
    <x v="2"/>
    <x v="48"/>
    <x v="0"/>
    <x v="10"/>
    <m/>
    <m/>
    <s v="BLOWER_MOTOR, TOYOTA VIOS SUPERMAN"/>
    <s v="CA-000233"/>
    <n v="1"/>
    <n v="1900"/>
    <m/>
    <n v="1900"/>
    <x v="0"/>
    <n v="2389"/>
    <n v="1300"/>
    <n v="1300"/>
    <n v="1365"/>
    <n v="535"/>
    <n v="0"/>
    <x v="15"/>
    <x v="2"/>
    <e v="#REF!"/>
    <e v="#REF!"/>
    <s v=""/>
    <n v="0.28157894736842104"/>
  </r>
  <r>
    <x v="1"/>
    <x v="15"/>
    <x v="4"/>
    <x v="25"/>
    <m/>
    <m/>
    <s v="BLOWER_MOTOR, ISUZU D-MAX 2003"/>
    <s v="CA-000169"/>
    <n v="1"/>
    <n v="1700"/>
    <m/>
    <n v="1700"/>
    <x v="0"/>
    <n v="0"/>
    <n v="0"/>
    <n v="0"/>
    <n v="0"/>
    <n v="1700"/>
    <n v="510"/>
    <x v="13"/>
    <x v="3"/>
    <e v="#REF!"/>
    <e v="#REF!"/>
    <s v=""/>
    <n v="1"/>
  </r>
  <r>
    <x v="1"/>
    <x v="20"/>
    <x v="2"/>
    <x v="7"/>
    <m/>
    <m/>
    <s v="REFRIGERANT, ENTALPIA EUROPE R134A 13.6   2/7/26"/>
    <s v="GE-000517"/>
    <n v="1"/>
    <n v="8000"/>
    <m/>
    <n v="8000"/>
    <x v="0"/>
    <n v="10489"/>
    <n v="7684"/>
    <n v="7684"/>
    <n v="8068.2000000000007"/>
    <n v="-68.200000000000728"/>
    <n v="-20.460000000000218"/>
    <x v="5"/>
    <x v="1"/>
    <e v="#REF!"/>
    <e v="#REF!"/>
    <s v=""/>
    <n v="-8.5250000000000915E-3"/>
  </r>
  <r>
    <x v="1"/>
    <x v="26"/>
    <x v="2"/>
    <x v="22"/>
    <m/>
    <m/>
    <s v="CABIN_FILTER, HONDA CITY 2015"/>
    <s v="CA-001675"/>
    <n v="2"/>
    <n v="200"/>
    <m/>
    <n v="400"/>
    <x v="0"/>
    <n v="0"/>
    <n v="0"/>
    <n v="0"/>
    <n v="0"/>
    <n v="400"/>
    <n v="120"/>
    <x v="12"/>
    <x v="2"/>
    <e v="#REF!"/>
    <e v="#REF!"/>
    <e v="#REF!"/>
    <n v="1"/>
  </r>
  <r>
    <x v="2"/>
    <x v="54"/>
    <x v="0"/>
    <x v="49"/>
    <m/>
    <m/>
    <s v="BLOWER_MOTOR, TOYOTA VIOS BATMAN/ AVANZA"/>
    <s v="CA-000230"/>
    <n v="1"/>
    <n v="1900"/>
    <m/>
    <n v="1900"/>
    <x v="0"/>
    <n v="2389"/>
    <n v="1300"/>
    <n v="1300"/>
    <n v="1365"/>
    <n v="535"/>
    <n v="0"/>
    <x v="15"/>
    <x v="2"/>
    <e v="#REF!"/>
    <e v="#REF!"/>
    <s v=""/>
    <n v="0.28157894736842104"/>
  </r>
  <r>
    <x v="2"/>
    <x v="55"/>
    <x v="0"/>
    <x v="84"/>
    <m/>
    <m/>
    <s v="BLOWER_MOTOR, ISUZU D-MAX 2013 / MUX"/>
    <s v="CA-000171"/>
    <n v="1"/>
    <n v="1900"/>
    <m/>
    <n v="1900"/>
    <x v="0"/>
    <n v="2389"/>
    <n v="1300"/>
    <n v="1300"/>
    <n v="1365"/>
    <n v="535"/>
    <n v="0"/>
    <x v="15"/>
    <x v="2"/>
    <e v="#REF!"/>
    <e v="#REF!"/>
    <s v=""/>
    <n v="0.28157894736842104"/>
  </r>
  <r>
    <x v="2"/>
    <x v="57"/>
    <x v="0"/>
    <x v="18"/>
    <m/>
    <m/>
    <s v="EVAPORATOR, TOYOTA AVANZA 14 HS-40A523"/>
    <s v="CA-000536"/>
    <n v="1"/>
    <n v="2000"/>
    <m/>
    <n v="2000"/>
    <x v="0"/>
    <n v="2389"/>
    <n v="1300"/>
    <n v="1300"/>
    <n v="1365"/>
    <n v="635"/>
    <n v="0"/>
    <x v="10"/>
    <x v="2"/>
    <e v="#REF!"/>
    <e v="#REF!"/>
    <s v=""/>
    <n v="0.3175"/>
  </r>
  <r>
    <x v="1"/>
    <x v="30"/>
    <x v="2"/>
    <x v="7"/>
    <m/>
    <m/>
    <s v="REFRIGERANT, ENTALPIA EUROPE R134A 13.6   2/7/26"/>
    <s v="GE-000517"/>
    <n v="1"/>
    <n v="8000"/>
    <m/>
    <n v="8000"/>
    <x v="0"/>
    <n v="10489"/>
    <n v="7684"/>
    <n v="7684"/>
    <n v="8068.2000000000007"/>
    <n v="-68.200000000000728"/>
    <n v="-20.460000000000218"/>
    <x v="5"/>
    <x v="1"/>
    <e v="#REF!"/>
    <e v="#REF!"/>
    <e v="#REF!"/>
    <n v="-8.5250000000000915E-3"/>
  </r>
  <r>
    <x v="3"/>
    <x v="59"/>
    <x v="0"/>
    <x v="86"/>
    <m/>
    <m/>
    <s v="BLOWER_MOTOR, TOYOTA VIOS SUPERMAN"/>
    <s v="CA-000233"/>
    <n v="1"/>
    <n v="2100"/>
    <m/>
    <n v="2100"/>
    <x v="0"/>
    <n v="2389"/>
    <n v="1300"/>
    <n v="1300"/>
    <n v="1365"/>
    <n v="735"/>
    <n v="0"/>
    <x v="15"/>
    <x v="2"/>
    <m/>
    <m/>
    <s v=""/>
    <n v="0.35"/>
  </r>
  <r>
    <x v="1"/>
    <x v="32"/>
    <x v="3"/>
    <x v="12"/>
    <m/>
    <m/>
    <s v="REFRIGERANT, ENTALPIA EUROPE R134A 13.6   2/7/26"/>
    <s v="GE-000517"/>
    <n v="1"/>
    <n v="8000"/>
    <m/>
    <n v="8000"/>
    <x v="0"/>
    <n v="10489"/>
    <n v="7684"/>
    <n v="7684"/>
    <n v="8068.2000000000007"/>
    <n v="-68.200000000000728"/>
    <n v="-20.460000000000218"/>
    <x v="5"/>
    <x v="1"/>
    <e v="#REF!"/>
    <e v="#REF!"/>
    <e v="#REF!"/>
    <n v="-8.5250000000000915E-3"/>
  </r>
  <r>
    <x v="1"/>
    <x v="26"/>
    <x v="3"/>
    <x v="12"/>
    <m/>
    <m/>
    <s v="LUBRICANT, ND-OIL 8  250 CC (134A),OIL COMPRESSOR"/>
    <s v="GE-000197"/>
    <n v="1"/>
    <n v="180"/>
    <m/>
    <n v="180"/>
    <x v="0"/>
    <n v="188"/>
    <n v="85"/>
    <n v="85"/>
    <n v="89.25"/>
    <n v="90.75"/>
    <n v="27.224999999999998"/>
    <x v="9"/>
    <x v="1"/>
    <e v="#REF!"/>
    <e v="#REF!"/>
    <e v="#REF!"/>
    <n v="0"/>
  </r>
  <r>
    <x v="1"/>
    <x v="26"/>
    <x v="2"/>
    <x v="22"/>
    <m/>
    <n v="2000"/>
    <s v="EVAPORATOR, TOYOTA INNOVA NEW (F) JBE-0115ZX (STAL)"/>
    <s v="CA-001631"/>
    <n v="2"/>
    <n v="2000"/>
    <m/>
    <n v="4000"/>
    <x v="0"/>
    <n v="1562"/>
    <n v="850"/>
    <n v="1700"/>
    <n v="1785"/>
    <n v="2215"/>
    <n v="664.5"/>
    <x v="10"/>
    <x v="2"/>
    <e v="#REF!"/>
    <e v="#REF!"/>
    <e v="#REF!"/>
    <n v="0.55374999999999996"/>
  </r>
  <r>
    <x v="3"/>
    <x v="59"/>
    <x v="0"/>
    <x v="23"/>
    <m/>
    <n v="2100"/>
    <s v="EVAPORATOR, MITSUBISHI ADVENTURE LAM  (STAL)"/>
    <s v="CA-001719"/>
    <n v="1"/>
    <n v="2100"/>
    <m/>
    <n v="2100"/>
    <x v="0"/>
    <n v="2536"/>
    <n v="1380"/>
    <n v="1380"/>
    <n v="1449"/>
    <n v="651"/>
    <n v="0"/>
    <x v="10"/>
    <x v="2"/>
    <m/>
    <m/>
    <n v="2352"/>
    <n v="0.31"/>
  </r>
  <r>
    <x v="3"/>
    <x v="60"/>
    <x v="0"/>
    <x v="87"/>
    <m/>
    <m/>
    <s v="PULLEY_ASSEMBLY, SUZUKI APV"/>
    <s v="CA-001050"/>
    <n v="1"/>
    <n v="2100"/>
    <m/>
    <n v="2100"/>
    <x v="0"/>
    <n v="2184"/>
    <n v="1300"/>
    <n v="1300"/>
    <n v="1365"/>
    <n v="735"/>
    <n v="0"/>
    <x v="11"/>
    <x v="2"/>
    <m/>
    <m/>
    <s v=""/>
    <n v="0.35"/>
  </r>
  <r>
    <x v="1"/>
    <x v="114"/>
    <x v="2"/>
    <x v="22"/>
    <m/>
    <n v="1820"/>
    <s v="EVAPORATOR, TOYOTA INNOVA OLD (F) JBE-0103ZX (STAL)"/>
    <s v="CA-001633"/>
    <n v="2"/>
    <n v="1625"/>
    <m/>
    <n v="3250"/>
    <x v="0"/>
    <n v="1654"/>
    <n v="900"/>
    <n v="1800"/>
    <n v="1890"/>
    <n v="1360"/>
    <n v="408"/>
    <x v="10"/>
    <x v="2"/>
    <e v="#REF!"/>
    <e v="#REF!"/>
    <e v="#REF!"/>
    <n v="0.41846153846153844"/>
  </r>
  <r>
    <x v="3"/>
    <x v="62"/>
    <x v="0"/>
    <x v="17"/>
    <m/>
    <m/>
    <s v="EVAPORATOR, TOYOTA VIOS 2008  (BATMAN) 40A29"/>
    <s v="CA-000552"/>
    <n v="1"/>
    <n v="2000"/>
    <m/>
    <n v="2000"/>
    <x v="0"/>
    <n v="2389"/>
    <n v="1300"/>
    <n v="1300"/>
    <n v="1365"/>
    <n v="635"/>
    <n v="0"/>
    <x v="10"/>
    <x v="2"/>
    <m/>
    <m/>
    <s v=""/>
    <n v="0.3175"/>
  </r>
  <r>
    <x v="1"/>
    <x v="32"/>
    <x v="4"/>
    <x v="25"/>
    <m/>
    <m/>
    <s v="EVAPORATOR, SUZUKI ERTIGA 19 40A542 JASON"/>
    <s v="CA-001612"/>
    <n v="1"/>
    <n v="2100"/>
    <m/>
    <n v="2100"/>
    <x v="0"/>
    <n v="2665"/>
    <n v="1450"/>
    <n v="1450"/>
    <n v="1522.5"/>
    <n v="577.5"/>
    <n v="173.25"/>
    <x v="10"/>
    <x v="2"/>
    <e v="#REF!"/>
    <e v="#REF!"/>
    <e v="#REF!"/>
    <n v="0.27500000000000002"/>
  </r>
  <r>
    <x v="3"/>
    <x v="64"/>
    <x v="0"/>
    <x v="8"/>
    <m/>
    <m/>
    <s v="BLOWER_MOTOR, TOYOTA VIOS BATMAN/ AVANZA"/>
    <s v="CA-000230"/>
    <n v="1"/>
    <n v="1900"/>
    <m/>
    <n v="1900"/>
    <x v="0"/>
    <n v="2389"/>
    <n v="1300"/>
    <n v="1300"/>
    <n v="1365"/>
    <n v="535"/>
    <n v="0"/>
    <x v="15"/>
    <x v="2"/>
    <m/>
    <m/>
    <s v=""/>
    <n v="0.28157894736842104"/>
  </r>
  <r>
    <x v="3"/>
    <x v="66"/>
    <x v="0"/>
    <x v="79"/>
    <m/>
    <n v="2050"/>
    <s v="EVAPORATOR, MITSUBISHI ADVENTURE LAM  (STAL)"/>
    <s v="CA-001719"/>
    <n v="1"/>
    <n v="1830"/>
    <m/>
    <n v="1830"/>
    <x v="0"/>
    <n v="2536"/>
    <n v="1380"/>
    <n v="1380"/>
    <n v="1449"/>
    <n v="381"/>
    <n v="0"/>
    <x v="10"/>
    <x v="2"/>
    <m/>
    <m/>
    <n v="2049.6000000000004"/>
    <n v="0.2081967213114754"/>
  </r>
  <r>
    <x v="3"/>
    <x v="115"/>
    <x v="0"/>
    <x v="23"/>
    <m/>
    <m/>
    <s v="BLOWER_MOTOR, ISUZU D-MAX 2013 / MUX"/>
    <s v="CA-000171"/>
    <n v="1"/>
    <n v="1900"/>
    <m/>
    <n v="1900"/>
    <x v="0"/>
    <n v="2389"/>
    <n v="1300"/>
    <n v="1300"/>
    <n v="1365"/>
    <n v="535"/>
    <n v="0"/>
    <x v="15"/>
    <x v="2"/>
    <m/>
    <m/>
    <s v=""/>
    <n v="0.28157894736842104"/>
  </r>
  <r>
    <x v="1"/>
    <x v="23"/>
    <x v="2"/>
    <x v="22"/>
    <m/>
    <m/>
    <s v="EVAPORATOR, NISSAN XTRAIL 2003 - 2012"/>
    <s v="CA-001802"/>
    <n v="1"/>
    <n v="2100"/>
    <m/>
    <n v="2100"/>
    <x v="0"/>
    <n v="2849"/>
    <n v="1550"/>
    <n v="1550"/>
    <n v="1627.5"/>
    <n v="472.5"/>
    <n v="141.75"/>
    <x v="10"/>
    <x v="2"/>
    <e v="#REF!"/>
    <e v="#REF!"/>
    <e v="#REF!"/>
    <n v="0.22500000000000001"/>
  </r>
  <r>
    <x v="1"/>
    <x v="14"/>
    <x v="4"/>
    <x v="25"/>
    <m/>
    <m/>
    <s v="PULLEY_ASSEMBLY, NISSAN NAVARRA 2008"/>
    <s v="CA-001043"/>
    <n v="1"/>
    <n v="2300"/>
    <m/>
    <n v="2300"/>
    <x v="0"/>
    <n v="2520"/>
    <n v="1500"/>
    <n v="1500"/>
    <n v="1575"/>
    <n v="725"/>
    <n v="217.5"/>
    <x v="11"/>
    <x v="2"/>
    <e v="#REF!"/>
    <e v="#REF!"/>
    <s v=""/>
    <n v="0.31521739130434784"/>
  </r>
  <r>
    <x v="3"/>
    <x v="115"/>
    <x v="0"/>
    <x v="79"/>
    <m/>
    <m/>
    <s v="BLOWER_MOTOR, TOYOTA VIOS SUPERMAN"/>
    <s v="CA-000233"/>
    <n v="1"/>
    <n v="2000"/>
    <m/>
    <n v="2000"/>
    <x v="0"/>
    <n v="2389"/>
    <n v="1300"/>
    <n v="1300"/>
    <n v="1365"/>
    <n v="635"/>
    <n v="0"/>
    <x v="15"/>
    <x v="2"/>
    <m/>
    <m/>
    <s v=""/>
    <n v="0.3175"/>
  </r>
  <r>
    <x v="3"/>
    <x v="119"/>
    <x v="0"/>
    <x v="84"/>
    <m/>
    <m/>
    <s v="BLOWER_MOTOR, TOYOTA INNOVA OLD R"/>
    <s v="CA-000228"/>
    <n v="1"/>
    <n v="1900"/>
    <m/>
    <n v="1900"/>
    <x v="0"/>
    <n v="2389"/>
    <n v="1300"/>
    <n v="1300"/>
    <n v="1365"/>
    <n v="535"/>
    <n v="0"/>
    <x v="15"/>
    <x v="2"/>
    <m/>
    <m/>
    <s v=""/>
    <n v="0.28157894736842104"/>
  </r>
  <r>
    <x v="1"/>
    <x v="114"/>
    <x v="4"/>
    <x v="25"/>
    <m/>
    <m/>
    <s v="EVAPORATOR, MAZDA  2 / FORD FIESTA 15  40A539"/>
    <s v="CA-001817"/>
    <n v="1"/>
    <n v="2100"/>
    <m/>
    <n v="2100"/>
    <x v="0"/>
    <n v="2757"/>
    <n v="1500"/>
    <n v="1500"/>
    <n v="1575"/>
    <n v="525"/>
    <n v="157.5"/>
    <x v="10"/>
    <x v="2"/>
    <e v="#REF!"/>
    <e v="#REF!"/>
    <s v=""/>
    <n v="0.25"/>
  </r>
  <r>
    <x v="3"/>
    <x v="71"/>
    <x v="0"/>
    <x v="8"/>
    <m/>
    <m/>
    <s v="BLOWER_MOTOR, ISUZU D-MAX 2013 / MUX"/>
    <s v="CA-000171"/>
    <n v="1"/>
    <n v="1900"/>
    <m/>
    <n v="1900"/>
    <x v="0"/>
    <n v="2389"/>
    <n v="1300"/>
    <n v="1300"/>
    <n v="1365"/>
    <n v="535"/>
    <n v="0"/>
    <x v="15"/>
    <x v="2"/>
    <m/>
    <m/>
    <s v=""/>
    <n v="0.28157894736842104"/>
  </r>
  <r>
    <x v="3"/>
    <x v="72"/>
    <x v="0"/>
    <x v="23"/>
    <m/>
    <m/>
    <s v="EVAPORATOR, HYUNDAI GETZ"/>
    <s v="CA-001319"/>
    <n v="1"/>
    <n v="2000"/>
    <m/>
    <n v="2000"/>
    <x v="0"/>
    <n v="2389"/>
    <n v="1300"/>
    <n v="1300"/>
    <n v="1365"/>
    <n v="635"/>
    <n v="0"/>
    <x v="10"/>
    <x v="2"/>
    <m/>
    <m/>
    <s v=""/>
    <n v="0.3175"/>
  </r>
  <r>
    <x v="1"/>
    <x v="23"/>
    <x v="0"/>
    <x v="36"/>
    <m/>
    <m/>
    <s v="EVAPORATOR, FORD RANGER 12 40A547"/>
    <s v="CA-001833"/>
    <n v="1"/>
    <n v="2100"/>
    <m/>
    <n v="2100"/>
    <x v="0"/>
    <n v="2757"/>
    <n v="1500"/>
    <n v="1500"/>
    <n v="1575"/>
    <n v="525"/>
    <n v="0"/>
    <x v="10"/>
    <x v="2"/>
    <e v="#REF!"/>
    <e v="#REF!"/>
    <e v="#REF!"/>
    <n v="0.25"/>
  </r>
  <r>
    <x v="3"/>
    <x v="122"/>
    <x v="0"/>
    <x v="84"/>
    <m/>
    <m/>
    <s v="BLOWER_MOTOR, TOYOTA INNOVA OLD R"/>
    <s v="CA-000228"/>
    <n v="1"/>
    <n v="1900"/>
    <m/>
    <n v="1900"/>
    <x v="0"/>
    <n v="2389"/>
    <n v="1300"/>
    <n v="1300"/>
    <n v="1365"/>
    <n v="535"/>
    <n v="0"/>
    <x v="15"/>
    <x v="2"/>
    <m/>
    <m/>
    <s v=""/>
    <n v="0.28157894736842104"/>
  </r>
  <r>
    <x v="3"/>
    <x v="74"/>
    <x v="0"/>
    <x v="17"/>
    <m/>
    <m/>
    <s v="EVAPORATOR, TOYOTA AVANZA 14 HS-40A523"/>
    <s v="CA-000536"/>
    <n v="1"/>
    <n v="2000"/>
    <m/>
    <n v="2000"/>
    <x v="0"/>
    <n v="2389"/>
    <n v="1300"/>
    <n v="1300"/>
    <n v="1365"/>
    <n v="635"/>
    <n v="0"/>
    <x v="10"/>
    <x v="2"/>
    <m/>
    <m/>
    <m/>
    <n v="0.3175"/>
  </r>
  <r>
    <x v="1"/>
    <x v="26"/>
    <x v="2"/>
    <x v="22"/>
    <m/>
    <m/>
    <s v="EVAPORATOR, TOYOTA COROLLA DENSO"/>
    <s v="CA-000540"/>
    <n v="1"/>
    <n v="1900"/>
    <m/>
    <n v="1900"/>
    <x v="0"/>
    <n v="2757"/>
    <n v="1500"/>
    <n v="1500"/>
    <n v="1575"/>
    <n v="325"/>
    <n v="97.5"/>
    <x v="10"/>
    <x v="2"/>
    <e v="#REF!"/>
    <e v="#REF!"/>
    <e v="#REF!"/>
    <n v="0.17105263157894737"/>
  </r>
  <r>
    <x v="3"/>
    <x v="123"/>
    <x v="0"/>
    <x v="84"/>
    <m/>
    <m/>
    <s v="BLOWER_MOTOR, TOYOTA INNOVA OLD F"/>
    <s v="CA-000227"/>
    <n v="1"/>
    <n v="2000"/>
    <m/>
    <n v="2000"/>
    <x v="0"/>
    <n v="2389"/>
    <n v="1300"/>
    <n v="1300"/>
    <n v="1365"/>
    <n v="635"/>
    <n v="0"/>
    <x v="15"/>
    <x v="2"/>
    <m/>
    <m/>
    <m/>
    <n v="0.3175"/>
  </r>
  <r>
    <x v="0"/>
    <x v="13"/>
    <x v="1"/>
    <x v="3"/>
    <m/>
    <m/>
    <s v="REFRIGERANT, ENTALPIA EUROPE R134A 13.6   2/7/26"/>
    <s v="GE-000517"/>
    <n v="1"/>
    <n v="7800"/>
    <m/>
    <n v="7800"/>
    <x v="0"/>
    <n v="10489"/>
    <n v="7684"/>
    <n v="7684"/>
    <n v="8068.2000000000007"/>
    <n v="-268.20000000000073"/>
    <n v="-80.460000000000221"/>
    <x v="5"/>
    <x v="1"/>
    <e v="#REF!"/>
    <e v="#REF!"/>
    <s v=""/>
    <n v="-3.4384615384615479E-2"/>
  </r>
  <r>
    <x v="1"/>
    <x v="30"/>
    <x v="0"/>
    <x v="36"/>
    <m/>
    <m/>
    <s v="EVAPORATOR, FORD ECOSPORT 13"/>
    <s v="CA-000462"/>
    <n v="1"/>
    <n v="2100"/>
    <m/>
    <n v="2100"/>
    <x v="0"/>
    <n v="2757"/>
    <n v="1500"/>
    <n v="1500"/>
    <n v="1575"/>
    <n v="525"/>
    <n v="0"/>
    <x v="10"/>
    <x v="2"/>
    <e v="#REF!"/>
    <e v="#REF!"/>
    <e v="#REF!"/>
    <n v="0.25"/>
  </r>
  <r>
    <x v="1"/>
    <x v="114"/>
    <x v="2"/>
    <x v="22"/>
    <m/>
    <m/>
    <s v="EVAPORATOR, ISUZU CROSSWIND ('R)"/>
    <s v="CA-000499"/>
    <n v="1"/>
    <n v="2000"/>
    <m/>
    <n v="2000"/>
    <x v="0"/>
    <n v="2665"/>
    <n v="1450"/>
    <n v="1450"/>
    <n v="1522.5"/>
    <n v="477.5"/>
    <n v="143.25"/>
    <x v="10"/>
    <x v="2"/>
    <e v="#REF!"/>
    <e v="#REF!"/>
    <e v="#REF!"/>
    <n v="0.23874999999999999"/>
  </r>
  <r>
    <x v="1"/>
    <x v="29"/>
    <x v="2"/>
    <x v="9"/>
    <m/>
    <m/>
    <s v="EVAPORATOR, HYUNDAI H100 2008"/>
    <s v="CA-000489"/>
    <n v="1"/>
    <n v="2000"/>
    <m/>
    <n v="2000"/>
    <x v="0"/>
    <n v="2573"/>
    <n v="1400"/>
    <n v="1400"/>
    <n v="1470"/>
    <n v="530"/>
    <n v="159"/>
    <x v="10"/>
    <x v="2"/>
    <e v="#REF!"/>
    <e v="#REF!"/>
    <e v="#REF!"/>
    <n v="0.26500000000000001"/>
  </r>
  <r>
    <x v="1"/>
    <x v="124"/>
    <x v="4"/>
    <x v="25"/>
    <m/>
    <n v="1900"/>
    <s v="EVAPORATOR, ISUZU TRAVIS / NHR LT HS -40A506"/>
    <s v="CA-001835"/>
    <n v="1"/>
    <n v="1700"/>
    <m/>
    <n v="1700"/>
    <x v="0"/>
    <n v="2481"/>
    <n v="1350"/>
    <n v="1350"/>
    <n v="1417.5"/>
    <n v="282.5"/>
    <n v="84.75"/>
    <x v="10"/>
    <x v="2"/>
    <e v="#REF!"/>
    <e v="#REF!"/>
    <n v="1904.0000000000002"/>
    <n v="0.16617647058823529"/>
  </r>
  <r>
    <x v="4"/>
    <x v="89"/>
    <x v="0"/>
    <x v="8"/>
    <m/>
    <m/>
    <s v="BLOWER_MOTOR, ISUZU D-MAX 2003 / MUX REAR 2010"/>
    <s v="CA-001847"/>
    <n v="1"/>
    <n v="2000"/>
    <m/>
    <n v="2000"/>
    <x v="0"/>
    <n v="2389"/>
    <n v="1300"/>
    <n v="1300"/>
    <n v="1365"/>
    <n v="635"/>
    <n v="0"/>
    <x v="15"/>
    <x v="2"/>
    <m/>
    <m/>
    <m/>
    <n v="0.3175"/>
  </r>
  <r>
    <x v="1"/>
    <x v="114"/>
    <x v="2"/>
    <x v="22"/>
    <m/>
    <m/>
    <s v="BLOWER_MOTOR, NISSAN NV350"/>
    <s v="CA-001715"/>
    <n v="1"/>
    <n v="1800"/>
    <m/>
    <n v="1800"/>
    <x v="0"/>
    <n v="2481"/>
    <n v="1350"/>
    <n v="1350"/>
    <n v="1417.5"/>
    <n v="382.5"/>
    <n v="114.75"/>
    <x v="15"/>
    <x v="2"/>
    <e v="#REF!"/>
    <e v="#REF!"/>
    <s v=""/>
    <n v="0.21249999999999999"/>
  </r>
  <r>
    <x v="4"/>
    <x v="92"/>
    <x v="0"/>
    <x v="10"/>
    <m/>
    <m/>
    <s v="EVAPORATOR, HYUNDAI ACCENT 2013"/>
    <s v="CA-000484"/>
    <n v="1"/>
    <n v="2000"/>
    <m/>
    <n v="2000"/>
    <x v="0"/>
    <n v="0"/>
    <n v="0"/>
    <n v="0"/>
    <n v="0"/>
    <n v="2000"/>
    <n v="0"/>
    <x v="10"/>
    <x v="2"/>
    <m/>
    <m/>
    <m/>
    <n v="1"/>
  </r>
  <r>
    <x v="1"/>
    <x v="26"/>
    <x v="2"/>
    <x v="22"/>
    <m/>
    <m/>
    <s v="EVAPORATOR, NISSAN FRONTIER"/>
    <s v="CA-000519"/>
    <n v="1"/>
    <n v="1800"/>
    <m/>
    <n v="1800"/>
    <x v="0"/>
    <n v="2481"/>
    <n v="1350"/>
    <n v="1350"/>
    <n v="1417.5"/>
    <n v="382.5"/>
    <n v="114.75"/>
    <x v="10"/>
    <x v="2"/>
    <e v="#REF!"/>
    <e v="#REF!"/>
    <e v="#REF!"/>
    <n v="0.21249999999999999"/>
  </r>
  <r>
    <x v="4"/>
    <x v="94"/>
    <x v="0"/>
    <x v="49"/>
    <m/>
    <m/>
    <s v="BLOWER_MOTOR, TOYOTA INNOVA OLD F"/>
    <s v="CA-000227"/>
    <n v="1"/>
    <n v="2000"/>
    <m/>
    <n v="2000"/>
    <x v="0"/>
    <n v="2389"/>
    <n v="1300"/>
    <n v="1300"/>
    <n v="1365"/>
    <n v="635"/>
    <n v="0"/>
    <x v="15"/>
    <x v="2"/>
    <m/>
    <m/>
    <m/>
    <n v="0.3175"/>
  </r>
  <r>
    <x v="1"/>
    <x v="15"/>
    <x v="2"/>
    <x v="22"/>
    <m/>
    <m/>
    <s v="BLOWER_MOTOR, TOYOTA INNOVA OLD R"/>
    <s v="CA-000228"/>
    <n v="1"/>
    <n v="1800"/>
    <m/>
    <n v="1800"/>
    <x v="0"/>
    <n v="2389"/>
    <n v="1300"/>
    <n v="1300"/>
    <n v="1365"/>
    <n v="435"/>
    <n v="130.5"/>
    <x v="15"/>
    <x v="2"/>
    <e v="#REF!"/>
    <e v="#REF!"/>
    <s v=""/>
    <n v="0.24166666666666667"/>
  </r>
  <r>
    <x v="1"/>
    <x v="114"/>
    <x v="2"/>
    <x v="22"/>
    <m/>
    <m/>
    <s v="EVAPORATOR, HONDA CITY 2003 HS-40A46"/>
    <s v="CA-000474"/>
    <n v="1"/>
    <n v="1800"/>
    <m/>
    <n v="1800"/>
    <x v="0"/>
    <n v="2389"/>
    <n v="1300"/>
    <n v="1300"/>
    <n v="1365"/>
    <n v="435"/>
    <n v="130.5"/>
    <x v="10"/>
    <x v="2"/>
    <e v="#REF!"/>
    <e v="#REF!"/>
    <e v="#REF!"/>
    <n v="0.24166666666666667"/>
  </r>
  <r>
    <x v="4"/>
    <x v="96"/>
    <x v="0"/>
    <x v="23"/>
    <m/>
    <m/>
    <s v="EVAPORATOR, HYUNDAI GETZ"/>
    <s v="CA-001319"/>
    <n v="1"/>
    <n v="2000"/>
    <m/>
    <n v="2000"/>
    <x v="0"/>
    <n v="2389"/>
    <n v="1300"/>
    <n v="1300"/>
    <n v="1365"/>
    <n v="635"/>
    <n v="0"/>
    <x v="10"/>
    <x v="2"/>
    <m/>
    <m/>
    <m/>
    <n v="0.3175"/>
  </r>
  <r>
    <x v="4"/>
    <x v="78"/>
    <x v="0"/>
    <x v="23"/>
    <m/>
    <m/>
    <s v="BLOWER_MOTOR, TOYOTA VIOS BATMAN/ AVANZA"/>
    <s v="CA-000230"/>
    <n v="1"/>
    <n v="1900"/>
    <m/>
    <n v="1900"/>
    <x v="0"/>
    <n v="2389"/>
    <n v="1300"/>
    <n v="1300"/>
    <n v="1365"/>
    <n v="535"/>
    <n v="0"/>
    <x v="15"/>
    <x v="2"/>
    <m/>
    <m/>
    <m/>
    <n v="0.28157894736842104"/>
  </r>
  <r>
    <x v="1"/>
    <x v="114"/>
    <x v="2"/>
    <x v="22"/>
    <m/>
    <m/>
    <s v="BLOWER_MOTOR, ISUZU D-MAX 2013 / MUX"/>
    <s v="CA-000171"/>
    <n v="1"/>
    <n v="1800"/>
    <m/>
    <n v="1800"/>
    <x v="0"/>
    <n v="2389"/>
    <n v="1300"/>
    <n v="1300"/>
    <n v="1365"/>
    <n v="435"/>
    <n v="130.5"/>
    <x v="15"/>
    <x v="2"/>
    <e v="#REF!"/>
    <e v="#REF!"/>
    <s v=""/>
    <n v="0.24166666666666667"/>
  </r>
  <r>
    <x v="1"/>
    <x v="19"/>
    <x v="4"/>
    <x v="25"/>
    <m/>
    <m/>
    <s v="EVAPORATOR, MITSUBISHI LANCER 04 40A85"/>
    <s v="CA-001605"/>
    <n v="1"/>
    <n v="1900"/>
    <m/>
    <n v="1900"/>
    <x v="0"/>
    <n v="2389"/>
    <n v="1300"/>
    <n v="1300"/>
    <n v="1365"/>
    <n v="535"/>
    <n v="160.5"/>
    <x v="10"/>
    <x v="2"/>
    <e v="#REF!"/>
    <e v="#REF!"/>
    <s v=""/>
    <n v="0.28157894736842104"/>
  </r>
  <r>
    <x v="4"/>
    <x v="79"/>
    <x v="0"/>
    <x v="6"/>
    <m/>
    <m/>
    <s v="ELECTRICAL_PANEL, AMERICA NEMA 3R, 2P"/>
    <s v="GE-000418"/>
    <n v="5"/>
    <n v="500"/>
    <m/>
    <n v="2500"/>
    <x v="0"/>
    <n v="478"/>
    <n v="260"/>
    <n v="1300"/>
    <n v="1365"/>
    <n v="1135"/>
    <n v="0"/>
    <x v="39"/>
    <x v="1"/>
    <m/>
    <m/>
    <m/>
    <n v="0.45400000000000001"/>
  </r>
  <r>
    <x v="1"/>
    <x v="76"/>
    <x v="4"/>
    <x v="25"/>
    <m/>
    <n v="1900"/>
    <s v="EVAPORATOR, ISUZU TRAVIS /NHR DC 40A492"/>
    <s v="CA-001836"/>
    <n v="1"/>
    <n v="1900"/>
    <m/>
    <n v="1900"/>
    <x v="0"/>
    <n v="2389"/>
    <n v="1300"/>
    <n v="1300"/>
    <n v="1365"/>
    <n v="535"/>
    <n v="160.5"/>
    <x v="10"/>
    <x v="2"/>
    <e v="#REF!"/>
    <e v="#REF!"/>
    <n v="2128"/>
    <n v="0.28157894736842104"/>
  </r>
  <r>
    <x v="1"/>
    <x v="26"/>
    <x v="3"/>
    <x v="12"/>
    <m/>
    <m/>
    <s v="EVAPORATOR, TOYOTA AVANZA 14 HS-40A523"/>
    <s v="CA-000536"/>
    <n v="1"/>
    <n v="1900"/>
    <m/>
    <n v="1900"/>
    <x v="0"/>
    <n v="2389"/>
    <n v="1300"/>
    <n v="1300"/>
    <n v="1365"/>
    <n v="535"/>
    <n v="160.5"/>
    <x v="10"/>
    <x v="2"/>
    <e v="#REF!"/>
    <e v="#REF!"/>
    <e v="#REF!"/>
    <n v="0"/>
  </r>
  <r>
    <x v="1"/>
    <x v="30"/>
    <x v="2"/>
    <x v="7"/>
    <m/>
    <m/>
    <s v="BLOWER_MOTOR, TOYOTA VIOS BATMAN/ AVANZA"/>
    <s v="CA-000230"/>
    <n v="1"/>
    <n v="1900"/>
    <m/>
    <n v="1900"/>
    <x v="0"/>
    <n v="2389"/>
    <n v="1300"/>
    <n v="1300"/>
    <n v="1365"/>
    <n v="535"/>
    <n v="160.5"/>
    <x v="15"/>
    <x v="2"/>
    <e v="#REF!"/>
    <e v="#REF!"/>
    <e v="#REF!"/>
    <n v="0.28157894736842104"/>
  </r>
  <r>
    <x v="4"/>
    <x v="81"/>
    <x v="0"/>
    <x v="11"/>
    <m/>
    <m/>
    <s v="BLOWER_MOTOR, TOYOTA VIOS ROBIN"/>
    <s v="CA-000231"/>
    <n v="1"/>
    <n v="2000"/>
    <m/>
    <n v="2000"/>
    <x v="0"/>
    <n v="2205"/>
    <n v="1200"/>
    <n v="1200"/>
    <n v="1260"/>
    <n v="740"/>
    <n v="0"/>
    <x v="15"/>
    <x v="2"/>
    <e v="#REF!"/>
    <e v="#REF!"/>
    <e v="#REF!"/>
    <n v="0"/>
  </r>
  <r>
    <x v="4"/>
    <x v="75"/>
    <x v="0"/>
    <x v="84"/>
    <m/>
    <m/>
    <s v="BLOWER_MOTOR, MITSUBISHI MIRAGE"/>
    <s v="CA-001727"/>
    <n v="1"/>
    <n v="2000"/>
    <m/>
    <n v="2000"/>
    <x v="0"/>
    <n v="2389"/>
    <n v="1300"/>
    <n v="1300"/>
    <n v="1365"/>
    <n v="635"/>
    <n v="0"/>
    <x v="15"/>
    <x v="2"/>
    <e v="#REF!"/>
    <e v="#REF!"/>
    <e v="#REF!"/>
    <n v="0"/>
  </r>
  <r>
    <x v="4"/>
    <x v="77"/>
    <x v="0"/>
    <x v="23"/>
    <m/>
    <m/>
    <s v="EVAPORATOR, HONDA CITY 2003 HS-40A46"/>
    <s v="CA-000474"/>
    <n v="1"/>
    <n v="2000"/>
    <m/>
    <n v="2000"/>
    <x v="0"/>
    <n v="2389"/>
    <n v="1300"/>
    <n v="1300"/>
    <n v="1365"/>
    <n v="635"/>
    <n v="0"/>
    <x v="10"/>
    <x v="2"/>
    <e v="#REF!"/>
    <e v="#REF!"/>
    <e v="#REF!"/>
    <n v="0"/>
  </r>
  <r>
    <x v="5"/>
    <x v="83"/>
    <x v="0"/>
    <x v="32"/>
    <m/>
    <m/>
    <s v="MAPP_GAS, COOLIB (ISHABELLA) TORCH GAS"/>
    <s v="IM-000317"/>
    <n v="1"/>
    <n v="380"/>
    <m/>
    <n v="380"/>
    <x v="0"/>
    <n v="451"/>
    <n v="250"/>
    <n v="250"/>
    <n v="257.5"/>
    <n v="122.5"/>
    <n v="0"/>
    <x v="45"/>
    <x v="0"/>
    <e v="#REF!"/>
    <e v="#REF!"/>
    <s v=""/>
    <n v="0.32236842105263158"/>
  </r>
  <r>
    <x v="5"/>
    <x v="83"/>
    <x v="0"/>
    <x v="1"/>
    <m/>
    <m/>
    <s v="BRACKET , GB 1HP, COATED"/>
    <s v="IM-000008"/>
    <n v="1"/>
    <n v="360"/>
    <m/>
    <n v="360"/>
    <x v="0"/>
    <n v="334"/>
    <n v="185"/>
    <n v="185"/>
    <n v="190.55"/>
    <n v="169.45"/>
    <n v="0"/>
    <x v="1"/>
    <x v="0"/>
    <e v="#REF!"/>
    <e v="#REF!"/>
    <s v=""/>
    <n v="0.47069444444444442"/>
  </r>
  <r>
    <x v="5"/>
    <x v="83"/>
    <x v="0"/>
    <x v="20"/>
    <m/>
    <m/>
    <s v="BRACKET , GB 1HP, COATED"/>
    <s v="IM-000008"/>
    <n v="1"/>
    <n v="360"/>
    <m/>
    <n v="360"/>
    <x v="0"/>
    <n v="334"/>
    <n v="185"/>
    <n v="185"/>
    <n v="190.55"/>
    <n v="169.45"/>
    <n v="0"/>
    <x v="1"/>
    <x v="0"/>
    <e v="#REF!"/>
    <e v="#REF!"/>
    <s v=""/>
    <n v="0.47069444444444442"/>
  </r>
  <r>
    <x v="5"/>
    <x v="83"/>
    <x v="0"/>
    <x v="1"/>
    <m/>
    <m/>
    <s v="REFRIGERANT, FU RYDER R22 CAN, 500 GRAMS 3/19/26"/>
    <s v="GE-000523"/>
    <n v="1"/>
    <n v="500"/>
    <m/>
    <n v="500"/>
    <x v="0"/>
    <n v="630"/>
    <n v="240"/>
    <n v="240"/>
    <n v="252"/>
    <n v="248"/>
    <n v="0"/>
    <x v="5"/>
    <x v="1"/>
    <e v="#REF!"/>
    <e v="#REF!"/>
    <s v=""/>
    <n v="0.496"/>
  </r>
  <r>
    <x v="3"/>
    <x v="85"/>
    <x v="0"/>
    <x v="1"/>
    <m/>
    <m/>
    <s v="REFRIGERANT, POKKA R134A, 300GRMS"/>
    <s v="GE-000152"/>
    <n v="4"/>
    <n v="430"/>
    <m/>
    <n v="1720"/>
    <x v="0"/>
    <n v="809"/>
    <n v="350"/>
    <n v="1400"/>
    <n v="1470"/>
    <n v="250"/>
    <n v="0"/>
    <x v="5"/>
    <x v="1"/>
    <m/>
    <m/>
    <m/>
    <n v="0.14534883720930233"/>
  </r>
  <r>
    <x v="3"/>
    <x v="86"/>
    <x v="0"/>
    <x v="88"/>
    <m/>
    <m/>
    <s v="EXP. VALVE DC, NISSAN "/>
    <s v="CA-001321"/>
    <n v="4"/>
    <n v="700"/>
    <m/>
    <n v="2800"/>
    <x v="0"/>
    <n v="699"/>
    <n v="380"/>
    <n v="1520"/>
    <n v="1596"/>
    <n v="1204"/>
    <n v="0"/>
    <x v="46"/>
    <x v="2"/>
    <m/>
    <m/>
    <m/>
    <n v="0.43"/>
  </r>
  <r>
    <x v="4"/>
    <x v="102"/>
    <x v="1"/>
    <x v="60"/>
    <m/>
    <m/>
    <s v="COPPER_TUBE_SOFTDRAWN, EVERSTRONG 0.028 X 1/4 x 15 mtr 03/24/26"/>
    <s v="IM-000318"/>
    <n v="0.8"/>
    <n v="2500"/>
    <m/>
    <n v="2000"/>
    <x v="0"/>
    <n v="2866"/>
    <n v="1590"/>
    <n v="1272"/>
    <n v="1310.1600000000001"/>
    <n v="689.83999999999992"/>
    <n v="206.95199999999997"/>
    <x v="0"/>
    <x v="0"/>
    <m/>
    <m/>
    <m/>
    <n v="0.34491999999999995"/>
  </r>
  <r>
    <x v="1"/>
    <x v="17"/>
    <x v="0"/>
    <x v="15"/>
    <m/>
    <m/>
    <s v="ELECTRICAL WIRE_STRANDED, POWERFLEX THNN STRANDED   #14, MTR"/>
    <s v="GE-000122"/>
    <n v="60"/>
    <n v="28"/>
    <m/>
    <n v="1680"/>
    <x v="0"/>
    <n v="39"/>
    <n v="21"/>
    <n v="1260"/>
    <n v="1323"/>
    <n v="357"/>
    <n v="0"/>
    <x v="2"/>
    <x v="1"/>
    <e v="#REF!"/>
    <e v="#REF!"/>
    <s v=""/>
    <n v="0.21249999999999999"/>
  </r>
  <r>
    <x v="0"/>
    <x v="3"/>
    <x v="0"/>
    <x v="23"/>
    <m/>
    <m/>
    <s v="EVAPORATOR, TOYOTA HIACE 08 REAR (STAL)"/>
    <s v="CA-001780"/>
    <n v="1"/>
    <n v="2200"/>
    <m/>
    <n v="2200"/>
    <x v="0"/>
    <n v="2297"/>
    <n v="1250"/>
    <n v="1250"/>
    <n v="1312.5"/>
    <n v="887.5"/>
    <n v="0"/>
    <x v="10"/>
    <x v="2"/>
    <m/>
    <m/>
    <s v=""/>
    <n v="0.40340909090909088"/>
  </r>
  <r>
    <x v="1"/>
    <x v="32"/>
    <x v="4"/>
    <x v="25"/>
    <m/>
    <m/>
    <s v="BLOWER_MOTOR, TOYOTA INNOVA OLD F"/>
    <s v="CA-000227"/>
    <n v="1"/>
    <n v="2000"/>
    <m/>
    <n v="2000"/>
    <x v="0"/>
    <n v="2389"/>
    <n v="1300"/>
    <n v="1300"/>
    <n v="1365"/>
    <n v="635"/>
    <n v="190.5"/>
    <x v="15"/>
    <x v="2"/>
    <e v="#REF!"/>
    <e v="#REF!"/>
    <e v="#REF!"/>
    <n v="0.3175"/>
  </r>
  <r>
    <x v="1"/>
    <x v="25"/>
    <x v="0"/>
    <x v="8"/>
    <m/>
    <m/>
    <s v="EVAPORATOR, TOYOTA HIACE 08 REAR (STAL)"/>
    <s v="CA-001780"/>
    <n v="1"/>
    <n v="2100"/>
    <m/>
    <n v="2100"/>
    <x v="0"/>
    <n v="2297"/>
    <n v="1250"/>
    <n v="1250"/>
    <n v="1312.5"/>
    <n v="787.5"/>
    <n v="0"/>
    <x v="10"/>
    <x v="2"/>
    <e v="#REF!"/>
    <e v="#REF!"/>
    <e v="#REF!"/>
    <n v="0.375"/>
  </r>
  <r>
    <x v="1"/>
    <x v="32"/>
    <x v="2"/>
    <x v="22"/>
    <m/>
    <m/>
    <s v="PULLEY_ASSEMBLY, TOYOTA VIOS 08 4PK"/>
    <s v="CA-001075"/>
    <n v="1"/>
    <n v="1800"/>
    <m/>
    <n v="1800"/>
    <x v="0"/>
    <n v="2184"/>
    <n v="1300"/>
    <n v="1300"/>
    <n v="1365"/>
    <n v="435"/>
    <n v="130.5"/>
    <x v="11"/>
    <x v="2"/>
    <e v="#REF!"/>
    <e v="#REF!"/>
    <e v="#REF!"/>
    <n v="0.24166666666666667"/>
  </r>
  <r>
    <x v="2"/>
    <x v="41"/>
    <x v="0"/>
    <x v="23"/>
    <m/>
    <m/>
    <s v="EVAPORATOR, TOYOTA HIACE 08 REAR (STAL)"/>
    <s v="CA-001780"/>
    <n v="1"/>
    <n v="2100"/>
    <m/>
    <n v="2100"/>
    <x v="0"/>
    <n v="2297"/>
    <n v="1250"/>
    <n v="1250"/>
    <n v="1312.5"/>
    <n v="787.5"/>
    <n v="0"/>
    <x v="10"/>
    <x v="2"/>
    <e v="#REF!"/>
    <e v="#REF!"/>
    <s v=""/>
    <n v="0.375"/>
  </r>
  <r>
    <x v="2"/>
    <x v="44"/>
    <x v="0"/>
    <x v="26"/>
    <m/>
    <m/>
    <s v="MAPP_GAS, COOLIB (ISHABELLA) TORCH GAS"/>
    <s v="IM-000317"/>
    <n v="5"/>
    <n v="380"/>
    <m/>
    <n v="1900"/>
    <x v="0"/>
    <n v="451"/>
    <n v="250"/>
    <n v="1250"/>
    <n v="1287.5"/>
    <n v="612.5"/>
    <n v="0"/>
    <x v="45"/>
    <x v="0"/>
    <e v="#REF!"/>
    <e v="#REF!"/>
    <s v=""/>
    <n v="0.32236842105263158"/>
  </r>
  <r>
    <x v="3"/>
    <x v="59"/>
    <x v="0"/>
    <x v="17"/>
    <m/>
    <m/>
    <s v="EVAPORATOR, TOYOTA HIACE 08 REAR (STAL)"/>
    <s v="CA-001780"/>
    <n v="1"/>
    <n v="2100"/>
    <m/>
    <n v="2100"/>
    <x v="0"/>
    <n v="2297"/>
    <n v="1250"/>
    <n v="1250"/>
    <n v="1312.5"/>
    <n v="787.5"/>
    <n v="0"/>
    <x v="10"/>
    <x v="2"/>
    <m/>
    <m/>
    <s v=""/>
    <n v="0.375"/>
  </r>
  <r>
    <x v="1"/>
    <x v="32"/>
    <x v="2"/>
    <x v="9"/>
    <m/>
    <m/>
    <s v="EVAPORATOR, ISUZU MUX/D-MAX 2013"/>
    <s v="CA-000500"/>
    <n v="1"/>
    <n v="1900"/>
    <m/>
    <n v="1900"/>
    <x v="0"/>
    <n v="2481"/>
    <n v="1350"/>
    <n v="1350"/>
    <n v="1417.5"/>
    <n v="482.5"/>
    <n v="144.75"/>
    <x v="10"/>
    <x v="2"/>
    <e v="#REF!"/>
    <e v="#REF!"/>
    <e v="#REF!"/>
    <n v="0.25394736842105264"/>
  </r>
  <r>
    <x v="3"/>
    <x v="68"/>
    <x v="1"/>
    <x v="42"/>
    <m/>
    <m/>
    <s v="EVAPORATOR, TOYOTA HIACE 08 REAR (STAL)"/>
    <s v="CA-001780"/>
    <n v="1"/>
    <n v="1750"/>
    <m/>
    <n v="1750"/>
    <x v="0"/>
    <n v="2297"/>
    <n v="1250"/>
    <n v="1250"/>
    <n v="1312.5"/>
    <n v="437.5"/>
    <n v="131.25"/>
    <x v="10"/>
    <x v="2"/>
    <m/>
    <m/>
    <s v=""/>
    <n v="0.25"/>
  </r>
  <r>
    <x v="3"/>
    <x v="71"/>
    <x v="0"/>
    <x v="79"/>
    <m/>
    <n v="2200"/>
    <s v="EVAPORATOR, TOYOTA HIACE 08 REAR (STAL)"/>
    <s v="CA-001780"/>
    <n v="1"/>
    <n v="1964"/>
    <m/>
    <n v="1964"/>
    <x v="0"/>
    <n v="2297"/>
    <n v="1250"/>
    <n v="1250"/>
    <n v="1312.5"/>
    <n v="651.5"/>
    <n v="0"/>
    <x v="10"/>
    <x v="2"/>
    <m/>
    <m/>
    <n v="2199.6800000000003"/>
    <n v="0.33172097759674135"/>
  </r>
  <r>
    <x v="3"/>
    <x v="122"/>
    <x v="0"/>
    <x v="49"/>
    <m/>
    <m/>
    <s v="EVAPORATOR, TOYOTA HIACE 08 REAR (STAL)"/>
    <s v="CA-001780"/>
    <n v="1"/>
    <n v="2200"/>
    <m/>
    <n v="2200"/>
    <x v="0"/>
    <n v="2297"/>
    <n v="1250"/>
    <n v="1250"/>
    <n v="1312.5"/>
    <n v="887.5"/>
    <n v="0"/>
    <x v="10"/>
    <x v="2"/>
    <m/>
    <m/>
    <s v=""/>
    <n v="0.40340909090909088"/>
  </r>
  <r>
    <x v="3"/>
    <x v="101"/>
    <x v="0"/>
    <x v="17"/>
    <m/>
    <m/>
    <s v="EVAPORATOR, TOYOTA HIACE 08 REAR (STAL)"/>
    <s v="CA-001780"/>
    <n v="1"/>
    <n v="2200"/>
    <m/>
    <n v="2200"/>
    <x v="0"/>
    <n v="2297"/>
    <n v="1250"/>
    <n v="1250"/>
    <n v="1312.5"/>
    <n v="887.5"/>
    <n v="0"/>
    <x v="10"/>
    <x v="2"/>
    <m/>
    <m/>
    <s v=""/>
    <n v="0.40340909090909088"/>
  </r>
  <r>
    <x v="4"/>
    <x v="77"/>
    <x v="0"/>
    <x v="26"/>
    <m/>
    <m/>
    <s v="RUBBER_INSULATION, M-FLEX 3/4&quot; 5/8"/>
    <s v="IM-000331"/>
    <n v="14"/>
    <n v="125"/>
    <m/>
    <n v="1750"/>
    <x v="0"/>
    <n v="140"/>
    <n v="100"/>
    <n v="1400"/>
    <n v="1442"/>
    <n v="308"/>
    <n v="0"/>
    <x v="22"/>
    <x v="0"/>
    <e v="#REF!"/>
    <e v="#REF!"/>
    <e v="#REF!"/>
    <n v="0"/>
  </r>
  <r>
    <x v="1"/>
    <x v="32"/>
    <x v="2"/>
    <x v="9"/>
    <m/>
    <m/>
    <s v="BLOWER_MOTOR, ISUZU D-MAX 2013 / MUX"/>
    <s v="CA-000171"/>
    <n v="1"/>
    <n v="1900"/>
    <m/>
    <n v="1900"/>
    <x v="0"/>
    <n v="2389"/>
    <n v="1300"/>
    <n v="1300"/>
    <n v="1365"/>
    <n v="535"/>
    <n v="160.5"/>
    <x v="15"/>
    <x v="2"/>
    <e v="#REF!"/>
    <e v="#REF!"/>
    <e v="#REF!"/>
    <n v="0.28157894736842104"/>
  </r>
  <r>
    <x v="0"/>
    <x v="47"/>
    <x v="10"/>
    <x v="82"/>
    <m/>
    <m/>
    <s v="BLOWER_MOTOR, TOYOTA HI-ACE REAR  RIGHT"/>
    <s v="CA-000223"/>
    <n v="1"/>
    <n v="1800"/>
    <m/>
    <n v="1800"/>
    <x v="0"/>
    <n v="2205"/>
    <n v="1200"/>
    <n v="1200"/>
    <n v="1260"/>
    <n v="540"/>
    <n v="162"/>
    <x v="15"/>
    <x v="2"/>
    <m/>
    <m/>
    <s v=""/>
    <n v="0.3"/>
  </r>
  <r>
    <x v="1"/>
    <x v="14"/>
    <x v="1"/>
    <x v="3"/>
    <m/>
    <m/>
    <s v="AUXFAN_MOTOR, HONDA CIVIC GOLD 3256"/>
    <s v="CA-001382"/>
    <n v="1"/>
    <n v="1500"/>
    <m/>
    <n v="1500"/>
    <x v="0"/>
    <n v="1470"/>
    <n v="800"/>
    <n v="800"/>
    <n v="840"/>
    <n v="660"/>
    <n v="198"/>
    <x v="14"/>
    <x v="2"/>
    <e v="#REF!"/>
    <e v="#REF!"/>
    <s v=""/>
    <n v="0.44"/>
  </r>
  <r>
    <x v="1"/>
    <x v="34"/>
    <x v="2"/>
    <x v="22"/>
    <m/>
    <m/>
    <s v="BLOWER_MOTOR, TOYOTA INNOVA OLD F"/>
    <s v="CA-000227"/>
    <n v="1"/>
    <n v="1800"/>
    <m/>
    <n v="1800"/>
    <x v="0"/>
    <n v="2389"/>
    <n v="1300"/>
    <n v="1300"/>
    <n v="1365"/>
    <n v="435"/>
    <n v="130.5"/>
    <x v="15"/>
    <x v="2"/>
    <e v="#REF!"/>
    <e v="#REF!"/>
    <e v="#REF!"/>
    <n v="0"/>
  </r>
  <r>
    <x v="0"/>
    <x v="98"/>
    <x v="0"/>
    <x v="72"/>
    <m/>
    <m/>
    <s v="EVAPORATOR, SUZUKI CELERIO 16"/>
    <s v="CA-000528"/>
    <n v="1"/>
    <n v="2000"/>
    <m/>
    <n v="2000"/>
    <x v="0"/>
    <n v="2205"/>
    <n v="1200"/>
    <n v="1200"/>
    <n v="1260"/>
    <n v="740"/>
    <n v="0"/>
    <x v="10"/>
    <x v="2"/>
    <m/>
    <m/>
    <s v=""/>
    <n v="0.37"/>
  </r>
  <r>
    <x v="1"/>
    <x v="25"/>
    <x v="2"/>
    <x v="50"/>
    <m/>
    <m/>
    <s v="EVAPORATOR, TOYOTA HIACE 08 REAR (STAL)"/>
    <s v="CA-001780"/>
    <n v="1"/>
    <n v="2100"/>
    <m/>
    <n v="2100"/>
    <x v="0"/>
    <n v="2297"/>
    <n v="1250"/>
    <n v="1250"/>
    <n v="1312.5"/>
    <n v="787.5"/>
    <n v="236.25"/>
    <x v="10"/>
    <x v="2"/>
    <e v="#REF!"/>
    <e v="#REF!"/>
    <e v="#REF!"/>
    <n v="0.375"/>
  </r>
  <r>
    <x v="0"/>
    <x v="8"/>
    <x v="0"/>
    <x v="11"/>
    <m/>
    <n v="2100"/>
    <s v="EVAPORATOR, HYUNDAI ACCENT 2019  STAL"/>
    <s v="CA-001648"/>
    <n v="1"/>
    <n v="1875"/>
    <m/>
    <n v="1875"/>
    <x v="0"/>
    <n v="2205"/>
    <n v="1200"/>
    <n v="1200"/>
    <n v="1260"/>
    <n v="615"/>
    <n v="0"/>
    <x v="10"/>
    <x v="2"/>
    <m/>
    <m/>
    <n v="2100"/>
    <n v="0.32800000000000001"/>
  </r>
  <r>
    <x v="1"/>
    <x v="15"/>
    <x v="1"/>
    <x v="3"/>
    <m/>
    <m/>
    <s v="PULLEY_ASSEMBLY, TOYOTA VIOS 2017/ WIGO  6PK"/>
    <s v="CA-001788"/>
    <n v="1"/>
    <n v="2100"/>
    <m/>
    <n v="2100"/>
    <x v="0"/>
    <n v="2016"/>
    <n v="1200"/>
    <n v="1200"/>
    <n v="1260"/>
    <n v="840"/>
    <n v="252"/>
    <x v="11"/>
    <x v="2"/>
    <e v="#REF!"/>
    <e v="#REF!"/>
    <s v=""/>
    <n v="0.4"/>
  </r>
  <r>
    <x v="0"/>
    <x v="91"/>
    <x v="0"/>
    <x v="49"/>
    <m/>
    <m/>
    <s v="BLOWER_MOTOR, TOYOTA FX / CITY 97"/>
    <s v="CA-000221"/>
    <n v="1"/>
    <n v="1900"/>
    <m/>
    <n v="1900"/>
    <x v="0"/>
    <n v="2205"/>
    <n v="1200"/>
    <n v="1200"/>
    <n v="1260"/>
    <n v="640"/>
    <n v="0"/>
    <x v="15"/>
    <x v="2"/>
    <m/>
    <m/>
    <s v=""/>
    <n v="0.33684210526315789"/>
  </r>
  <r>
    <x v="1"/>
    <x v="21"/>
    <x v="2"/>
    <x v="22"/>
    <m/>
    <m/>
    <s v="EVAPORATOR, ISUZU CROSSWIND (F)"/>
    <s v="CA-000498"/>
    <n v="1"/>
    <n v="1700"/>
    <m/>
    <n v="1700"/>
    <x v="0"/>
    <n v="2297"/>
    <n v="1250"/>
    <n v="1250"/>
    <n v="1312.5"/>
    <n v="387.5"/>
    <n v="116.25"/>
    <x v="10"/>
    <x v="2"/>
    <e v="#REF!"/>
    <e v="#REF!"/>
    <e v="#REF!"/>
    <n v="0.22794117647058823"/>
  </r>
  <r>
    <x v="1"/>
    <x v="19"/>
    <x v="0"/>
    <x v="17"/>
    <m/>
    <m/>
    <s v="EVAPORATOR, HYUNDAI ACCENT 2012  (STAL)"/>
    <s v="CA-001800"/>
    <n v="1"/>
    <n v="2100"/>
    <m/>
    <n v="2100"/>
    <x v="0"/>
    <n v="2205"/>
    <n v="1200"/>
    <n v="1200"/>
    <n v="1260"/>
    <n v="840"/>
    <n v="0"/>
    <x v="10"/>
    <x v="2"/>
    <e v="#REF!"/>
    <e v="#REF!"/>
    <s v=""/>
    <n v="0.4"/>
  </r>
  <r>
    <x v="1"/>
    <x v="76"/>
    <x v="0"/>
    <x v="23"/>
    <m/>
    <m/>
    <s v="EVAPORATOR, MITSUBISHI ADVENTURE OLD / SERPENTINE (STAL)"/>
    <s v="CA-001656"/>
    <n v="1"/>
    <n v="2000"/>
    <m/>
    <n v="2000"/>
    <x v="0"/>
    <n v="2205"/>
    <n v="1200"/>
    <n v="1200"/>
    <n v="1260"/>
    <n v="740"/>
    <n v="0"/>
    <x v="10"/>
    <x v="2"/>
    <e v="#REF!"/>
    <e v="#REF!"/>
    <s v=""/>
    <n v="0.37"/>
  </r>
  <r>
    <x v="1"/>
    <x v="32"/>
    <x v="2"/>
    <x v="22"/>
    <m/>
    <m/>
    <s v="ECV, TOYOTA RAV4, 8-30"/>
    <s v="CA-000457"/>
    <n v="1"/>
    <n v="1700"/>
    <m/>
    <n v="1700"/>
    <x v="0"/>
    <n v="2205"/>
    <n v="1200"/>
    <n v="1200"/>
    <n v="1260"/>
    <n v="440"/>
    <n v="132"/>
    <x v="26"/>
    <x v="2"/>
    <e v="#REF!"/>
    <e v="#REF!"/>
    <e v="#REF!"/>
    <n v="0.25882352941176473"/>
  </r>
  <r>
    <x v="1"/>
    <x v="22"/>
    <x v="0"/>
    <x v="10"/>
    <m/>
    <m/>
    <s v="EVAPORATOR, NISSAN NAVARRA 2015 /TERRA/ CALIBRE 16  (STAL)"/>
    <s v="CA-001659"/>
    <n v="1"/>
    <n v="2100"/>
    <m/>
    <n v="2100"/>
    <x v="0"/>
    <n v="2205"/>
    <n v="1200"/>
    <n v="1200"/>
    <n v="1260"/>
    <n v="840"/>
    <n v="0"/>
    <x v="10"/>
    <x v="2"/>
    <e v="#REF!"/>
    <e v="#REF!"/>
    <e v="#REF!"/>
    <n v="0.4"/>
  </r>
  <r>
    <x v="1"/>
    <x v="15"/>
    <x v="1"/>
    <x v="3"/>
    <m/>
    <n v="1900"/>
    <s v="EVAPORATOR, TOYOTA INNOVA OLD (F) JBE-0103ZX (STAL)"/>
    <s v="CA-001633"/>
    <n v="1"/>
    <n v="1700"/>
    <m/>
    <n v="1700"/>
    <x v="0"/>
    <n v="1654"/>
    <n v="900"/>
    <n v="900"/>
    <n v="945"/>
    <n v="755"/>
    <n v="226.5"/>
    <x v="10"/>
    <x v="2"/>
    <e v="#REF!"/>
    <e v="#REF!"/>
    <n v="1904.0000000000002"/>
    <n v="0.44411764705882351"/>
  </r>
  <r>
    <x v="1"/>
    <x v="28"/>
    <x v="0"/>
    <x v="1"/>
    <m/>
    <m/>
    <s v="PULLEY_ASSEMBLY, SUZUKI ERTIGA 4PK"/>
    <s v="CA-001821"/>
    <n v="1"/>
    <n v="2150"/>
    <m/>
    <n v="2150"/>
    <x v="0"/>
    <n v="2016"/>
    <n v="1200"/>
    <n v="1200"/>
    <n v="1260"/>
    <n v="890"/>
    <n v="0"/>
    <x v="11"/>
    <x v="2"/>
    <e v="#REF!"/>
    <e v="#REF!"/>
    <e v="#REF!"/>
    <n v="0"/>
  </r>
  <r>
    <x v="1"/>
    <x v="121"/>
    <x v="1"/>
    <x v="3"/>
    <m/>
    <m/>
    <s v="BLOWER_MOTOR, NISSAN XTRAIL NO BLADE"/>
    <s v="CA-000202"/>
    <n v="1"/>
    <n v="1600"/>
    <m/>
    <n v="1600"/>
    <x v="0"/>
    <n v="1930"/>
    <n v="1050"/>
    <n v="1050"/>
    <n v="1102.5"/>
    <n v="497.5"/>
    <n v="149.25"/>
    <x v="15"/>
    <x v="2"/>
    <e v="#REF!"/>
    <e v="#REF!"/>
    <s v=""/>
    <n v="0.31093749999999998"/>
  </r>
  <r>
    <x v="1"/>
    <x v="30"/>
    <x v="0"/>
    <x v="11"/>
    <m/>
    <m/>
    <s v="EVAPORATOR, TOYOTA AVANZA 08"/>
    <s v="CA-000537"/>
    <n v="1"/>
    <n v="1900"/>
    <m/>
    <n v="1900"/>
    <x v="0"/>
    <n v="2205"/>
    <n v="1200"/>
    <n v="1200"/>
    <n v="1260"/>
    <n v="640"/>
    <n v="0"/>
    <x v="10"/>
    <x v="2"/>
    <e v="#REF!"/>
    <e v="#REF!"/>
    <e v="#REF!"/>
    <n v="0.33684210526315789"/>
  </r>
  <r>
    <x v="1"/>
    <x v="34"/>
    <x v="4"/>
    <x v="25"/>
    <m/>
    <m/>
    <s v="AUXFAN_MOTOR, MITSUBISHI L300 NEW"/>
    <s v="CA-001724"/>
    <n v="1"/>
    <n v="1800"/>
    <m/>
    <n v="1800"/>
    <x v="0"/>
    <n v="2114"/>
    <n v="1150"/>
    <n v="1150"/>
    <n v="1207.5"/>
    <n v="592.5"/>
    <n v="177.75"/>
    <x v="14"/>
    <x v="2"/>
    <e v="#REF!"/>
    <e v="#REF!"/>
    <e v="#REF!"/>
    <n v="0"/>
  </r>
  <r>
    <x v="1"/>
    <x v="32"/>
    <x v="0"/>
    <x v="23"/>
    <m/>
    <m/>
    <s v="EVAPORATOR, SUZUKI CELERIO 16"/>
    <s v="CA-000528"/>
    <n v="1"/>
    <n v="1900"/>
    <m/>
    <n v="1900"/>
    <x v="0"/>
    <n v="2205"/>
    <n v="1200"/>
    <n v="1200"/>
    <n v="1260"/>
    <n v="640"/>
    <n v="0"/>
    <x v="10"/>
    <x v="2"/>
    <e v="#REF!"/>
    <e v="#REF!"/>
    <e v="#REF!"/>
    <n v="0.33684210526315789"/>
  </r>
  <r>
    <x v="2"/>
    <x v="117"/>
    <x v="0"/>
    <x v="49"/>
    <m/>
    <m/>
    <s v="PULLEY_ASSEMBLY, TOYOTA VIOS 2014  4PK"/>
    <s v="CA-001397"/>
    <n v="1"/>
    <n v="1800"/>
    <m/>
    <n v="1800"/>
    <x v="0"/>
    <n v="2016"/>
    <n v="1200"/>
    <n v="1200"/>
    <n v="1260"/>
    <n v="540"/>
    <n v="0"/>
    <x v="11"/>
    <x v="2"/>
    <e v="#REF!"/>
    <e v="#REF!"/>
    <s v=""/>
    <n v="0.3"/>
  </r>
  <r>
    <x v="1"/>
    <x v="124"/>
    <x v="1"/>
    <x v="3"/>
    <m/>
    <m/>
    <s v="EXP. VALVE SC, MITSUBISHI ORING TYPE 5/16"/>
    <s v="CA-000567"/>
    <n v="1"/>
    <n v="500"/>
    <m/>
    <n v="500"/>
    <x v="0"/>
    <n v="386"/>
    <n v="210"/>
    <n v="210"/>
    <n v="220.5"/>
    <n v="279.5"/>
    <n v="83.85"/>
    <x v="34"/>
    <x v="2"/>
    <e v="#REF!"/>
    <e v="#REF!"/>
    <e v="#REF!"/>
    <n v="0"/>
  </r>
  <r>
    <x v="2"/>
    <x v="37"/>
    <x v="0"/>
    <x v="11"/>
    <m/>
    <m/>
    <s v="BLOWER_MOTOR, TOYOTA REVO"/>
    <s v="CA-000229"/>
    <n v="1"/>
    <n v="1800"/>
    <m/>
    <n v="1800"/>
    <x v="0"/>
    <n v="2205"/>
    <n v="1200"/>
    <n v="1200"/>
    <n v="1260"/>
    <n v="540"/>
    <n v="0"/>
    <x v="15"/>
    <x v="2"/>
    <e v="#REF!"/>
    <e v="#REF!"/>
    <s v=""/>
    <n v="0.3"/>
  </r>
  <r>
    <x v="2"/>
    <x v="37"/>
    <x v="0"/>
    <x v="11"/>
    <m/>
    <n v="2000"/>
    <s v="EVAPORATOR, MITSUBISHI ADVENTURE OLD / SERPENTINE (STAL)"/>
    <s v="CA-001656"/>
    <n v="1"/>
    <n v="1790"/>
    <m/>
    <n v="1790"/>
    <x v="0"/>
    <n v="2205"/>
    <n v="1200"/>
    <n v="1200"/>
    <n v="1260"/>
    <n v="530"/>
    <n v="0"/>
    <x v="10"/>
    <x v="2"/>
    <e v="#REF!"/>
    <e v="#REF!"/>
    <n v="2004.8000000000002"/>
    <n v="0.29608938547486036"/>
  </r>
  <r>
    <x v="2"/>
    <x v="37"/>
    <x v="0"/>
    <x v="10"/>
    <m/>
    <n v="2100"/>
    <s v="EVAPORATOR, HYUNDAI STAREX F RIGHT (STAL)"/>
    <s v="CA-001758"/>
    <n v="1"/>
    <n v="1875"/>
    <m/>
    <n v="1875"/>
    <x v="0"/>
    <n v="2205"/>
    <n v="1200"/>
    <n v="1200"/>
    <n v="1260"/>
    <n v="615"/>
    <n v="0"/>
    <x v="10"/>
    <x v="2"/>
    <e v="#REF!"/>
    <e v="#REF!"/>
    <n v="2100"/>
    <n v="0.32800000000000001"/>
  </r>
  <r>
    <x v="2"/>
    <x v="40"/>
    <x v="0"/>
    <x v="89"/>
    <m/>
    <m/>
    <s v="BLOWER_MOTOR, TOYOTA FX / CITY 97"/>
    <s v="CA-000221"/>
    <n v="1"/>
    <n v="1850"/>
    <m/>
    <n v="1850"/>
    <x v="0"/>
    <n v="2205"/>
    <n v="1200"/>
    <n v="1200"/>
    <n v="1260"/>
    <n v="590"/>
    <n v="0"/>
    <x v="15"/>
    <x v="2"/>
    <e v="#REF!"/>
    <e v="#REF!"/>
    <s v=""/>
    <n v="0.31891891891891894"/>
  </r>
  <r>
    <x v="1"/>
    <x v="121"/>
    <x v="2"/>
    <x v="7"/>
    <m/>
    <n v="1800"/>
    <s v="AUXFAN_MOTOR, TOYOTA AVANZA 2410"/>
    <s v="CA-000081"/>
    <n v="1"/>
    <n v="1610"/>
    <m/>
    <n v="1610"/>
    <x v="0"/>
    <n v="2022"/>
    <n v="1100"/>
    <n v="1100"/>
    <n v="1155"/>
    <n v="455"/>
    <n v="136.5"/>
    <x v="14"/>
    <x v="2"/>
    <e v="#REF!"/>
    <e v="#REF!"/>
    <n v="1803.2000000000003"/>
    <n v="0.28260869565217389"/>
  </r>
  <r>
    <x v="2"/>
    <x v="44"/>
    <x v="0"/>
    <x v="17"/>
    <m/>
    <m/>
    <s v="EVAPORATOR, HYUNDAI ACCENT 2012  (STAL)"/>
    <s v="CA-001800"/>
    <n v="1"/>
    <n v="2000"/>
    <m/>
    <n v="2000"/>
    <x v="0"/>
    <n v="2205"/>
    <n v="1200"/>
    <n v="1200"/>
    <n v="1260"/>
    <n v="740"/>
    <n v="0"/>
    <x v="10"/>
    <x v="2"/>
    <e v="#REF!"/>
    <e v="#REF!"/>
    <s v=""/>
    <n v="0.37"/>
  </r>
  <r>
    <x v="2"/>
    <x v="49"/>
    <x v="0"/>
    <x v="11"/>
    <m/>
    <m/>
    <s v="EVAPORATOR, HYUNDAI ACCENT 2012  (STAL)"/>
    <s v="CA-001800"/>
    <n v="1"/>
    <n v="2100"/>
    <m/>
    <n v="2100"/>
    <x v="0"/>
    <n v="2205"/>
    <n v="1200"/>
    <n v="1200"/>
    <n v="1260"/>
    <n v="840"/>
    <n v="0"/>
    <x v="10"/>
    <x v="2"/>
    <e v="#REF!"/>
    <e v="#REF!"/>
    <s v=""/>
    <n v="0.4"/>
  </r>
  <r>
    <x v="2"/>
    <x v="54"/>
    <x v="0"/>
    <x v="49"/>
    <m/>
    <m/>
    <s v="PULLEY_ASSEMBLY, TOYOTA VIOS 2014  4PK"/>
    <s v="CA-001397"/>
    <n v="1"/>
    <n v="2000"/>
    <m/>
    <n v="2000"/>
    <x v="0"/>
    <n v="2016"/>
    <n v="1200"/>
    <n v="1200"/>
    <n v="1260"/>
    <n v="740"/>
    <n v="0"/>
    <x v="11"/>
    <x v="2"/>
    <e v="#REF!"/>
    <e v="#REF!"/>
    <s v=""/>
    <n v="0.37"/>
  </r>
  <r>
    <x v="1"/>
    <x v="114"/>
    <x v="2"/>
    <x v="22"/>
    <m/>
    <n v="1700"/>
    <s v="EVAPORATOR, ISUZU CROSSWIND FRONT ( STAL)"/>
    <s v="CA-001801"/>
    <n v="1"/>
    <n v="1518"/>
    <m/>
    <n v="1518"/>
    <x v="0"/>
    <n v="2394"/>
    <n v="1200"/>
    <n v="1200"/>
    <n v="1260"/>
    <n v="258"/>
    <n v="77.399999999999991"/>
    <x v="10"/>
    <x v="2"/>
    <e v="#REF!"/>
    <e v="#REF!"/>
    <e v="#REF!"/>
    <n v="0.16996047430830039"/>
  </r>
  <r>
    <x v="2"/>
    <x v="58"/>
    <x v="0"/>
    <x v="11"/>
    <m/>
    <m/>
    <s v="PULLEY_ASSEMBLY, TOYOTA VIOS 2014  4PK"/>
    <s v="CA-001397"/>
    <n v="1"/>
    <n v="2000"/>
    <m/>
    <n v="2000"/>
    <x v="0"/>
    <n v="2016"/>
    <n v="1200"/>
    <n v="1200"/>
    <n v="1260"/>
    <n v="740"/>
    <n v="0"/>
    <x v="11"/>
    <x v="2"/>
    <e v="#REF!"/>
    <e v="#REF!"/>
    <s v=""/>
    <n v="0.37"/>
  </r>
  <r>
    <x v="1"/>
    <x v="114"/>
    <x v="1"/>
    <x v="3"/>
    <m/>
    <m/>
    <s v="EVAPORATOR, SUBARU FORESTER (STAL)"/>
    <s v="CA-001748"/>
    <n v="1"/>
    <n v="2100"/>
    <m/>
    <n v="2100"/>
    <x v="0"/>
    <n v="2114"/>
    <n v="1150"/>
    <n v="1150"/>
    <n v="1207.5"/>
    <n v="892.5"/>
    <n v="267.75"/>
    <x v="10"/>
    <x v="2"/>
    <e v="#REF!"/>
    <e v="#REF!"/>
    <s v=""/>
    <n v="0.42499999999999999"/>
  </r>
  <r>
    <x v="1"/>
    <x v="76"/>
    <x v="0"/>
    <x v="36"/>
    <m/>
    <n v="1900"/>
    <s v="AUXFAN_MOTOR, TOYOTA VIOS 14 8030"/>
    <s v="CA-000093"/>
    <n v="1"/>
    <n v="1900"/>
    <m/>
    <n v="1900"/>
    <x v="0"/>
    <n v="2022"/>
    <n v="1100"/>
    <n v="1100"/>
    <n v="1155"/>
    <n v="745"/>
    <n v="0"/>
    <x v="14"/>
    <x v="2"/>
    <e v="#REF!"/>
    <e v="#REF!"/>
    <n v="2128"/>
    <n v="0.39210526315789473"/>
  </r>
  <r>
    <x v="3"/>
    <x v="63"/>
    <x v="0"/>
    <x v="18"/>
    <m/>
    <n v="2100"/>
    <s v="EVAPORATOR, MITSUBISHI ADVENTURE OLD / SERPENTINE (STAL)"/>
    <s v="CA-001656"/>
    <n v="1"/>
    <n v="1875"/>
    <m/>
    <n v="1875"/>
    <x v="0"/>
    <n v="2205"/>
    <n v="1200"/>
    <n v="1200"/>
    <n v="1260"/>
    <n v="615"/>
    <n v="0"/>
    <x v="10"/>
    <x v="2"/>
    <m/>
    <m/>
    <n v="2100"/>
    <n v="0.32800000000000001"/>
  </r>
  <r>
    <x v="1"/>
    <x v="109"/>
    <x v="0"/>
    <x v="36"/>
    <m/>
    <m/>
    <s v="AUXFAN_MOTOR, TOYOTA VIOS 14 8030"/>
    <s v="CA-000093"/>
    <n v="1"/>
    <n v="1900"/>
    <m/>
    <n v="1900"/>
    <x v="0"/>
    <n v="2022"/>
    <n v="1100"/>
    <n v="1100"/>
    <n v="1155"/>
    <n v="745"/>
    <n v="0"/>
    <x v="14"/>
    <x v="2"/>
    <e v="#REF!"/>
    <e v="#REF!"/>
    <e v="#REF!"/>
    <n v="0.39210526315789473"/>
  </r>
  <r>
    <x v="3"/>
    <x v="64"/>
    <x v="0"/>
    <x v="49"/>
    <m/>
    <n v="2100"/>
    <s v="EVAPORATOR, NISSAN ALMERA 40A521"/>
    <s v="CA-000518"/>
    <n v="1"/>
    <n v="1875"/>
    <m/>
    <n v="1875"/>
    <x v="0"/>
    <n v="2205"/>
    <n v="1200"/>
    <n v="1200"/>
    <n v="1260"/>
    <n v="615"/>
    <n v="0"/>
    <x v="10"/>
    <x v="2"/>
    <m/>
    <m/>
    <n v="2100"/>
    <n v="0.32800000000000001"/>
  </r>
  <r>
    <x v="3"/>
    <x v="65"/>
    <x v="0"/>
    <x v="11"/>
    <m/>
    <m/>
    <s v="PULLEY_ASSEMBLY, TOYOTA VIOS 2014  4PK"/>
    <s v="CA-001397"/>
    <n v="1"/>
    <n v="1900"/>
    <m/>
    <n v="1900"/>
    <x v="0"/>
    <n v="2016"/>
    <n v="1200"/>
    <n v="1200"/>
    <n v="1260"/>
    <n v="640"/>
    <n v="0"/>
    <x v="11"/>
    <x v="2"/>
    <m/>
    <m/>
    <s v=""/>
    <n v="0.33684210526315789"/>
  </r>
  <r>
    <x v="3"/>
    <x v="68"/>
    <x v="1"/>
    <x v="42"/>
    <m/>
    <m/>
    <s v="EVAPORATOR, MITSUBISHI ADVENTURE OLD / SERPENTINE (STAL)"/>
    <s v="CA-001656"/>
    <n v="1"/>
    <n v="1650"/>
    <m/>
    <n v="1650"/>
    <x v="0"/>
    <n v="2205"/>
    <n v="1200"/>
    <n v="1200"/>
    <n v="1260"/>
    <n v="390"/>
    <n v="117"/>
    <x v="10"/>
    <x v="2"/>
    <m/>
    <m/>
    <s v=""/>
    <n v="0.23636363636363636"/>
  </r>
  <r>
    <x v="1"/>
    <x v="114"/>
    <x v="1"/>
    <x v="3"/>
    <m/>
    <m/>
    <s v="CABIN_FILTER, SUBARU FORESTER"/>
    <s v="CA-001531"/>
    <n v="1"/>
    <n v="450"/>
    <m/>
    <n v="450"/>
    <x v="0"/>
    <n v="630"/>
    <n v="300"/>
    <n v="300"/>
    <n v="315"/>
    <n v="135"/>
    <n v="40.5"/>
    <x v="12"/>
    <x v="2"/>
    <e v="#REF!"/>
    <e v="#REF!"/>
    <s v=""/>
    <n v="0.3"/>
  </r>
  <r>
    <x v="3"/>
    <x v="70"/>
    <x v="0"/>
    <x v="23"/>
    <m/>
    <m/>
    <s v="EVAPORATOR, ISUZU CROSSWIND (F)"/>
    <s v="CA-000498"/>
    <n v="1"/>
    <n v="1900"/>
    <m/>
    <n v="1900"/>
    <x v="0"/>
    <n v="2297"/>
    <n v="1250"/>
    <n v="1250"/>
    <n v="1312.5"/>
    <n v="587.5"/>
    <n v="0"/>
    <x v="10"/>
    <x v="2"/>
    <m/>
    <m/>
    <s v=""/>
    <n v="0.30921052631578949"/>
  </r>
  <r>
    <x v="3"/>
    <x v="70"/>
    <x v="0"/>
    <x v="79"/>
    <m/>
    <m/>
    <s v="EVAPORATOR, HYUNDAI ACCENT 2019  STAL"/>
    <s v="CA-001648"/>
    <n v="1"/>
    <n v="2100"/>
    <m/>
    <n v="2100"/>
    <x v="0"/>
    <n v="2205"/>
    <n v="1200"/>
    <n v="1200"/>
    <n v="1260"/>
    <n v="840"/>
    <n v="0"/>
    <x v="10"/>
    <x v="2"/>
    <m/>
    <m/>
    <s v=""/>
    <n v="0.4"/>
  </r>
  <r>
    <x v="3"/>
    <x v="85"/>
    <x v="0"/>
    <x v="90"/>
    <m/>
    <m/>
    <s v="BLOWER_MOTOR, TOYOTA REVO"/>
    <s v="CA-000229"/>
    <n v="1"/>
    <n v="1900"/>
    <m/>
    <n v="1900"/>
    <x v="0"/>
    <n v="2205"/>
    <n v="1200"/>
    <n v="1200"/>
    <n v="1260"/>
    <n v="640"/>
    <n v="0"/>
    <x v="15"/>
    <x v="2"/>
    <m/>
    <m/>
    <m/>
    <n v="0.33684210526315789"/>
  </r>
  <r>
    <x v="1"/>
    <x v="30"/>
    <x v="0"/>
    <x v="36"/>
    <m/>
    <m/>
    <s v="ECV, HYUNDAI ACCENT, 8-22A"/>
    <s v="CA-000454"/>
    <n v="1"/>
    <n v="1900"/>
    <m/>
    <n v="1900"/>
    <x v="0"/>
    <n v="1838"/>
    <n v="1000"/>
    <n v="1000"/>
    <n v="1050"/>
    <n v="850"/>
    <n v="0"/>
    <x v="26"/>
    <x v="2"/>
    <e v="#REF!"/>
    <e v="#REF!"/>
    <e v="#REF!"/>
    <n v="0.44736842105263158"/>
  </r>
  <r>
    <x v="1"/>
    <x v="34"/>
    <x v="4"/>
    <x v="25"/>
    <m/>
    <m/>
    <s v="AUXFAN_MOTOR, TOYOTA VIOS 14 8030"/>
    <s v="CA-000093"/>
    <n v="1"/>
    <n v="1900"/>
    <m/>
    <n v="1900"/>
    <x v="0"/>
    <n v="2022"/>
    <n v="1100"/>
    <n v="1100"/>
    <n v="1155"/>
    <n v="745"/>
    <n v="223.5"/>
    <x v="14"/>
    <x v="2"/>
    <e v="#REF!"/>
    <e v="#REF!"/>
    <e v="#REF!"/>
    <n v="0"/>
  </r>
  <r>
    <x v="1"/>
    <x v="14"/>
    <x v="4"/>
    <x v="25"/>
    <m/>
    <n v="2000"/>
    <s v="BLOWER_MOTOR, TOYOTA INNOVA NEW/ REVO/ FORTUNER STAL"/>
    <s v="CA-001784"/>
    <n v="1"/>
    <n v="1786"/>
    <m/>
    <n v="1786"/>
    <x v="0"/>
    <n v="1654"/>
    <n v="900"/>
    <n v="900"/>
    <n v="945"/>
    <n v="841"/>
    <n v="252.29999999999998"/>
    <x v="15"/>
    <x v="2"/>
    <e v="#REF!"/>
    <e v="#REF!"/>
    <n v="2000.3200000000002"/>
    <n v="0.47088465845464728"/>
  </r>
  <r>
    <x v="4"/>
    <x v="108"/>
    <x v="0"/>
    <x v="23"/>
    <m/>
    <m/>
    <s v="EVAPORATOR, ISUZU CROSSWIND (F)"/>
    <s v="CA-000498"/>
    <n v="1"/>
    <n v="1900"/>
    <m/>
    <n v="1900"/>
    <x v="0"/>
    <n v="2297"/>
    <n v="1250"/>
    <n v="1250"/>
    <n v="1312.5"/>
    <n v="587.5"/>
    <n v="0"/>
    <x v="10"/>
    <x v="2"/>
    <m/>
    <m/>
    <m/>
    <n v="0.30921052631578949"/>
  </r>
  <r>
    <x v="1"/>
    <x v="114"/>
    <x v="2"/>
    <x v="22"/>
    <m/>
    <n v="1800"/>
    <s v="EVAPORATOR, SUZUKI JIMNY 3-16/ALTO 4-12 (STAL)"/>
    <s v="CA-001816"/>
    <n v="1"/>
    <n v="1610"/>
    <m/>
    <n v="1610"/>
    <x v="0"/>
    <n v="1654"/>
    <n v="900"/>
    <n v="900"/>
    <n v="945"/>
    <n v="665"/>
    <n v="199.5"/>
    <x v="10"/>
    <x v="2"/>
    <e v="#REF!"/>
    <e v="#REF!"/>
    <e v="#REF!"/>
    <n v="0.41304347826086957"/>
  </r>
  <r>
    <x v="4"/>
    <x v="89"/>
    <x v="0"/>
    <x v="10"/>
    <m/>
    <m/>
    <s v="PULLEY_ASSEMBLY, TOYOTA VIOS 2014  4PK"/>
    <s v="CA-001397"/>
    <n v="1"/>
    <n v="2000"/>
    <m/>
    <n v="2000"/>
    <x v="0"/>
    <n v="2016"/>
    <n v="1200"/>
    <n v="1200"/>
    <n v="1260"/>
    <n v="740"/>
    <n v="0"/>
    <x v="11"/>
    <x v="2"/>
    <m/>
    <m/>
    <m/>
    <n v="0.37"/>
  </r>
  <r>
    <x v="1"/>
    <x v="18"/>
    <x v="1"/>
    <x v="3"/>
    <m/>
    <m/>
    <s v="AUXFAN_MOTOR, HONDA CIVIC GOLD 3256"/>
    <s v="CA-001382"/>
    <n v="1"/>
    <n v="1500"/>
    <m/>
    <n v="1500"/>
    <x v="0"/>
    <n v="1470"/>
    <n v="800"/>
    <n v="800"/>
    <n v="840"/>
    <n v="660"/>
    <n v="198"/>
    <x v="14"/>
    <x v="2"/>
    <e v="#REF!"/>
    <e v="#REF!"/>
    <s v=""/>
    <n v="0.44"/>
  </r>
  <r>
    <x v="1"/>
    <x v="34"/>
    <x v="2"/>
    <x v="22"/>
    <m/>
    <m/>
    <s v="EVAPORATOR, TOYOTA INNOVA NEW (F) JBE-0115ZX (STAL)"/>
    <s v="CA-001631"/>
    <n v="1"/>
    <n v="2000"/>
    <m/>
    <n v="2000"/>
    <x v="0"/>
    <n v="1562"/>
    <n v="850"/>
    <n v="850"/>
    <n v="892.5"/>
    <n v="1107.5"/>
    <n v="332.25"/>
    <x v="10"/>
    <x v="2"/>
    <e v="#REF!"/>
    <e v="#REF!"/>
    <e v="#REF!"/>
    <n v="0.55374999999999996"/>
  </r>
  <r>
    <x v="1"/>
    <x v="19"/>
    <x v="2"/>
    <x v="22"/>
    <m/>
    <n v="65"/>
    <s v="HOSE, COOLMATE 5/8 SUNCTION PER FT"/>
    <s v="GE-000181"/>
    <n v="20"/>
    <n v="69"/>
    <m/>
    <n v="1380"/>
    <x v="0"/>
    <n v="83"/>
    <n v="45"/>
    <n v="900"/>
    <n v="945"/>
    <n v="435"/>
    <n v="130.5"/>
    <x v="19"/>
    <x v="1"/>
    <e v="#REF!"/>
    <e v="#REF!"/>
    <n v="77.28"/>
    <n v="0.31521739130434784"/>
  </r>
  <r>
    <x v="4"/>
    <x v="95"/>
    <x v="0"/>
    <x v="23"/>
    <m/>
    <m/>
    <s v="EVAPORATOR, NISSAN ALMERA 40A521"/>
    <s v="CA-000518"/>
    <n v="1"/>
    <n v="2100"/>
    <m/>
    <n v="2100"/>
    <x v="0"/>
    <n v="2205"/>
    <n v="1200"/>
    <n v="1200"/>
    <n v="1260"/>
    <n v="840"/>
    <n v="0"/>
    <x v="10"/>
    <x v="2"/>
    <m/>
    <m/>
    <m/>
    <n v="0.4"/>
  </r>
  <r>
    <x v="4"/>
    <x v="103"/>
    <x v="0"/>
    <x v="10"/>
    <m/>
    <m/>
    <s v="BLOWER_MOTOR, TOYOTA REVO"/>
    <s v="CA-000229"/>
    <n v="1"/>
    <n v="1900"/>
    <m/>
    <n v="1900"/>
    <x v="0"/>
    <n v="2205"/>
    <n v="1200"/>
    <n v="1200"/>
    <n v="1260"/>
    <n v="640"/>
    <n v="0"/>
    <x v="15"/>
    <x v="2"/>
    <m/>
    <m/>
    <m/>
    <n v="0.33684210526315789"/>
  </r>
  <r>
    <x v="4"/>
    <x v="78"/>
    <x v="0"/>
    <x v="83"/>
    <m/>
    <m/>
    <s v="PULLEY_ASSEMBLY, TOYOTA VIOS 2014  4PK"/>
    <s v="CA-001397"/>
    <n v="1"/>
    <n v="2000"/>
    <m/>
    <n v="2000"/>
    <x v="0"/>
    <n v="2016"/>
    <n v="1200"/>
    <n v="1200"/>
    <n v="1260"/>
    <n v="740"/>
    <n v="0"/>
    <x v="11"/>
    <x v="2"/>
    <m/>
    <m/>
    <m/>
    <n v="0.37"/>
  </r>
  <r>
    <x v="1"/>
    <x v="15"/>
    <x v="3"/>
    <x v="12"/>
    <m/>
    <n v="1800"/>
    <s v="EVAPORATOR, TOYOTA INNOVA OLD (F) JBE-0103ZX (STAL)"/>
    <s v="CA-001633"/>
    <n v="1"/>
    <n v="1610"/>
    <m/>
    <n v="1610"/>
    <x v="0"/>
    <n v="1654"/>
    <n v="900"/>
    <n v="900"/>
    <n v="945"/>
    <n v="665"/>
    <n v="199.5"/>
    <x v="10"/>
    <x v="2"/>
    <e v="#REF!"/>
    <e v="#REF!"/>
    <n v="1803.2000000000003"/>
    <n v="0.41304347826086957"/>
  </r>
  <r>
    <x v="1"/>
    <x v="21"/>
    <x v="4"/>
    <x v="25"/>
    <m/>
    <n v="1400"/>
    <s v="AUXFAN_MOTOR, HONDA CRV 2002 (2492)"/>
    <s v="CA-000022"/>
    <n v="1"/>
    <n v="1250"/>
    <m/>
    <n v="1250"/>
    <x v="0"/>
    <n v="1470"/>
    <n v="800"/>
    <n v="800"/>
    <n v="840"/>
    <n v="410"/>
    <n v="123"/>
    <x v="14"/>
    <x v="2"/>
    <e v="#REF!"/>
    <e v="#REF!"/>
    <n v="1400.0000000000002"/>
    <n v="0.32800000000000001"/>
  </r>
  <r>
    <x v="4"/>
    <x v="79"/>
    <x v="0"/>
    <x v="11"/>
    <m/>
    <m/>
    <s v="EVAPORATOR, NISSAN NAVARRA 2015 /TERRA/ CALIBRE 16  (STAL)"/>
    <s v="CA-001659"/>
    <n v="1"/>
    <n v="2200"/>
    <m/>
    <n v="2200"/>
    <x v="0"/>
    <n v="2205"/>
    <n v="1200"/>
    <n v="1200"/>
    <n v="1260"/>
    <n v="940"/>
    <n v="0"/>
    <x v="10"/>
    <x v="2"/>
    <m/>
    <m/>
    <m/>
    <n v="0.42727272727272725"/>
  </r>
  <r>
    <x v="1"/>
    <x v="21"/>
    <x v="2"/>
    <x v="22"/>
    <m/>
    <m/>
    <s v="EVAPORATOR, TOYOTA INNOVA OLD (F) JBE-0103ZX (STAL)"/>
    <s v="CA-001633"/>
    <n v="1"/>
    <n v="1820"/>
    <m/>
    <n v="1820"/>
    <x v="0"/>
    <n v="1654"/>
    <n v="900"/>
    <n v="900"/>
    <n v="945"/>
    <n v="875"/>
    <n v="262.5"/>
    <x v="10"/>
    <x v="2"/>
    <e v="#REF!"/>
    <e v="#REF!"/>
    <e v="#REF!"/>
    <n v="0.48076923076923078"/>
  </r>
  <r>
    <x v="1"/>
    <x v="18"/>
    <x v="1"/>
    <x v="3"/>
    <m/>
    <m/>
    <s v="PRESSURE_SWITCH, NISSAN 42CP8-11 (XTRAIL)"/>
    <s v="CA-000857"/>
    <n v="1"/>
    <n v="900"/>
    <m/>
    <n v="900"/>
    <x v="0"/>
    <n v="1050"/>
    <n v="400"/>
    <n v="400"/>
    <n v="420"/>
    <n v="480"/>
    <n v="144"/>
    <x v="47"/>
    <x v="2"/>
    <e v="#REF!"/>
    <e v="#REF!"/>
    <s v=""/>
    <n v="0.53333333333333333"/>
  </r>
  <r>
    <x v="4"/>
    <x v="77"/>
    <x v="0"/>
    <x v="18"/>
    <m/>
    <m/>
    <s v="EVAPORATOR, ISUZU CROSSWIND (F)"/>
    <s v="CA-000498"/>
    <n v="1"/>
    <n v="1900"/>
    <m/>
    <n v="1900"/>
    <x v="0"/>
    <n v="2297"/>
    <n v="1250"/>
    <n v="1250"/>
    <n v="1312.5"/>
    <n v="587.5"/>
    <n v="0"/>
    <x v="10"/>
    <x v="2"/>
    <e v="#REF!"/>
    <e v="#REF!"/>
    <e v="#REF!"/>
    <n v="0"/>
  </r>
  <r>
    <x v="5"/>
    <x v="83"/>
    <x v="0"/>
    <x v="1"/>
    <m/>
    <m/>
    <s v="RUBBER_INSULATION, M-FLEX 1/2&quot; 5/8"/>
    <s v="IM-000232"/>
    <n v="3"/>
    <n v="80"/>
    <m/>
    <n v="240"/>
    <x v="0"/>
    <n v="77"/>
    <n v="55.2"/>
    <n v="165.60000000000002"/>
    <n v="170.56800000000004"/>
    <n v="69.43199999999996"/>
    <n v="0"/>
    <x v="22"/>
    <x v="0"/>
    <e v="#REF!"/>
    <e v="#REF!"/>
    <s v=""/>
    <n v="0.28929999999999984"/>
  </r>
  <r>
    <x v="5"/>
    <x v="83"/>
    <x v="0"/>
    <x v="1"/>
    <m/>
    <m/>
    <s v="RUBBER_INSULATION, M-FLEX 1/2&quot; 3/8"/>
    <s v="IM-000231"/>
    <n v="4"/>
    <n v="60"/>
    <m/>
    <n v="240"/>
    <x v="0"/>
    <n v="53"/>
    <n v="37.6"/>
    <n v="150.4"/>
    <n v="154.91200000000001"/>
    <n v="85.087999999999994"/>
    <n v="0"/>
    <x v="22"/>
    <x v="0"/>
    <e v="#REF!"/>
    <e v="#REF!"/>
    <s v=""/>
    <n v="0.35453333333333331"/>
  </r>
  <r>
    <x v="0"/>
    <x v="97"/>
    <x v="0"/>
    <x v="23"/>
    <m/>
    <m/>
    <s v="AUXFAN_MOTOR, HONDA CITY 2016 (38616)"/>
    <s v="CA-000018"/>
    <n v="1"/>
    <n v="1800"/>
    <m/>
    <n v="1800"/>
    <x v="0"/>
    <n v="2114"/>
    <n v="1150"/>
    <n v="1150"/>
    <n v="1207.5"/>
    <n v="592.5"/>
    <n v="0"/>
    <x v="14"/>
    <x v="2"/>
    <m/>
    <m/>
    <s v=""/>
    <n v="0.32916666666666666"/>
  </r>
  <r>
    <x v="1"/>
    <x v="23"/>
    <x v="0"/>
    <x v="36"/>
    <m/>
    <m/>
    <s v="AUXIALLIARY_FAN, POKKA 10 BLADES X 24VOLTS"/>
    <s v="CA-000107"/>
    <n v="2"/>
    <n v="650"/>
    <m/>
    <n v="1300"/>
    <x v="0"/>
    <n v="772"/>
    <n v="420"/>
    <n v="840"/>
    <n v="882"/>
    <n v="418"/>
    <n v="0"/>
    <x v="16"/>
    <x v="2"/>
    <e v="#REF!"/>
    <e v="#REF!"/>
    <e v="#REF!"/>
    <n v="0.32153846153846155"/>
  </r>
  <r>
    <x v="1"/>
    <x v="24"/>
    <x v="2"/>
    <x v="7"/>
    <m/>
    <m/>
    <s v="EXP. VALVE LT, POKKA 9A55 HONDA NEW"/>
    <s v="CA-000636"/>
    <n v="3"/>
    <n v="550"/>
    <m/>
    <n v="1650"/>
    <x v="0"/>
    <n v="497"/>
    <n v="270"/>
    <n v="810"/>
    <n v="850.5"/>
    <n v="799.5"/>
    <n v="239.85"/>
    <x v="23"/>
    <x v="2"/>
    <e v="#REF!"/>
    <e v="#REF!"/>
    <e v="#REF!"/>
    <n v="0.48454545454545456"/>
  </r>
  <r>
    <x v="0"/>
    <x v="9"/>
    <x v="0"/>
    <x v="1"/>
    <m/>
    <m/>
    <s v="AUXFAN_MOTOR, MITSUBISHI MIRAGE 4 PIN 7030"/>
    <s v="CA-000054"/>
    <n v="1"/>
    <n v="1800"/>
    <m/>
    <n v="1800"/>
    <x v="0"/>
    <n v="2114"/>
    <n v="1150"/>
    <n v="1150"/>
    <n v="1207.5"/>
    <n v="592.5"/>
    <n v="0"/>
    <x v="14"/>
    <x v="2"/>
    <e v="#REF!"/>
    <e v="#REF!"/>
    <s v=""/>
    <n v="0.32916666666666666"/>
  </r>
  <r>
    <x v="1"/>
    <x v="18"/>
    <x v="3"/>
    <x v="12"/>
    <m/>
    <n v="1900"/>
    <s v="EVAPORATOR, TOYOTA INNOVA OLD (R) JBE-0102X (STAL)"/>
    <s v="CA-001634"/>
    <n v="1"/>
    <n v="1900"/>
    <m/>
    <n v="1900"/>
    <x v="0"/>
    <n v="1470"/>
    <n v="800"/>
    <n v="800"/>
    <n v="840"/>
    <n v="1060"/>
    <n v="318"/>
    <x v="10"/>
    <x v="2"/>
    <e v="#REF!"/>
    <e v="#REF!"/>
    <n v="2128"/>
    <n v="0.55789473684210522"/>
  </r>
  <r>
    <x v="1"/>
    <x v="14"/>
    <x v="0"/>
    <x v="72"/>
    <m/>
    <m/>
    <s v="AUXFAN_MOTOR, MITSUBISHI MIRAGE 4 PIN 7030"/>
    <s v="CA-000054"/>
    <n v="1"/>
    <n v="1800"/>
    <m/>
    <n v="1800"/>
    <x v="0"/>
    <n v="2114"/>
    <n v="1150"/>
    <n v="1150"/>
    <n v="1207.5"/>
    <n v="592.5"/>
    <n v="0"/>
    <x v="14"/>
    <x v="2"/>
    <e v="#REF!"/>
    <e v="#REF!"/>
    <s v=""/>
    <n v="0.32916666666666666"/>
  </r>
  <r>
    <x v="1"/>
    <x v="20"/>
    <x v="0"/>
    <x v="10"/>
    <m/>
    <m/>
    <s v="AUXFAN_MOTOR, NISSAN NV350"/>
    <s v="CA-000066"/>
    <n v="1"/>
    <n v="1800"/>
    <m/>
    <n v="1800"/>
    <x v="0"/>
    <n v="2114"/>
    <n v="1150"/>
    <n v="1150"/>
    <n v="1207.5"/>
    <n v="592.5"/>
    <n v="0"/>
    <x v="14"/>
    <x v="2"/>
    <e v="#REF!"/>
    <e v="#REF!"/>
    <s v=""/>
    <n v="0.32916666666666666"/>
  </r>
  <r>
    <x v="1"/>
    <x v="76"/>
    <x v="1"/>
    <x v="3"/>
    <m/>
    <m/>
    <s v="HOSE, COOLMATE 1/2 DISCHARGE PER FT"/>
    <s v="GE-000179"/>
    <n v="1"/>
    <n v="90"/>
    <m/>
    <n v="90"/>
    <x v="0"/>
    <n v="80"/>
    <n v="43"/>
    <n v="43"/>
    <n v="45.15"/>
    <n v="44.85"/>
    <n v="13.455"/>
    <x v="19"/>
    <x v="1"/>
    <e v="#REF!"/>
    <e v="#REF!"/>
    <s v=""/>
    <n v="0.49833333333333335"/>
  </r>
  <r>
    <x v="1"/>
    <x v="28"/>
    <x v="0"/>
    <x v="23"/>
    <m/>
    <m/>
    <s v="AUXFAN_MOTOR, HONDA CITY 2009 (19030)"/>
    <s v="CA-000016"/>
    <n v="1"/>
    <n v="1800"/>
    <m/>
    <n v="1800"/>
    <x v="0"/>
    <n v="2114"/>
    <n v="1150"/>
    <n v="1150"/>
    <n v="1207.5"/>
    <n v="592.5"/>
    <n v="0"/>
    <x v="14"/>
    <x v="2"/>
    <e v="#REF!"/>
    <e v="#REF!"/>
    <e v="#REF!"/>
    <n v="0.32916666666666666"/>
  </r>
  <r>
    <x v="1"/>
    <x v="28"/>
    <x v="0"/>
    <x v="91"/>
    <m/>
    <m/>
    <s v="AUXFAN_MOTOR, TOYOTA ALTIS 8450"/>
    <s v="CA-000080"/>
    <n v="1"/>
    <n v="1900"/>
    <m/>
    <n v="1900"/>
    <x v="0"/>
    <n v="2114"/>
    <n v="1150"/>
    <n v="1150"/>
    <n v="1207.5"/>
    <n v="692.5"/>
    <n v="0"/>
    <x v="14"/>
    <x v="2"/>
    <e v="#REF!"/>
    <e v="#REF!"/>
    <e v="#REF!"/>
    <n v="0"/>
  </r>
  <r>
    <x v="1"/>
    <x v="24"/>
    <x v="2"/>
    <x v="7"/>
    <m/>
    <m/>
    <s v="EXP. VALVE LT, POKKA 9A128 VIOS '14"/>
    <s v="CA-000628"/>
    <n v="3"/>
    <n v="550"/>
    <m/>
    <n v="1650"/>
    <x v="0"/>
    <n v="497"/>
    <n v="270"/>
    <n v="810"/>
    <n v="850.5"/>
    <n v="799.5"/>
    <n v="239.85"/>
    <x v="23"/>
    <x v="2"/>
    <e v="#REF!"/>
    <e v="#REF!"/>
    <e v="#REF!"/>
    <n v="0.48454545454545456"/>
  </r>
  <r>
    <x v="1"/>
    <x v="21"/>
    <x v="2"/>
    <x v="22"/>
    <m/>
    <m/>
    <s v="RECEIVER_DRIER_STEEL , MAXX 5116 (L300 F/B)"/>
    <s v="CA-001134"/>
    <n v="2"/>
    <n v="400"/>
    <m/>
    <n v="800"/>
    <x v="0"/>
    <n v="686"/>
    <n v="290"/>
    <n v="580"/>
    <n v="609"/>
    <n v="191"/>
    <n v="57.3"/>
    <x v="17"/>
    <x v="2"/>
    <e v="#REF!"/>
    <e v="#REF!"/>
    <e v="#REF!"/>
    <n v="0.23874999999999999"/>
  </r>
  <r>
    <x v="2"/>
    <x v="38"/>
    <x v="10"/>
    <x v="82"/>
    <m/>
    <m/>
    <s v="AUXFAN_MOTOR, NISSAN NV350"/>
    <s v="CA-000066"/>
    <n v="1"/>
    <n v="1500"/>
    <m/>
    <n v="1500"/>
    <x v="0"/>
    <n v="2114"/>
    <n v="1150"/>
    <n v="1150"/>
    <n v="1207.5"/>
    <n v="292.5"/>
    <n v="87.75"/>
    <x v="14"/>
    <x v="2"/>
    <e v="#REF!"/>
    <e v="#REF!"/>
    <s v=""/>
    <n v="0.19500000000000001"/>
  </r>
  <r>
    <x v="2"/>
    <x v="52"/>
    <x v="0"/>
    <x v="11"/>
    <m/>
    <m/>
    <s v="AUXFAN_MOTOR, HYUNDAI EON"/>
    <s v="CA-000027"/>
    <n v="1"/>
    <n v="1800"/>
    <m/>
    <n v="1800"/>
    <x v="0"/>
    <n v="2114"/>
    <n v="1150"/>
    <n v="1150"/>
    <n v="1207.5"/>
    <n v="592.5"/>
    <n v="0"/>
    <x v="14"/>
    <x v="2"/>
    <e v="#REF!"/>
    <e v="#REF!"/>
    <s v=""/>
    <n v="0.32916666666666666"/>
  </r>
  <r>
    <x v="2"/>
    <x v="54"/>
    <x v="0"/>
    <x v="48"/>
    <m/>
    <m/>
    <s v="AUXFAN_MOTOR, MITSUBISHI MIRAGE 4 PIN 7030"/>
    <s v="CA-000054"/>
    <n v="1"/>
    <n v="1800"/>
    <m/>
    <n v="1800"/>
    <x v="0"/>
    <n v="2114"/>
    <n v="1150"/>
    <n v="1150"/>
    <n v="1207.5"/>
    <n v="592.5"/>
    <n v="0"/>
    <x v="14"/>
    <x v="2"/>
    <e v="#REF!"/>
    <e v="#REF!"/>
    <s v=""/>
    <n v="0.32916666666666666"/>
  </r>
  <r>
    <x v="3"/>
    <x v="63"/>
    <x v="0"/>
    <x v="18"/>
    <m/>
    <n v="1800"/>
    <s v="AUXFAN_MOTOR, NISSAN NV350"/>
    <s v="CA-000066"/>
    <n v="1"/>
    <n v="1607"/>
    <m/>
    <n v="1607"/>
    <x v="0"/>
    <n v="2114"/>
    <n v="1150"/>
    <n v="1150"/>
    <n v="1207.5"/>
    <n v="399.5"/>
    <n v="0"/>
    <x v="14"/>
    <x v="2"/>
    <m/>
    <m/>
    <n v="1799.8400000000001"/>
    <n v="0.24859987554449284"/>
  </r>
  <r>
    <x v="1"/>
    <x v="30"/>
    <x v="0"/>
    <x v="36"/>
    <m/>
    <m/>
    <s v="LUBRICANT, EMKARATE RL 68H, 1 LITER"/>
    <s v="GE-000135"/>
    <n v="3"/>
    <n v="450"/>
    <m/>
    <n v="1350"/>
    <x v="0"/>
    <n v="331"/>
    <n v="180"/>
    <n v="540"/>
    <n v="567"/>
    <n v="783"/>
    <n v="0"/>
    <x v="9"/>
    <x v="1"/>
    <e v="#REF!"/>
    <e v="#REF!"/>
    <e v="#REF!"/>
    <n v="0.57999999999999996"/>
  </r>
  <r>
    <x v="3"/>
    <x v="69"/>
    <x v="0"/>
    <x v="49"/>
    <m/>
    <m/>
    <s v="AUXFAN_MOTOR, NISSAN NV350"/>
    <s v="CA-000066"/>
    <n v="1"/>
    <n v="1900"/>
    <m/>
    <n v="1900"/>
    <x v="0"/>
    <n v="2114"/>
    <n v="1150"/>
    <n v="1150"/>
    <n v="1207.5"/>
    <n v="692.5"/>
    <n v="0"/>
    <x v="14"/>
    <x v="2"/>
    <m/>
    <m/>
    <s v=""/>
    <n v="0.36447368421052634"/>
  </r>
  <r>
    <x v="3"/>
    <x v="118"/>
    <x v="0"/>
    <x v="49"/>
    <m/>
    <m/>
    <s v="AUXFAN_MOTOR, MITSUBISHI MIRAGE 4 PIN 7030"/>
    <s v="CA-000054"/>
    <n v="1"/>
    <n v="1800"/>
    <m/>
    <n v="1800"/>
    <x v="0"/>
    <n v="2114"/>
    <n v="1150"/>
    <n v="1150"/>
    <n v="1207.5"/>
    <n v="592.5"/>
    <n v="0"/>
    <x v="14"/>
    <x v="2"/>
    <m/>
    <m/>
    <s v=""/>
    <n v="0.32916666666666666"/>
  </r>
  <r>
    <x v="1"/>
    <x v="124"/>
    <x v="2"/>
    <x v="22"/>
    <m/>
    <m/>
    <s v="EXP. VALVE LT, POKKA 9A56 INNOVA F"/>
    <s v="CA-000637"/>
    <n v="2"/>
    <n v="420"/>
    <m/>
    <n v="840"/>
    <x v="0"/>
    <n v="460"/>
    <n v="250"/>
    <n v="500"/>
    <n v="525"/>
    <n v="315"/>
    <n v="94.5"/>
    <x v="23"/>
    <x v="2"/>
    <e v="#REF!"/>
    <e v="#REF!"/>
    <s v=""/>
    <n v="0.375"/>
  </r>
  <r>
    <x v="3"/>
    <x v="74"/>
    <x v="0"/>
    <x v="84"/>
    <m/>
    <m/>
    <s v="AUXFAN_MOTOR, NISSAN NV350"/>
    <s v="CA-000066"/>
    <n v="1"/>
    <n v="1900"/>
    <m/>
    <n v="1900"/>
    <x v="0"/>
    <n v="2114"/>
    <n v="1150"/>
    <n v="1150"/>
    <n v="1207.5"/>
    <n v="692.5"/>
    <n v="0"/>
    <x v="14"/>
    <x v="2"/>
    <m/>
    <m/>
    <m/>
    <n v="0.36447368421052634"/>
  </r>
  <r>
    <x v="1"/>
    <x v="114"/>
    <x v="2"/>
    <x v="22"/>
    <m/>
    <m/>
    <s v="EXP. VALVE LT, POKKA 9A56 INNOVA F"/>
    <s v="CA-000637"/>
    <n v="2"/>
    <n v="420"/>
    <m/>
    <n v="840"/>
    <x v="0"/>
    <n v="460"/>
    <n v="250"/>
    <n v="500"/>
    <n v="525"/>
    <n v="315"/>
    <n v="94.5"/>
    <x v="23"/>
    <x v="2"/>
    <e v="#REF!"/>
    <e v="#REF!"/>
    <s v=""/>
    <n v="0.375"/>
  </r>
  <r>
    <x v="3"/>
    <x v="85"/>
    <x v="0"/>
    <x v="72"/>
    <m/>
    <m/>
    <s v="AUXFAN_MOTOR, NISSAN NV350"/>
    <s v="CA-000066"/>
    <n v="1"/>
    <n v="1900"/>
    <m/>
    <n v="1900"/>
    <x v="0"/>
    <n v="2114"/>
    <n v="1150"/>
    <n v="1150"/>
    <n v="1207.5"/>
    <n v="692.5"/>
    <n v="0"/>
    <x v="14"/>
    <x v="2"/>
    <m/>
    <m/>
    <m/>
    <n v="0.36447368421052634"/>
  </r>
  <r>
    <x v="4"/>
    <x v="105"/>
    <x v="0"/>
    <x v="23"/>
    <m/>
    <m/>
    <s v="AUXFAN_MOTOR, SUZUKI APV 9370"/>
    <s v="CA-000071"/>
    <n v="1"/>
    <n v="1800"/>
    <m/>
    <n v="1800"/>
    <x v="0"/>
    <n v="2114"/>
    <n v="1150"/>
    <n v="1150"/>
    <n v="1207.5"/>
    <n v="592.5"/>
    <n v="0"/>
    <x v="14"/>
    <x v="2"/>
    <m/>
    <m/>
    <m/>
    <n v="0.32916666666666666"/>
  </r>
  <r>
    <x v="4"/>
    <x v="92"/>
    <x v="0"/>
    <x v="11"/>
    <m/>
    <m/>
    <s v="AUXFAN_MOTOR, NISSAN NV350"/>
    <s v="CA-000066"/>
    <n v="1"/>
    <n v="1900"/>
    <m/>
    <n v="1900"/>
    <x v="0"/>
    <n v="2114"/>
    <n v="1150"/>
    <n v="1150"/>
    <n v="1207.5"/>
    <n v="692.5"/>
    <n v="0"/>
    <x v="14"/>
    <x v="2"/>
    <m/>
    <m/>
    <m/>
    <n v="0.36447368421052634"/>
  </r>
  <r>
    <x v="4"/>
    <x v="116"/>
    <x v="0"/>
    <x v="49"/>
    <m/>
    <m/>
    <s v="AUXFAN_MOTOR, NISSAN NV350"/>
    <s v="CA-000066"/>
    <n v="1"/>
    <n v="1900"/>
    <m/>
    <n v="1900"/>
    <x v="0"/>
    <n v="2114"/>
    <n v="1150"/>
    <n v="1150"/>
    <n v="1207.5"/>
    <n v="692.5"/>
    <n v="0"/>
    <x v="14"/>
    <x v="2"/>
    <m/>
    <m/>
    <m/>
    <n v="0.36447368421052634"/>
  </r>
  <r>
    <x v="4"/>
    <x v="103"/>
    <x v="0"/>
    <x v="8"/>
    <m/>
    <m/>
    <s v="AUXFAN_MOTOR, MITSUBISHI MIRAGE 4 PIN 7030"/>
    <s v="CA-000054"/>
    <n v="1"/>
    <n v="1800"/>
    <m/>
    <n v="1800"/>
    <x v="0"/>
    <n v="2114"/>
    <n v="1150"/>
    <n v="1150"/>
    <n v="1207.5"/>
    <n v="592.5"/>
    <n v="0"/>
    <x v="14"/>
    <x v="2"/>
    <m/>
    <m/>
    <m/>
    <n v="0.32916666666666666"/>
  </r>
  <r>
    <x v="1"/>
    <x v="29"/>
    <x v="2"/>
    <x v="22"/>
    <m/>
    <m/>
    <s v="PRESSURE_SWITCH, NISSAN 42CP8-11 (XTRAIL)"/>
    <s v="CA-000857"/>
    <n v="1"/>
    <n v="750"/>
    <m/>
    <n v="750"/>
    <x v="0"/>
    <n v="1050"/>
    <n v="400"/>
    <n v="400"/>
    <n v="420"/>
    <n v="330"/>
    <n v="99"/>
    <x v="47"/>
    <x v="2"/>
    <e v="#REF!"/>
    <e v="#REF!"/>
    <e v="#REF!"/>
    <n v="0.44"/>
  </r>
  <r>
    <x v="1"/>
    <x v="26"/>
    <x v="2"/>
    <x v="22"/>
    <m/>
    <m/>
    <s v="RECEIVER_DRIER_ALUMINUM, YK 8106 (CROSSWIND, PAJERO, DENSO 134A M)"/>
    <s v="CA-001100"/>
    <n v="2"/>
    <n v="370"/>
    <m/>
    <n v="740"/>
    <x v="0"/>
    <n v="485"/>
    <n v="205"/>
    <n v="410"/>
    <n v="430.5"/>
    <n v="309.5"/>
    <n v="92.85"/>
    <x v="27"/>
    <x v="2"/>
    <e v="#REF!"/>
    <e v="#REF!"/>
    <e v="#REF!"/>
    <n v="0"/>
  </r>
  <r>
    <x v="4"/>
    <x v="104"/>
    <x v="0"/>
    <x v="11"/>
    <m/>
    <m/>
    <s v="AUXFAN_MOTOR, MITSUBISHI L300 NEW"/>
    <s v="CA-001724"/>
    <n v="1"/>
    <n v="1900"/>
    <m/>
    <n v="1900"/>
    <x v="0"/>
    <n v="2114"/>
    <n v="1150"/>
    <n v="1150"/>
    <n v="1207.5"/>
    <n v="692.5"/>
    <n v="0"/>
    <x v="14"/>
    <x v="2"/>
    <m/>
    <m/>
    <m/>
    <n v="0.36447368421052634"/>
  </r>
  <r>
    <x v="1"/>
    <x v="24"/>
    <x v="2"/>
    <x v="7"/>
    <m/>
    <m/>
    <s v="THERMOSTAT, NEK CAR"/>
    <s v="CA-001647"/>
    <n v="4"/>
    <n v="250"/>
    <m/>
    <n v="1000"/>
    <x v="0"/>
    <n v="180"/>
    <n v="90"/>
    <n v="360"/>
    <n v="378"/>
    <n v="622"/>
    <n v="186.6"/>
    <x v="31"/>
    <x v="2"/>
    <e v="#REF!"/>
    <e v="#REF!"/>
    <e v="#REF!"/>
    <n v="0.622"/>
  </r>
  <r>
    <x v="1"/>
    <x v="32"/>
    <x v="2"/>
    <x v="7"/>
    <m/>
    <m/>
    <s v="EXP. VALVE LT, POKKA 9A129B ACCENT"/>
    <s v="CA-000629"/>
    <n v="1"/>
    <n v="600"/>
    <m/>
    <n v="600"/>
    <x v="0"/>
    <n v="625"/>
    <n v="340"/>
    <n v="340"/>
    <n v="357"/>
    <n v="243"/>
    <n v="72.899999999999991"/>
    <x v="23"/>
    <x v="2"/>
    <e v="#REF!"/>
    <e v="#REF!"/>
    <e v="#REF!"/>
    <n v="0.40500000000000003"/>
  </r>
  <r>
    <x v="5"/>
    <x v="83"/>
    <x v="0"/>
    <x v="1"/>
    <m/>
    <m/>
    <s v="TAPE_PE, PICUS Polythelene Tape (White)X 4&quot;"/>
    <s v="IM-000247"/>
    <n v="2"/>
    <n v="125"/>
    <m/>
    <n v="250"/>
    <x v="0"/>
    <n v="147"/>
    <n v="75"/>
    <n v="150"/>
    <n v="154.5"/>
    <n v="95.5"/>
    <n v="0"/>
    <x v="29"/>
    <x v="0"/>
    <e v="#REF!"/>
    <e v="#REF!"/>
    <s v=""/>
    <n v="0.38200000000000001"/>
  </r>
  <r>
    <x v="5"/>
    <x v="83"/>
    <x v="0"/>
    <x v="20"/>
    <m/>
    <m/>
    <s v="TAPE_PE, PICUS Polythelene Tape (White)X 4&quot;"/>
    <s v="IM-000247"/>
    <n v="2"/>
    <n v="125"/>
    <m/>
    <n v="250"/>
    <x v="0"/>
    <n v="147"/>
    <n v="75"/>
    <n v="150"/>
    <n v="154.5"/>
    <n v="95.5"/>
    <n v="0"/>
    <x v="29"/>
    <x v="0"/>
    <e v="#REF!"/>
    <e v="#REF!"/>
    <s v=""/>
    <n v="0.38200000000000001"/>
  </r>
  <r>
    <x v="5"/>
    <x v="83"/>
    <x v="0"/>
    <x v="2"/>
    <m/>
    <m/>
    <s v="RUBBER_INSULATION, M-FLEX 1/2&quot; 1/4"/>
    <s v="IM-000229"/>
    <n v="3"/>
    <n v="50"/>
    <m/>
    <n v="150"/>
    <x v="0"/>
    <n v="47"/>
    <n v="33.6"/>
    <n v="100.80000000000001"/>
    <n v="103.82400000000001"/>
    <n v="46.175999999999988"/>
    <n v="0"/>
    <x v="22"/>
    <x v="0"/>
    <e v="#REF!"/>
    <e v="#REF!"/>
    <s v=""/>
    <n v="0.30783999999999989"/>
  </r>
  <r>
    <x v="1"/>
    <x v="114"/>
    <x v="2"/>
    <x v="22"/>
    <m/>
    <m/>
    <s v="SYSTEM_CLEANER, Cleanse GREEN 141B 500 ML"/>
    <s v="GE-000369"/>
    <n v="5"/>
    <n v="95"/>
    <m/>
    <n v="475"/>
    <x v="0"/>
    <n v="113"/>
    <n v="65"/>
    <n v="325"/>
    <n v="341.25"/>
    <n v="133.75"/>
    <n v="40.125"/>
    <x v="28"/>
    <x v="1"/>
    <e v="#REF!"/>
    <e v="#REF!"/>
    <s v=""/>
    <n v="0.28157894736842104"/>
  </r>
  <r>
    <x v="4"/>
    <x v="113"/>
    <x v="0"/>
    <x v="59"/>
    <m/>
    <m/>
    <s v="TAPE_PE, WINFLEX Polythelene Tape (BLUE)X 4&quot;"/>
    <s v="IM-000325"/>
    <n v="15"/>
    <n v="140"/>
    <m/>
    <n v="2100"/>
    <x v="0"/>
    <n v="147"/>
    <n v="75"/>
    <n v="1125"/>
    <n v="1158.75"/>
    <n v="941.25"/>
    <n v="0"/>
    <x v="29"/>
    <x v="0"/>
    <m/>
    <m/>
    <m/>
    <n v="0.44821428571428573"/>
  </r>
  <r>
    <x v="4"/>
    <x v="79"/>
    <x v="0"/>
    <x v="6"/>
    <m/>
    <m/>
    <s v="TAPE_PE, PICUS Polythelene Tape (White)X 4&quot;"/>
    <s v="IM-000247"/>
    <n v="15"/>
    <n v="125"/>
    <m/>
    <n v="1875"/>
    <x v="0"/>
    <n v="147"/>
    <n v="75"/>
    <n v="1125"/>
    <n v="1158.75"/>
    <n v="716.25"/>
    <n v="0"/>
    <x v="29"/>
    <x v="0"/>
    <m/>
    <m/>
    <m/>
    <n v="0.38200000000000001"/>
  </r>
  <r>
    <x v="4"/>
    <x v="75"/>
    <x v="0"/>
    <x v="47"/>
    <m/>
    <m/>
    <s v="RUBBER_INSULATION, M-FLEX 1/2&quot; 1/4"/>
    <s v="IM-000229"/>
    <n v="33"/>
    <n v="50"/>
    <m/>
    <n v="1650"/>
    <x v="0"/>
    <n v="47"/>
    <n v="33.6"/>
    <n v="1108.8"/>
    <n v="1142.0640000000001"/>
    <n v="507.93599999999992"/>
    <n v="0"/>
    <x v="22"/>
    <x v="0"/>
    <e v="#REF!"/>
    <e v="#REF!"/>
    <e v="#REF!"/>
    <n v="0"/>
  </r>
  <r>
    <x v="0"/>
    <x v="97"/>
    <x v="0"/>
    <x v="17"/>
    <m/>
    <m/>
    <s v="EVAPORATOR, NISSAN NV350 (STAL)"/>
    <s v="CA-001660"/>
    <n v="1"/>
    <n v="2100"/>
    <m/>
    <n v="2100"/>
    <x v="0"/>
    <n v="2022"/>
    <n v="1100"/>
    <n v="1100"/>
    <n v="1155"/>
    <n v="945"/>
    <n v="0"/>
    <x v="10"/>
    <x v="2"/>
    <m/>
    <m/>
    <s v=""/>
    <n v="0.45"/>
  </r>
  <r>
    <x v="1"/>
    <x v="26"/>
    <x v="2"/>
    <x v="22"/>
    <m/>
    <m/>
    <s v="SYSTEM_CLEANER, Cleanse GREEN 141B 500 ML"/>
    <s v="GE-000369"/>
    <n v="5"/>
    <n v="95"/>
    <m/>
    <n v="475"/>
    <x v="0"/>
    <n v="113"/>
    <n v="65"/>
    <n v="325"/>
    <n v="341.25"/>
    <n v="133.75"/>
    <n v="40.125"/>
    <x v="28"/>
    <x v="1"/>
    <e v="#REF!"/>
    <e v="#REF!"/>
    <e v="#REF!"/>
    <n v="0"/>
  </r>
  <r>
    <x v="1"/>
    <x v="23"/>
    <x v="0"/>
    <x v="36"/>
    <m/>
    <m/>
    <s v="EXP. VALVE LT, POKKA 9A172 FORD RANGER 12"/>
    <s v="CA-001385"/>
    <n v="1"/>
    <n v="600"/>
    <m/>
    <n v="600"/>
    <x v="0"/>
    <n v="588"/>
    <n v="320"/>
    <n v="320"/>
    <n v="336"/>
    <n v="264"/>
    <n v="0"/>
    <x v="23"/>
    <x v="2"/>
    <e v="#REF!"/>
    <e v="#REF!"/>
    <e v="#REF!"/>
    <n v="0.44"/>
  </r>
  <r>
    <x v="0"/>
    <x v="31"/>
    <x v="0"/>
    <x v="23"/>
    <m/>
    <m/>
    <s v="EVAPORATOR, MITSUBISHI LANCER 2003 (STAL)"/>
    <s v="CA-001759"/>
    <n v="1"/>
    <n v="1900"/>
    <m/>
    <n v="1900"/>
    <x v="0"/>
    <n v="2022"/>
    <n v="1100"/>
    <n v="1100"/>
    <n v="1155"/>
    <n v="745"/>
    <n v="0"/>
    <x v="10"/>
    <x v="2"/>
    <m/>
    <m/>
    <s v=""/>
    <n v="0.39210526315789473"/>
  </r>
  <r>
    <x v="0"/>
    <x v="1"/>
    <x v="0"/>
    <x v="28"/>
    <m/>
    <m/>
    <s v="EVAPORATOR, NISSAN NV350 (STAL)"/>
    <s v="CA-001660"/>
    <n v="1"/>
    <n v="2000"/>
    <m/>
    <n v="2000"/>
    <x v="0"/>
    <n v="2022"/>
    <n v="1100"/>
    <n v="1100"/>
    <n v="1155"/>
    <n v="845"/>
    <n v="0"/>
    <x v="10"/>
    <x v="2"/>
    <m/>
    <m/>
    <s v=""/>
    <n v="0.42249999999999999"/>
  </r>
  <r>
    <x v="1"/>
    <x v="100"/>
    <x v="1"/>
    <x v="3"/>
    <m/>
    <m/>
    <s v="EXP. VALVE LT, POKKA 9A129B ACCENT"/>
    <s v="CA-000629"/>
    <n v="1"/>
    <n v="600"/>
    <m/>
    <n v="600"/>
    <x v="0"/>
    <n v="625"/>
    <n v="340"/>
    <n v="340"/>
    <n v="357"/>
    <n v="243"/>
    <n v="72.899999999999991"/>
    <x v="23"/>
    <x v="2"/>
    <e v="#REF!"/>
    <e v="#REF!"/>
    <s v=""/>
    <n v="0.40500000000000003"/>
  </r>
  <r>
    <x v="1"/>
    <x v="24"/>
    <x v="2"/>
    <x v="7"/>
    <m/>
    <n v="350"/>
    <s v="CABIN_FILTER, MITSUBISHI MIRAGE"/>
    <s v="CA-001702"/>
    <n v="2"/>
    <n v="245"/>
    <m/>
    <n v="490"/>
    <x v="0"/>
    <n v="473"/>
    <n v="150"/>
    <n v="300"/>
    <n v="315"/>
    <n v="175"/>
    <n v="52.5"/>
    <x v="12"/>
    <x v="2"/>
    <e v="#REF!"/>
    <e v="#REF!"/>
    <e v="#REF!"/>
    <n v="0.35714285714285715"/>
  </r>
  <r>
    <x v="0"/>
    <x v="4"/>
    <x v="0"/>
    <x v="8"/>
    <m/>
    <m/>
    <s v="EVAPORATOR, NISSAN NV350 (STAL)"/>
    <s v="CA-001660"/>
    <n v="1"/>
    <n v="2100"/>
    <m/>
    <n v="2100"/>
    <x v="0"/>
    <n v="2022"/>
    <n v="1100"/>
    <n v="1100"/>
    <n v="1155"/>
    <n v="945"/>
    <n v="0"/>
    <x v="10"/>
    <x v="2"/>
    <m/>
    <m/>
    <s v=""/>
    <n v="0.45"/>
  </r>
  <r>
    <x v="1"/>
    <x v="29"/>
    <x v="2"/>
    <x v="22"/>
    <m/>
    <m/>
    <s v="CABIN_FILTER, SUBARU FORESTER"/>
    <s v="CA-001531"/>
    <n v="1"/>
    <n v="400"/>
    <m/>
    <n v="400"/>
    <x v="0"/>
    <n v="630"/>
    <n v="300"/>
    <n v="300"/>
    <n v="315"/>
    <n v="85"/>
    <n v="25.5"/>
    <x v="12"/>
    <x v="2"/>
    <e v="#REF!"/>
    <e v="#REF!"/>
    <e v="#REF!"/>
    <n v="0.21249999999999999"/>
  </r>
  <r>
    <x v="0"/>
    <x v="27"/>
    <x v="0"/>
    <x v="8"/>
    <m/>
    <m/>
    <s v="AUXFAN_MOTOR, HONDA CIVIC/BRIO 8671"/>
    <s v="CA-001383"/>
    <n v="1"/>
    <n v="1700"/>
    <m/>
    <n v="1700"/>
    <x v="0"/>
    <n v="2022"/>
    <n v="1100"/>
    <n v="1100"/>
    <n v="1155"/>
    <n v="545"/>
    <n v="0"/>
    <x v="14"/>
    <x v="2"/>
    <m/>
    <m/>
    <s v=""/>
    <n v="0.32058823529411767"/>
  </r>
  <r>
    <x v="0"/>
    <x v="7"/>
    <x v="0"/>
    <x v="1"/>
    <m/>
    <m/>
    <s v="AUXFAN_MOTOR, TOYOTA VIOS 14 8030"/>
    <s v="CA-000093"/>
    <n v="1"/>
    <n v="1900"/>
    <m/>
    <n v="1900"/>
    <x v="0"/>
    <n v="2022"/>
    <n v="1100"/>
    <n v="1100"/>
    <n v="1155"/>
    <n v="745"/>
    <n v="0"/>
    <x v="14"/>
    <x v="2"/>
    <m/>
    <m/>
    <s v=""/>
    <n v="0.39210526315789473"/>
  </r>
  <r>
    <x v="0"/>
    <x v="43"/>
    <x v="0"/>
    <x v="89"/>
    <m/>
    <m/>
    <s v="AUXFAN_MOTOR, HONDA CITY 2003 / JAZZ  (5681)"/>
    <s v="CA-000015"/>
    <n v="1"/>
    <n v="1700"/>
    <m/>
    <n v="1700"/>
    <x v="0"/>
    <n v="2022"/>
    <n v="1100"/>
    <n v="1100"/>
    <n v="1155"/>
    <n v="545"/>
    <n v="0"/>
    <x v="14"/>
    <x v="2"/>
    <e v="#REF!"/>
    <e v="#REF!"/>
    <s v=""/>
    <n v="0.32058823529411767"/>
  </r>
  <r>
    <x v="0"/>
    <x v="9"/>
    <x v="0"/>
    <x v="11"/>
    <m/>
    <m/>
    <s v="AUXFAN_MOTOR, MITSUBISHI MIRAGE 2 PIN / WIGO 1030"/>
    <s v="CA-000053"/>
    <n v="1"/>
    <n v="1700"/>
    <m/>
    <n v="1700"/>
    <x v="0"/>
    <n v="2022"/>
    <n v="1100"/>
    <n v="1100"/>
    <n v="1155"/>
    <n v="545"/>
    <n v="0"/>
    <x v="14"/>
    <x v="2"/>
    <e v="#REF!"/>
    <e v="#REF!"/>
    <s v=""/>
    <n v="0.32058823529411767"/>
  </r>
  <r>
    <x v="0"/>
    <x v="9"/>
    <x v="0"/>
    <x v="1"/>
    <m/>
    <m/>
    <s v="AUXFAN_MOTOR, TOYOTA VIOS 14 8030"/>
    <s v="CA-000093"/>
    <n v="1"/>
    <n v="1900"/>
    <m/>
    <n v="1900"/>
    <x v="0"/>
    <n v="2022"/>
    <n v="1100"/>
    <n v="1100"/>
    <n v="1155"/>
    <n v="745"/>
    <n v="0"/>
    <x v="14"/>
    <x v="2"/>
    <e v="#REF!"/>
    <e v="#REF!"/>
    <s v=""/>
    <n v="0.39210526315789473"/>
  </r>
  <r>
    <x v="0"/>
    <x v="13"/>
    <x v="0"/>
    <x v="1"/>
    <m/>
    <m/>
    <s v="AUXFAN_MOTOR, HONDA CITY 2003 / JAZZ  (5681)"/>
    <s v="CA-000015"/>
    <n v="1"/>
    <n v="1900"/>
    <m/>
    <n v="1900"/>
    <x v="0"/>
    <n v="2022"/>
    <n v="1100"/>
    <n v="1100"/>
    <n v="1155"/>
    <n v="745"/>
    <n v="0"/>
    <x v="14"/>
    <x v="2"/>
    <e v="#REF!"/>
    <e v="#REF!"/>
    <s v=""/>
    <n v="0.39210526315789473"/>
  </r>
  <r>
    <x v="1"/>
    <x v="14"/>
    <x v="0"/>
    <x v="8"/>
    <m/>
    <m/>
    <s v="EVAPORATOR, NISSAN NV350 (STAL)"/>
    <s v="CA-001660"/>
    <n v="1"/>
    <n v="2100"/>
    <m/>
    <n v="2100"/>
    <x v="0"/>
    <n v="2022"/>
    <n v="1100"/>
    <n v="1100"/>
    <n v="1155"/>
    <n v="945"/>
    <n v="0"/>
    <x v="10"/>
    <x v="2"/>
    <e v="#REF!"/>
    <e v="#REF!"/>
    <s v=""/>
    <n v="0.45"/>
  </r>
  <r>
    <x v="1"/>
    <x v="30"/>
    <x v="0"/>
    <x v="36"/>
    <m/>
    <m/>
    <s v="RECEIVER_DRIER_ALUMINUM, YK 2020-1  (ECO SPORT)"/>
    <s v="CA-001080"/>
    <n v="1"/>
    <n v="550"/>
    <m/>
    <n v="550"/>
    <x v="0"/>
    <n v="662"/>
    <n v="280"/>
    <n v="280"/>
    <n v="294"/>
    <n v="256"/>
    <n v="0"/>
    <x v="27"/>
    <x v="2"/>
    <e v="#REF!"/>
    <e v="#REF!"/>
    <e v="#REF!"/>
    <n v="0.46545454545454545"/>
  </r>
  <r>
    <x v="1"/>
    <x v="24"/>
    <x v="0"/>
    <x v="36"/>
    <m/>
    <m/>
    <s v="EXP. VALVE LT,  6E19 XTRAIL CELERIO, TRAILBLAZER"/>
    <s v="CA-000570"/>
    <n v="1"/>
    <n v="550"/>
    <m/>
    <n v="550"/>
    <x v="0"/>
    <n v="460"/>
    <n v="250"/>
    <n v="250"/>
    <n v="262.5"/>
    <n v="287.5"/>
    <n v="0"/>
    <x v="23"/>
    <x v="2"/>
    <e v="#REF!"/>
    <e v="#REF!"/>
    <e v="#REF!"/>
    <n v="0.52272727272727271"/>
  </r>
  <r>
    <x v="1"/>
    <x v="26"/>
    <x v="2"/>
    <x v="22"/>
    <m/>
    <m/>
    <s v="MAPP_GAS, TURBO GAS (Winterpine) TORCH GAS"/>
    <s v="IM-000311"/>
    <n v="1"/>
    <n v="360"/>
    <m/>
    <n v="360"/>
    <x v="0"/>
    <n v="451"/>
    <n v="250"/>
    <n v="250"/>
    <n v="257.5"/>
    <n v="102.5"/>
    <n v="30.75"/>
    <x v="45"/>
    <x v="0"/>
    <e v="#REF!"/>
    <e v="#REF!"/>
    <e v="#REF!"/>
    <n v="0"/>
  </r>
  <r>
    <x v="1"/>
    <x v="76"/>
    <x v="0"/>
    <x v="89"/>
    <m/>
    <m/>
    <s v="AUXFAN_MOTOR, HONDA CITY 2003 / JAZZ  (5681)"/>
    <s v="CA-000015"/>
    <n v="1"/>
    <n v="1700"/>
    <m/>
    <n v="1700"/>
    <x v="0"/>
    <n v="2022"/>
    <n v="1100"/>
    <n v="1100"/>
    <n v="1155"/>
    <n v="545"/>
    <n v="0"/>
    <x v="14"/>
    <x v="2"/>
    <e v="#REF!"/>
    <e v="#REF!"/>
    <s v=""/>
    <n v="0.32058823529411767"/>
  </r>
  <r>
    <x v="1"/>
    <x v="100"/>
    <x v="0"/>
    <x v="11"/>
    <m/>
    <m/>
    <s v="AUXFAN_MOTOR, TOYOTA VIOS ROBIN 1060"/>
    <s v="CA-000096"/>
    <n v="1"/>
    <n v="1700"/>
    <m/>
    <n v="1700"/>
    <x v="0"/>
    <n v="2022"/>
    <n v="1100"/>
    <n v="1100"/>
    <n v="1155"/>
    <n v="545"/>
    <n v="0"/>
    <x v="14"/>
    <x v="2"/>
    <e v="#REF!"/>
    <e v="#REF!"/>
    <s v=""/>
    <n v="0.32058823529411767"/>
  </r>
  <r>
    <x v="1"/>
    <x v="20"/>
    <x v="0"/>
    <x v="17"/>
    <m/>
    <m/>
    <s v="EVAPORATOR, NISSAN NV350 (STAL)"/>
    <s v="CA-001660"/>
    <n v="1"/>
    <n v="2100"/>
    <m/>
    <n v="2100"/>
    <x v="0"/>
    <n v="2022"/>
    <n v="1100"/>
    <n v="1100"/>
    <n v="1155"/>
    <n v="945"/>
    <n v="0"/>
    <x v="10"/>
    <x v="2"/>
    <e v="#REF!"/>
    <e v="#REF!"/>
    <s v=""/>
    <n v="0.45"/>
  </r>
  <r>
    <x v="1"/>
    <x v="34"/>
    <x v="2"/>
    <x v="22"/>
    <m/>
    <m/>
    <s v="EXP. VALVE LT, POKKA 9A214 MAZDA 3"/>
    <s v="CA-000633"/>
    <n v="1"/>
    <n v="420"/>
    <m/>
    <n v="420"/>
    <x v="0"/>
    <n v="460"/>
    <n v="250"/>
    <n v="250"/>
    <n v="262.5"/>
    <n v="157.5"/>
    <n v="47.25"/>
    <x v="23"/>
    <x v="2"/>
    <e v="#REF!"/>
    <e v="#REF!"/>
    <e v="#REF!"/>
    <n v="0"/>
  </r>
  <r>
    <x v="1"/>
    <x v="26"/>
    <x v="0"/>
    <x v="72"/>
    <m/>
    <m/>
    <s v="EVAPORATOR, HYUNDAI H100 2016 -2020 (STAL)"/>
    <s v="CA-001297"/>
    <n v="1"/>
    <n v="2000"/>
    <m/>
    <n v="2000"/>
    <x v="0"/>
    <n v="2022"/>
    <n v="1100"/>
    <n v="1100"/>
    <n v="1155"/>
    <n v="845"/>
    <n v="0"/>
    <x v="10"/>
    <x v="2"/>
    <e v="#REF!"/>
    <e v="#REF!"/>
    <e v="#REF!"/>
    <n v="0.42249999999999999"/>
  </r>
  <r>
    <x v="1"/>
    <x v="34"/>
    <x v="2"/>
    <x v="22"/>
    <m/>
    <m/>
    <s v="MAPP_GAS, TURBO GAS (Winterpine) TORCH GAS"/>
    <s v="IM-000311"/>
    <n v="1"/>
    <n v="360"/>
    <m/>
    <n v="360"/>
    <x v="0"/>
    <n v="451"/>
    <n v="250"/>
    <n v="250"/>
    <n v="257.5"/>
    <n v="102.5"/>
    <n v="30.75"/>
    <x v="45"/>
    <x v="0"/>
    <e v="#REF!"/>
    <e v="#REF!"/>
    <e v="#REF!"/>
    <n v="0"/>
  </r>
  <r>
    <x v="1"/>
    <x v="33"/>
    <x v="0"/>
    <x v="78"/>
    <m/>
    <m/>
    <s v="CONDENSER, UNIVERSAL 12 x 23 x 20 5/16"/>
    <s v="CA-000445"/>
    <n v="1"/>
    <n v="1800"/>
    <m/>
    <n v="1800"/>
    <x v="0"/>
    <n v="2022"/>
    <n v="1100"/>
    <n v="1100"/>
    <n v="1155"/>
    <n v="645"/>
    <n v="0"/>
    <x v="8"/>
    <x v="2"/>
    <e v="#REF!"/>
    <e v="#REF!"/>
    <e v="#REF!"/>
    <n v="0.35833333333333334"/>
  </r>
  <r>
    <x v="1"/>
    <x v="33"/>
    <x v="0"/>
    <x v="71"/>
    <m/>
    <m/>
    <s v="AUXFAN_MOTOR, TOYOTA ALTIS 2050"/>
    <s v="CA-000079"/>
    <n v="1"/>
    <n v="1800"/>
    <m/>
    <n v="1800"/>
    <x v="0"/>
    <n v="2022"/>
    <n v="1100"/>
    <n v="1100"/>
    <n v="1155"/>
    <n v="645"/>
    <n v="0"/>
    <x v="14"/>
    <x v="2"/>
    <e v="#REF!"/>
    <e v="#REF!"/>
    <e v="#REF!"/>
    <n v="0"/>
  </r>
  <r>
    <x v="1"/>
    <x v="114"/>
    <x v="2"/>
    <x v="22"/>
    <m/>
    <m/>
    <s v="EXP. VALVE LT, POKKA 9A57 INNOVA R"/>
    <s v="CA-000638"/>
    <n v="1"/>
    <n v="420"/>
    <m/>
    <n v="420"/>
    <x v="0"/>
    <n v="460"/>
    <n v="250"/>
    <n v="250"/>
    <n v="262.5"/>
    <n v="157.5"/>
    <n v="47.25"/>
    <x v="23"/>
    <x v="2"/>
    <e v="#REF!"/>
    <e v="#REF!"/>
    <s v=""/>
    <n v="0.375"/>
  </r>
  <r>
    <x v="1"/>
    <x v="114"/>
    <x v="2"/>
    <x v="22"/>
    <m/>
    <n v="220"/>
    <s v="CABIN_FILTER, TOYOTA HI-ACE"/>
    <s v="CA-001292"/>
    <n v="2"/>
    <n v="200"/>
    <m/>
    <n v="400"/>
    <x v="0"/>
    <n v="331"/>
    <n v="105"/>
    <n v="210"/>
    <n v="220.5"/>
    <n v="179.5"/>
    <n v="53.85"/>
    <x v="12"/>
    <x v="2"/>
    <e v="#REF!"/>
    <e v="#REF!"/>
    <n v="224.00000000000003"/>
    <n v="0.44874999999999998"/>
  </r>
  <r>
    <x v="2"/>
    <x v="39"/>
    <x v="0"/>
    <x v="84"/>
    <m/>
    <m/>
    <s v="AUXFAN_MOTOR, MITSUBISHI MIRAGE 2 PIN / WIGO 1030"/>
    <s v="CA-000053"/>
    <n v="1"/>
    <n v="1800"/>
    <m/>
    <n v="1800"/>
    <x v="0"/>
    <n v="2022"/>
    <n v="1100"/>
    <n v="1100"/>
    <n v="1155"/>
    <n v="645"/>
    <n v="0"/>
    <x v="14"/>
    <x v="2"/>
    <e v="#REF!"/>
    <e v="#REF!"/>
    <s v=""/>
    <n v="0.35833333333333334"/>
  </r>
  <r>
    <x v="1"/>
    <x v="24"/>
    <x v="2"/>
    <x v="7"/>
    <m/>
    <n v="300"/>
    <s v="CABIN_FILTER, TOYOTA HI-ACE"/>
    <s v="CA-001292"/>
    <n v="2"/>
    <n v="268"/>
    <m/>
    <n v="536"/>
    <x v="0"/>
    <n v="331"/>
    <n v="105"/>
    <n v="210"/>
    <n v="220.5"/>
    <n v="315.5"/>
    <n v="94.649999999999991"/>
    <x v="12"/>
    <x v="2"/>
    <e v="#REF!"/>
    <e v="#REF!"/>
    <e v="#REF!"/>
    <n v="0.58861940298507465"/>
  </r>
  <r>
    <x v="2"/>
    <x v="125"/>
    <x v="0"/>
    <x v="48"/>
    <m/>
    <m/>
    <s v="AUXFAN_MOTOR, TOYOTA VIOS BATMAN 2370"/>
    <s v="CA-000094"/>
    <n v="1"/>
    <n v="1800"/>
    <m/>
    <n v="1800"/>
    <x v="0"/>
    <n v="2022"/>
    <n v="1100"/>
    <n v="1100"/>
    <n v="1155"/>
    <n v="645"/>
    <n v="0"/>
    <x v="14"/>
    <x v="2"/>
    <e v="#REF!"/>
    <e v="#REF!"/>
    <s v=""/>
    <n v="0.35833333333333334"/>
  </r>
  <r>
    <x v="2"/>
    <x v="41"/>
    <x v="0"/>
    <x v="1"/>
    <m/>
    <m/>
    <s v="EVAPORATOR, HYUNDAI H100 2016 -2020 (STAL)"/>
    <s v="CA-001297"/>
    <n v="1"/>
    <n v="2100"/>
    <m/>
    <n v="2100"/>
    <x v="0"/>
    <n v="2022"/>
    <n v="1100"/>
    <n v="1100"/>
    <n v="1155"/>
    <n v="945"/>
    <n v="0"/>
    <x v="10"/>
    <x v="2"/>
    <e v="#REF!"/>
    <e v="#REF!"/>
    <s v=""/>
    <n v="0.45"/>
  </r>
  <r>
    <x v="2"/>
    <x v="42"/>
    <x v="0"/>
    <x v="89"/>
    <m/>
    <m/>
    <s v="AUXFAN_MOTOR, HONDA CITY 2003 / JAZZ  (5681)"/>
    <s v="CA-000015"/>
    <n v="1"/>
    <n v="1700"/>
    <m/>
    <n v="1700"/>
    <x v="0"/>
    <n v="2022"/>
    <n v="1100"/>
    <n v="1100"/>
    <n v="1155"/>
    <n v="545"/>
    <n v="0"/>
    <x v="14"/>
    <x v="2"/>
    <e v="#REF!"/>
    <e v="#REF!"/>
    <s v=""/>
    <n v="0.32058823529411767"/>
  </r>
  <r>
    <x v="2"/>
    <x v="44"/>
    <x v="0"/>
    <x v="48"/>
    <m/>
    <m/>
    <s v="AUXFAN_MOTOR, TOYOTA VIOS 14 8030"/>
    <s v="CA-000093"/>
    <n v="1"/>
    <n v="1900"/>
    <m/>
    <n v="1900"/>
    <x v="0"/>
    <n v="2022"/>
    <n v="1100"/>
    <n v="1100"/>
    <n v="1155"/>
    <n v="745"/>
    <n v="0"/>
    <x v="14"/>
    <x v="2"/>
    <e v="#REF!"/>
    <e v="#REF!"/>
    <s v=""/>
    <n v="0.39210526315789473"/>
  </r>
  <r>
    <x v="1"/>
    <x v="26"/>
    <x v="2"/>
    <x v="22"/>
    <m/>
    <m/>
    <s v="CABIN_FILTER, TOYOTA HI-ACE"/>
    <s v="CA-001292"/>
    <n v="2"/>
    <n v="200"/>
    <m/>
    <n v="400"/>
    <x v="0"/>
    <n v="331"/>
    <n v="105"/>
    <n v="210"/>
    <n v="220.5"/>
    <n v="179.5"/>
    <n v="53.85"/>
    <x v="12"/>
    <x v="2"/>
    <e v="#REF!"/>
    <e v="#REF!"/>
    <e v="#REF!"/>
    <n v="0.44874999999999998"/>
  </r>
  <r>
    <x v="1"/>
    <x v="114"/>
    <x v="2"/>
    <x v="22"/>
    <m/>
    <n v="220"/>
    <s v="CABIN_FILTER, HONDA MEDIUM"/>
    <s v="CA-001679"/>
    <n v="2"/>
    <n v="200"/>
    <m/>
    <n v="400"/>
    <x v="0"/>
    <n v="315"/>
    <n v="100"/>
    <n v="200"/>
    <n v="210"/>
    <n v="190"/>
    <n v="57"/>
    <x v="12"/>
    <x v="2"/>
    <e v="#REF!"/>
    <e v="#REF!"/>
    <n v="224.00000000000003"/>
    <n v="0.47499999999999998"/>
  </r>
  <r>
    <x v="2"/>
    <x v="58"/>
    <x v="0"/>
    <x v="10"/>
    <m/>
    <m/>
    <s v="ECV, HYUNDAI ACCENT, 8-22A"/>
    <s v="CA-000454"/>
    <n v="1"/>
    <n v="1900"/>
    <m/>
    <n v="1900"/>
    <x v="0"/>
    <n v="1838"/>
    <n v="1000"/>
    <n v="1000"/>
    <n v="1050"/>
    <n v="850"/>
    <n v="0"/>
    <x v="26"/>
    <x v="2"/>
    <e v="#REF!"/>
    <e v="#REF!"/>
    <s v=""/>
    <n v="0.44736842105263158"/>
  </r>
  <r>
    <x v="2"/>
    <x v="58"/>
    <x v="0"/>
    <x v="17"/>
    <m/>
    <m/>
    <s v="EVAPORATOR, NISSAN NV350 (STAL)"/>
    <s v="CA-001660"/>
    <n v="1"/>
    <n v="2100"/>
    <m/>
    <n v="2100"/>
    <x v="0"/>
    <n v="2022"/>
    <n v="1100"/>
    <n v="1100"/>
    <n v="1155"/>
    <n v="945"/>
    <n v="0"/>
    <x v="10"/>
    <x v="2"/>
    <e v="#REF!"/>
    <e v="#REF!"/>
    <s v=""/>
    <n v="0.45"/>
  </r>
  <r>
    <x v="1"/>
    <x v="24"/>
    <x v="2"/>
    <x v="7"/>
    <m/>
    <n v="300"/>
    <s v="CABIN_FILTER, TOYOTA INNOVA"/>
    <s v="CA-001294"/>
    <n v="2"/>
    <n v="268"/>
    <m/>
    <n v="536"/>
    <x v="0"/>
    <n v="315"/>
    <n v="100"/>
    <n v="200"/>
    <n v="210"/>
    <n v="326"/>
    <n v="97.8"/>
    <x v="12"/>
    <x v="2"/>
    <e v="#REF!"/>
    <e v="#REF!"/>
    <e v="#REF!"/>
    <n v="0.60820895522388063"/>
  </r>
  <r>
    <x v="1"/>
    <x v="30"/>
    <x v="2"/>
    <x v="7"/>
    <m/>
    <m/>
    <s v="CABIN_FILTER, TOYOTA VIOS"/>
    <s v="CA-001295"/>
    <n v="2"/>
    <n v="300"/>
    <m/>
    <n v="600"/>
    <x v="0"/>
    <n v="315"/>
    <n v="100"/>
    <n v="200"/>
    <n v="210"/>
    <n v="390"/>
    <n v="117"/>
    <x v="12"/>
    <x v="2"/>
    <e v="#REF!"/>
    <e v="#REF!"/>
    <e v="#REF!"/>
    <n v="0.65"/>
  </r>
  <r>
    <x v="1"/>
    <x v="30"/>
    <x v="2"/>
    <x v="7"/>
    <m/>
    <m/>
    <s v="CABIN_FILTER, TOYOTA WIGO"/>
    <s v="CA-000387"/>
    <n v="2"/>
    <n v="300"/>
    <m/>
    <n v="600"/>
    <x v="0"/>
    <n v="315"/>
    <n v="100"/>
    <n v="200"/>
    <n v="210"/>
    <n v="390"/>
    <n v="117"/>
    <x v="12"/>
    <x v="2"/>
    <e v="#REF!"/>
    <e v="#REF!"/>
    <e v="#REF!"/>
    <n v="0.65"/>
  </r>
  <r>
    <x v="1"/>
    <x v="24"/>
    <x v="2"/>
    <x v="7"/>
    <m/>
    <m/>
    <s v="RESISTOR_BLOCK, MITSUBISHI ADVENTURE 7537"/>
    <s v="CA-001178"/>
    <n v="1"/>
    <n v="700"/>
    <m/>
    <n v="700"/>
    <x v="0"/>
    <n v="599"/>
    <n v="190"/>
    <n v="190"/>
    <n v="199.5"/>
    <n v="500.5"/>
    <n v="150.15"/>
    <x v="43"/>
    <x v="2"/>
    <e v="#REF!"/>
    <e v="#REF!"/>
    <e v="#REF!"/>
    <n v="0.71499999999999997"/>
  </r>
  <r>
    <x v="3"/>
    <x v="68"/>
    <x v="1"/>
    <x v="42"/>
    <m/>
    <m/>
    <s v="AUXFAN_MOTOR, TOYOTA VIOS BATMAN 2370"/>
    <s v="CA-000094"/>
    <n v="1"/>
    <n v="1600"/>
    <m/>
    <n v="1600"/>
    <x v="0"/>
    <n v="2022"/>
    <n v="1100"/>
    <n v="1100"/>
    <n v="1155"/>
    <n v="445"/>
    <n v="133.5"/>
    <x v="14"/>
    <x v="2"/>
    <m/>
    <m/>
    <s v=""/>
    <n v="0.27812500000000001"/>
  </r>
  <r>
    <x v="3"/>
    <x v="118"/>
    <x v="0"/>
    <x v="18"/>
    <m/>
    <m/>
    <s v="EVAPORATOR, NISSAN NV350 (STAL)"/>
    <s v="CA-001660"/>
    <n v="1"/>
    <n v="2100"/>
    <m/>
    <n v="2100"/>
    <x v="0"/>
    <n v="2022"/>
    <n v="1100"/>
    <n v="1100"/>
    <n v="1155"/>
    <n v="945"/>
    <n v="0"/>
    <x v="10"/>
    <x v="2"/>
    <m/>
    <m/>
    <s v=""/>
    <n v="0.45"/>
  </r>
  <r>
    <x v="1"/>
    <x v="114"/>
    <x v="2"/>
    <x v="22"/>
    <m/>
    <m/>
    <s v="LUBRICANT, EMKARATE RL 68H, 1 LITER"/>
    <s v="GE-000135"/>
    <n v="1"/>
    <n v="380"/>
    <m/>
    <n v="380"/>
    <x v="0"/>
    <n v="331"/>
    <n v="180"/>
    <n v="180"/>
    <n v="189"/>
    <n v="191"/>
    <n v="57.3"/>
    <x v="9"/>
    <x v="1"/>
    <e v="#REF!"/>
    <e v="#REF!"/>
    <s v=""/>
    <n v="0.50263157894736843"/>
  </r>
  <r>
    <x v="3"/>
    <x v="72"/>
    <x v="0"/>
    <x v="10"/>
    <m/>
    <m/>
    <s v="ECV, HYUNDAI ACCENT, 8-22A"/>
    <s v="CA-000454"/>
    <n v="1"/>
    <n v="1900"/>
    <m/>
    <n v="1900"/>
    <x v="0"/>
    <n v="1838"/>
    <n v="1000"/>
    <n v="1000"/>
    <n v="1050"/>
    <n v="850"/>
    <n v="0"/>
    <x v="26"/>
    <x v="2"/>
    <m/>
    <m/>
    <s v=""/>
    <n v="0.44736842105263158"/>
  </r>
  <r>
    <x v="3"/>
    <x v="74"/>
    <x v="0"/>
    <x v="11"/>
    <m/>
    <n v="1700"/>
    <s v="AUXFAN_MOTOR, TOYOTA VIOS 14 8030"/>
    <s v="CA-000093"/>
    <n v="1"/>
    <n v="1512"/>
    <m/>
    <n v="1512"/>
    <x v="0"/>
    <n v="2022"/>
    <n v="1100"/>
    <n v="1100"/>
    <n v="1155"/>
    <n v="357"/>
    <n v="0"/>
    <x v="14"/>
    <x v="2"/>
    <m/>
    <m/>
    <m/>
    <n v="0.2361111111111111"/>
  </r>
  <r>
    <x v="1"/>
    <x v="21"/>
    <x v="1"/>
    <x v="3"/>
    <m/>
    <m/>
    <s v="AUXIALLIARY_FAN, STAL 10 BLADES X 24VOLTS"/>
    <s v="CA-000118"/>
    <n v="1"/>
    <n v="650"/>
    <m/>
    <n v="650"/>
    <x v="0"/>
    <n v="625"/>
    <n v="340"/>
    <n v="340"/>
    <n v="357"/>
    <n v="293"/>
    <n v="87.899999999999991"/>
    <x v="16"/>
    <x v="2"/>
    <e v="#REF!"/>
    <e v="#REF!"/>
    <e v="#REF!"/>
    <n v="0.45076923076923076"/>
  </r>
  <r>
    <x v="1"/>
    <x v="76"/>
    <x v="2"/>
    <x v="7"/>
    <m/>
    <m/>
    <s v="LUBRICANT, EMKARATE RL 68H, 1 LITER"/>
    <s v="GE-000135"/>
    <n v="1"/>
    <n v="450"/>
    <m/>
    <n v="450"/>
    <x v="0"/>
    <n v="331"/>
    <n v="180"/>
    <n v="180"/>
    <n v="189"/>
    <n v="261"/>
    <n v="78.3"/>
    <x v="9"/>
    <x v="1"/>
    <e v="#REF!"/>
    <e v="#REF!"/>
    <s v=""/>
    <n v="0.57999999999999996"/>
  </r>
  <r>
    <x v="1"/>
    <x v="21"/>
    <x v="2"/>
    <x v="22"/>
    <m/>
    <m/>
    <s v="LUBRICANT, EMKARATE RL 32H, 1 LITER"/>
    <s v="GE-000134"/>
    <n v="1"/>
    <n v="380"/>
    <m/>
    <n v="380"/>
    <x v="0"/>
    <n v="331"/>
    <n v="180"/>
    <n v="180"/>
    <n v="189"/>
    <n v="191"/>
    <n v="57.3"/>
    <x v="9"/>
    <x v="1"/>
    <e v="#REF!"/>
    <e v="#REF!"/>
    <e v="#REF!"/>
    <n v="0.50263157894736843"/>
  </r>
  <r>
    <x v="1"/>
    <x v="26"/>
    <x v="2"/>
    <x v="22"/>
    <m/>
    <m/>
    <s v="LUBRICANT, EMKARATE RL 68H, 1 LITER"/>
    <s v="GE-000135"/>
    <n v="1"/>
    <n v="380"/>
    <m/>
    <n v="380"/>
    <x v="0"/>
    <n v="331"/>
    <n v="180"/>
    <n v="180"/>
    <n v="189"/>
    <n v="191"/>
    <n v="57.3"/>
    <x v="9"/>
    <x v="1"/>
    <e v="#REF!"/>
    <e v="#REF!"/>
    <e v="#REF!"/>
    <n v="0"/>
  </r>
  <r>
    <x v="1"/>
    <x v="29"/>
    <x v="2"/>
    <x v="7"/>
    <m/>
    <m/>
    <s v="LUBRICANT, EMKARATE RL 32H, 1 LITER"/>
    <s v="GE-000134"/>
    <n v="1"/>
    <n v="450"/>
    <m/>
    <n v="450"/>
    <x v="0"/>
    <n v="331"/>
    <n v="180"/>
    <n v="180"/>
    <n v="189"/>
    <n v="261"/>
    <n v="78.3"/>
    <x v="9"/>
    <x v="1"/>
    <e v="#REF!"/>
    <e v="#REF!"/>
    <e v="#REF!"/>
    <n v="0.57999999999999996"/>
  </r>
  <r>
    <x v="4"/>
    <x v="89"/>
    <x v="0"/>
    <x v="61"/>
    <m/>
    <m/>
    <s v="CONDENSER, UNIVERSAL 12 x 18 x 20 5/16 OT"/>
    <s v="CA-001858"/>
    <n v="1"/>
    <n v="1700"/>
    <m/>
    <n v="1700"/>
    <x v="0"/>
    <n v="2022"/>
    <n v="1100"/>
    <n v="1100"/>
    <n v="1155"/>
    <n v="545"/>
    <n v="0"/>
    <x v="8"/>
    <x v="2"/>
    <m/>
    <m/>
    <m/>
    <n v="0.32058823529411767"/>
  </r>
  <r>
    <x v="4"/>
    <x v="80"/>
    <x v="0"/>
    <x v="8"/>
    <m/>
    <m/>
    <s v="CONDENSER, UNIVERSAL 12 x 18 x 20 5/16 OT"/>
    <s v="CA-001858"/>
    <n v="1"/>
    <n v="1700"/>
    <m/>
    <n v="1700"/>
    <x v="0"/>
    <n v="2022"/>
    <n v="1100"/>
    <n v="1100"/>
    <n v="1155"/>
    <n v="545"/>
    <n v="0"/>
    <x v="8"/>
    <x v="2"/>
    <m/>
    <m/>
    <m/>
    <n v="0.32058823529411767"/>
  </r>
  <r>
    <x v="4"/>
    <x v="75"/>
    <x v="0"/>
    <x v="10"/>
    <m/>
    <m/>
    <s v="CONDENSER, UNIVERSAL 12 x 18 x 20 5/16 OT"/>
    <s v="CA-001858"/>
    <n v="1"/>
    <n v="1700"/>
    <m/>
    <n v="1700"/>
    <x v="0"/>
    <n v="2022"/>
    <n v="1100"/>
    <n v="1100"/>
    <n v="1155"/>
    <n v="545"/>
    <n v="0"/>
    <x v="8"/>
    <x v="2"/>
    <e v="#REF!"/>
    <e v="#REF!"/>
    <e v="#REF!"/>
    <n v="0"/>
  </r>
  <r>
    <x v="1"/>
    <x v="19"/>
    <x v="2"/>
    <x v="22"/>
    <m/>
    <m/>
    <s v="PRESSURE_SWITCH, BOER UNIVERSAL R12 RED"/>
    <s v="CA-001818"/>
    <n v="5"/>
    <n v="150"/>
    <m/>
    <n v="750"/>
    <x v="0"/>
    <n v="111"/>
    <n v="35"/>
    <n v="175"/>
    <n v="183.75"/>
    <n v="566.25"/>
    <n v="169.875"/>
    <x v="47"/>
    <x v="2"/>
    <e v="#REF!"/>
    <e v="#REF!"/>
    <s v=""/>
    <n v="0.755"/>
  </r>
  <r>
    <x v="1"/>
    <x v="26"/>
    <x v="3"/>
    <x v="12"/>
    <m/>
    <m/>
    <s v="SYSTEM_CLEANER, Cleanse GREEN 141B 500 ML"/>
    <s v="GE-000369"/>
    <n v="2"/>
    <n v="120"/>
    <m/>
    <n v="240"/>
    <x v="0"/>
    <n v="113"/>
    <n v="65"/>
    <n v="130"/>
    <n v="136.5"/>
    <n v="103.5"/>
    <n v="31.049999999999997"/>
    <x v="28"/>
    <x v="1"/>
    <e v="#REF!"/>
    <e v="#REF!"/>
    <e v="#REF!"/>
    <n v="0"/>
  </r>
  <r>
    <x v="1"/>
    <x v="21"/>
    <x v="2"/>
    <x v="22"/>
    <m/>
    <m/>
    <s v="O_RING, NEK MAKAPAL 5/8"/>
    <s v="CA-000843"/>
    <n v="2"/>
    <n v="180"/>
    <m/>
    <n v="360"/>
    <x v="0"/>
    <n v="111"/>
    <n v="60"/>
    <n v="120"/>
    <n v="126"/>
    <n v="234"/>
    <n v="70.2"/>
    <x v="44"/>
    <x v="2"/>
    <e v="#REF!"/>
    <e v="#REF!"/>
    <e v="#REF!"/>
    <n v="0.65"/>
  </r>
  <r>
    <x v="1"/>
    <x v="21"/>
    <x v="1"/>
    <x v="3"/>
    <m/>
    <m/>
    <s v="CABIN_FILTER, HONDA LARGE"/>
    <s v="CA-001422"/>
    <n v="1"/>
    <n v="350"/>
    <m/>
    <n v="350"/>
    <x v="0"/>
    <n v="378"/>
    <n v="120"/>
    <n v="120"/>
    <n v="126"/>
    <n v="224"/>
    <n v="67.2"/>
    <x v="12"/>
    <x v="2"/>
    <e v="#REF!"/>
    <e v="#REF!"/>
    <s v=""/>
    <n v="0.64"/>
  </r>
  <r>
    <x v="4"/>
    <x v="78"/>
    <x v="10"/>
    <x v="82"/>
    <m/>
    <n v="1800"/>
    <s v="AUXFAN_MOTOR, HONDA CIVIC/BRIO 8671"/>
    <s v="CA-001383"/>
    <n v="1"/>
    <n v="1607"/>
    <m/>
    <n v="1607"/>
    <x v="0"/>
    <n v="2022"/>
    <n v="1100"/>
    <n v="1100"/>
    <n v="1155"/>
    <n v="452"/>
    <n v="135.6"/>
    <x v="14"/>
    <x v="2"/>
    <m/>
    <m/>
    <m/>
    <n v="0.28126944617299315"/>
  </r>
  <r>
    <x v="4"/>
    <x v="80"/>
    <x v="0"/>
    <x v="61"/>
    <m/>
    <m/>
    <s v="CONDENSER, UNIVERSAL 12 x 23 x 20 5/16"/>
    <s v="CA-000445"/>
    <n v="1"/>
    <n v="1800"/>
    <m/>
    <n v="1800"/>
    <x v="0"/>
    <n v="2022"/>
    <n v="1100"/>
    <n v="1100"/>
    <n v="1155"/>
    <n v="645"/>
    <n v="0"/>
    <x v="8"/>
    <x v="2"/>
    <m/>
    <m/>
    <m/>
    <n v="0.35833333333333334"/>
  </r>
  <r>
    <x v="1"/>
    <x v="34"/>
    <x v="2"/>
    <x v="22"/>
    <m/>
    <m/>
    <s v="CABIN_FILTER, TOYOTA HI-ACE"/>
    <s v="CA-001292"/>
    <n v="1"/>
    <n v="200"/>
    <m/>
    <n v="200"/>
    <x v="0"/>
    <n v="331"/>
    <n v="105"/>
    <n v="105"/>
    <n v="110.25"/>
    <n v="89.75"/>
    <n v="26.925000000000001"/>
    <x v="12"/>
    <x v="2"/>
    <e v="#REF!"/>
    <e v="#REF!"/>
    <e v="#REF!"/>
    <n v="0"/>
  </r>
  <r>
    <x v="5"/>
    <x v="83"/>
    <x v="0"/>
    <x v="1"/>
    <m/>
    <m/>
    <s v="RUBBER_INSULATION, M-FLEX 1/2&quot; 1/4"/>
    <s v="IM-000229"/>
    <n v="3"/>
    <n v="50"/>
    <m/>
    <n v="150"/>
    <x v="0"/>
    <n v="47"/>
    <n v="33.6"/>
    <n v="100.80000000000001"/>
    <n v="103.82400000000001"/>
    <n v="46.175999999999988"/>
    <n v="0"/>
    <x v="22"/>
    <x v="0"/>
    <e v="#REF!"/>
    <e v="#REF!"/>
    <s v=""/>
    <n v="0.30783999999999989"/>
  </r>
  <r>
    <x v="1"/>
    <x v="76"/>
    <x v="0"/>
    <x v="58"/>
    <m/>
    <m/>
    <s v="RECEIVER_DRIER_ALUMINUM, YK MIT FUSION"/>
    <s v="CA-001259"/>
    <n v="4"/>
    <n v="600"/>
    <m/>
    <n v="2400"/>
    <x v="0"/>
    <n v="638"/>
    <n v="270"/>
    <n v="1080"/>
    <n v="1134"/>
    <n v="1266"/>
    <n v="0"/>
    <x v="27"/>
    <x v="2"/>
    <e v="#REF!"/>
    <e v="#REF!"/>
    <s v=""/>
    <n v="0.52749999999999997"/>
  </r>
  <r>
    <x v="0"/>
    <x v="0"/>
    <x v="0"/>
    <x v="18"/>
    <m/>
    <m/>
    <s v="EVAPORATOR, MITSUBISHI MIRAGE (STAL)"/>
    <s v="CA-000142"/>
    <n v="1"/>
    <n v="2100"/>
    <m/>
    <n v="2100"/>
    <x v="0"/>
    <n v="1976"/>
    <n v="1075"/>
    <n v="1075"/>
    <n v="1128.75"/>
    <n v="971.25"/>
    <n v="0"/>
    <x v="10"/>
    <x v="2"/>
    <m/>
    <m/>
    <m/>
    <n v="0.46250000000000002"/>
  </r>
  <r>
    <x v="2"/>
    <x v="36"/>
    <x v="0"/>
    <x v="11"/>
    <m/>
    <n v="2100"/>
    <s v="EVAPORATOR, MITSUBISHI MIRAGE (STAL)"/>
    <s v="CA-000142"/>
    <n v="1"/>
    <n v="1875"/>
    <m/>
    <n v="1875"/>
    <x v="0"/>
    <n v="1976"/>
    <n v="1075"/>
    <n v="1075"/>
    <n v="1128.75"/>
    <n v="746.25"/>
    <n v="0"/>
    <x v="10"/>
    <x v="2"/>
    <e v="#REF!"/>
    <e v="#REF!"/>
    <n v="2100"/>
    <n v="0.39800000000000002"/>
  </r>
  <r>
    <x v="2"/>
    <x v="39"/>
    <x v="0"/>
    <x v="10"/>
    <m/>
    <m/>
    <s v="EVAPORATOR, MITSUBISHI MIRAGE (STAL)"/>
    <s v="CA-000142"/>
    <n v="1"/>
    <n v="2000"/>
    <m/>
    <n v="2000"/>
    <x v="0"/>
    <n v="1976"/>
    <n v="1075"/>
    <n v="1075"/>
    <n v="1128.75"/>
    <n v="871.25"/>
    <n v="0"/>
    <x v="10"/>
    <x v="2"/>
    <e v="#REF!"/>
    <e v="#REF!"/>
    <s v=""/>
    <n v="0.43562499999999998"/>
  </r>
  <r>
    <x v="1"/>
    <x v="22"/>
    <x v="1"/>
    <x v="3"/>
    <m/>
    <m/>
    <s v="EXP. VALVE LT, POKKA 9A33 H100 STAREX"/>
    <s v="CA-001339"/>
    <n v="1"/>
    <n v="550"/>
    <m/>
    <n v="550"/>
    <x v="0"/>
    <n v="441"/>
    <n v="240"/>
    <n v="240"/>
    <n v="252"/>
    <n v="298"/>
    <n v="89.399999999999991"/>
    <x v="23"/>
    <x v="2"/>
    <e v="#REF!"/>
    <e v="#REF!"/>
    <e v="#REF!"/>
    <n v="0.54181818181818187"/>
  </r>
  <r>
    <x v="3"/>
    <x v="59"/>
    <x v="0"/>
    <x v="17"/>
    <m/>
    <m/>
    <s v="EVAPORATOR, MITSUBISHI MIRAGE (STAL)"/>
    <s v="CA-000142"/>
    <n v="1"/>
    <n v="2100"/>
    <m/>
    <n v="2100"/>
    <x v="0"/>
    <n v="1976"/>
    <n v="1075"/>
    <n v="1075"/>
    <n v="1128.75"/>
    <n v="971.25"/>
    <n v="0"/>
    <x v="10"/>
    <x v="2"/>
    <m/>
    <m/>
    <s v=""/>
    <n v="0.46250000000000002"/>
  </r>
  <r>
    <x v="1"/>
    <x v="22"/>
    <x v="1"/>
    <x v="3"/>
    <m/>
    <m/>
    <s v="CABIN_FILTER, TOYOTA WIGO"/>
    <s v="CA-000387"/>
    <n v="2"/>
    <n v="300"/>
    <m/>
    <n v="600"/>
    <x v="0"/>
    <n v="315"/>
    <n v="100"/>
    <n v="200"/>
    <n v="210"/>
    <n v="390"/>
    <n v="117"/>
    <x v="12"/>
    <x v="2"/>
    <e v="#REF!"/>
    <e v="#REF!"/>
    <e v="#REF!"/>
    <n v="0.65"/>
  </r>
  <r>
    <x v="4"/>
    <x v="89"/>
    <x v="0"/>
    <x v="17"/>
    <m/>
    <m/>
    <s v="EVAPORATOR, MITSUBISHI MIRAGE (STAL)"/>
    <s v="CA-000142"/>
    <n v="1"/>
    <n v="2100"/>
    <m/>
    <n v="2100"/>
    <x v="0"/>
    <n v="1976"/>
    <n v="1075"/>
    <n v="1075"/>
    <n v="1128.75"/>
    <n v="971.25"/>
    <n v="0"/>
    <x v="10"/>
    <x v="2"/>
    <m/>
    <m/>
    <m/>
    <n v="0.46250000000000002"/>
  </r>
  <r>
    <x v="1"/>
    <x v="114"/>
    <x v="2"/>
    <x v="22"/>
    <m/>
    <n v="220"/>
    <s v="CABIN_FILTER, TOYOTA INNOVA"/>
    <s v="CA-001294"/>
    <n v="1"/>
    <n v="200"/>
    <m/>
    <n v="200"/>
    <x v="0"/>
    <n v="315"/>
    <n v="100"/>
    <n v="100"/>
    <n v="105"/>
    <n v="95"/>
    <n v="28.5"/>
    <x v="12"/>
    <x v="2"/>
    <e v="#REF!"/>
    <e v="#REF!"/>
    <n v="224.00000000000003"/>
    <n v="0.47499999999999998"/>
  </r>
  <r>
    <x v="1"/>
    <x v="21"/>
    <x v="2"/>
    <x v="22"/>
    <m/>
    <m/>
    <s v="CABIN_FILTER, TOYOTA INNOVA"/>
    <s v="CA-001294"/>
    <n v="1"/>
    <n v="200"/>
    <m/>
    <n v="200"/>
    <x v="0"/>
    <n v="315"/>
    <n v="100"/>
    <n v="100"/>
    <n v="105"/>
    <n v="95"/>
    <n v="28.5"/>
    <x v="12"/>
    <x v="2"/>
    <e v="#REF!"/>
    <e v="#REF!"/>
    <e v="#REF!"/>
    <n v="0.47499999999999998"/>
  </r>
  <r>
    <x v="4"/>
    <x v="107"/>
    <x v="0"/>
    <x v="26"/>
    <m/>
    <m/>
    <s v="RUBBER_INSULATION, DURKFLEX  3/4&quot; x 3/4"/>
    <s v="IM-000179"/>
    <n v="10"/>
    <n v="145"/>
    <m/>
    <n v="1450"/>
    <x v="0"/>
    <n v="139"/>
    <n v="107.39"/>
    <n v="1073.9000000000001"/>
    <n v="1106.1170000000002"/>
    <n v="343.88299999999981"/>
    <n v="0"/>
    <x v="22"/>
    <x v="0"/>
    <m/>
    <m/>
    <m/>
    <n v="0.23716068965517229"/>
  </r>
  <r>
    <x v="0"/>
    <x v="0"/>
    <x v="6"/>
    <x v="54"/>
    <m/>
    <m/>
    <s v="HOSE,  DRAIN PUMP PER MTR"/>
    <s v="GE-000242"/>
    <n v="30"/>
    <n v="44.6"/>
    <m/>
    <n v="1338"/>
    <x v="0"/>
    <n v="65"/>
    <n v="35"/>
    <n v="1050"/>
    <n v="1102.5"/>
    <n v="235.5"/>
    <n v="70.649999999999991"/>
    <x v="19"/>
    <x v="1"/>
    <m/>
    <m/>
    <m/>
    <n v="0.17600896860986548"/>
  </r>
  <r>
    <x v="0"/>
    <x v="2"/>
    <x v="0"/>
    <x v="11"/>
    <m/>
    <n v="2100"/>
    <s v="EVAPORATOR, MITSUBISHI MONTERO 2016 (F)  (STAL)"/>
    <s v="CA-000341"/>
    <n v="1"/>
    <n v="1875"/>
    <m/>
    <n v="1875"/>
    <x v="0"/>
    <n v="1930"/>
    <n v="1050"/>
    <n v="1050"/>
    <n v="1102.5"/>
    <n v="772.5"/>
    <n v="0"/>
    <x v="10"/>
    <x v="2"/>
    <m/>
    <m/>
    <n v="2100"/>
    <n v="0.41199999999999998"/>
  </r>
  <r>
    <x v="1"/>
    <x v="26"/>
    <x v="2"/>
    <x v="22"/>
    <m/>
    <m/>
    <s v="CABIN_FILTER, NISSAN XTRAIL"/>
    <s v="CA-001243"/>
    <n v="1"/>
    <n v="200"/>
    <m/>
    <n v="200"/>
    <x v="0"/>
    <n v="315"/>
    <n v="100"/>
    <n v="100"/>
    <n v="105"/>
    <n v="95"/>
    <n v="28.5"/>
    <x v="12"/>
    <x v="2"/>
    <e v="#REF!"/>
    <e v="#REF!"/>
    <e v="#REF!"/>
    <n v="0.47499999999999998"/>
  </r>
  <r>
    <x v="0"/>
    <x v="27"/>
    <x v="0"/>
    <x v="11"/>
    <m/>
    <n v="2000"/>
    <s v="EVAPORATOR, MITSUBISHI LANCER 1997 (STAL)"/>
    <s v="CA-001751"/>
    <n v="1"/>
    <n v="1790"/>
    <m/>
    <n v="1790"/>
    <x v="0"/>
    <n v="1930"/>
    <n v="1050"/>
    <n v="1050"/>
    <n v="1102.5"/>
    <n v="687.5"/>
    <n v="0"/>
    <x v="10"/>
    <x v="2"/>
    <m/>
    <m/>
    <n v="2004.8000000000002"/>
    <n v="0.38407821229050282"/>
  </r>
  <r>
    <x v="1"/>
    <x v="14"/>
    <x v="3"/>
    <x v="12"/>
    <m/>
    <n v="40"/>
    <s v="FITTINGS, STRAIGHT FLARE TYPE 1/2"/>
    <s v="CA-000671"/>
    <n v="6"/>
    <n v="36"/>
    <m/>
    <n v="216"/>
    <x v="0"/>
    <n v="30"/>
    <n v="16"/>
    <n v="96"/>
    <n v="100.80000000000001"/>
    <n v="115.19999999999999"/>
    <n v="34.559999999999995"/>
    <x v="33"/>
    <x v="2"/>
    <e v="#REF!"/>
    <e v="#REF!"/>
    <n v="40.320000000000007"/>
    <n v="0.53333333333333333"/>
  </r>
  <r>
    <x v="0"/>
    <x v="7"/>
    <x v="0"/>
    <x v="10"/>
    <m/>
    <m/>
    <s v="EVAPORATOR, MITSUBISHI MONTERO 2008 (F) (STAL)"/>
    <s v="CA-001744"/>
    <n v="1"/>
    <n v="2000"/>
    <m/>
    <n v="2000"/>
    <x v="0"/>
    <n v="1930"/>
    <n v="1050"/>
    <n v="1050"/>
    <n v="1102.5"/>
    <n v="897.5"/>
    <n v="0"/>
    <x v="10"/>
    <x v="2"/>
    <m/>
    <m/>
    <s v=""/>
    <n v="0.44874999999999998"/>
  </r>
  <r>
    <x v="0"/>
    <x v="91"/>
    <x v="0"/>
    <x v="17"/>
    <m/>
    <m/>
    <s v="EVAPORATOR, MITSUBISHI MONTERO 2008 (F) (STAL)"/>
    <s v="CA-001744"/>
    <n v="1"/>
    <n v="1900"/>
    <m/>
    <n v="1900"/>
    <x v="0"/>
    <n v="1930"/>
    <n v="1050"/>
    <n v="1050"/>
    <n v="1102.5"/>
    <n v="797.5"/>
    <n v="0"/>
    <x v="10"/>
    <x v="2"/>
    <m/>
    <m/>
    <s v=""/>
    <n v="0.41973684210526313"/>
  </r>
  <r>
    <x v="1"/>
    <x v="23"/>
    <x v="1"/>
    <x v="3"/>
    <m/>
    <m/>
    <s v="AUXFAN_MOTOR, TOYOTA RUSH 9290"/>
    <s v="CA-001795"/>
    <n v="1"/>
    <n v="1800"/>
    <m/>
    <n v="1800"/>
    <x v="0"/>
    <n v="2114"/>
    <n v="1150"/>
    <n v="1150"/>
    <n v="1207.5"/>
    <n v="592.5"/>
    <n v="177.75"/>
    <x v="14"/>
    <x v="2"/>
    <e v="#REF!"/>
    <e v="#REF!"/>
    <e v="#REF!"/>
    <n v="0.32916666666666666"/>
  </r>
  <r>
    <x v="1"/>
    <x v="24"/>
    <x v="1"/>
    <x v="3"/>
    <m/>
    <m/>
    <s v="THERMOSTAT, NEK CAR"/>
    <s v="CA-001647"/>
    <n v="1"/>
    <n v="250"/>
    <m/>
    <n v="250"/>
    <x v="0"/>
    <n v="180"/>
    <n v="90"/>
    <n v="90"/>
    <n v="94.5"/>
    <n v="155.5"/>
    <n v="46.65"/>
    <x v="31"/>
    <x v="2"/>
    <e v="#REF!"/>
    <e v="#REF!"/>
    <e v="#REF!"/>
    <n v="0.622"/>
  </r>
  <r>
    <x v="1"/>
    <x v="100"/>
    <x v="0"/>
    <x v="8"/>
    <m/>
    <m/>
    <s v="EVAPORATOR, MITSUBISHI MONTERO 2008 (F) (STAL)"/>
    <s v="CA-001744"/>
    <n v="1"/>
    <n v="1900"/>
    <m/>
    <n v="1900"/>
    <x v="0"/>
    <n v="1930"/>
    <n v="1050"/>
    <n v="1050"/>
    <n v="1102.5"/>
    <n v="797.5"/>
    <n v="0"/>
    <x v="10"/>
    <x v="2"/>
    <e v="#REF!"/>
    <e v="#REF!"/>
    <s v=""/>
    <n v="0.41973684210526313"/>
  </r>
  <r>
    <x v="1"/>
    <x v="24"/>
    <x v="0"/>
    <x v="8"/>
    <m/>
    <m/>
    <s v="EVAPORATOR, MITSUBISHI MONTERO 2008 (F) (STAL)"/>
    <s v="CA-001744"/>
    <n v="1"/>
    <n v="1900"/>
    <m/>
    <n v="1900"/>
    <x v="0"/>
    <n v="1930"/>
    <n v="1050"/>
    <n v="1050"/>
    <n v="1102.5"/>
    <n v="797.5"/>
    <n v="0"/>
    <x v="10"/>
    <x v="2"/>
    <e v="#REF!"/>
    <e v="#REF!"/>
    <e v="#REF!"/>
    <n v="0.41973684210526313"/>
  </r>
  <r>
    <x v="1"/>
    <x v="24"/>
    <x v="0"/>
    <x v="8"/>
    <m/>
    <m/>
    <s v="EVAPORATOR, MITSUBISHI MONTERO 2008 (F) (STAL)"/>
    <s v="CA-001744"/>
    <n v="1"/>
    <n v="1900"/>
    <m/>
    <n v="1900"/>
    <x v="0"/>
    <n v="1930"/>
    <n v="1050"/>
    <n v="1050"/>
    <n v="1102.5"/>
    <n v="797.5"/>
    <n v="0"/>
    <x v="10"/>
    <x v="2"/>
    <e v="#REF!"/>
    <e v="#REF!"/>
    <e v="#REF!"/>
    <n v="0.41973684210526313"/>
  </r>
  <r>
    <x v="1"/>
    <x v="28"/>
    <x v="0"/>
    <x v="8"/>
    <m/>
    <m/>
    <s v="EVAPORATOR, MITSUBISHI MONTERO 2008 (F) (STAL)"/>
    <s v="CA-001744"/>
    <n v="1"/>
    <n v="1900"/>
    <m/>
    <n v="1900"/>
    <x v="0"/>
    <n v="1930"/>
    <n v="1050"/>
    <n v="1050"/>
    <n v="1102.5"/>
    <n v="797.5"/>
    <n v="0"/>
    <x v="10"/>
    <x v="2"/>
    <e v="#REF!"/>
    <e v="#REF!"/>
    <e v="#REF!"/>
    <n v="0.41973684210526313"/>
  </r>
  <r>
    <x v="1"/>
    <x v="24"/>
    <x v="1"/>
    <x v="3"/>
    <m/>
    <m/>
    <s v="FITTINGS, ELBOW ORING TYPE  5/16"/>
    <s v="CA-000660"/>
    <n v="2"/>
    <n v="45"/>
    <m/>
    <n v="90"/>
    <x v="0"/>
    <n v="27"/>
    <n v="14.5"/>
    <n v="29"/>
    <n v="30.450000000000003"/>
    <n v="59.55"/>
    <n v="17.864999999999998"/>
    <x v="33"/>
    <x v="2"/>
    <e v="#REF!"/>
    <e v="#REF!"/>
    <e v="#REF!"/>
    <n v="0.66166666666666663"/>
  </r>
  <r>
    <x v="1"/>
    <x v="34"/>
    <x v="0"/>
    <x v="17"/>
    <m/>
    <m/>
    <s v="EVAPORATOR, MITSUBISHI MONTERO 2008 (F) (STAL)"/>
    <s v="CA-001744"/>
    <n v="1"/>
    <n v="1900"/>
    <m/>
    <n v="1900"/>
    <x v="0"/>
    <n v="1930"/>
    <n v="1050"/>
    <n v="1050"/>
    <n v="1102.5"/>
    <n v="797.5"/>
    <n v="0"/>
    <x v="10"/>
    <x v="2"/>
    <e v="#REF!"/>
    <e v="#REF!"/>
    <e v="#REF!"/>
    <n v="0"/>
  </r>
  <r>
    <x v="2"/>
    <x v="38"/>
    <x v="0"/>
    <x v="49"/>
    <m/>
    <m/>
    <s v="EVAPORATOR, MITSUBISHI MONTERO 2008 (F) (STAL)"/>
    <s v="CA-001744"/>
    <n v="1"/>
    <n v="1900"/>
    <m/>
    <n v="1900"/>
    <x v="0"/>
    <n v="1930"/>
    <n v="1050"/>
    <n v="1050"/>
    <n v="1102.5"/>
    <n v="797.5"/>
    <n v="0"/>
    <x v="10"/>
    <x v="2"/>
    <e v="#REF!"/>
    <e v="#REF!"/>
    <s v=""/>
    <n v="0.41973684210526313"/>
  </r>
  <r>
    <x v="1"/>
    <x v="29"/>
    <x v="2"/>
    <x v="7"/>
    <m/>
    <n v="200"/>
    <s v="O_RING, NEK MAKAPAL 1/2"/>
    <s v="CA-000840"/>
    <n v="1"/>
    <n v="178"/>
    <m/>
    <n v="178"/>
    <x v="0"/>
    <n v="111"/>
    <n v="60"/>
    <n v="60"/>
    <n v="63"/>
    <n v="115"/>
    <n v="34.5"/>
    <x v="44"/>
    <x v="2"/>
    <e v="#REF!"/>
    <e v="#REF!"/>
    <e v="#REF!"/>
    <n v="0.6460674157303371"/>
  </r>
  <r>
    <x v="1"/>
    <x v="24"/>
    <x v="1"/>
    <x v="3"/>
    <m/>
    <m/>
    <s v="FITTINGS, STRAIGHT ORING TYPE 5/16"/>
    <s v="CA-000676"/>
    <n v="1"/>
    <n v="45"/>
    <m/>
    <n v="45"/>
    <x v="0"/>
    <n v="30"/>
    <n v="16"/>
    <n v="16"/>
    <n v="16.8"/>
    <n v="28.2"/>
    <n v="8.4599999999999991"/>
    <x v="33"/>
    <x v="2"/>
    <e v="#REF!"/>
    <e v="#REF!"/>
    <e v="#REF!"/>
    <n v="0.62666666666666671"/>
  </r>
  <r>
    <x v="2"/>
    <x v="40"/>
    <x v="0"/>
    <x v="23"/>
    <m/>
    <m/>
    <s v="BLOWER_MOTOR, NISSAN XTRAIL NO BLADE"/>
    <s v="CA-000202"/>
    <n v="1"/>
    <n v="1650"/>
    <m/>
    <n v="1650"/>
    <x v="0"/>
    <n v="1930"/>
    <n v="1050"/>
    <n v="1050"/>
    <n v="1102.5"/>
    <n v="547.5"/>
    <n v="0"/>
    <x v="15"/>
    <x v="2"/>
    <e v="#REF!"/>
    <e v="#REF!"/>
    <s v=""/>
    <n v="0.33181818181818185"/>
  </r>
  <r>
    <x v="2"/>
    <x v="44"/>
    <x v="0"/>
    <x v="17"/>
    <m/>
    <m/>
    <s v="EVAPORATOR, MITSUBISHI MONTERO 2008 (F) (STAL)"/>
    <s v="CA-001744"/>
    <n v="1"/>
    <n v="1900"/>
    <m/>
    <n v="1900"/>
    <x v="0"/>
    <n v="1930"/>
    <n v="1050"/>
    <n v="1050"/>
    <n v="1102.5"/>
    <n v="797.5"/>
    <n v="0"/>
    <x v="10"/>
    <x v="2"/>
    <e v="#REF!"/>
    <e v="#REF!"/>
    <s v=""/>
    <n v="0.41973684210526313"/>
  </r>
  <r>
    <x v="1"/>
    <x v="29"/>
    <x v="2"/>
    <x v="7"/>
    <m/>
    <n v="200"/>
    <s v="O_RING, NEK MAKAPAL 5/8"/>
    <s v="CA-000843"/>
    <n v="1"/>
    <n v="178"/>
    <m/>
    <n v="178"/>
    <x v="0"/>
    <n v="111"/>
    <n v="60"/>
    <n v="60"/>
    <n v="63"/>
    <n v="115"/>
    <n v="34.5"/>
    <x v="44"/>
    <x v="2"/>
    <e v="#REF!"/>
    <e v="#REF!"/>
    <e v="#REF!"/>
    <n v="0.6460674157303371"/>
  </r>
  <r>
    <x v="2"/>
    <x v="56"/>
    <x v="0"/>
    <x v="17"/>
    <m/>
    <m/>
    <s v="EVAPORATOR, MITSUBISHI MONTERO 2016 (F)  (STAL)"/>
    <s v="CA-000341"/>
    <n v="1"/>
    <n v="2200"/>
    <m/>
    <n v="2200"/>
    <x v="0"/>
    <n v="1930"/>
    <n v="1050"/>
    <n v="1050"/>
    <n v="1102.5"/>
    <n v="1097.5"/>
    <n v="0"/>
    <x v="10"/>
    <x v="2"/>
    <e v="#REF!"/>
    <e v="#REF!"/>
    <s v=""/>
    <n v="0.49886363636363634"/>
  </r>
  <r>
    <x v="2"/>
    <x v="57"/>
    <x v="0"/>
    <x v="10"/>
    <m/>
    <m/>
    <s v="EVAPORATOR, MITSUBISHI MONTERO 2016 (F)  (STAL)"/>
    <s v="CA-000341"/>
    <n v="1"/>
    <n v="2200"/>
    <m/>
    <n v="2200"/>
    <x v="0"/>
    <n v="1930"/>
    <n v="1050"/>
    <n v="1050"/>
    <n v="1102.5"/>
    <n v="1097.5"/>
    <n v="0"/>
    <x v="10"/>
    <x v="2"/>
    <e v="#REF!"/>
    <e v="#REF!"/>
    <s v=""/>
    <n v="0.49886363636363634"/>
  </r>
  <r>
    <x v="3"/>
    <x v="66"/>
    <x v="0"/>
    <x v="17"/>
    <m/>
    <n v="2200"/>
    <s v="EVAPORATOR, MITSUBISHI MONTERO 2016 (F)  (STAL)"/>
    <s v="CA-000341"/>
    <n v="1"/>
    <n v="1964"/>
    <m/>
    <n v="1964"/>
    <x v="0"/>
    <n v="1930"/>
    <n v="1050"/>
    <n v="1050"/>
    <n v="1102.5"/>
    <n v="861.5"/>
    <n v="0"/>
    <x v="10"/>
    <x v="2"/>
    <m/>
    <m/>
    <n v="2199.6800000000003"/>
    <n v="0.43864562118126271"/>
  </r>
  <r>
    <x v="3"/>
    <x v="68"/>
    <x v="1"/>
    <x v="42"/>
    <m/>
    <m/>
    <s v="EVAPORATOR, TOYOTA ALTIS 2003 / RAV 4 (STAL)"/>
    <s v="CA-001241"/>
    <n v="1"/>
    <n v="1500"/>
    <m/>
    <n v="1500"/>
    <x v="0"/>
    <n v="1930"/>
    <n v="1050"/>
    <n v="1050"/>
    <n v="1102.5"/>
    <n v="397.5"/>
    <n v="119.25"/>
    <x v="10"/>
    <x v="2"/>
    <m/>
    <m/>
    <s v=""/>
    <n v="0.26500000000000001"/>
  </r>
  <r>
    <x v="1"/>
    <x v="19"/>
    <x v="2"/>
    <x v="22"/>
    <m/>
    <n v="23"/>
    <s v="FITTINGS, ELBOW FLARE TYPE  5/8"/>
    <s v="CA-000657"/>
    <n v="4"/>
    <n v="21"/>
    <m/>
    <n v="84"/>
    <x v="0"/>
    <n v="27"/>
    <n v="14.5"/>
    <n v="58"/>
    <n v="60.900000000000006"/>
    <n v="23.099999999999994"/>
    <n v="6.9299999999999979"/>
    <x v="33"/>
    <x v="2"/>
    <e v="#REF!"/>
    <e v="#REF!"/>
    <n v="23.520000000000003"/>
    <n v="0.27499999999999991"/>
  </r>
  <r>
    <x v="1"/>
    <x v="14"/>
    <x v="3"/>
    <x v="12"/>
    <m/>
    <n v="15"/>
    <s v="FERULLE,  1/2&quot;"/>
    <s v="CA-000644"/>
    <n v="6"/>
    <n v="14"/>
    <m/>
    <n v="84"/>
    <x v="0"/>
    <n v="13"/>
    <n v="7"/>
    <n v="42"/>
    <n v="44.1"/>
    <n v="39.9"/>
    <n v="11.969999999999999"/>
    <x v="42"/>
    <x v="2"/>
    <e v="#REF!"/>
    <e v="#REF!"/>
    <n v="15.680000000000001"/>
    <n v="0.47499999999999998"/>
  </r>
  <r>
    <x v="3"/>
    <x v="118"/>
    <x v="0"/>
    <x v="49"/>
    <m/>
    <m/>
    <s v="EVAPORATOR, MITSUBISHI MONTERO 2016 (F)  (STAL)"/>
    <s v="CA-000341"/>
    <n v="1"/>
    <n v="2200"/>
    <m/>
    <n v="2200"/>
    <x v="0"/>
    <n v="1930"/>
    <n v="1050"/>
    <n v="1050"/>
    <n v="1102.5"/>
    <n v="1097.5"/>
    <n v="0"/>
    <x v="10"/>
    <x v="2"/>
    <m/>
    <m/>
    <s v=""/>
    <n v="0.49886363636363634"/>
  </r>
  <r>
    <x v="3"/>
    <x v="119"/>
    <x v="0"/>
    <x v="23"/>
    <m/>
    <m/>
    <s v="EVAPORATOR, MITSUBISHI MONTERO 2016 (F)  (STAL)"/>
    <s v="CA-000341"/>
    <n v="1"/>
    <n v="2100"/>
    <m/>
    <n v="2100"/>
    <x v="0"/>
    <n v="1930"/>
    <n v="1050"/>
    <n v="1050"/>
    <n v="1102.5"/>
    <n v="997.5"/>
    <n v="0"/>
    <x v="10"/>
    <x v="2"/>
    <m/>
    <m/>
    <s v=""/>
    <n v="0.47499999999999998"/>
  </r>
  <r>
    <x v="1"/>
    <x v="109"/>
    <x v="1"/>
    <x v="3"/>
    <m/>
    <m/>
    <s v="REFRIGERANT, ENTALPIA EUROPE R134A 13.6   2/7/26"/>
    <s v="GE-000517"/>
    <n v="1"/>
    <n v="8000"/>
    <m/>
    <n v="8000"/>
    <x v="0"/>
    <n v="10489"/>
    <n v="7684"/>
    <n v="7684"/>
    <n v="8068.2000000000007"/>
    <n v="-68.200000000000728"/>
    <n v="-20.460000000000218"/>
    <x v="5"/>
    <x v="1"/>
    <e v="#REF!"/>
    <e v="#REF!"/>
    <e v="#REF!"/>
    <n v="-8.5250000000000915E-3"/>
  </r>
  <r>
    <x v="4"/>
    <x v="102"/>
    <x v="0"/>
    <x v="17"/>
    <m/>
    <n v="2200"/>
    <s v="EVAPORATOR, MITSUBISHI MONTERO 2016 (F)  (STAL)"/>
    <s v="CA-000341"/>
    <n v="1"/>
    <n v="1964"/>
    <m/>
    <n v="1964"/>
    <x v="0"/>
    <n v="1930"/>
    <n v="1050"/>
    <n v="1050"/>
    <n v="1102.5"/>
    <n v="861.5"/>
    <n v="0"/>
    <x v="10"/>
    <x v="2"/>
    <m/>
    <m/>
    <m/>
    <n v="0.43864562118126271"/>
  </r>
  <r>
    <x v="4"/>
    <x v="105"/>
    <x v="0"/>
    <x v="8"/>
    <m/>
    <m/>
    <s v="EVAPORATOR, MITSUBISHI MONTERO 2008 (F) (STAL)"/>
    <s v="CA-001744"/>
    <n v="1"/>
    <n v="1900"/>
    <m/>
    <n v="1900"/>
    <x v="0"/>
    <n v="1930"/>
    <n v="1050"/>
    <n v="1050"/>
    <n v="1102.5"/>
    <n v="797.5"/>
    <n v="0"/>
    <x v="10"/>
    <x v="2"/>
    <m/>
    <m/>
    <m/>
    <n v="0.41973684210526313"/>
  </r>
  <r>
    <x v="1"/>
    <x v="32"/>
    <x v="2"/>
    <x v="7"/>
    <m/>
    <n v="200"/>
    <s v="SILICA_GEL, STAL LONG"/>
    <s v="CA-001637"/>
    <n v="1"/>
    <n v="178"/>
    <m/>
    <n v="178"/>
    <x v="0"/>
    <n v="50"/>
    <n v="25"/>
    <n v="25"/>
    <n v="26.25"/>
    <n v="151.75"/>
    <n v="45.524999999999999"/>
    <x v="37"/>
    <x v="2"/>
    <e v="#REF!"/>
    <e v="#REF!"/>
    <e v="#REF!"/>
    <n v="0.85252808988764039"/>
  </r>
  <r>
    <x v="4"/>
    <x v="92"/>
    <x v="0"/>
    <x v="72"/>
    <m/>
    <m/>
    <s v="EVAPORATOR, SUBARU FORESTER (STAL)"/>
    <s v="CA-001748"/>
    <n v="1"/>
    <n v="2000"/>
    <m/>
    <n v="2000"/>
    <x v="0"/>
    <n v="2114"/>
    <n v="1150"/>
    <n v="1150"/>
    <n v="1207.5"/>
    <n v="792.5"/>
    <n v="0"/>
    <x v="10"/>
    <x v="2"/>
    <m/>
    <m/>
    <m/>
    <n v="0.39624999999999999"/>
  </r>
  <r>
    <x v="4"/>
    <x v="92"/>
    <x v="0"/>
    <x v="8"/>
    <m/>
    <m/>
    <s v="EVAPORATOR, MITSUBISHI MONTERO 2008 (F) (STAL)"/>
    <s v="CA-001744"/>
    <n v="1"/>
    <n v="1900"/>
    <m/>
    <n v="1900"/>
    <x v="0"/>
    <n v="1930"/>
    <n v="1050"/>
    <n v="1050"/>
    <n v="1102.5"/>
    <n v="797.5"/>
    <n v="0"/>
    <x v="10"/>
    <x v="2"/>
    <m/>
    <m/>
    <m/>
    <n v="0.41973684210526313"/>
  </r>
  <r>
    <x v="4"/>
    <x v="93"/>
    <x v="0"/>
    <x v="20"/>
    <m/>
    <m/>
    <s v="ROYAL CORD, POWERFLEX 4-CORE, #14 2.0 MM, METER"/>
    <s v="GE-000487"/>
    <n v="10"/>
    <n v="160"/>
    <m/>
    <n v="1600"/>
    <x v="0"/>
    <n v="131"/>
    <n v="105"/>
    <n v="1050"/>
    <n v="1102.5"/>
    <n v="497.5"/>
    <n v="0"/>
    <x v="48"/>
    <x v="1"/>
    <m/>
    <m/>
    <m/>
    <n v="0.31093749999999998"/>
  </r>
  <r>
    <x v="4"/>
    <x v="116"/>
    <x v="0"/>
    <x v="20"/>
    <m/>
    <m/>
    <s v="ROYAL CORD, POWERFLEX 4-CORE, #14 2.0 MM, METER"/>
    <s v="GE-000487"/>
    <n v="10"/>
    <n v="160"/>
    <m/>
    <n v="1600"/>
    <x v="0"/>
    <n v="131"/>
    <n v="105"/>
    <n v="1050"/>
    <n v="1102.5"/>
    <n v="497.5"/>
    <n v="0"/>
    <x v="48"/>
    <x v="1"/>
    <m/>
    <m/>
    <m/>
    <n v="0.31093749999999998"/>
  </r>
  <r>
    <x v="4"/>
    <x v="78"/>
    <x v="0"/>
    <x v="83"/>
    <m/>
    <m/>
    <s v="EVAPORATOR, MITSUBISHI MONTERO 2008 (F) (STAL)"/>
    <s v="CA-001744"/>
    <n v="1"/>
    <n v="2000"/>
    <m/>
    <n v="2000"/>
    <x v="0"/>
    <n v="1930"/>
    <n v="1050"/>
    <n v="1050"/>
    <n v="1102.5"/>
    <n v="897.5"/>
    <n v="0"/>
    <x v="10"/>
    <x v="2"/>
    <m/>
    <m/>
    <m/>
    <n v="0.44874999999999998"/>
  </r>
  <r>
    <x v="4"/>
    <x v="78"/>
    <x v="0"/>
    <x v="28"/>
    <m/>
    <n v="2000"/>
    <s v="EVAPORATOR, MITSUBISHI MONTERO 2008 (F) (STAL)"/>
    <s v="CA-001744"/>
    <n v="1"/>
    <n v="1786"/>
    <m/>
    <n v="1786"/>
    <x v="0"/>
    <n v="1930"/>
    <n v="1050"/>
    <n v="1050"/>
    <n v="1102.5"/>
    <n v="683.5"/>
    <n v="0"/>
    <x v="10"/>
    <x v="2"/>
    <m/>
    <m/>
    <m/>
    <n v="0.38269876819708848"/>
  </r>
  <r>
    <x v="4"/>
    <x v="78"/>
    <x v="0"/>
    <x v="83"/>
    <m/>
    <m/>
    <s v="EVAPORATOR, MITSUBISHI MONTERO 2008 (F) (STAL)"/>
    <s v="CA-001744"/>
    <n v="1"/>
    <n v="2000"/>
    <m/>
    <n v="2000"/>
    <x v="0"/>
    <n v="1930"/>
    <n v="1050"/>
    <n v="1050"/>
    <n v="1102.5"/>
    <n v="897.5"/>
    <n v="0"/>
    <x v="10"/>
    <x v="2"/>
    <m/>
    <m/>
    <m/>
    <n v="0.44874999999999998"/>
  </r>
  <r>
    <x v="4"/>
    <x v="80"/>
    <x v="0"/>
    <x v="29"/>
    <m/>
    <m/>
    <s v="ROYAL CORD, POWERFLEX 4-CORE, #14 2.0 MM, METER"/>
    <s v="GE-000487"/>
    <n v="10"/>
    <n v="160"/>
    <m/>
    <n v="1600"/>
    <x v="0"/>
    <n v="131"/>
    <n v="105"/>
    <n v="1050"/>
    <n v="1102.5"/>
    <n v="497.5"/>
    <n v="0"/>
    <x v="48"/>
    <x v="1"/>
    <m/>
    <m/>
    <m/>
    <n v="0.31093749999999998"/>
  </r>
  <r>
    <x v="4"/>
    <x v="81"/>
    <x v="0"/>
    <x v="8"/>
    <m/>
    <m/>
    <s v="EVAPORATOR, MITSUBISHI MONTERO 2008 (F) (STAL)"/>
    <s v="CA-001744"/>
    <n v="1"/>
    <n v="1900"/>
    <m/>
    <n v="1900"/>
    <x v="0"/>
    <n v="1930"/>
    <n v="1050"/>
    <n v="1050"/>
    <n v="1102.5"/>
    <n v="797.5"/>
    <n v="0"/>
    <x v="10"/>
    <x v="2"/>
    <m/>
    <m/>
    <m/>
    <n v="0.41973684210526313"/>
  </r>
  <r>
    <x v="2"/>
    <x v="42"/>
    <x v="2"/>
    <x v="7"/>
    <m/>
    <m/>
    <s v="REFRIGERANT, ENTALPIA EUROPE R134A 13.6   2/7/26"/>
    <s v="GE-000517"/>
    <n v="1"/>
    <n v="8000"/>
    <m/>
    <n v="8000"/>
    <x v="0"/>
    <n v="10489"/>
    <n v="7684"/>
    <n v="7684"/>
    <n v="8068.2000000000007"/>
    <n v="-68.200000000000728"/>
    <n v="-20.460000000000218"/>
    <x v="5"/>
    <x v="1"/>
    <e v="#REF!"/>
    <e v="#REF!"/>
    <s v=""/>
    <n v="-8.5250000000000915E-3"/>
  </r>
  <r>
    <x v="0"/>
    <x v="0"/>
    <x v="0"/>
    <x v="0"/>
    <m/>
    <m/>
    <s v="COPPER_TUBE_SOFTDRAWN, EVERSTRONG 0.028 X 1/2 x 15 mtr  07/15/25"/>
    <s v="IM-000307"/>
    <n v="0.4"/>
    <n v="3750"/>
    <m/>
    <n v="1500"/>
    <x v="0"/>
    <n v="4543"/>
    <n v="2520"/>
    <n v="1008"/>
    <n v="1038.24"/>
    <n v="461.76"/>
    <n v="0"/>
    <x v="0"/>
    <x v="0"/>
    <m/>
    <m/>
    <m/>
    <n v="0.30784"/>
  </r>
  <r>
    <x v="0"/>
    <x v="3"/>
    <x v="0"/>
    <x v="1"/>
    <m/>
    <m/>
    <s v="COPPER_TUBE_SOFTDRAWN, EVERSTRONG 0.028 X 1/2 x 15 mtr  07/15/25"/>
    <s v="IM-000307"/>
    <n v="0.4"/>
    <n v="3750"/>
    <m/>
    <n v="1500"/>
    <x v="0"/>
    <n v="4543"/>
    <n v="2520"/>
    <n v="1008"/>
    <n v="1038.24"/>
    <n v="461.76"/>
    <n v="0"/>
    <x v="0"/>
    <x v="0"/>
    <m/>
    <m/>
    <s v=""/>
    <n v="0.30784"/>
  </r>
  <r>
    <x v="1"/>
    <x v="15"/>
    <x v="0"/>
    <x v="13"/>
    <m/>
    <m/>
    <s v="COPPER_TUBE_SOFTDRAWN, EVERSTRONG 0.028 X 1/2 x 15 mtr  07/15/25"/>
    <s v="IM-000307"/>
    <n v="0.4"/>
    <n v="3750"/>
    <m/>
    <n v="1500"/>
    <x v="0"/>
    <n v="4543"/>
    <n v="2520"/>
    <n v="1008"/>
    <n v="1038.24"/>
    <n v="461.76"/>
    <n v="0"/>
    <x v="0"/>
    <x v="0"/>
    <e v="#REF!"/>
    <e v="#REF!"/>
    <s v=""/>
    <n v="0.30784"/>
  </r>
  <r>
    <x v="1"/>
    <x v="23"/>
    <x v="0"/>
    <x v="1"/>
    <m/>
    <m/>
    <s v="COPPER_TUBE_SOFTDRAWN, EVERSTRONG 0.028 X 1/2 x 15 mtr  07/15/25"/>
    <s v="IM-000307"/>
    <n v="0.4"/>
    <n v="3750"/>
    <m/>
    <n v="1500"/>
    <x v="0"/>
    <n v="4543"/>
    <n v="2520"/>
    <n v="1008"/>
    <n v="1038.24"/>
    <n v="461.76"/>
    <n v="0"/>
    <x v="0"/>
    <x v="0"/>
    <e v="#REF!"/>
    <e v="#REF!"/>
    <e v="#REF!"/>
    <n v="0.30784"/>
  </r>
  <r>
    <x v="1"/>
    <x v="32"/>
    <x v="0"/>
    <x v="1"/>
    <m/>
    <m/>
    <s v="COPPER_TUBE_SOFTDRAWN, EVERSTRONG 0.028 X 1/2 x 15 mtr  07/15/25"/>
    <s v="IM-000307"/>
    <n v="0.4"/>
    <n v="3750"/>
    <m/>
    <n v="1500"/>
    <x v="0"/>
    <n v="4543"/>
    <n v="2520"/>
    <n v="1008"/>
    <n v="1038.24"/>
    <n v="461.76"/>
    <n v="0"/>
    <x v="0"/>
    <x v="0"/>
    <e v="#REF!"/>
    <e v="#REF!"/>
    <e v="#REF!"/>
    <n v="0.30784"/>
  </r>
  <r>
    <x v="2"/>
    <x v="53"/>
    <x v="2"/>
    <x v="7"/>
    <m/>
    <n v="350"/>
    <s v="CABIN_FILTER, HYUNDAI EON"/>
    <s v="CA-001682"/>
    <n v="2"/>
    <n v="312"/>
    <m/>
    <n v="624"/>
    <x v="0"/>
    <n v="0"/>
    <n v="0"/>
    <n v="0"/>
    <n v="0"/>
    <n v="624"/>
    <n v="187.2"/>
    <x v="12"/>
    <x v="2"/>
    <e v="#REF!"/>
    <e v="#REF!"/>
    <n v="349.44000000000005"/>
    <n v="1"/>
  </r>
  <r>
    <x v="0"/>
    <x v="91"/>
    <x v="0"/>
    <x v="23"/>
    <m/>
    <m/>
    <s v="EVAPORATOR, ISUZU MUX/D-MAX 2013 (STAL)"/>
    <s v="CA-000701"/>
    <n v="1"/>
    <n v="2100"/>
    <m/>
    <n v="2100"/>
    <x v="0"/>
    <n v="1995"/>
    <n v="1000"/>
    <n v="1000"/>
    <n v="1050"/>
    <n v="1050"/>
    <n v="0"/>
    <x v="10"/>
    <x v="2"/>
    <m/>
    <m/>
    <s v=""/>
    <n v="0.5"/>
  </r>
  <r>
    <x v="2"/>
    <x v="55"/>
    <x v="4"/>
    <x v="92"/>
    <m/>
    <m/>
    <s v="COPPER_TUBE_SOFTDRAWN, HAILIANG 0.028 X 1/2  x 15 mtr"/>
    <s v="IM-000328"/>
    <n v="1"/>
    <n v="3870"/>
    <m/>
    <n v="3870"/>
    <x v="0"/>
    <n v="6554"/>
    <n v="3636"/>
    <n v="3636"/>
    <n v="3745.08"/>
    <n v="124.92000000000007"/>
    <n v="37.47600000000002"/>
    <x v="0"/>
    <x v="0"/>
    <e v="#REF!"/>
    <e v="#REF!"/>
    <s v=""/>
    <n v="3.2279069767441881E-2"/>
  </r>
  <r>
    <x v="0"/>
    <x v="12"/>
    <x v="0"/>
    <x v="17"/>
    <m/>
    <m/>
    <s v="EVAPORATOR, MAZDA  3  2004-2008 STAL"/>
    <s v="CA-001505"/>
    <n v="1"/>
    <n v="2000"/>
    <m/>
    <n v="2000"/>
    <x v="0"/>
    <n v="1838"/>
    <n v="1000"/>
    <n v="1000"/>
    <n v="1050"/>
    <n v="950"/>
    <n v="0"/>
    <x v="10"/>
    <x v="2"/>
    <e v="#REF!"/>
    <e v="#REF!"/>
    <s v=""/>
    <n v="0.47499999999999998"/>
  </r>
  <r>
    <x v="0"/>
    <x v="13"/>
    <x v="0"/>
    <x v="1"/>
    <m/>
    <m/>
    <s v="AUXFAN_MOTOR, MITSUBISHI MONTERO (ORIG) SILVER"/>
    <s v="CA-000055"/>
    <n v="1"/>
    <n v="1600"/>
    <m/>
    <n v="1600"/>
    <x v="0"/>
    <n v="1838"/>
    <n v="1000"/>
    <n v="1000"/>
    <n v="1050"/>
    <n v="550"/>
    <n v="0"/>
    <x v="14"/>
    <x v="2"/>
    <e v="#REF!"/>
    <e v="#REF!"/>
    <s v=""/>
    <n v="0.34375"/>
  </r>
  <r>
    <x v="1"/>
    <x v="23"/>
    <x v="0"/>
    <x v="17"/>
    <m/>
    <m/>
    <s v="EVAPORATOR, ISUZU MUX/D-MAX 2013 (STAL)"/>
    <s v="CA-000701"/>
    <n v="1"/>
    <n v="1900"/>
    <m/>
    <n v="1900"/>
    <x v="0"/>
    <n v="1995"/>
    <n v="1000"/>
    <n v="1000"/>
    <n v="1050"/>
    <n v="850"/>
    <n v="0"/>
    <x v="10"/>
    <x v="2"/>
    <e v="#REF!"/>
    <e v="#REF!"/>
    <e v="#REF!"/>
    <n v="0.44736842105263158"/>
  </r>
  <r>
    <x v="1"/>
    <x v="25"/>
    <x v="0"/>
    <x v="10"/>
    <m/>
    <m/>
    <s v="EVAPORATOR, ISUZU MUX/D-MAX 2013 (STAL)"/>
    <s v="CA-000701"/>
    <n v="1"/>
    <n v="2100"/>
    <m/>
    <n v="2100"/>
    <x v="0"/>
    <n v="1995"/>
    <n v="1000"/>
    <n v="1000"/>
    <n v="1050"/>
    <n v="1050"/>
    <n v="0"/>
    <x v="10"/>
    <x v="2"/>
    <e v="#REF!"/>
    <e v="#REF!"/>
    <e v="#REF!"/>
    <n v="0.5"/>
  </r>
  <r>
    <x v="2"/>
    <x v="35"/>
    <x v="0"/>
    <x v="30"/>
    <m/>
    <m/>
    <s v="BRACKET , GB 1HP, STAINLESS STEEL FLOOR"/>
    <s v="IM-000009"/>
    <n v="4"/>
    <n v="450"/>
    <m/>
    <n v="1800"/>
    <x v="0"/>
    <n v="451"/>
    <n v="250"/>
    <n v="1000"/>
    <n v="1030"/>
    <n v="770"/>
    <n v="0"/>
    <x v="1"/>
    <x v="0"/>
    <e v="#REF!"/>
    <e v="#REF!"/>
    <s v=""/>
    <n v="0.42777777777777776"/>
  </r>
  <r>
    <x v="2"/>
    <x v="55"/>
    <x v="4"/>
    <x v="92"/>
    <m/>
    <m/>
    <s v="COPPER_TUBE_SOFTDRAWN, HAILIANG 0.028 X 1/4 x 15 mtr"/>
    <s v="IM-000321"/>
    <n v="1"/>
    <n v="1800"/>
    <m/>
    <n v="1800"/>
    <x v="0"/>
    <n v="0"/>
    <n v="0"/>
    <n v="0"/>
    <n v="0"/>
    <n v="1800"/>
    <n v="540"/>
    <x v="13"/>
    <x v="3"/>
    <e v="#REF!"/>
    <e v="#REF!"/>
    <s v=""/>
    <n v="1"/>
  </r>
  <r>
    <x v="2"/>
    <x v="45"/>
    <x v="0"/>
    <x v="10"/>
    <m/>
    <m/>
    <s v="EVAPORATOR, ISUZU MUX/D-MAX 2013 (STAL)"/>
    <s v="CA-000701"/>
    <n v="1"/>
    <n v="1900"/>
    <m/>
    <n v="1900"/>
    <x v="0"/>
    <n v="1995"/>
    <n v="1000"/>
    <n v="1000"/>
    <n v="1050"/>
    <n v="850"/>
    <n v="0"/>
    <x v="10"/>
    <x v="2"/>
    <e v="#REF!"/>
    <e v="#REF!"/>
    <s v=""/>
    <n v="0.44736842105263158"/>
  </r>
  <r>
    <x v="2"/>
    <x v="50"/>
    <x v="0"/>
    <x v="18"/>
    <m/>
    <m/>
    <s v="EVAPORATOR, ISUZU MUX/D-MAX 2013 (STAL)"/>
    <s v="CA-000701"/>
    <n v="1"/>
    <n v="2000"/>
    <m/>
    <n v="2000"/>
    <x v="0"/>
    <n v="1995"/>
    <n v="1000"/>
    <n v="1000"/>
    <n v="1050"/>
    <n v="950"/>
    <n v="0"/>
    <x v="10"/>
    <x v="2"/>
    <e v="#REF!"/>
    <e v="#REF!"/>
    <s v=""/>
    <n v="0.47499999999999998"/>
  </r>
  <r>
    <x v="2"/>
    <x v="55"/>
    <x v="2"/>
    <x v="7"/>
    <m/>
    <m/>
    <s v="REFRIGERANT, ENTALPIA EUROPE R134A 13.6   2/7/26"/>
    <s v="GE-000517"/>
    <n v="1"/>
    <n v="8000"/>
    <m/>
    <n v="8000"/>
    <x v="0"/>
    <n v="10489"/>
    <n v="7684"/>
    <n v="7684"/>
    <n v="8068.2000000000007"/>
    <n v="-68.200000000000728"/>
    <n v="-20.460000000000218"/>
    <x v="5"/>
    <x v="1"/>
    <e v="#REF!"/>
    <e v="#REF!"/>
    <s v=""/>
    <n v="-8.5250000000000915E-3"/>
  </r>
  <r>
    <x v="2"/>
    <x v="40"/>
    <x v="2"/>
    <x v="7"/>
    <m/>
    <n v="3400"/>
    <s v="BLOWER_MOTOR, TOYOTA ALTIS 2013 W/ RESISTOR"/>
    <s v="CA-000212"/>
    <n v="1"/>
    <n v="3035"/>
    <m/>
    <n v="3035"/>
    <x v="0"/>
    <n v="4594"/>
    <n v="2500"/>
    <n v="2500"/>
    <n v="2625"/>
    <n v="410"/>
    <n v="123"/>
    <x v="15"/>
    <x v="2"/>
    <e v="#REF!"/>
    <e v="#REF!"/>
    <n v="3399.2000000000003"/>
    <n v="0.13509060955518945"/>
  </r>
  <r>
    <x v="2"/>
    <x v="53"/>
    <x v="0"/>
    <x v="8"/>
    <m/>
    <m/>
    <s v="AUXFAN_MOTOR, MITSUBISHI MONTERO (ORIG) SILVER"/>
    <s v="CA-000055"/>
    <n v="1"/>
    <n v="1600"/>
    <m/>
    <n v="1600"/>
    <x v="0"/>
    <n v="1838"/>
    <n v="1000"/>
    <n v="1000"/>
    <n v="1050"/>
    <n v="550"/>
    <n v="0"/>
    <x v="14"/>
    <x v="2"/>
    <e v="#REF!"/>
    <e v="#REF!"/>
    <s v=""/>
    <n v="0.34375"/>
  </r>
  <r>
    <x v="2"/>
    <x v="54"/>
    <x v="0"/>
    <x v="8"/>
    <m/>
    <m/>
    <s v="EVAPORATOR, ISUZU MUX/D-MAX 2013 (STAL)"/>
    <s v="CA-000701"/>
    <n v="1"/>
    <n v="1900"/>
    <m/>
    <n v="1900"/>
    <x v="0"/>
    <n v="1995"/>
    <n v="1000"/>
    <n v="1000"/>
    <n v="1050"/>
    <n v="850"/>
    <n v="0"/>
    <x v="10"/>
    <x v="2"/>
    <e v="#REF!"/>
    <e v="#REF!"/>
    <s v=""/>
    <n v="0.44736842105263158"/>
  </r>
  <r>
    <x v="2"/>
    <x v="37"/>
    <x v="2"/>
    <x v="50"/>
    <m/>
    <n v="3900"/>
    <s v="AUXFAN_MOTOR, HYUNDAI H100 ASSEMBLY"/>
    <s v="CA-000030"/>
    <n v="1"/>
    <n v="3485"/>
    <m/>
    <n v="3485"/>
    <x v="0"/>
    <n v="4043"/>
    <n v="2200"/>
    <n v="2200"/>
    <n v="2310"/>
    <n v="1175"/>
    <n v="352.5"/>
    <x v="14"/>
    <x v="2"/>
    <e v="#REF!"/>
    <e v="#REF!"/>
    <n v="3903.2000000000003"/>
    <n v="0.33715925394548063"/>
  </r>
  <r>
    <x v="2"/>
    <x v="56"/>
    <x v="0"/>
    <x v="1"/>
    <m/>
    <m/>
    <s v="AUXFAN_MOTOR, MITSUBISHI MONTERO (ORIG) SILVER"/>
    <s v="CA-000055"/>
    <n v="1"/>
    <n v="1600"/>
    <m/>
    <n v="1600"/>
    <x v="0"/>
    <n v="1838"/>
    <n v="1000"/>
    <n v="1000"/>
    <n v="1050"/>
    <n v="550"/>
    <n v="0"/>
    <x v="14"/>
    <x v="2"/>
    <e v="#REF!"/>
    <e v="#REF!"/>
    <s v=""/>
    <n v="0.34375"/>
  </r>
  <r>
    <x v="2"/>
    <x v="38"/>
    <x v="2"/>
    <x v="22"/>
    <m/>
    <m/>
    <s v="PULLEY_ASSEMBLY, HYUNDAI GRAND STAREX 7PK"/>
    <s v="CA-001009"/>
    <n v="1"/>
    <n v="2100"/>
    <m/>
    <n v="2100"/>
    <x v="0"/>
    <n v="3032"/>
    <n v="1650"/>
    <n v="1650"/>
    <n v="1732.5"/>
    <n v="367.5"/>
    <n v="110.25"/>
    <x v="11"/>
    <x v="2"/>
    <e v="#REF!"/>
    <e v="#REF!"/>
    <s v=""/>
    <n v="0.17499999999999999"/>
  </r>
  <r>
    <x v="3"/>
    <x v="68"/>
    <x v="1"/>
    <x v="42"/>
    <m/>
    <m/>
    <s v="EVAPORATOR, ISUZU MUX/D-MAX 2013 (STAL)"/>
    <s v="CA-000701"/>
    <n v="1"/>
    <n v="1500"/>
    <m/>
    <n v="1500"/>
    <x v="0"/>
    <n v="1995"/>
    <n v="1000"/>
    <n v="1000"/>
    <n v="1050"/>
    <n v="450"/>
    <n v="135"/>
    <x v="10"/>
    <x v="2"/>
    <m/>
    <m/>
    <s v=""/>
    <n v="0.3"/>
  </r>
  <r>
    <x v="2"/>
    <x v="57"/>
    <x v="3"/>
    <x v="12"/>
    <m/>
    <m/>
    <s v="PULLEY_ASSEMBLY, HYUNDAI GRAND STAREX 7PK"/>
    <s v="CA-001009"/>
    <n v="1"/>
    <n v="2300"/>
    <m/>
    <n v="2300"/>
    <x v="0"/>
    <n v="3032"/>
    <n v="1650"/>
    <n v="1650"/>
    <n v="1732.5"/>
    <n v="567.5"/>
    <n v="170.25"/>
    <x v="11"/>
    <x v="2"/>
    <e v="#REF!"/>
    <e v="#REF!"/>
    <s v=""/>
    <n v="0.2467391304347826"/>
  </r>
  <r>
    <x v="3"/>
    <x v="71"/>
    <x v="0"/>
    <x v="17"/>
    <m/>
    <m/>
    <s v="EVAPORATOR, ISUZU MUX/D-MAX 2013 (STAL)"/>
    <s v="CA-000701"/>
    <n v="1"/>
    <n v="2000"/>
    <m/>
    <n v="2000"/>
    <x v="0"/>
    <n v="1995"/>
    <n v="1000"/>
    <n v="1000"/>
    <n v="1050"/>
    <n v="950"/>
    <n v="0"/>
    <x v="10"/>
    <x v="2"/>
    <m/>
    <m/>
    <s v=""/>
    <n v="0.47499999999999998"/>
  </r>
  <r>
    <x v="4"/>
    <x v="102"/>
    <x v="10"/>
    <x v="82"/>
    <m/>
    <n v="1600"/>
    <s v="AUXFAN_MOTOR, MITSUBISHI MONTERO (ORIG) SILVER"/>
    <s v="CA-000055"/>
    <n v="1"/>
    <n v="1430"/>
    <m/>
    <n v="1430"/>
    <x v="0"/>
    <n v="1838"/>
    <n v="1000"/>
    <n v="1000"/>
    <n v="1050"/>
    <n v="380"/>
    <n v="114"/>
    <x v="14"/>
    <x v="2"/>
    <m/>
    <m/>
    <m/>
    <n v="0.26573426573426573"/>
  </r>
  <r>
    <x v="4"/>
    <x v="92"/>
    <x v="0"/>
    <x v="18"/>
    <m/>
    <m/>
    <s v="AUXFAN_MOTOR, MITSUBISHI MONTERO (ORIG) SILVER"/>
    <s v="CA-000055"/>
    <n v="1"/>
    <n v="1600"/>
    <m/>
    <n v="1600"/>
    <x v="0"/>
    <n v="1838"/>
    <n v="1000"/>
    <n v="1000"/>
    <n v="1050"/>
    <n v="550"/>
    <n v="0"/>
    <x v="14"/>
    <x v="2"/>
    <m/>
    <m/>
    <m/>
    <n v="0.34375"/>
  </r>
  <r>
    <x v="4"/>
    <x v="92"/>
    <x v="0"/>
    <x v="11"/>
    <m/>
    <m/>
    <s v="AUXFAN_MOTOR, MITSUBISHI MONTERO (ORIG) SILVER"/>
    <s v="CA-000055"/>
    <n v="1"/>
    <n v="1600"/>
    <m/>
    <n v="1600"/>
    <x v="0"/>
    <n v="1838"/>
    <n v="1000"/>
    <n v="1000"/>
    <n v="1050"/>
    <n v="550"/>
    <n v="0"/>
    <x v="14"/>
    <x v="2"/>
    <m/>
    <m/>
    <m/>
    <n v="0.34375"/>
  </r>
  <r>
    <x v="2"/>
    <x v="39"/>
    <x v="3"/>
    <x v="12"/>
    <m/>
    <m/>
    <s v="EVAPORATOR, ISUZU CROSSWIND ('R)"/>
    <s v="CA-000499"/>
    <n v="1"/>
    <n v="2200"/>
    <m/>
    <n v="2200"/>
    <x v="0"/>
    <n v="2665"/>
    <n v="1450"/>
    <n v="1450"/>
    <n v="1522.5"/>
    <n v="677.5"/>
    <n v="203.25"/>
    <x v="10"/>
    <x v="2"/>
    <e v="#REF!"/>
    <e v="#REF!"/>
    <s v=""/>
    <n v="0.30795454545454548"/>
  </r>
  <r>
    <x v="2"/>
    <x v="55"/>
    <x v="2"/>
    <x v="9"/>
    <m/>
    <m/>
    <s v="EVAPORATOR, HYUNDAI TUCSON 2013"/>
    <s v="CA-001734"/>
    <n v="1"/>
    <n v="1786"/>
    <m/>
    <n v="1786"/>
    <x v="0"/>
    <n v="2665"/>
    <n v="1450"/>
    <n v="1450"/>
    <n v="1522.5"/>
    <n v="263.5"/>
    <n v="79.05"/>
    <x v="10"/>
    <x v="2"/>
    <e v="#REF!"/>
    <e v="#REF!"/>
    <s v=""/>
    <n v="0.14753639417693168"/>
  </r>
  <r>
    <x v="2"/>
    <x v="37"/>
    <x v="4"/>
    <x v="25"/>
    <m/>
    <n v="2000"/>
    <s v="EVAPORATOR, HYUNDAI H100 2008"/>
    <s v="CA-000489"/>
    <n v="1"/>
    <n v="1785"/>
    <m/>
    <n v="1785"/>
    <x v="0"/>
    <n v="2573"/>
    <n v="1400"/>
    <n v="1400"/>
    <n v="1470"/>
    <n v="315"/>
    <n v="94.5"/>
    <x v="10"/>
    <x v="2"/>
    <e v="#REF!"/>
    <e v="#REF!"/>
    <n v="1999.2000000000003"/>
    <n v="0.17647058823529413"/>
  </r>
  <r>
    <x v="1"/>
    <x v="109"/>
    <x v="1"/>
    <x v="3"/>
    <m/>
    <m/>
    <s v="EVAPORATOR, UNIVERSAL FORMULA 408 LAMINATED 12V"/>
    <s v="CA-000559"/>
    <n v="1"/>
    <n v="3700"/>
    <m/>
    <n v="3700"/>
    <x v="0"/>
    <n v="4870"/>
    <n v="2650"/>
    <n v="2650"/>
    <n v="2782.5"/>
    <n v="917.5"/>
    <n v="275.25"/>
    <x v="10"/>
    <x v="2"/>
    <e v="#REF!"/>
    <e v="#REF!"/>
    <e v="#REF!"/>
    <n v="0.24797297297297297"/>
  </r>
  <r>
    <x v="2"/>
    <x v="39"/>
    <x v="4"/>
    <x v="25"/>
    <m/>
    <m/>
    <s v="EVAPORATOR, MITSUBISHI EXPANDER"/>
    <s v="CA-001610"/>
    <n v="1"/>
    <n v="1900"/>
    <m/>
    <n v="1900"/>
    <x v="0"/>
    <n v="2481"/>
    <n v="1350"/>
    <n v="1350"/>
    <n v="1417.5"/>
    <n v="482.5"/>
    <n v="144.75"/>
    <x v="10"/>
    <x v="2"/>
    <e v="#REF!"/>
    <e v="#REF!"/>
    <s v=""/>
    <n v="0.25394736842105264"/>
  </r>
  <r>
    <x v="4"/>
    <x v="75"/>
    <x v="0"/>
    <x v="18"/>
    <m/>
    <m/>
    <s v="AUXFAN_MOTOR, MITSUBISHI MONTERO (ORIG) SILVER"/>
    <s v="CA-000055"/>
    <n v="1"/>
    <n v="1600"/>
    <m/>
    <n v="1600"/>
    <x v="0"/>
    <n v="1838"/>
    <n v="1000"/>
    <n v="1000"/>
    <n v="1050"/>
    <n v="550"/>
    <n v="0"/>
    <x v="14"/>
    <x v="2"/>
    <m/>
    <m/>
    <m/>
    <n v="0.34375"/>
  </r>
  <r>
    <x v="4"/>
    <x v="75"/>
    <x v="0"/>
    <x v="83"/>
    <m/>
    <m/>
    <s v="AUXFAN_MOTOR, MITSUBISHI MONTERO (ORIG) SILVER"/>
    <s v="CA-000055"/>
    <n v="1"/>
    <n v="1600"/>
    <m/>
    <n v="1600"/>
    <x v="0"/>
    <n v="1838"/>
    <n v="1000"/>
    <n v="1000"/>
    <n v="1050"/>
    <n v="550"/>
    <n v="0"/>
    <x v="14"/>
    <x v="2"/>
    <e v="#REF!"/>
    <e v="#REF!"/>
    <e v="#REF!"/>
    <n v="0"/>
  </r>
  <r>
    <x v="2"/>
    <x v="54"/>
    <x v="0"/>
    <x v="6"/>
    <m/>
    <m/>
    <s v="COPPER_TUBE_SOFTDRAWN, EVERSTRONG 0.028 X 3/8 x 15 mtr  03/24/26"/>
    <s v="IM-000319"/>
    <n v="0.4"/>
    <n v="3250"/>
    <m/>
    <n v="1300"/>
    <x v="0"/>
    <n v="4844"/>
    <n v="2475"/>
    <n v="990"/>
    <n v="1019.7"/>
    <n v="280.29999999999995"/>
    <n v="0"/>
    <x v="0"/>
    <x v="0"/>
    <e v="#REF!"/>
    <e v="#REF!"/>
    <s v=""/>
    <n v="0.21561538461538457"/>
  </r>
  <r>
    <x v="3"/>
    <x v="71"/>
    <x v="0"/>
    <x v="1"/>
    <m/>
    <m/>
    <s v="COPPER_TUBE_SOFTDRAWN, EVERSTRONG 0.028 X 3/8 x 15 mtr  03/24/26"/>
    <s v="IM-000319"/>
    <n v="0.4"/>
    <n v="3250"/>
    <m/>
    <n v="1300"/>
    <x v="0"/>
    <n v="4844"/>
    <n v="2475"/>
    <n v="990"/>
    <n v="1019.7"/>
    <n v="280.29999999999995"/>
    <n v="0"/>
    <x v="0"/>
    <x v="0"/>
    <m/>
    <m/>
    <s v=""/>
    <n v="0.21561538461538457"/>
  </r>
  <r>
    <x v="3"/>
    <x v="101"/>
    <x v="0"/>
    <x v="93"/>
    <m/>
    <m/>
    <s v="FLARING_TOOL , DONG LI  FT-808, 1/4&quot; - 3/4&quot;"/>
    <s v="TL-000017"/>
    <n v="1"/>
    <n v="1700"/>
    <m/>
    <n v="1700"/>
    <x v="0"/>
    <n v="1820"/>
    <n v="990"/>
    <n v="990"/>
    <n v="1039.5"/>
    <n v="660.5"/>
    <n v="0"/>
    <x v="49"/>
    <x v="4"/>
    <m/>
    <m/>
    <s v=""/>
    <n v="0.3885294117647059"/>
  </r>
  <r>
    <x v="4"/>
    <x v="88"/>
    <x v="0"/>
    <x v="1"/>
    <m/>
    <m/>
    <s v="COPPER_TUBE_SOFTDRAWN, HAILIANG 0.028 X 3/8 x 15 mtr 04/25/26"/>
    <s v="IM-000327"/>
    <n v="0.4"/>
    <n v="3250"/>
    <m/>
    <n v="1300"/>
    <x v="0"/>
    <n v="4774"/>
    <n v="2648"/>
    <n v="1059.2"/>
    <n v="1090.9760000000001"/>
    <n v="209.02399999999989"/>
    <n v="0"/>
    <x v="0"/>
    <x v="0"/>
    <m/>
    <m/>
    <m/>
    <n v="0.16078769230769221"/>
  </r>
  <r>
    <x v="5"/>
    <x v="83"/>
    <x v="0"/>
    <x v="20"/>
    <m/>
    <m/>
    <s v="TAPE ELECTRICAL, ARMAK 0.16 MM X 19 MM X 16 M 04/25/26"/>
    <s v="GE-000491"/>
    <n v="2"/>
    <n v="55"/>
    <m/>
    <n v="110"/>
    <x v="0"/>
    <n v="73"/>
    <n v="42"/>
    <n v="84"/>
    <n v="88.2"/>
    <n v="21.799999999999997"/>
    <n v="0"/>
    <x v="50"/>
    <x v="1"/>
    <e v="#REF!"/>
    <e v="#REF!"/>
    <s v=""/>
    <n v="0.19818181818181815"/>
  </r>
  <r>
    <x v="5"/>
    <x v="83"/>
    <x v="0"/>
    <x v="20"/>
    <m/>
    <m/>
    <s v="ELECTRICAL WIRE_STRANDED, POWERFLEX THNN STRANDED   #10, MTR"/>
    <s v="GE-000113"/>
    <n v="2"/>
    <n v="65"/>
    <m/>
    <n v="130"/>
    <x v="0"/>
    <n v="74"/>
    <n v="40"/>
    <n v="80"/>
    <n v="84"/>
    <n v="46"/>
    <n v="0"/>
    <x v="2"/>
    <x v="1"/>
    <e v="#REF!"/>
    <e v="#REF!"/>
    <s v=""/>
    <n v="0.35384615384615387"/>
  </r>
  <r>
    <x v="2"/>
    <x v="39"/>
    <x v="2"/>
    <x v="22"/>
    <m/>
    <m/>
    <s v="EVAPORATOR, ISUZU TRAVIS / NHR LT HS -40A506"/>
    <s v="CA-001835"/>
    <n v="1"/>
    <n v="1850"/>
    <m/>
    <n v="1850"/>
    <x v="0"/>
    <n v="2481"/>
    <n v="1350"/>
    <n v="1350"/>
    <n v="1417.5"/>
    <n v="432.5"/>
    <n v="129.75"/>
    <x v="10"/>
    <x v="2"/>
    <e v="#REF!"/>
    <e v="#REF!"/>
    <e v="#REF!"/>
    <n v="0.23378378378378378"/>
  </r>
  <r>
    <x v="0"/>
    <x v="12"/>
    <x v="0"/>
    <x v="18"/>
    <m/>
    <m/>
    <s v="EVAPORATOR, HONDA CITY 2009 (STAL)"/>
    <s v="CA-000141"/>
    <n v="1"/>
    <n v="2000"/>
    <m/>
    <n v="2000"/>
    <x v="0"/>
    <n v="1764"/>
    <n v="960"/>
    <n v="960"/>
    <n v="1008"/>
    <n v="992"/>
    <n v="0"/>
    <x v="10"/>
    <x v="2"/>
    <e v="#REF!"/>
    <e v="#REF!"/>
    <s v=""/>
    <n v="0.496"/>
  </r>
  <r>
    <x v="2"/>
    <x v="40"/>
    <x v="2"/>
    <x v="22"/>
    <m/>
    <m/>
    <s v="BLOWER_MOTOR, ISUZU CROSSWIND ('R)"/>
    <s v="CA-000168"/>
    <n v="1"/>
    <n v="1800"/>
    <m/>
    <n v="1800"/>
    <x v="0"/>
    <n v="2481"/>
    <n v="1350"/>
    <n v="1350"/>
    <n v="1417.5"/>
    <n v="382.5"/>
    <n v="114.75"/>
    <x v="15"/>
    <x v="2"/>
    <e v="#REF!"/>
    <e v="#REF!"/>
    <s v=""/>
    <n v="0.21249999999999999"/>
  </r>
  <r>
    <x v="3"/>
    <x v="61"/>
    <x v="0"/>
    <x v="17"/>
    <m/>
    <m/>
    <s v="EVAPORATOR, HONDA CITY 2009 (STAL)"/>
    <s v="CA-000141"/>
    <n v="1"/>
    <n v="2000"/>
    <m/>
    <n v="2000"/>
    <x v="0"/>
    <n v="1764"/>
    <n v="960"/>
    <n v="960"/>
    <n v="1008"/>
    <n v="992"/>
    <n v="0"/>
    <x v="10"/>
    <x v="2"/>
    <m/>
    <m/>
    <s v=""/>
    <n v="0.496"/>
  </r>
  <r>
    <x v="4"/>
    <x v="88"/>
    <x v="0"/>
    <x v="49"/>
    <m/>
    <m/>
    <s v="EVAPORATOR, HONDA CITY 2009 (STAL)"/>
    <s v="CA-000141"/>
    <n v="1"/>
    <n v="2000"/>
    <m/>
    <n v="2000"/>
    <x v="0"/>
    <n v="1764"/>
    <n v="960"/>
    <n v="960"/>
    <n v="1008"/>
    <n v="992"/>
    <n v="0"/>
    <x v="10"/>
    <x v="2"/>
    <m/>
    <m/>
    <m/>
    <n v="0.496"/>
  </r>
  <r>
    <x v="2"/>
    <x v="44"/>
    <x v="2"/>
    <x v="22"/>
    <m/>
    <m/>
    <s v="AUXFAN_MOTOR, HYUNDAI ACCENT  SINGLE WIRE/2PIN 2015"/>
    <s v="CA-000025"/>
    <n v="1"/>
    <n v="1800"/>
    <m/>
    <n v="1800"/>
    <x v="0"/>
    <n v="2481"/>
    <n v="1350"/>
    <n v="1350"/>
    <n v="1417.5"/>
    <n v="382.5"/>
    <n v="114.75"/>
    <x v="14"/>
    <x v="2"/>
    <e v="#REF!"/>
    <e v="#REF!"/>
    <s v=""/>
    <n v="0.21249999999999999"/>
  </r>
  <r>
    <x v="0"/>
    <x v="12"/>
    <x v="0"/>
    <x v="6"/>
    <m/>
    <m/>
    <s v="RUBBER_INSULATION, M-FLEX 3/4&quot; X 3/8"/>
    <s v="IM-000241"/>
    <n v="14"/>
    <n v="100"/>
    <m/>
    <n v="1400"/>
    <x v="0"/>
    <n v="94"/>
    <n v="67.2"/>
    <n v="940.80000000000007"/>
    <n v="969.02400000000011"/>
    <n v="430.97599999999989"/>
    <n v="0"/>
    <x v="22"/>
    <x v="0"/>
    <e v="#REF!"/>
    <e v="#REF!"/>
    <s v=""/>
    <n v="0.30783999999999989"/>
  </r>
  <r>
    <x v="5"/>
    <x v="83"/>
    <x v="0"/>
    <x v="1"/>
    <m/>
    <m/>
    <s v="TAPE_PE, PICUS Polythelene Tape (White)X 4&quot;"/>
    <s v="IM-000247"/>
    <n v="1"/>
    <n v="125"/>
    <m/>
    <n v="125"/>
    <x v="0"/>
    <n v="147"/>
    <n v="75"/>
    <n v="75"/>
    <n v="77.25"/>
    <n v="47.75"/>
    <n v="0"/>
    <x v="29"/>
    <x v="0"/>
    <e v="#REF!"/>
    <e v="#REF!"/>
    <s v=""/>
    <n v="0.38200000000000001"/>
  </r>
  <r>
    <x v="4"/>
    <x v="93"/>
    <x v="0"/>
    <x v="20"/>
    <m/>
    <m/>
    <s v="COPPER_TUBE_SOFTDRAWN, HAILIANG 0.028 X 1/4 x 15 mtr 04/25/26"/>
    <s v=""/>
    <n v="0.6"/>
    <n v="2500"/>
    <m/>
    <n v="1500"/>
    <x v="0"/>
    <n v="0"/>
    <n v="0"/>
    <n v="0"/>
    <n v="0"/>
    <n v="1500"/>
    <n v="0"/>
    <x v="13"/>
    <x v="3"/>
    <m/>
    <m/>
    <m/>
    <n v="1"/>
  </r>
  <r>
    <x v="4"/>
    <x v="116"/>
    <x v="0"/>
    <x v="20"/>
    <m/>
    <m/>
    <s v="COPPER_TUBE_SOFTDRAWN, HAILIANG 0.028 X 1/4 x 15 mtr 04/25/26"/>
    <s v=""/>
    <n v="0.6"/>
    <n v="2500"/>
    <m/>
    <n v="1500"/>
    <x v="0"/>
    <n v="0"/>
    <n v="0"/>
    <n v="0"/>
    <n v="0"/>
    <n v="1500"/>
    <n v="0"/>
    <x v="13"/>
    <x v="3"/>
    <m/>
    <m/>
    <m/>
    <n v="1"/>
  </r>
  <r>
    <x v="2"/>
    <x v="117"/>
    <x v="5"/>
    <x v="37"/>
    <m/>
    <n v="1800"/>
    <s v="EVAPORATOR, TOYOTA VIOS 2003 (ROBIN) (F) (STAL)"/>
    <s v="CA-000144"/>
    <n v="1"/>
    <n v="1610"/>
    <m/>
    <n v="1610"/>
    <x v="0"/>
    <n v="1709"/>
    <n v="930"/>
    <n v="930"/>
    <n v="976.5"/>
    <n v="633.5"/>
    <n v="190.04999999999998"/>
    <x v="10"/>
    <x v="2"/>
    <e v="#REF!"/>
    <e v="#REF!"/>
    <n v="1803.2000000000003"/>
    <n v="0.39347826086956522"/>
  </r>
  <r>
    <x v="4"/>
    <x v="81"/>
    <x v="0"/>
    <x v="11"/>
    <m/>
    <m/>
    <s v="EVAPORATOR, TOYOTA VIOS 2003 (ROBIN) (F) (STAL)"/>
    <s v="CA-000144"/>
    <n v="1"/>
    <n v="2000"/>
    <m/>
    <n v="2000"/>
    <x v="0"/>
    <n v="1709"/>
    <n v="930"/>
    <n v="930"/>
    <n v="976.5"/>
    <n v="1023.5"/>
    <n v="0"/>
    <x v="10"/>
    <x v="2"/>
    <m/>
    <m/>
    <m/>
    <n v="0.51175000000000004"/>
  </r>
  <r>
    <x v="0"/>
    <x v="97"/>
    <x v="0"/>
    <x v="1"/>
    <m/>
    <m/>
    <s v="AUXFAN_MOTOR, HONDA CRV (3070 / 3130)"/>
    <s v="CA-000007"/>
    <n v="1"/>
    <n v="1600"/>
    <m/>
    <n v="1600"/>
    <x v="0"/>
    <n v="1654"/>
    <n v="900"/>
    <n v="900"/>
    <n v="945"/>
    <n v="655"/>
    <n v="0"/>
    <x v="14"/>
    <x v="2"/>
    <m/>
    <m/>
    <s v=""/>
    <n v="0.40937499999999999"/>
  </r>
  <r>
    <x v="0"/>
    <x v="98"/>
    <x v="0"/>
    <x v="72"/>
    <m/>
    <m/>
    <s v="AUXFAN_MOTOR, HONDA CRV (3070 / 3130)"/>
    <s v="CA-000007"/>
    <n v="1"/>
    <n v="1600"/>
    <m/>
    <n v="1600"/>
    <x v="0"/>
    <n v="1654"/>
    <n v="900"/>
    <n v="900"/>
    <n v="945"/>
    <n v="655"/>
    <n v="0"/>
    <x v="14"/>
    <x v="2"/>
    <m/>
    <m/>
    <s v=""/>
    <n v="0.40937499999999999"/>
  </r>
  <r>
    <x v="0"/>
    <x v="6"/>
    <x v="0"/>
    <x v="8"/>
    <m/>
    <m/>
    <s v="AUXFAN_MOTOR, HONDA CRV (3070 / 3130)"/>
    <s v="CA-000007"/>
    <n v="1"/>
    <n v="1600"/>
    <m/>
    <n v="1600"/>
    <x v="0"/>
    <n v="1654"/>
    <n v="900"/>
    <n v="900"/>
    <n v="945"/>
    <n v="655"/>
    <n v="0"/>
    <x v="14"/>
    <x v="2"/>
    <m/>
    <m/>
    <s v=""/>
    <n v="0.40937499999999999"/>
  </r>
  <r>
    <x v="0"/>
    <x v="8"/>
    <x v="0"/>
    <x v="1"/>
    <m/>
    <n v="650"/>
    <s v="REFRIGERANT, POKKA R32, 600 GRMS "/>
    <s v="GE-000509"/>
    <n v="2"/>
    <n v="585"/>
    <m/>
    <n v="1170"/>
    <x v="0"/>
    <n v="756"/>
    <n v="480"/>
    <n v="960"/>
    <n v="1008"/>
    <n v="162"/>
    <n v="0"/>
    <x v="5"/>
    <x v="1"/>
    <m/>
    <m/>
    <n v="655.20000000000005"/>
    <n v="0.13846153846153847"/>
  </r>
  <r>
    <x v="2"/>
    <x v="55"/>
    <x v="2"/>
    <x v="7"/>
    <m/>
    <n v="2000"/>
    <s v="EVAPORATOR, ISUZU TRAVIS / NHR LT HS -40A506"/>
    <s v="CA-001835"/>
    <n v="1"/>
    <n v="2000"/>
    <m/>
    <n v="2000"/>
    <x v="0"/>
    <n v="2481"/>
    <n v="1350"/>
    <n v="1350"/>
    <n v="1417.5"/>
    <n v="582.5"/>
    <n v="174.75"/>
    <x v="10"/>
    <x v="2"/>
    <e v="#REF!"/>
    <e v="#REF!"/>
    <n v="2240"/>
    <n v="0.29125000000000001"/>
  </r>
  <r>
    <x v="2"/>
    <x v="117"/>
    <x v="0"/>
    <x v="36"/>
    <m/>
    <m/>
    <s v="EVAPORATOR, TOYOTA AVANZA 14 HS-40A523"/>
    <s v="CA-000536"/>
    <n v="1"/>
    <n v="1900"/>
    <m/>
    <n v="1900"/>
    <x v="0"/>
    <n v="2389"/>
    <n v="1300"/>
    <n v="1300"/>
    <n v="1365"/>
    <n v="535"/>
    <n v="0"/>
    <x v="10"/>
    <x v="2"/>
    <e v="#REF!"/>
    <e v="#REF!"/>
    <s v=""/>
    <n v="0.28157894736842104"/>
  </r>
  <r>
    <x v="2"/>
    <x v="36"/>
    <x v="0"/>
    <x v="36"/>
    <m/>
    <n v="2000"/>
    <s v="EVAPORATOR, HONDA CRV 2003"/>
    <s v="CA-000481"/>
    <n v="1"/>
    <n v="1786"/>
    <m/>
    <n v="1786"/>
    <x v="0"/>
    <n v="2389"/>
    <n v="1300"/>
    <n v="1300"/>
    <n v="1365"/>
    <n v="421"/>
    <n v="0"/>
    <x v="10"/>
    <x v="2"/>
    <e v="#REF!"/>
    <e v="#REF!"/>
    <n v="2000.3200000000002"/>
    <n v="0.23572228443449048"/>
  </r>
  <r>
    <x v="1"/>
    <x v="23"/>
    <x v="0"/>
    <x v="27"/>
    <m/>
    <m/>
    <s v="REFRIGERANT, POKKA R32, 600 GRMS "/>
    <s v="GE-000509"/>
    <n v="2"/>
    <n v="650"/>
    <m/>
    <n v="1300"/>
    <x v="0"/>
    <n v="756"/>
    <n v="480"/>
    <n v="960"/>
    <n v="1008"/>
    <n v="292"/>
    <n v="0"/>
    <x v="5"/>
    <x v="1"/>
    <e v="#REF!"/>
    <e v="#REF!"/>
    <e v="#REF!"/>
    <n v="0.22461538461538461"/>
  </r>
  <r>
    <x v="2"/>
    <x v="117"/>
    <x v="0"/>
    <x v="1"/>
    <m/>
    <n v="650"/>
    <s v="REFRIGERANT, POKKA R32, 600 GRMS "/>
    <s v="GE-000509"/>
    <n v="2"/>
    <n v="585"/>
    <m/>
    <n v="1170"/>
    <x v="0"/>
    <n v="756"/>
    <n v="480"/>
    <n v="960"/>
    <n v="1008"/>
    <n v="162"/>
    <n v="0"/>
    <x v="5"/>
    <x v="1"/>
    <e v="#REF!"/>
    <e v="#REF!"/>
    <n v="655.20000000000005"/>
    <n v="0.13846153846153847"/>
  </r>
  <r>
    <x v="3"/>
    <x v="64"/>
    <x v="0"/>
    <x v="59"/>
    <m/>
    <m/>
    <s v="TAPE_PE, AEROWRAP Polythelene Tape (BLUE)X 4&quot;"/>
    <s v="IM-000184"/>
    <n v="10"/>
    <n v="140"/>
    <m/>
    <n v="1400"/>
    <x v="0"/>
    <n v="177"/>
    <n v="90"/>
    <n v="900"/>
    <n v="927"/>
    <n v="473"/>
    <n v="0"/>
    <x v="29"/>
    <x v="0"/>
    <m/>
    <m/>
    <s v=""/>
    <n v="0.33785714285714286"/>
  </r>
  <r>
    <x v="3"/>
    <x v="64"/>
    <x v="0"/>
    <x v="49"/>
    <m/>
    <m/>
    <s v="AUXFAN_MOTOR, HONDA CRV (3070 / 3130)"/>
    <s v="CA-000007"/>
    <n v="1"/>
    <n v="1500"/>
    <m/>
    <n v="1500"/>
    <x v="0"/>
    <n v="1654"/>
    <n v="900"/>
    <n v="900"/>
    <n v="945"/>
    <n v="555"/>
    <n v="0"/>
    <x v="14"/>
    <x v="2"/>
    <m/>
    <m/>
    <s v=""/>
    <n v="0.37"/>
  </r>
  <r>
    <x v="3"/>
    <x v="65"/>
    <x v="0"/>
    <x v="27"/>
    <m/>
    <m/>
    <s v="REFRIGERANT, POKKA R32, 600 GRMS "/>
    <s v="GE-000509"/>
    <n v="2"/>
    <n v="650"/>
    <m/>
    <n v="1300"/>
    <x v="0"/>
    <n v="756"/>
    <n v="480"/>
    <n v="960"/>
    <n v="1008"/>
    <n v="292"/>
    <n v="0"/>
    <x v="5"/>
    <x v="1"/>
    <m/>
    <m/>
    <s v=""/>
    <n v="0.22461538461538461"/>
  </r>
  <r>
    <x v="3"/>
    <x v="115"/>
    <x v="0"/>
    <x v="1"/>
    <m/>
    <m/>
    <s v="REFRIGERANT, POKKA R32, 600 GRMS "/>
    <s v="GE-000509"/>
    <n v="2"/>
    <n v="650"/>
    <m/>
    <n v="1300"/>
    <x v="0"/>
    <n v="756"/>
    <n v="480"/>
    <n v="960"/>
    <n v="1008"/>
    <n v="292"/>
    <n v="0"/>
    <x v="5"/>
    <x v="1"/>
    <m/>
    <m/>
    <s v=""/>
    <n v="0.22461538461538461"/>
  </r>
  <r>
    <x v="3"/>
    <x v="119"/>
    <x v="0"/>
    <x v="59"/>
    <m/>
    <n v="156.80000000000001"/>
    <s v="TAPE_PE, AEROWRAP Polythelene Tape (BLUE)X 4&quot;"/>
    <s v="IM-000184"/>
    <n v="10"/>
    <n v="140"/>
    <m/>
    <n v="1400"/>
    <x v="0"/>
    <n v="177"/>
    <n v="90"/>
    <n v="900"/>
    <n v="927"/>
    <n v="473"/>
    <n v="0"/>
    <x v="29"/>
    <x v="0"/>
    <m/>
    <m/>
    <n v="156.80000000000001"/>
    <n v="0.33785714285714286"/>
  </r>
  <r>
    <x v="3"/>
    <x v="101"/>
    <x v="0"/>
    <x v="11"/>
    <m/>
    <n v="1600"/>
    <s v="AUXFAN_MOTOR, HONDA CRV (3070 / 3130)"/>
    <s v="CA-000007"/>
    <n v="1"/>
    <n v="1600"/>
    <m/>
    <n v="1600"/>
    <x v="0"/>
    <n v="1654"/>
    <n v="900"/>
    <n v="900"/>
    <n v="945"/>
    <n v="655"/>
    <n v="0"/>
    <x v="14"/>
    <x v="2"/>
    <m/>
    <m/>
    <n v="1792.0000000000002"/>
    <n v="0.40937499999999999"/>
  </r>
  <r>
    <x v="4"/>
    <x v="107"/>
    <x v="0"/>
    <x v="59"/>
    <m/>
    <n v="156.80000000000001"/>
    <s v="TAPE_PE, AEROWRAP Polythelene Tape (BLUE)X 4&quot;"/>
    <s v="IM-000184"/>
    <n v="10"/>
    <n v="140"/>
    <m/>
    <n v="1400"/>
    <x v="0"/>
    <n v="177"/>
    <n v="90"/>
    <n v="900"/>
    <n v="927"/>
    <n v="473"/>
    <n v="0"/>
    <x v="29"/>
    <x v="0"/>
    <m/>
    <m/>
    <m/>
    <n v="0.33785714285714286"/>
  </r>
  <r>
    <x v="4"/>
    <x v="108"/>
    <x v="0"/>
    <x v="58"/>
    <m/>
    <m/>
    <s v="THERMAL GUN,  INFRARED THERMAL GUN"/>
    <s v="TL-000091"/>
    <n v="1"/>
    <n v="1700"/>
    <m/>
    <n v="1700"/>
    <x v="0"/>
    <n v="2363"/>
    <n v="900"/>
    <n v="900"/>
    <n v="945"/>
    <n v="755"/>
    <n v="0"/>
    <x v="51"/>
    <x v="4"/>
    <m/>
    <m/>
    <m/>
    <n v="0.44411764705882351"/>
  </r>
  <r>
    <x v="2"/>
    <x v="36"/>
    <x v="0"/>
    <x v="36"/>
    <m/>
    <n v="1900"/>
    <s v="EVAPORATOR, TOYOTA AVANZA 14 HS-40A523"/>
    <s v="CA-000536"/>
    <n v="1"/>
    <n v="1700"/>
    <m/>
    <n v="1700"/>
    <x v="0"/>
    <n v="2389"/>
    <n v="1300"/>
    <n v="1300"/>
    <n v="1365"/>
    <n v="335"/>
    <n v="0"/>
    <x v="10"/>
    <x v="2"/>
    <e v="#REF!"/>
    <e v="#REF!"/>
    <n v="1904.0000000000002"/>
    <n v="0.19705882352941176"/>
  </r>
  <r>
    <x v="4"/>
    <x v="95"/>
    <x v="0"/>
    <x v="8"/>
    <m/>
    <m/>
    <s v="AUXFAN_MOTOR, HONDA CRV (3070 / 3130)"/>
    <s v="CA-000007"/>
    <n v="1"/>
    <n v="1600"/>
    <m/>
    <n v="1600"/>
    <x v="0"/>
    <n v="1654"/>
    <n v="900"/>
    <n v="900"/>
    <n v="945"/>
    <n v="655"/>
    <n v="0"/>
    <x v="14"/>
    <x v="2"/>
    <m/>
    <m/>
    <m/>
    <n v="0.40937499999999999"/>
  </r>
  <r>
    <x v="4"/>
    <x v="95"/>
    <x v="0"/>
    <x v="62"/>
    <m/>
    <m/>
    <s v="REFRIGERANT, POKKA R32, 600 GRMS "/>
    <s v="GE-000509"/>
    <n v="2"/>
    <n v="680"/>
    <m/>
    <n v="1360"/>
    <x v="0"/>
    <n v="756"/>
    <n v="480"/>
    <n v="960"/>
    <n v="1008"/>
    <n v="352"/>
    <n v="0"/>
    <x v="5"/>
    <x v="1"/>
    <m/>
    <m/>
    <m/>
    <n v="0.25882352941176473"/>
  </r>
  <r>
    <x v="2"/>
    <x v="37"/>
    <x v="3"/>
    <x v="12"/>
    <m/>
    <n v="1900"/>
    <s v="EVAPORATOR, TOYOTA VIOS 2008  (BATMAN) 40A29"/>
    <s v="CA-000552"/>
    <n v="1"/>
    <n v="1700"/>
    <m/>
    <n v="1700"/>
    <x v="0"/>
    <n v="2389"/>
    <n v="1300"/>
    <n v="1300"/>
    <n v="1365"/>
    <n v="335"/>
    <n v="100.5"/>
    <x v="10"/>
    <x v="2"/>
    <e v="#REF!"/>
    <e v="#REF!"/>
    <n v="1904.0000000000002"/>
    <n v="0.19705882352941176"/>
  </r>
  <r>
    <x v="4"/>
    <x v="77"/>
    <x v="0"/>
    <x v="35"/>
    <m/>
    <m/>
    <s v="REFRIGERANT, POKKA R32, 600 GRMS "/>
    <s v="GE-000509"/>
    <n v="2"/>
    <n v="680"/>
    <m/>
    <n v="1360"/>
    <x v="0"/>
    <n v="756"/>
    <n v="480"/>
    <n v="960"/>
    <n v="1008"/>
    <n v="352"/>
    <n v="0"/>
    <x v="5"/>
    <x v="1"/>
    <e v="#REF!"/>
    <e v="#REF!"/>
    <e v="#REF!"/>
    <n v="0"/>
  </r>
  <r>
    <x v="5"/>
    <x v="83"/>
    <x v="0"/>
    <x v="2"/>
    <m/>
    <m/>
    <s v="TAPE_PE, PICUS Polythelene Tape (White)X 4&quot;"/>
    <s v="IM-000247"/>
    <n v="1"/>
    <n v="125"/>
    <m/>
    <n v="125"/>
    <x v="0"/>
    <n v="147"/>
    <n v="75"/>
    <n v="75"/>
    <n v="77.25"/>
    <n v="47.75"/>
    <n v="0"/>
    <x v="29"/>
    <x v="0"/>
    <e v="#REF!"/>
    <e v="#REF!"/>
    <s v=""/>
    <n v="0.38200000000000001"/>
  </r>
  <r>
    <x v="4"/>
    <x v="79"/>
    <x v="0"/>
    <x v="6"/>
    <m/>
    <m/>
    <s v="BRACKET , GB 2HP, COATED"/>
    <s v="IM-000011"/>
    <n v="3"/>
    <n v="460"/>
    <m/>
    <n v="1380"/>
    <x v="0"/>
    <n v="532"/>
    <n v="295"/>
    <n v="885"/>
    <n v="911.55000000000007"/>
    <n v="468.44999999999993"/>
    <n v="0"/>
    <x v="1"/>
    <x v="0"/>
    <m/>
    <m/>
    <m/>
    <n v="0.33945652173913038"/>
  </r>
  <r>
    <x v="4"/>
    <x v="104"/>
    <x v="0"/>
    <x v="6"/>
    <m/>
    <m/>
    <s v="BRACKET , GB 2HP, COATED"/>
    <s v="IM-000011"/>
    <n v="3"/>
    <n v="460"/>
    <m/>
    <n v="1380"/>
    <x v="0"/>
    <n v="532"/>
    <n v="295"/>
    <n v="885"/>
    <n v="911.55000000000007"/>
    <n v="468.44999999999993"/>
    <n v="0"/>
    <x v="1"/>
    <x v="0"/>
    <m/>
    <m/>
    <m/>
    <n v="0.33945652173913038"/>
  </r>
  <r>
    <x v="2"/>
    <x v="35"/>
    <x v="0"/>
    <x v="19"/>
    <m/>
    <m/>
    <s v="ROYAL CORD, BOSTON 4-CORE, #16 1.25 MM, PER METER"/>
    <s v="GE-000453"/>
    <n v="16"/>
    <n v="125"/>
    <m/>
    <n v="2000"/>
    <x v="0"/>
    <n v="122"/>
    <n v="55"/>
    <n v="880"/>
    <n v="924"/>
    <n v="1076"/>
    <n v="0"/>
    <x v="48"/>
    <x v="1"/>
    <e v="#REF!"/>
    <e v="#REF!"/>
    <s v=""/>
    <n v="0.53800000000000003"/>
  </r>
  <r>
    <x v="2"/>
    <x v="39"/>
    <x v="2"/>
    <x v="22"/>
    <m/>
    <m/>
    <s v="EVAPORATOR, ISUZU TRAVIS /NHR DC 40A492"/>
    <s v="CA-001836"/>
    <n v="1"/>
    <n v="1850"/>
    <m/>
    <n v="1850"/>
    <x v="0"/>
    <n v="2389"/>
    <n v="1300"/>
    <n v="1300"/>
    <n v="1365"/>
    <n v="485"/>
    <n v="145.5"/>
    <x v="10"/>
    <x v="2"/>
    <e v="#REF!"/>
    <e v="#REF!"/>
    <e v="#REF!"/>
    <n v="0.26216216216216215"/>
  </r>
  <r>
    <x v="4"/>
    <x v="77"/>
    <x v="0"/>
    <x v="26"/>
    <m/>
    <m/>
    <s v="RUBBER_INSULATION, DURKFLEX  3/4&quot; x 3/4"/>
    <s v="IM-000179"/>
    <n v="8"/>
    <n v="140"/>
    <m/>
    <n v="1120"/>
    <x v="0"/>
    <n v="139"/>
    <n v="107.39"/>
    <n v="859.12"/>
    <n v="884.89359999999999"/>
    <n v="235.10640000000001"/>
    <n v="0"/>
    <x v="22"/>
    <x v="0"/>
    <e v="#REF!"/>
    <e v="#REF!"/>
    <e v="#REF!"/>
    <n v="0"/>
  </r>
  <r>
    <x v="3"/>
    <x v="71"/>
    <x v="0"/>
    <x v="1"/>
    <m/>
    <m/>
    <s v="COPPER_TUBE_SOFTDRAWN, EVERSTRONG 0.028 X 5/8 x 15 mtr 03/24/26"/>
    <s v="IM-000320"/>
    <n v="0.2"/>
    <n v="5000"/>
    <m/>
    <n v="1000"/>
    <x v="0"/>
    <n v="8328"/>
    <n v="4255"/>
    <n v="851"/>
    <n v="876.53"/>
    <n v="123.47000000000003"/>
    <n v="0"/>
    <x v="0"/>
    <x v="0"/>
    <m/>
    <m/>
    <s v=""/>
    <n v="0.12347000000000002"/>
  </r>
  <r>
    <x v="1"/>
    <x v="109"/>
    <x v="1"/>
    <x v="3"/>
    <m/>
    <m/>
    <s v="AIRDUCT, NEK BLACK MTR"/>
    <s v="CA-001484"/>
    <n v="3"/>
    <n v="100"/>
    <m/>
    <n v="300"/>
    <x v="0"/>
    <n v="102"/>
    <n v="55"/>
    <n v="165"/>
    <n v="173.25"/>
    <n v="126.75"/>
    <n v="38.024999999999999"/>
    <x v="52"/>
    <x v="2"/>
    <e v="#REF!"/>
    <e v="#REF!"/>
    <e v="#REF!"/>
    <n v="0.42249999999999999"/>
  </r>
  <r>
    <x v="0"/>
    <x v="7"/>
    <x v="0"/>
    <x v="11"/>
    <m/>
    <n v="2100"/>
    <s v="EVAPORATOR, TOYOTA INNOVA NEW (F) JBE-0115ZX (STAL)"/>
    <s v="CA-001631"/>
    <n v="1"/>
    <n v="1875"/>
    <m/>
    <n v="1875"/>
    <x v="0"/>
    <n v="1562"/>
    <n v="850"/>
    <n v="850"/>
    <n v="892.5"/>
    <n v="982.5"/>
    <n v="0"/>
    <x v="10"/>
    <x v="2"/>
    <m/>
    <m/>
    <n v="2100"/>
    <n v="0.52400000000000002"/>
  </r>
  <r>
    <x v="2"/>
    <x v="39"/>
    <x v="2"/>
    <x v="22"/>
    <m/>
    <m/>
    <s v="EVAPORATOR, ISUZU MUX/D-MAX 2013"/>
    <s v="CA-000500"/>
    <n v="1"/>
    <n v="1850"/>
    <m/>
    <n v="1850"/>
    <x v="0"/>
    <n v="2481"/>
    <n v="1350"/>
    <n v="1350"/>
    <n v="1417.5"/>
    <n v="432.5"/>
    <n v="129.75"/>
    <x v="10"/>
    <x v="2"/>
    <e v="#REF!"/>
    <e v="#REF!"/>
    <e v="#REF!"/>
    <n v="0.23378378378378378"/>
  </r>
  <r>
    <x v="0"/>
    <x v="12"/>
    <x v="0"/>
    <x v="10"/>
    <m/>
    <m/>
    <s v="AUXFAN_MOTOR, HONDA VTEC (3256)"/>
    <s v="CA-000024"/>
    <n v="1"/>
    <n v="1600"/>
    <m/>
    <n v="1600"/>
    <x v="0"/>
    <n v="1562"/>
    <n v="850"/>
    <n v="850"/>
    <n v="892.5"/>
    <n v="707.5"/>
    <n v="0"/>
    <x v="14"/>
    <x v="2"/>
    <e v="#REF!"/>
    <e v="#REF!"/>
    <s v=""/>
    <n v="0.44218750000000001"/>
  </r>
  <r>
    <x v="0"/>
    <x v="13"/>
    <x v="0"/>
    <x v="17"/>
    <m/>
    <m/>
    <s v="BLOWER_MOTOR, MITSUBISHI EXPANDER REAR"/>
    <s v="CA-001783"/>
    <n v="1"/>
    <n v="1500"/>
    <m/>
    <n v="1500"/>
    <x v="0"/>
    <n v="1562"/>
    <n v="850"/>
    <n v="850"/>
    <n v="892.5"/>
    <n v="607.5"/>
    <n v="0"/>
    <x v="15"/>
    <x v="2"/>
    <e v="#REF!"/>
    <e v="#REF!"/>
    <s v=""/>
    <n v="0.40500000000000003"/>
  </r>
  <r>
    <x v="0"/>
    <x v="106"/>
    <x v="0"/>
    <x v="72"/>
    <m/>
    <m/>
    <s v="BLOWER_MOTOR, MITSUBISHI EXPANDER REAR"/>
    <s v="CA-001783"/>
    <n v="1"/>
    <n v="1500"/>
    <m/>
    <n v="1500"/>
    <x v="0"/>
    <n v="1562"/>
    <n v="850"/>
    <n v="850"/>
    <n v="892.5"/>
    <n v="607.5"/>
    <n v="0"/>
    <x v="15"/>
    <x v="2"/>
    <e v="#REF!"/>
    <e v="#REF!"/>
    <s v=""/>
    <n v="0.40500000000000003"/>
  </r>
  <r>
    <x v="1"/>
    <x v="14"/>
    <x v="0"/>
    <x v="17"/>
    <m/>
    <m/>
    <s v="EVAPORATOR, TOYOTA INNOVA NEW (F) JBE-0115ZX (STAL)"/>
    <s v="CA-001631"/>
    <n v="1"/>
    <n v="2000"/>
    <m/>
    <n v="2000"/>
    <x v="0"/>
    <n v="1562"/>
    <n v="850"/>
    <n v="850"/>
    <n v="892.5"/>
    <n v="1107.5"/>
    <n v="0"/>
    <x v="10"/>
    <x v="2"/>
    <e v="#REF!"/>
    <e v="#REF!"/>
    <s v=""/>
    <n v="0.55374999999999996"/>
  </r>
  <r>
    <x v="1"/>
    <x v="109"/>
    <x v="1"/>
    <x v="3"/>
    <m/>
    <m/>
    <s v="FITTINGS, ELBOW R12  WITH VALVE 5/8"/>
    <s v="CA-000664"/>
    <n v="1"/>
    <n v="110"/>
    <m/>
    <n v="110"/>
    <x v="0"/>
    <n v="94"/>
    <n v="51"/>
    <n v="51"/>
    <n v="53.550000000000004"/>
    <n v="56.449999999999996"/>
    <n v="16.934999999999999"/>
    <x v="33"/>
    <x v="2"/>
    <e v="#REF!"/>
    <e v="#REF!"/>
    <e v="#REF!"/>
    <n v="0.51318181818181818"/>
  </r>
  <r>
    <x v="1"/>
    <x v="33"/>
    <x v="0"/>
    <x v="11"/>
    <m/>
    <m/>
    <s v="EVAPORATOR, TOYOTA INNOVA NEW (F) JBE-0115ZX (STAL)"/>
    <s v="CA-001631"/>
    <n v="1"/>
    <n v="2000"/>
    <m/>
    <n v="2000"/>
    <x v="0"/>
    <n v="1562"/>
    <n v="850"/>
    <n v="850"/>
    <n v="892.5"/>
    <n v="1107.5"/>
    <n v="0"/>
    <x v="10"/>
    <x v="2"/>
    <e v="#REF!"/>
    <e v="#REF!"/>
    <e v="#REF!"/>
    <n v="0"/>
  </r>
  <r>
    <x v="1"/>
    <x v="33"/>
    <x v="0"/>
    <x v="11"/>
    <m/>
    <m/>
    <s v="EVAPORATOR, TOYOTA INNOVA NEW (F) JBE-0115ZX (STAL)"/>
    <s v="CA-001631"/>
    <n v="1"/>
    <n v="2000"/>
    <m/>
    <n v="2000"/>
    <x v="0"/>
    <n v="1562"/>
    <n v="850"/>
    <n v="850"/>
    <n v="892.5"/>
    <n v="1107.5"/>
    <n v="0"/>
    <x v="10"/>
    <x v="2"/>
    <e v="#REF!"/>
    <e v="#REF!"/>
    <e v="#REF!"/>
    <n v="0"/>
  </r>
  <r>
    <x v="2"/>
    <x v="39"/>
    <x v="2"/>
    <x v="22"/>
    <m/>
    <m/>
    <s v="BLOWER_MOTOR, ISUZU D-MAX 2013 / MUX"/>
    <s v="CA-000171"/>
    <n v="1"/>
    <n v="1800"/>
    <m/>
    <n v="1800"/>
    <x v="0"/>
    <n v="2389"/>
    <n v="1300"/>
    <n v="1300"/>
    <n v="1365"/>
    <n v="435"/>
    <n v="130.5"/>
    <x v="15"/>
    <x v="2"/>
    <e v="#REF!"/>
    <e v="#REF!"/>
    <s v=""/>
    <n v="0.24166666666666667"/>
  </r>
  <r>
    <x v="2"/>
    <x v="35"/>
    <x v="0"/>
    <x v="11"/>
    <m/>
    <n v="2000"/>
    <s v="EVAPORATOR, TOYOTA INNOVA NEW (F) JBE-0115ZX (STAL)"/>
    <s v="CA-001631"/>
    <n v="1"/>
    <n v="1785"/>
    <m/>
    <n v="1785"/>
    <x v="0"/>
    <n v="1562"/>
    <n v="850"/>
    <n v="850"/>
    <n v="892.5"/>
    <n v="892.5"/>
    <n v="0"/>
    <x v="10"/>
    <x v="2"/>
    <e v="#REF!"/>
    <e v="#REF!"/>
    <n v="1999.2000000000003"/>
    <n v="0.5"/>
  </r>
  <r>
    <x v="2"/>
    <x v="117"/>
    <x v="0"/>
    <x v="94"/>
    <m/>
    <n v="2000"/>
    <s v="EVAPORATOR, TOYOTA INNOVA NEW (F) JBE-0115ZX (STAL)"/>
    <s v="CA-001631"/>
    <n v="1"/>
    <n v="1785"/>
    <m/>
    <n v="1785"/>
    <x v="0"/>
    <n v="1562"/>
    <n v="850"/>
    <n v="850"/>
    <n v="892.5"/>
    <n v="892.5"/>
    <n v="0"/>
    <x v="10"/>
    <x v="2"/>
    <e v="#REF!"/>
    <e v="#REF!"/>
    <n v="1999.2000000000003"/>
    <n v="0.5"/>
  </r>
  <r>
    <x v="2"/>
    <x v="39"/>
    <x v="0"/>
    <x v="49"/>
    <m/>
    <n v="2000"/>
    <s v="EVAPORATOR, TOYOTA INNOVA NEW (F) JBE-0115ZX (STAL)"/>
    <s v="CA-001631"/>
    <n v="1"/>
    <n v="1785"/>
    <m/>
    <n v="1785"/>
    <x v="0"/>
    <n v="1562"/>
    <n v="850"/>
    <n v="850"/>
    <n v="892.5"/>
    <n v="892.5"/>
    <n v="0"/>
    <x v="10"/>
    <x v="2"/>
    <e v="#REF!"/>
    <e v="#REF!"/>
    <n v="1999.2000000000003"/>
    <n v="0.5"/>
  </r>
  <r>
    <x v="2"/>
    <x v="44"/>
    <x v="0"/>
    <x v="23"/>
    <m/>
    <m/>
    <s v="EVAPORATOR, TOYOTA INNOVA NEW (F) JBE-0115ZX (STAL)"/>
    <s v="CA-001631"/>
    <n v="1"/>
    <n v="2000"/>
    <m/>
    <n v="2000"/>
    <x v="0"/>
    <n v="1562"/>
    <n v="850"/>
    <n v="850"/>
    <n v="892.5"/>
    <n v="1107.5"/>
    <n v="0"/>
    <x v="10"/>
    <x v="2"/>
    <e v="#REF!"/>
    <e v="#REF!"/>
    <s v=""/>
    <n v="0.55374999999999996"/>
  </r>
  <r>
    <x v="2"/>
    <x v="49"/>
    <x v="0"/>
    <x v="23"/>
    <m/>
    <m/>
    <s v="EVAPORATOR, TOYOTA INNOVA NEW (F) JBE-0115ZX (STAL)"/>
    <s v="CA-001631"/>
    <n v="1"/>
    <n v="2000"/>
    <m/>
    <n v="2000"/>
    <x v="0"/>
    <n v="1562"/>
    <n v="850"/>
    <n v="850"/>
    <n v="892.5"/>
    <n v="1107.5"/>
    <n v="0"/>
    <x v="10"/>
    <x v="2"/>
    <e v="#REF!"/>
    <e v="#REF!"/>
    <s v=""/>
    <n v="0.55374999999999996"/>
  </r>
  <r>
    <x v="2"/>
    <x v="57"/>
    <x v="0"/>
    <x v="10"/>
    <m/>
    <m/>
    <s v="EVAPORATOR, TOYOTA INNOVA NEW (F) JBE-0115ZX (STAL)"/>
    <s v="CA-001631"/>
    <n v="1"/>
    <n v="2100"/>
    <m/>
    <n v="2100"/>
    <x v="0"/>
    <n v="1562"/>
    <n v="850"/>
    <n v="850"/>
    <n v="892.5"/>
    <n v="1207.5"/>
    <n v="0"/>
    <x v="10"/>
    <x v="2"/>
    <e v="#REF!"/>
    <e v="#REF!"/>
    <s v=""/>
    <n v="0.57499999999999996"/>
  </r>
  <r>
    <x v="3"/>
    <x v="62"/>
    <x v="0"/>
    <x v="18"/>
    <m/>
    <n v="2100"/>
    <s v="EVAPORATOR, TOYOTA INNOVA NEW (F) JBE-0115ZX (STAL)"/>
    <s v="CA-001631"/>
    <n v="1"/>
    <n v="1875"/>
    <m/>
    <n v="1875"/>
    <x v="0"/>
    <n v="1562"/>
    <n v="850"/>
    <n v="850"/>
    <n v="892.5"/>
    <n v="982.5"/>
    <n v="0"/>
    <x v="10"/>
    <x v="2"/>
    <m/>
    <m/>
    <n v="2100"/>
    <n v="0.52400000000000002"/>
  </r>
  <r>
    <x v="3"/>
    <x v="85"/>
    <x v="0"/>
    <x v="49"/>
    <m/>
    <m/>
    <s v="EVAPORATOR, TOYOTA INNOVA NEW (F) JBE-0115ZX (STAL)"/>
    <s v="CA-001631"/>
    <n v="1"/>
    <n v="2100"/>
    <m/>
    <n v="2100"/>
    <x v="0"/>
    <n v="1562"/>
    <n v="850"/>
    <n v="850"/>
    <n v="892.5"/>
    <n v="1207.5"/>
    <n v="0"/>
    <x v="10"/>
    <x v="2"/>
    <m/>
    <m/>
    <m/>
    <n v="0.57499999999999996"/>
  </r>
  <r>
    <x v="2"/>
    <x v="40"/>
    <x v="0"/>
    <x v="36"/>
    <m/>
    <n v="1900"/>
    <s v="ECV, HYUNDAI TUCSON 16, 8-43"/>
    <s v="CA-000455"/>
    <n v="1"/>
    <n v="1700"/>
    <m/>
    <n v="1700"/>
    <x v="0"/>
    <n v="2389"/>
    <n v="1300"/>
    <n v="1300"/>
    <n v="1365"/>
    <n v="335"/>
    <n v="0"/>
    <x v="26"/>
    <x v="2"/>
    <e v="#REF!"/>
    <e v="#REF!"/>
    <n v="1904.0000000000002"/>
    <n v="0.19705882352941176"/>
  </r>
  <r>
    <x v="4"/>
    <x v="116"/>
    <x v="0"/>
    <x v="95"/>
    <m/>
    <n v="2100"/>
    <s v="EVAPORATOR, TOYOTA INNOVA NEW (F) JBE-0115ZX (STAL)"/>
    <s v="CA-001631"/>
    <n v="1"/>
    <n v="1875"/>
    <m/>
    <n v="1875"/>
    <x v="0"/>
    <n v="1562"/>
    <n v="850"/>
    <n v="850"/>
    <n v="892.5"/>
    <n v="982.5"/>
    <n v="0"/>
    <x v="10"/>
    <x v="2"/>
    <m/>
    <m/>
    <m/>
    <n v="0.52400000000000002"/>
  </r>
  <r>
    <x v="2"/>
    <x v="48"/>
    <x v="4"/>
    <x v="25"/>
    <m/>
    <m/>
    <s v="EVAPORATOR, HONDA CRV 2003"/>
    <s v="CA-000481"/>
    <n v="1"/>
    <n v="2000"/>
    <m/>
    <n v="2000"/>
    <x v="0"/>
    <n v="2389"/>
    <n v="1300"/>
    <n v="1300"/>
    <n v="1365"/>
    <n v="635"/>
    <n v="190.5"/>
    <x v="10"/>
    <x v="2"/>
    <e v="#REF!"/>
    <e v="#REF!"/>
    <s v=""/>
    <n v="0.3175"/>
  </r>
  <r>
    <x v="4"/>
    <x v="75"/>
    <x v="0"/>
    <x v="72"/>
    <m/>
    <m/>
    <s v="THERMOSTAT SWITCH, MITSUBISHI L300 NEW"/>
    <s v="CA-001827"/>
    <n v="1"/>
    <n v="2500"/>
    <m/>
    <n v="2500"/>
    <x v="0"/>
    <n v="1785"/>
    <n v="850"/>
    <n v="850"/>
    <n v="892.5"/>
    <n v="1607.5"/>
    <n v="0"/>
    <x v="53"/>
    <x v="2"/>
    <m/>
    <m/>
    <m/>
    <n v="0.64300000000000002"/>
  </r>
  <r>
    <x v="5"/>
    <x v="83"/>
    <x v="0"/>
    <x v="1"/>
    <m/>
    <m/>
    <s v="TAPE_PE, PICUS Polythelene Tape (White)X 4&quot;"/>
    <s v="IM-000247"/>
    <n v="1"/>
    <n v="125"/>
    <m/>
    <n v="125"/>
    <x v="0"/>
    <n v="147"/>
    <n v="75"/>
    <n v="75"/>
    <n v="77.25"/>
    <n v="47.75"/>
    <n v="0"/>
    <x v="29"/>
    <x v="0"/>
    <e v="#REF!"/>
    <e v="#REF!"/>
    <s v=""/>
    <n v="0.38200000000000001"/>
  </r>
  <r>
    <x v="5"/>
    <x v="83"/>
    <x v="0"/>
    <x v="34"/>
    <m/>
    <m/>
    <s v="TAPE_PE, PICUS Polythelene Tape (White)X 4&quot;"/>
    <s v="IM-000247"/>
    <n v="1"/>
    <n v="125"/>
    <m/>
    <n v="125"/>
    <x v="0"/>
    <n v="147"/>
    <n v="75"/>
    <n v="75"/>
    <n v="77.25"/>
    <n v="47.75"/>
    <n v="0"/>
    <x v="29"/>
    <x v="0"/>
    <e v="#REF!"/>
    <e v="#REF!"/>
    <s v=""/>
    <n v="0.38200000000000001"/>
  </r>
  <r>
    <x v="2"/>
    <x v="53"/>
    <x v="3"/>
    <x v="12"/>
    <m/>
    <m/>
    <s v="EVAPORATOR, TOYOTA AVANZA 14 HS-40A523"/>
    <s v="CA-000536"/>
    <n v="1"/>
    <n v="2000"/>
    <m/>
    <n v="2000"/>
    <x v="0"/>
    <n v="2389"/>
    <n v="1300"/>
    <n v="1300"/>
    <n v="1365"/>
    <n v="635"/>
    <n v="190.5"/>
    <x v="10"/>
    <x v="2"/>
    <e v="#REF!"/>
    <e v="#REF!"/>
    <s v=""/>
    <n v="0.3175"/>
  </r>
  <r>
    <x v="2"/>
    <x v="54"/>
    <x v="2"/>
    <x v="22"/>
    <m/>
    <m/>
    <s v="BLOWER_MOTOR, ISUZU CROSSWIND (F)"/>
    <s v="CA-000167"/>
    <n v="1"/>
    <n v="1800"/>
    <m/>
    <n v="1800"/>
    <x v="0"/>
    <n v="2389"/>
    <n v="1300"/>
    <n v="1300"/>
    <n v="1365"/>
    <n v="435"/>
    <n v="130.5"/>
    <x v="15"/>
    <x v="2"/>
    <e v="#REF!"/>
    <e v="#REF!"/>
    <s v=""/>
    <n v="0.24166666666666667"/>
  </r>
  <r>
    <x v="3"/>
    <x v="68"/>
    <x v="1"/>
    <x v="42"/>
    <m/>
    <m/>
    <s v="O_RING, NEK MAKAPAL 5/16"/>
    <s v="CA-000842"/>
    <n v="14"/>
    <n v="130"/>
    <m/>
    <n v="1820"/>
    <x v="0"/>
    <n v="111"/>
    <n v="60"/>
    <n v="840"/>
    <n v="882"/>
    <n v="938"/>
    <n v="281.39999999999998"/>
    <x v="44"/>
    <x v="2"/>
    <m/>
    <m/>
    <s v=""/>
    <n v="0.51538461538461533"/>
  </r>
  <r>
    <x v="3"/>
    <x v="72"/>
    <x v="0"/>
    <x v="23"/>
    <m/>
    <m/>
    <s v="AUXIALLIARY_FAN, POKKA 10 BLADES X 12VOLTS"/>
    <s v="CA-000106"/>
    <n v="2"/>
    <n v="600"/>
    <m/>
    <n v="1200"/>
    <x v="0"/>
    <n v="772"/>
    <n v="420"/>
    <n v="840"/>
    <n v="882"/>
    <n v="318"/>
    <n v="0"/>
    <x v="16"/>
    <x v="2"/>
    <m/>
    <m/>
    <s v=""/>
    <n v="0.26500000000000001"/>
  </r>
  <r>
    <x v="2"/>
    <x v="58"/>
    <x v="4"/>
    <x v="25"/>
    <m/>
    <m/>
    <s v="BLOWER_MOTOR, ISUZU D-MAX 2013 / MUX"/>
    <s v="CA-000171"/>
    <n v="1"/>
    <n v="1900"/>
    <m/>
    <n v="1900"/>
    <x v="0"/>
    <n v="2389"/>
    <n v="1300"/>
    <n v="1300"/>
    <n v="1365"/>
    <n v="535"/>
    <n v="160.5"/>
    <x v="15"/>
    <x v="2"/>
    <e v="#REF!"/>
    <e v="#REF!"/>
    <s v=""/>
    <n v="0.28157894736842104"/>
  </r>
  <r>
    <x v="4"/>
    <x v="102"/>
    <x v="0"/>
    <x v="19"/>
    <m/>
    <m/>
    <s v="ROYAL CORD, POWERFLEX 4-CORE, #16 1.2 MM, METER"/>
    <s v="GE-000485"/>
    <n v="12"/>
    <n v="125"/>
    <m/>
    <n v="1500"/>
    <x v="0"/>
    <n v="90"/>
    <n v="72"/>
    <n v="864"/>
    <n v="907.2"/>
    <n v="592.79999999999995"/>
    <n v="0"/>
    <x v="48"/>
    <x v="1"/>
    <m/>
    <m/>
    <m/>
    <n v="0.3952"/>
  </r>
  <r>
    <x v="4"/>
    <x v="105"/>
    <x v="0"/>
    <x v="58"/>
    <m/>
    <m/>
    <s v="TAPE_FOAM, AEROTAPE 3MM X 50 MM X 9.1 MTR  04/02/25"/>
    <s v="IM-000332"/>
    <n v="3"/>
    <n v="360"/>
    <m/>
    <n v="1080"/>
    <x v="0"/>
    <n v="510"/>
    <n v="330"/>
    <n v="990"/>
    <n v="1019.7"/>
    <n v="60.299999999999955"/>
    <n v="0"/>
    <x v="25"/>
    <x v="0"/>
    <m/>
    <m/>
    <m/>
    <n v="5.583333333333329E-2"/>
  </r>
  <r>
    <x v="2"/>
    <x v="44"/>
    <x v="2"/>
    <x v="7"/>
    <m/>
    <n v="2100"/>
    <s v="EVAPORATOR, HYUNDAI STAREX F RIGHT (STAL)"/>
    <s v="CA-001758"/>
    <n v="1"/>
    <n v="2100"/>
    <m/>
    <n v="2100"/>
    <x v="0"/>
    <n v="2205"/>
    <n v="1200"/>
    <n v="1200"/>
    <n v="1260"/>
    <n v="840"/>
    <n v="252"/>
    <x v="10"/>
    <x v="2"/>
    <e v="#REF!"/>
    <e v="#REF!"/>
    <n v="2352"/>
    <n v="0.4"/>
  </r>
  <r>
    <x v="2"/>
    <x v="56"/>
    <x v="2"/>
    <x v="96"/>
    <m/>
    <m/>
    <s v="PULLEY_ASSEMBLY, TOYOTA VIOS 2014  4PK"/>
    <s v="CA-001397"/>
    <n v="1"/>
    <n v="2000"/>
    <m/>
    <n v="2000"/>
    <x v="0"/>
    <n v="2016"/>
    <n v="1200"/>
    <n v="1200"/>
    <n v="1260"/>
    <n v="740"/>
    <n v="222"/>
    <x v="11"/>
    <x v="2"/>
    <e v="#REF!"/>
    <e v="#REF!"/>
    <s v=""/>
    <n v="0.37"/>
  </r>
  <r>
    <x v="4"/>
    <x v="104"/>
    <x v="0"/>
    <x v="49"/>
    <m/>
    <m/>
    <s v="AUXIALLIARY_FAN, POKKA 10 BLADES X 12VOLTS"/>
    <s v="CA-000106"/>
    <n v="2"/>
    <n v="650"/>
    <m/>
    <n v="1300"/>
    <x v="0"/>
    <n v="772"/>
    <n v="420"/>
    <n v="840"/>
    <n v="882"/>
    <n v="418"/>
    <n v="0"/>
    <x v="16"/>
    <x v="2"/>
    <m/>
    <m/>
    <m/>
    <n v="0.32153846153846155"/>
  </r>
  <r>
    <x v="4"/>
    <x v="75"/>
    <x v="0"/>
    <x v="58"/>
    <m/>
    <m/>
    <s v="AUXIALLIARY_FAN, POKKA 10 BLADES X 12VOLTS"/>
    <s v="CA-000106"/>
    <n v="2"/>
    <n v="650"/>
    <m/>
    <n v="1300"/>
    <x v="0"/>
    <n v="772"/>
    <n v="420"/>
    <n v="840"/>
    <n v="882"/>
    <n v="418"/>
    <n v="0"/>
    <x v="16"/>
    <x v="2"/>
    <m/>
    <m/>
    <m/>
    <n v="0.32153846153846155"/>
  </r>
  <r>
    <x v="4"/>
    <x v="82"/>
    <x v="0"/>
    <x v="58"/>
    <m/>
    <m/>
    <s v="AUXIALLIARY_FAN, POKKA 10 BLADES X 12VOLTS"/>
    <s v="CA-000106"/>
    <n v="2"/>
    <n v="650"/>
    <m/>
    <n v="1300"/>
    <x v="0"/>
    <n v="772"/>
    <n v="420"/>
    <n v="840"/>
    <n v="882"/>
    <n v="418"/>
    <n v="0"/>
    <x v="16"/>
    <x v="2"/>
    <m/>
    <m/>
    <m/>
    <n v="0.32153846153846155"/>
  </r>
  <r>
    <x v="5"/>
    <x v="83"/>
    <x v="0"/>
    <x v="20"/>
    <m/>
    <m/>
    <s v="RUBBER_INSULATION, M-FLEX 3/4&quot; X 3/8"/>
    <s v="IM-000241"/>
    <n v="1"/>
    <n v="100"/>
    <m/>
    <n v="100"/>
    <x v="0"/>
    <n v="94"/>
    <n v="67.2"/>
    <n v="67.2"/>
    <n v="69.216000000000008"/>
    <n v="30.783999999999992"/>
    <n v="0"/>
    <x v="22"/>
    <x v="0"/>
    <e v="#REF!"/>
    <e v="#REF!"/>
    <s v=""/>
    <n v="0.30783999999999989"/>
  </r>
  <r>
    <x v="5"/>
    <x v="83"/>
    <x v="0"/>
    <x v="32"/>
    <m/>
    <m/>
    <s v="SYSTEM_CLEANER, Cleanse GREEN 141B 500 ML"/>
    <s v="GE-000369"/>
    <n v="1"/>
    <n v="120"/>
    <m/>
    <n v="120"/>
    <x v="0"/>
    <n v="113"/>
    <n v="65"/>
    <n v="65"/>
    <n v="68.25"/>
    <n v="51.75"/>
    <n v="0"/>
    <x v="28"/>
    <x v="1"/>
    <e v="#REF!"/>
    <e v="#REF!"/>
    <s v=""/>
    <n v="0.43125000000000002"/>
  </r>
  <r>
    <x v="1"/>
    <x v="32"/>
    <x v="0"/>
    <x v="1"/>
    <m/>
    <m/>
    <s v="ROYAL CORD, BOSTON 4-CORE, #16 1.25 MM, PER METER"/>
    <s v="GE-000453"/>
    <n v="15"/>
    <n v="125"/>
    <m/>
    <n v="1875"/>
    <x v="0"/>
    <n v="122"/>
    <n v="55"/>
    <n v="825"/>
    <n v="866.25"/>
    <n v="1008.75"/>
    <n v="0"/>
    <x v="48"/>
    <x v="1"/>
    <e v="#REF!"/>
    <e v="#REF!"/>
    <e v="#REF!"/>
    <n v="0.53800000000000003"/>
  </r>
  <r>
    <x v="2"/>
    <x v="36"/>
    <x v="2"/>
    <x v="7"/>
    <m/>
    <m/>
    <s v="AUXFAN_MOTOR, HYUNDAI GRAND STAREX"/>
    <s v="CA-000028"/>
    <n v="1"/>
    <n v="1800"/>
    <m/>
    <n v="1800"/>
    <x v="0"/>
    <n v="2114"/>
    <n v="1150"/>
    <n v="1150"/>
    <n v="1207.5"/>
    <n v="592.5"/>
    <n v="177.75"/>
    <x v="14"/>
    <x v="2"/>
    <e v="#REF!"/>
    <e v="#REF!"/>
    <s v=""/>
    <n v="0.32916666666666666"/>
  </r>
  <r>
    <x v="2"/>
    <x v="117"/>
    <x v="0"/>
    <x v="36"/>
    <m/>
    <m/>
    <s v="AUXFAN_MOTOR, MITSUBISHI L300 ASSEMBLY"/>
    <s v="CA-000049"/>
    <n v="1"/>
    <n v="1900"/>
    <m/>
    <n v="1900"/>
    <x v="0"/>
    <n v="2022"/>
    <n v="1100"/>
    <n v="1100"/>
    <n v="1155"/>
    <n v="745"/>
    <n v="0"/>
    <x v="14"/>
    <x v="2"/>
    <e v="#REF!"/>
    <e v="#REF!"/>
    <s v=""/>
    <n v="0.39210526315789473"/>
  </r>
  <r>
    <x v="0"/>
    <x v="1"/>
    <x v="0"/>
    <x v="8"/>
    <m/>
    <m/>
    <s v="EVAPORATOR, TOYOTA INNOVA OLD (F) JBE-0103ZX (STAL)"/>
    <s v="CA-001633"/>
    <n v="1"/>
    <n v="1900"/>
    <m/>
    <n v="1900"/>
    <x v="0"/>
    <n v="1654"/>
    <n v="900"/>
    <n v="900"/>
    <n v="945"/>
    <n v="955"/>
    <n v="0"/>
    <x v="10"/>
    <x v="2"/>
    <m/>
    <m/>
    <s v=""/>
    <n v="0.50263157894736843"/>
  </r>
  <r>
    <x v="0"/>
    <x v="3"/>
    <x v="0"/>
    <x v="23"/>
    <m/>
    <m/>
    <s v="EVAPORATOR, TOYOTA INNOVA OLD (F) JBE-0103ZX (STAL)"/>
    <s v="CA-001633"/>
    <n v="1"/>
    <n v="1900"/>
    <m/>
    <n v="1900"/>
    <x v="0"/>
    <n v="1654"/>
    <n v="900"/>
    <n v="900"/>
    <n v="945"/>
    <n v="955"/>
    <n v="0"/>
    <x v="10"/>
    <x v="2"/>
    <m/>
    <m/>
    <s v=""/>
    <n v="0.50263157894736843"/>
  </r>
  <r>
    <x v="2"/>
    <x v="39"/>
    <x v="2"/>
    <x v="22"/>
    <m/>
    <m/>
    <s v="EVAPORATOR, ISUZU CROSSWIND FRONT ( STAL)"/>
    <s v="CA-001801"/>
    <n v="1"/>
    <n v="1700"/>
    <m/>
    <n v="1700"/>
    <x v="0"/>
    <n v="2394"/>
    <n v="1200"/>
    <n v="1200"/>
    <n v="1260"/>
    <n v="440"/>
    <n v="132"/>
    <x v="10"/>
    <x v="2"/>
    <e v="#REF!"/>
    <e v="#REF!"/>
    <e v="#REF!"/>
    <n v="0.25882352941176473"/>
  </r>
  <r>
    <x v="0"/>
    <x v="4"/>
    <x v="0"/>
    <x v="11"/>
    <m/>
    <n v="1900"/>
    <s v="EVAPORATOR, TOYOTA INNOVA OLD (F) JBE-0103ZX (STAL)"/>
    <s v="CA-001633"/>
    <n v="1"/>
    <n v="1700"/>
    <m/>
    <n v="1700"/>
    <x v="0"/>
    <n v="1654"/>
    <n v="900"/>
    <n v="900"/>
    <n v="945"/>
    <n v="755"/>
    <n v="0"/>
    <x v="10"/>
    <x v="2"/>
    <m/>
    <m/>
    <n v="1904.0000000000002"/>
    <n v="0.44411764705882351"/>
  </r>
  <r>
    <x v="2"/>
    <x v="46"/>
    <x v="4"/>
    <x v="25"/>
    <m/>
    <m/>
    <s v="AUXFAN_MOTOR, TOYOTA VIOS BATMAN 2370"/>
    <s v="CA-000094"/>
    <n v="1"/>
    <n v="1800"/>
    <m/>
    <n v="1800"/>
    <x v="0"/>
    <n v="2022"/>
    <n v="1100"/>
    <n v="1100"/>
    <n v="1155"/>
    <n v="645"/>
    <n v="193.5"/>
    <x v="14"/>
    <x v="2"/>
    <e v="#REF!"/>
    <e v="#REF!"/>
    <s v=""/>
    <n v="0.35833333333333334"/>
  </r>
  <r>
    <x v="1"/>
    <x v="14"/>
    <x v="0"/>
    <x v="8"/>
    <m/>
    <n v="1900"/>
    <s v="EVAPORATOR, TOYOTA INNOVA OLD (F) JBE-0103ZX (STAL)"/>
    <s v="CA-001633"/>
    <n v="1"/>
    <n v="1696"/>
    <m/>
    <n v="1696"/>
    <x v="0"/>
    <n v="1654"/>
    <n v="900"/>
    <n v="900"/>
    <n v="945"/>
    <n v="751"/>
    <n v="0"/>
    <x v="10"/>
    <x v="2"/>
    <m/>
    <m/>
    <n v="1899.5200000000002"/>
    <n v="0.44280660377358488"/>
  </r>
  <r>
    <x v="2"/>
    <x v="52"/>
    <x v="2"/>
    <x v="7"/>
    <m/>
    <m/>
    <s v="ECV, HYUNDAI ACCENT, 8-22A"/>
    <s v="CA-000454"/>
    <n v="1"/>
    <n v="1900"/>
    <m/>
    <n v="1900"/>
    <x v="0"/>
    <n v="1838"/>
    <n v="1000"/>
    <n v="1000"/>
    <n v="1050"/>
    <n v="850"/>
    <n v="255"/>
    <x v="26"/>
    <x v="2"/>
    <e v="#REF!"/>
    <e v="#REF!"/>
    <s v=""/>
    <n v="0.44736842105263158"/>
  </r>
  <r>
    <x v="2"/>
    <x v="39"/>
    <x v="3"/>
    <x v="12"/>
    <m/>
    <n v="2000"/>
    <s v="EVAPORATOR, TOYOTA ALTIS 2003 / RAV 4 (STAL)"/>
    <s v="CA-001241"/>
    <n v="1"/>
    <n v="2000"/>
    <m/>
    <n v="2000"/>
    <x v="0"/>
    <n v="1930"/>
    <n v="1050"/>
    <n v="1050"/>
    <n v="1102.5"/>
    <n v="897.5"/>
    <n v="269.25"/>
    <x v="10"/>
    <x v="2"/>
    <e v="#REF!"/>
    <e v="#REF!"/>
    <n v="2240"/>
    <n v="0.44874999999999998"/>
  </r>
  <r>
    <x v="0"/>
    <x v="10"/>
    <x v="0"/>
    <x v="11"/>
    <m/>
    <m/>
    <s v="EVAPORATOR, TOYOTA INNOVA OLD (F) JBE-0103ZX (STAL)"/>
    <s v="CA-001633"/>
    <n v="1"/>
    <n v="1900"/>
    <m/>
    <n v="1900"/>
    <x v="0"/>
    <n v="1654"/>
    <n v="900"/>
    <n v="900"/>
    <n v="945"/>
    <n v="955"/>
    <n v="0"/>
    <x v="10"/>
    <x v="2"/>
    <e v="#REF!"/>
    <e v="#REF!"/>
    <s v=""/>
    <n v="0.50263157894736843"/>
  </r>
  <r>
    <x v="1"/>
    <x v="26"/>
    <x v="1"/>
    <x v="3"/>
    <m/>
    <m/>
    <s v="EVAPORATOR, HONDA CIVIC 1998  40A227"/>
    <s v=""/>
    <n v="1"/>
    <n v="2000"/>
    <m/>
    <n v="2000"/>
    <x v="0"/>
    <n v="0"/>
    <n v="0"/>
    <n v="0"/>
    <n v="0"/>
    <n v="2000"/>
    <n v="600"/>
    <x v="13"/>
    <x v="3"/>
    <e v="#REF!"/>
    <e v="#REF!"/>
    <e v="#REF!"/>
    <n v="1"/>
  </r>
  <r>
    <x v="1"/>
    <x v="14"/>
    <x v="0"/>
    <x v="17"/>
    <m/>
    <m/>
    <s v="EVAPORATOR, TOYOTA INNOVA OLD (F) JBE-0103ZX (STAL)"/>
    <s v="CA-001633"/>
    <n v="1"/>
    <n v="1900"/>
    <m/>
    <n v="1900"/>
    <x v="0"/>
    <n v="1654"/>
    <n v="900"/>
    <n v="900"/>
    <n v="945"/>
    <n v="955"/>
    <n v="0"/>
    <x v="10"/>
    <x v="2"/>
    <e v="#REF!"/>
    <e v="#REF!"/>
    <s v=""/>
    <n v="0.50263157894736843"/>
  </r>
  <r>
    <x v="1"/>
    <x v="26"/>
    <x v="1"/>
    <x v="3"/>
    <m/>
    <m/>
    <s v="PULLEY_ASSEMBLY, TOYOTA VIOS 03 4PK"/>
    <s v="CA-001076"/>
    <n v="1"/>
    <n v="1800"/>
    <m/>
    <n v="1800"/>
    <x v="0"/>
    <n v="2016"/>
    <n v="1200"/>
    <n v="1200"/>
    <n v="1260"/>
    <n v="540"/>
    <n v="162"/>
    <x v="11"/>
    <x v="2"/>
    <e v="#REF!"/>
    <e v="#REF!"/>
    <e v="#REF!"/>
    <n v="0.3"/>
  </r>
  <r>
    <x v="2"/>
    <x v="55"/>
    <x v="4"/>
    <x v="92"/>
    <m/>
    <m/>
    <s v="CLAMP_METER, VICTOR "/>
    <s v="TL-000011"/>
    <n v="1"/>
    <n v="1600"/>
    <m/>
    <n v="1600"/>
    <x v="0"/>
    <n v="1930"/>
    <n v="1050"/>
    <n v="1050"/>
    <n v="1102.5"/>
    <n v="497.5"/>
    <n v="149.25"/>
    <x v="54"/>
    <x v="4"/>
    <e v="#REF!"/>
    <e v="#REF!"/>
    <s v=""/>
    <n v="0.31093749999999998"/>
  </r>
  <r>
    <x v="1"/>
    <x v="114"/>
    <x v="0"/>
    <x v="10"/>
    <m/>
    <m/>
    <s v="EVAPORATOR, TOYOTA INNOVA OLD (F) JBE-0103ZX (STAL)"/>
    <s v="CA-001633"/>
    <n v="1"/>
    <n v="1900"/>
    <m/>
    <n v="1900"/>
    <x v="0"/>
    <n v="1654"/>
    <n v="900"/>
    <n v="900"/>
    <n v="945"/>
    <n v="955"/>
    <n v="0"/>
    <x v="10"/>
    <x v="2"/>
    <e v="#REF!"/>
    <e v="#REF!"/>
    <s v=""/>
    <n v="0.50263157894736843"/>
  </r>
  <r>
    <x v="1"/>
    <x v="28"/>
    <x v="1"/>
    <x v="3"/>
    <m/>
    <m/>
    <s v="PULLEY_ASSEMBLY, TOYOTA VIOS 2014  4PK"/>
    <s v="CA-001397"/>
    <n v="1"/>
    <n v="2000"/>
    <m/>
    <n v="2000"/>
    <x v="0"/>
    <n v="2016"/>
    <n v="1200"/>
    <n v="1200"/>
    <n v="1260"/>
    <n v="740"/>
    <n v="222"/>
    <x v="11"/>
    <x v="2"/>
    <e v="#REF!"/>
    <e v="#REF!"/>
    <e v="#REF!"/>
    <n v="0.37"/>
  </r>
  <r>
    <x v="2"/>
    <x v="45"/>
    <x v="2"/>
    <x v="22"/>
    <m/>
    <n v="1900"/>
    <s v="EVAPORATOR, MAZDA  3  2004-2008 STAL"/>
    <s v="CA-001505"/>
    <n v="1"/>
    <n v="1696"/>
    <m/>
    <n v="1696"/>
    <x v="0"/>
    <n v="1838"/>
    <n v="1000"/>
    <n v="1000"/>
    <n v="1050"/>
    <n v="646"/>
    <n v="193.79999999999998"/>
    <x v="10"/>
    <x v="2"/>
    <e v="#REF!"/>
    <e v="#REF!"/>
    <e v="#REF!"/>
    <n v="0.38089622641509435"/>
  </r>
  <r>
    <x v="1"/>
    <x v="21"/>
    <x v="0"/>
    <x v="8"/>
    <m/>
    <m/>
    <s v="EVAPORATOR, TOYOTA INNOVA OLD (F) JBE-0103ZX (STAL)"/>
    <s v="CA-001633"/>
    <n v="1"/>
    <n v="1900"/>
    <m/>
    <n v="1900"/>
    <x v="0"/>
    <n v="1654"/>
    <n v="900"/>
    <n v="900"/>
    <n v="945"/>
    <n v="955"/>
    <n v="0"/>
    <x v="10"/>
    <x v="2"/>
    <e v="#REF!"/>
    <e v="#REF!"/>
    <e v="#REF!"/>
    <n v="0.50263157894736843"/>
  </r>
  <r>
    <x v="2"/>
    <x v="52"/>
    <x v="2"/>
    <x v="22"/>
    <m/>
    <m/>
    <s v="AUXFAN_MOTOR, MITSUBISHI MONTERO (ORIG) SILVER"/>
    <s v="CA-000055"/>
    <n v="1"/>
    <n v="1400"/>
    <m/>
    <n v="1400"/>
    <x v="0"/>
    <n v="1838"/>
    <n v="1000"/>
    <n v="1000"/>
    <n v="1050"/>
    <n v="350"/>
    <n v="105"/>
    <x v="14"/>
    <x v="2"/>
    <e v="#REF!"/>
    <e v="#REF!"/>
    <s v=""/>
    <n v="0.25"/>
  </r>
  <r>
    <x v="2"/>
    <x v="52"/>
    <x v="2"/>
    <x v="22"/>
    <m/>
    <n v="1850"/>
    <s v="EVAPORATOR, ISUZU MUX/D-MAX 2013 (STAL)"/>
    <s v="CA-000701"/>
    <n v="1"/>
    <n v="1850"/>
    <m/>
    <n v="1850"/>
    <x v="0"/>
    <n v="1995"/>
    <n v="1000"/>
    <n v="1000"/>
    <n v="1050"/>
    <n v="800"/>
    <n v="240"/>
    <x v="10"/>
    <x v="2"/>
    <e v="#REF!"/>
    <e v="#REF!"/>
    <e v="#REF!"/>
    <n v="0.43243243243243246"/>
  </r>
  <r>
    <x v="1"/>
    <x v="24"/>
    <x v="0"/>
    <x v="89"/>
    <m/>
    <m/>
    <s v="AUXFAN_MOTOR, HONDA CIVIC GOLD 3256"/>
    <s v="CA-001382"/>
    <n v="1"/>
    <n v="1700"/>
    <m/>
    <n v="1700"/>
    <x v="0"/>
    <n v="1470"/>
    <n v="800"/>
    <n v="800"/>
    <n v="840"/>
    <n v="860"/>
    <n v="0"/>
    <x v="14"/>
    <x v="2"/>
    <e v="#REF!"/>
    <e v="#REF!"/>
    <e v="#REF!"/>
    <n v="0.50588235294117645"/>
  </r>
  <r>
    <x v="2"/>
    <x v="55"/>
    <x v="4"/>
    <x v="92"/>
    <m/>
    <m/>
    <s v="HAND_TORCH,  WITH IGNITER"/>
    <s v="TL-000026"/>
    <n v="1"/>
    <n v="1900"/>
    <m/>
    <n v="1900"/>
    <x v="0"/>
    <n v="1838"/>
    <n v="1000"/>
    <n v="1000"/>
    <n v="1050"/>
    <n v="850"/>
    <n v="255"/>
    <x v="55"/>
    <x v="4"/>
    <e v="#REF!"/>
    <e v="#REF!"/>
    <s v=""/>
    <n v="0.44736842105263158"/>
  </r>
  <r>
    <x v="2"/>
    <x v="38"/>
    <x v="0"/>
    <x v="65"/>
    <m/>
    <m/>
    <s v="EVAPORATOR, TOYOTA INNOVA OLD (F) JBE-0103ZX (STAL)"/>
    <s v="CA-001633"/>
    <n v="1"/>
    <n v="2000"/>
    <m/>
    <n v="2000"/>
    <x v="0"/>
    <n v="1654"/>
    <n v="900"/>
    <n v="900"/>
    <n v="945"/>
    <n v="1055"/>
    <n v="0"/>
    <x v="10"/>
    <x v="2"/>
    <e v="#REF!"/>
    <e v="#REF!"/>
    <s v=""/>
    <n v="0.52749999999999997"/>
  </r>
  <r>
    <x v="2"/>
    <x v="45"/>
    <x v="0"/>
    <x v="36"/>
    <m/>
    <n v="1900"/>
    <s v="EVAPORATOR, HONDA CITY 2009 (STAL)"/>
    <s v="CA-000141"/>
    <n v="1"/>
    <n v="1696"/>
    <m/>
    <n v="1696"/>
    <x v="0"/>
    <n v="1764"/>
    <n v="960"/>
    <n v="960"/>
    <n v="1008"/>
    <n v="688"/>
    <n v="0"/>
    <x v="10"/>
    <x v="2"/>
    <e v="#REF!"/>
    <e v="#REF!"/>
    <n v="1899.5200000000002"/>
    <n v="0.40566037735849059"/>
  </r>
  <r>
    <x v="2"/>
    <x v="56"/>
    <x v="2"/>
    <x v="7"/>
    <m/>
    <n v="1900"/>
    <s v="BLOWER_MOTOR, HONDA CITY 2009 STAL"/>
    <s v="CA-001726"/>
    <n v="1"/>
    <n v="1696"/>
    <m/>
    <n v="1696"/>
    <x v="0"/>
    <n v="1581"/>
    <n v="860"/>
    <n v="860"/>
    <n v="903"/>
    <n v="793"/>
    <n v="237.89999999999998"/>
    <x v="15"/>
    <x v="2"/>
    <e v="#REF!"/>
    <e v="#REF!"/>
    <n v="1899.5200000000002"/>
    <n v="0.46757075471698112"/>
  </r>
  <r>
    <x v="2"/>
    <x v="37"/>
    <x v="2"/>
    <x v="7"/>
    <m/>
    <n v="2000"/>
    <s v="EVAPORATOR, TOYOTA INNOVA OLD (F) JBE-0103ZX (STAL)"/>
    <s v="CA-001633"/>
    <n v="1"/>
    <n v="1790"/>
    <m/>
    <n v="1790"/>
    <x v="0"/>
    <n v="1654"/>
    <n v="900"/>
    <n v="900"/>
    <n v="945"/>
    <n v="845"/>
    <n v="253.5"/>
    <x v="10"/>
    <x v="2"/>
    <e v="#REF!"/>
    <e v="#REF!"/>
    <n v="2004.8000000000002"/>
    <n v="0.47206703910614523"/>
  </r>
  <r>
    <x v="2"/>
    <x v="38"/>
    <x v="3"/>
    <x v="12"/>
    <m/>
    <n v="2100"/>
    <s v="EVAPORATOR, TOYOTA INNOVA OLD (F) JBE-0103ZX (STAL)"/>
    <s v="CA-001633"/>
    <n v="1"/>
    <n v="1875"/>
    <m/>
    <n v="1875"/>
    <x v="0"/>
    <n v="1654"/>
    <n v="900"/>
    <n v="900"/>
    <n v="945"/>
    <n v="930"/>
    <n v="279"/>
    <x v="10"/>
    <x v="2"/>
    <e v="#REF!"/>
    <e v="#REF!"/>
    <n v="2100"/>
    <n v="0.496"/>
  </r>
  <r>
    <x v="2"/>
    <x v="39"/>
    <x v="2"/>
    <x v="7"/>
    <m/>
    <n v="1900"/>
    <s v="EVAPORATOR, TOYOTA INNOVA OLD (F) JBE-0103ZX (STAL)"/>
    <s v="CA-001633"/>
    <n v="1"/>
    <n v="1700"/>
    <m/>
    <n v="1700"/>
    <x v="0"/>
    <n v="1654"/>
    <n v="900"/>
    <n v="900"/>
    <n v="945"/>
    <n v="755"/>
    <n v="226.5"/>
    <x v="10"/>
    <x v="2"/>
    <e v="#REF!"/>
    <e v="#REF!"/>
    <n v="1904.0000000000002"/>
    <n v="0.44411764705882351"/>
  </r>
  <r>
    <x v="2"/>
    <x v="57"/>
    <x v="2"/>
    <x v="7"/>
    <m/>
    <n v="2000"/>
    <s v="EVAPORATOR, TOYOTA INNOVA OLD (F) JBE-0103ZX (STAL)"/>
    <s v="CA-001633"/>
    <n v="1"/>
    <n v="1786"/>
    <m/>
    <n v="1786"/>
    <x v="0"/>
    <n v="1654"/>
    <n v="900"/>
    <n v="900"/>
    <n v="945"/>
    <n v="841"/>
    <n v="252.29999999999998"/>
    <x v="10"/>
    <x v="2"/>
    <e v="#REF!"/>
    <e v="#REF!"/>
    <n v="2000.3200000000002"/>
    <n v="0.47088465845464728"/>
  </r>
  <r>
    <x v="3"/>
    <x v="62"/>
    <x v="0"/>
    <x v="11"/>
    <m/>
    <n v="2000"/>
    <s v="EVAPORATOR, TOYOTA INNOVA OLD (F) JBE-0103ZX (STAL)"/>
    <s v="CA-001633"/>
    <n v="1"/>
    <n v="1785"/>
    <m/>
    <n v="1785"/>
    <x v="0"/>
    <n v="1654"/>
    <n v="900"/>
    <n v="900"/>
    <n v="945"/>
    <n v="840"/>
    <n v="0"/>
    <x v="10"/>
    <x v="2"/>
    <m/>
    <m/>
    <n v="1999.2000000000003"/>
    <n v="0.47058823529411764"/>
  </r>
  <r>
    <x v="3"/>
    <x v="63"/>
    <x v="0"/>
    <x v="18"/>
    <m/>
    <n v="2000"/>
    <s v="EVAPORATOR, TOYOTA INNOVA OLD (F) JBE-0103ZX (STAL)"/>
    <s v="CA-001633"/>
    <n v="1"/>
    <n v="1786"/>
    <m/>
    <n v="1786"/>
    <x v="0"/>
    <n v="1654"/>
    <n v="900"/>
    <n v="900"/>
    <n v="945"/>
    <n v="841"/>
    <n v="0"/>
    <x v="10"/>
    <x v="2"/>
    <m/>
    <m/>
    <n v="2000.3200000000002"/>
    <n v="0.47088465845464728"/>
  </r>
  <r>
    <x v="3"/>
    <x v="65"/>
    <x v="0"/>
    <x v="11"/>
    <m/>
    <m/>
    <s v="EVAPORATOR, TOYOTA INNOVA OLD (F) JBE-0103ZX (STAL)"/>
    <s v="CA-001633"/>
    <n v="1"/>
    <n v="2000"/>
    <m/>
    <n v="2000"/>
    <x v="0"/>
    <n v="1654"/>
    <n v="900"/>
    <n v="900"/>
    <n v="945"/>
    <n v="1055"/>
    <n v="0"/>
    <x v="10"/>
    <x v="2"/>
    <m/>
    <m/>
    <s v=""/>
    <n v="0.52749999999999997"/>
  </r>
  <r>
    <x v="2"/>
    <x v="111"/>
    <x v="2"/>
    <x v="22"/>
    <m/>
    <m/>
    <s v="HOSE, COOLMATE 1/2 DISCHARGE PER FT"/>
    <s v="GE-000179"/>
    <n v="20"/>
    <n v="60"/>
    <m/>
    <n v="1200"/>
    <x v="0"/>
    <n v="80"/>
    <n v="43"/>
    <n v="860"/>
    <n v="903"/>
    <n v="297"/>
    <n v="89.1"/>
    <x v="19"/>
    <x v="1"/>
    <e v="#REF!"/>
    <e v="#REF!"/>
    <s v=""/>
    <n v="0.2475"/>
  </r>
  <r>
    <x v="2"/>
    <x v="40"/>
    <x v="2"/>
    <x v="7"/>
    <m/>
    <n v="550"/>
    <s v="EXP. VALVE LT, POKKA 9A55 HONDA NEW"/>
    <s v="CA-000636"/>
    <n v="3"/>
    <n v="491"/>
    <m/>
    <n v="1473"/>
    <x v="0"/>
    <n v="497"/>
    <n v="270"/>
    <n v="810"/>
    <n v="850.5"/>
    <n v="622.5"/>
    <n v="186.75"/>
    <x v="23"/>
    <x v="2"/>
    <e v="#REF!"/>
    <e v="#REF!"/>
    <n v="549.92000000000007"/>
    <n v="0.42260692464358451"/>
  </r>
  <r>
    <x v="3"/>
    <x v="115"/>
    <x v="0"/>
    <x v="8"/>
    <m/>
    <m/>
    <s v="EVAPORATOR, TOYOTA INNOVA OLD (F) JBE-0103ZX (STAL)"/>
    <s v="CA-001633"/>
    <n v="1"/>
    <n v="2000"/>
    <m/>
    <n v="2000"/>
    <x v="0"/>
    <n v="1654"/>
    <n v="900"/>
    <n v="900"/>
    <n v="945"/>
    <n v="1055"/>
    <n v="0"/>
    <x v="10"/>
    <x v="2"/>
    <m/>
    <m/>
    <s v=""/>
    <n v="0.52749999999999997"/>
  </r>
  <r>
    <x v="3"/>
    <x v="70"/>
    <x v="0"/>
    <x v="18"/>
    <m/>
    <m/>
    <s v="EVAPORATOR, TOYOTA INNOVA OLD (F) JBE-0103ZX (STAL)"/>
    <s v="CA-001633"/>
    <n v="1"/>
    <n v="2000"/>
    <m/>
    <n v="2000"/>
    <x v="0"/>
    <n v="1654"/>
    <n v="900"/>
    <n v="900"/>
    <n v="945"/>
    <n v="1055"/>
    <n v="0"/>
    <x v="10"/>
    <x v="2"/>
    <m/>
    <m/>
    <s v=""/>
    <n v="0.52749999999999997"/>
  </r>
  <r>
    <x v="3"/>
    <x v="71"/>
    <x v="0"/>
    <x v="11"/>
    <m/>
    <m/>
    <s v="EVAPORATOR, TOYOTA INNOVA OLD (F) JBE-0103ZX (STAL)"/>
    <s v="CA-001633"/>
    <n v="1"/>
    <n v="2000"/>
    <m/>
    <n v="2000"/>
    <x v="0"/>
    <n v="1654"/>
    <n v="900"/>
    <n v="900"/>
    <n v="945"/>
    <n v="1055"/>
    <n v="0"/>
    <x v="10"/>
    <x v="2"/>
    <m/>
    <m/>
    <s v=""/>
    <n v="0.52749999999999997"/>
  </r>
  <r>
    <x v="3"/>
    <x v="122"/>
    <x v="0"/>
    <x v="8"/>
    <m/>
    <m/>
    <s v="EVAPORATOR, TOYOTA INNOVA OLD (F) JBE-0103ZX (STAL)"/>
    <s v="CA-001633"/>
    <n v="1"/>
    <n v="2000"/>
    <m/>
    <n v="2000"/>
    <x v="0"/>
    <n v="1654"/>
    <n v="900"/>
    <n v="900"/>
    <n v="945"/>
    <n v="1055"/>
    <n v="0"/>
    <x v="10"/>
    <x v="2"/>
    <m/>
    <m/>
    <s v=""/>
    <n v="0.52749999999999997"/>
  </r>
  <r>
    <x v="3"/>
    <x v="101"/>
    <x v="0"/>
    <x v="11"/>
    <m/>
    <n v="2000"/>
    <s v="EVAPORATOR, TOYOTA INNOVA OLD (F) JBE-0103ZX (STAL)"/>
    <s v="CA-001633"/>
    <n v="1"/>
    <n v="1786"/>
    <m/>
    <n v="1786"/>
    <x v="0"/>
    <n v="1654"/>
    <n v="900"/>
    <n v="900"/>
    <n v="945"/>
    <n v="841"/>
    <n v="0"/>
    <x v="10"/>
    <x v="2"/>
    <m/>
    <m/>
    <n v="2000.3200000000002"/>
    <n v="0"/>
  </r>
  <r>
    <x v="2"/>
    <x v="44"/>
    <x v="2"/>
    <x v="9"/>
    <m/>
    <n v="1900"/>
    <s v="EVAPORATOR, TOYOTA INNOVA OLD (R) JBE-0102X (STAL)"/>
    <s v="CA-001634"/>
    <n v="1"/>
    <n v="1696"/>
    <m/>
    <n v="1696"/>
    <x v="0"/>
    <n v="1470"/>
    <n v="800"/>
    <n v="800"/>
    <n v="840"/>
    <n v="856"/>
    <n v="256.8"/>
    <x v="10"/>
    <x v="2"/>
    <e v="#REF!"/>
    <e v="#REF!"/>
    <n v="1899.5200000000002"/>
    <n v="0.50471698113207553"/>
  </r>
  <r>
    <x v="2"/>
    <x v="49"/>
    <x v="2"/>
    <x v="7"/>
    <m/>
    <n v="1300"/>
    <s v="AUXFAN_MOTOR, MITSUBISHI MONTERO GOLD"/>
    <s v="CA-000056"/>
    <n v="1"/>
    <n v="1160"/>
    <m/>
    <n v="1160"/>
    <x v="0"/>
    <n v="1379"/>
    <n v="750"/>
    <n v="750"/>
    <n v="787.5"/>
    <n v="372.5"/>
    <n v="111.75"/>
    <x v="14"/>
    <x v="2"/>
    <e v="#REF!"/>
    <e v="#REF!"/>
    <n v="1299.2"/>
    <n v="0.32112068965517243"/>
  </r>
  <r>
    <x v="3"/>
    <x v="85"/>
    <x v="0"/>
    <x v="10"/>
    <m/>
    <m/>
    <s v="EVAPORATOR, TOYOTA INNOVA OLD (F) JBE-0103ZX (STAL)"/>
    <s v="CA-001633"/>
    <n v="1"/>
    <n v="2000"/>
    <m/>
    <n v="2000"/>
    <x v="0"/>
    <n v="1654"/>
    <n v="900"/>
    <n v="900"/>
    <n v="945"/>
    <n v="1055"/>
    <n v="0"/>
    <x v="10"/>
    <x v="2"/>
    <m/>
    <m/>
    <m/>
    <n v="0.52749999999999997"/>
  </r>
  <r>
    <x v="2"/>
    <x v="50"/>
    <x v="2"/>
    <x v="7"/>
    <m/>
    <m/>
    <s v="BLOWER_MOTOR, UNIVERSAL 6711"/>
    <s v="CA-000236"/>
    <n v="1"/>
    <n v="1300"/>
    <m/>
    <n v="1300"/>
    <x v="0"/>
    <n v="1379"/>
    <n v="750"/>
    <n v="750"/>
    <n v="787.5"/>
    <n v="512.5"/>
    <n v="153.75"/>
    <x v="15"/>
    <x v="2"/>
    <e v="#REF!"/>
    <e v="#REF!"/>
    <s v=""/>
    <n v="0.39423076923076922"/>
  </r>
  <r>
    <x v="3"/>
    <x v="86"/>
    <x v="0"/>
    <x v="11"/>
    <m/>
    <m/>
    <s v="EVAPORATOR, TOYOTA INNOVA OLD (F) JBE-0103ZX (STAL)"/>
    <s v="CA-001633"/>
    <n v="1"/>
    <n v="2000"/>
    <m/>
    <n v="2000"/>
    <x v="0"/>
    <n v="1654"/>
    <n v="900"/>
    <n v="900"/>
    <n v="945"/>
    <n v="1055"/>
    <n v="0"/>
    <x v="10"/>
    <x v="2"/>
    <m/>
    <m/>
    <m/>
    <n v="0.52749999999999997"/>
  </r>
  <r>
    <x v="4"/>
    <x v="89"/>
    <x v="0"/>
    <x v="49"/>
    <m/>
    <m/>
    <s v="EVAPORATOR, TOYOTA INNOVA OLD (F) JBE-0103ZX (STAL)"/>
    <s v="CA-001633"/>
    <n v="1"/>
    <n v="2000"/>
    <m/>
    <n v="2000"/>
    <x v="0"/>
    <n v="1654"/>
    <n v="900"/>
    <n v="900"/>
    <n v="945"/>
    <n v="1055"/>
    <n v="0"/>
    <x v="10"/>
    <x v="2"/>
    <m/>
    <m/>
    <m/>
    <n v="0.52749999999999997"/>
  </r>
  <r>
    <x v="4"/>
    <x v="92"/>
    <x v="0"/>
    <x v="10"/>
    <m/>
    <m/>
    <s v="EVAPORATOR, TOYOTA INNOVA OLD (F) JBE-0103ZX (STAL)"/>
    <s v="CA-001633"/>
    <n v="1"/>
    <n v="2000"/>
    <m/>
    <n v="2000"/>
    <x v="0"/>
    <n v="1654"/>
    <n v="900"/>
    <n v="900"/>
    <n v="945"/>
    <n v="1055"/>
    <n v="0"/>
    <x v="10"/>
    <x v="2"/>
    <m/>
    <m/>
    <m/>
    <n v="0.52749999999999997"/>
  </r>
  <r>
    <x v="4"/>
    <x v="93"/>
    <x v="0"/>
    <x v="8"/>
    <m/>
    <m/>
    <s v="EVAPORATOR, TOYOTA INNOVA OLD (F) JBE-0103ZX (STAL)"/>
    <s v="CA-001633"/>
    <n v="1"/>
    <n v="2000"/>
    <m/>
    <n v="2000"/>
    <x v="0"/>
    <n v="1654"/>
    <n v="900"/>
    <n v="900"/>
    <n v="945"/>
    <n v="1055"/>
    <n v="0"/>
    <x v="10"/>
    <x v="2"/>
    <m/>
    <m/>
    <m/>
    <n v="0.52749999999999997"/>
  </r>
  <r>
    <x v="2"/>
    <x v="55"/>
    <x v="4"/>
    <x v="92"/>
    <m/>
    <m/>
    <s v="MAPP_GAS, COOLIB (ISHABELLA) TORCH GAS"/>
    <s v="IM-000317"/>
    <n v="3"/>
    <n v="380"/>
    <m/>
    <n v="1140"/>
    <x v="0"/>
    <n v="451"/>
    <n v="250"/>
    <n v="750"/>
    <n v="772.5"/>
    <n v="367.5"/>
    <n v="110.25"/>
    <x v="45"/>
    <x v="0"/>
    <e v="#REF!"/>
    <e v="#REF!"/>
    <s v=""/>
    <n v="0.32236842105263158"/>
  </r>
  <r>
    <x v="2"/>
    <x v="40"/>
    <x v="2"/>
    <x v="7"/>
    <m/>
    <n v="550"/>
    <s v="EXP. VALVE LT, POKKA 9A128 VIOS '14"/>
    <s v="CA-000628"/>
    <n v="3"/>
    <n v="491"/>
    <m/>
    <n v="1473"/>
    <x v="0"/>
    <n v="497"/>
    <n v="270"/>
    <n v="810"/>
    <n v="850.5"/>
    <n v="622.5"/>
    <n v="186.75"/>
    <x v="23"/>
    <x v="2"/>
    <e v="#REF!"/>
    <e v="#REF!"/>
    <n v="549.92000000000007"/>
    <n v="0.42260692464358451"/>
  </r>
  <r>
    <x v="2"/>
    <x v="112"/>
    <x v="2"/>
    <x v="22"/>
    <m/>
    <m/>
    <s v="BLOWER_MOTOR, UNIVERSAL DOUBLE SHAFTING (ADVENTURE/REVO) 12V"/>
    <s v="CA-000238"/>
    <n v="2"/>
    <n v="550"/>
    <m/>
    <n v="1100"/>
    <x v="0"/>
    <n v="840"/>
    <n v="400"/>
    <n v="800"/>
    <n v="840"/>
    <n v="260"/>
    <n v="78"/>
    <x v="15"/>
    <x v="2"/>
    <e v="#REF!"/>
    <e v="#REF!"/>
    <s v=""/>
    <n v="0.23636363636363636"/>
  </r>
  <r>
    <x v="2"/>
    <x v="52"/>
    <x v="2"/>
    <x v="22"/>
    <m/>
    <m/>
    <s v="EXP. VALVE LT, POKKA 9A129B ACCENT"/>
    <s v="CA-000629"/>
    <n v="2"/>
    <n v="450"/>
    <m/>
    <n v="900"/>
    <x v="0"/>
    <n v="625"/>
    <n v="340"/>
    <n v="680"/>
    <n v="714"/>
    <n v="186"/>
    <n v="55.8"/>
    <x v="23"/>
    <x v="2"/>
    <e v="#REF!"/>
    <e v="#REF!"/>
    <s v=""/>
    <n v="0.20666666666666667"/>
  </r>
  <r>
    <x v="4"/>
    <x v="82"/>
    <x v="0"/>
    <x v="18"/>
    <m/>
    <m/>
    <s v="EVAPORATOR, TOYOTA INNOVA OLD (F) JBE-0103ZX (STAL)"/>
    <s v="CA-001633"/>
    <n v="1"/>
    <n v="2000"/>
    <m/>
    <n v="2000"/>
    <x v="0"/>
    <n v="1654"/>
    <n v="900"/>
    <n v="900"/>
    <n v="945"/>
    <n v="1055"/>
    <n v="0"/>
    <x v="10"/>
    <x v="2"/>
    <e v="#REF!"/>
    <e v="#REF!"/>
    <e v="#REF!"/>
    <n v="0"/>
  </r>
  <r>
    <x v="0"/>
    <x v="47"/>
    <x v="0"/>
    <x v="97"/>
    <m/>
    <m/>
    <s v="EVAPORATOR, TOYOTA VIOS 2014 (SUPERMAN)_STAL"/>
    <s v="CA-000146"/>
    <n v="1"/>
    <n v="2000"/>
    <m/>
    <n v="2000"/>
    <x v="0"/>
    <n v="1434"/>
    <n v="780"/>
    <n v="780"/>
    <n v="819"/>
    <n v="1181"/>
    <n v="0"/>
    <x v="10"/>
    <x v="2"/>
    <m/>
    <m/>
    <s v=""/>
    <n v="0.59050000000000002"/>
  </r>
  <r>
    <x v="0"/>
    <x v="7"/>
    <x v="0"/>
    <x v="23"/>
    <m/>
    <m/>
    <s v="EVAPORATOR, TOYOTA VIOS 2014 (SUPERMAN)_STAL"/>
    <s v="CA-000146"/>
    <n v="1"/>
    <n v="2100"/>
    <m/>
    <n v="2100"/>
    <x v="0"/>
    <n v="1434"/>
    <n v="780"/>
    <n v="780"/>
    <n v="819"/>
    <n v="1281"/>
    <n v="0"/>
    <x v="10"/>
    <x v="2"/>
    <m/>
    <m/>
    <s v=""/>
    <n v="0.61"/>
  </r>
  <r>
    <x v="2"/>
    <x v="35"/>
    <x v="0"/>
    <x v="36"/>
    <m/>
    <m/>
    <s v="EXP. VALVE LT, POKKA 9A238 SUBARU FORESTER"/>
    <s v="CA-001728"/>
    <n v="2"/>
    <n v="550"/>
    <m/>
    <n v="1100"/>
    <x v="0"/>
    <n v="533"/>
    <n v="290"/>
    <n v="580"/>
    <n v="609"/>
    <n v="491"/>
    <n v="0"/>
    <x v="23"/>
    <x v="2"/>
    <e v="#REF!"/>
    <e v="#REF!"/>
    <s v=""/>
    <n v="0.44636363636363635"/>
  </r>
  <r>
    <x v="1"/>
    <x v="29"/>
    <x v="0"/>
    <x v="17"/>
    <m/>
    <m/>
    <s v="EVAPORATOR, TOYOTA VIOS 2014 (SUPERMAN)_STAL"/>
    <s v="CA-000146"/>
    <n v="1"/>
    <n v="2100"/>
    <m/>
    <n v="2100"/>
    <x v="0"/>
    <n v="1434"/>
    <n v="780"/>
    <n v="780"/>
    <n v="819"/>
    <n v="1281"/>
    <n v="0"/>
    <x v="10"/>
    <x v="2"/>
    <e v="#REF!"/>
    <e v="#REF!"/>
    <e v="#REF!"/>
    <n v="0.61"/>
  </r>
  <r>
    <x v="2"/>
    <x v="44"/>
    <x v="2"/>
    <x v="9"/>
    <m/>
    <n v="550"/>
    <s v="RECEIVER_DRIER_ALUMINUM, YK 8015 (L) (Adventure)"/>
    <s v="CA-001085"/>
    <n v="2"/>
    <n v="491"/>
    <m/>
    <n v="982"/>
    <x v="0"/>
    <n v="615"/>
    <n v="260"/>
    <n v="520"/>
    <n v="546"/>
    <n v="436"/>
    <n v="130.79999999999998"/>
    <x v="27"/>
    <x v="2"/>
    <e v="#REF!"/>
    <e v="#REF!"/>
    <n v="549.92000000000007"/>
    <n v="0.4439918533604888"/>
  </r>
  <r>
    <x v="2"/>
    <x v="46"/>
    <x v="0"/>
    <x v="97"/>
    <m/>
    <m/>
    <s v="EVAPORATOR, TOYOTA VIOS 2014 (SUPERMAN)_STAL"/>
    <s v="CA-000146"/>
    <n v="1"/>
    <n v="2000"/>
    <m/>
    <n v="2000"/>
    <x v="0"/>
    <n v="1434"/>
    <n v="780"/>
    <n v="780"/>
    <n v="819"/>
    <n v="1181"/>
    <n v="0"/>
    <x v="10"/>
    <x v="2"/>
    <e v="#REF!"/>
    <e v="#REF!"/>
    <s v=""/>
    <n v="0.59050000000000002"/>
  </r>
  <r>
    <x v="2"/>
    <x v="51"/>
    <x v="0"/>
    <x v="97"/>
    <m/>
    <m/>
    <s v="EVAPORATOR, TOYOTA VIOS 2014 (SUPERMAN)_STAL"/>
    <s v="CA-000146"/>
    <n v="1"/>
    <n v="2000"/>
    <m/>
    <n v="2000"/>
    <x v="0"/>
    <n v="1434"/>
    <n v="780"/>
    <n v="780"/>
    <n v="819"/>
    <n v="1181"/>
    <n v="0"/>
    <x v="10"/>
    <x v="2"/>
    <e v="#REF!"/>
    <e v="#REF!"/>
    <s v=""/>
    <n v="0.59050000000000002"/>
  </r>
  <r>
    <x v="2"/>
    <x v="39"/>
    <x v="2"/>
    <x v="22"/>
    <m/>
    <m/>
    <s v="EXP. VALVE LT, POKKA 9A56 INNOVA F"/>
    <s v="CA-000637"/>
    <n v="2"/>
    <n v="420"/>
    <m/>
    <n v="840"/>
    <x v="0"/>
    <n v="460"/>
    <n v="250"/>
    <n v="500"/>
    <n v="525"/>
    <n v="315"/>
    <n v="94.5"/>
    <x v="23"/>
    <x v="2"/>
    <e v="#REF!"/>
    <e v="#REF!"/>
    <s v=""/>
    <n v="0.375"/>
  </r>
  <r>
    <x v="3"/>
    <x v="115"/>
    <x v="0"/>
    <x v="49"/>
    <m/>
    <m/>
    <s v="EVAPORATOR, TOYOTA VIOS 2014 (SUPERMAN)_STAL"/>
    <s v="CA-000146"/>
    <n v="1"/>
    <n v="2100"/>
    <m/>
    <n v="2100"/>
    <x v="0"/>
    <n v="1434"/>
    <n v="780"/>
    <n v="780"/>
    <n v="819"/>
    <n v="1281"/>
    <n v="0"/>
    <x v="10"/>
    <x v="2"/>
    <m/>
    <m/>
    <s v=""/>
    <n v="0.61"/>
  </r>
  <r>
    <x v="3"/>
    <x v="69"/>
    <x v="0"/>
    <x v="23"/>
    <m/>
    <n v="2100"/>
    <s v="EVAPORATOR, TOYOTA VIOS 2014 (SUPERMAN)_STAL"/>
    <s v="CA-000146"/>
    <n v="1"/>
    <n v="1875"/>
    <m/>
    <n v="1875"/>
    <x v="0"/>
    <n v="1434"/>
    <n v="780"/>
    <n v="780"/>
    <n v="819"/>
    <n v="1056"/>
    <n v="0"/>
    <x v="10"/>
    <x v="2"/>
    <m/>
    <m/>
    <n v="2100"/>
    <n v="0.56320000000000003"/>
  </r>
  <r>
    <x v="3"/>
    <x v="74"/>
    <x v="0"/>
    <x v="11"/>
    <m/>
    <n v="2100"/>
    <s v="EVAPORATOR, TOYOTA VIOS 2014 (SUPERMAN)_STAL"/>
    <s v="CA-000146"/>
    <n v="1"/>
    <n v="1875"/>
    <m/>
    <n v="1875"/>
    <x v="0"/>
    <n v="1434"/>
    <n v="780"/>
    <n v="780"/>
    <n v="819"/>
    <n v="1056"/>
    <n v="0"/>
    <x v="10"/>
    <x v="2"/>
    <m/>
    <m/>
    <m/>
    <n v="0.56320000000000003"/>
  </r>
  <r>
    <x v="3"/>
    <x v="86"/>
    <x v="0"/>
    <x v="17"/>
    <m/>
    <m/>
    <s v="EVAPORATOR, TOYOTA VIOS 2014 (SUPERMAN)_STAL"/>
    <s v="CA-000146"/>
    <n v="1"/>
    <n v="2000"/>
    <m/>
    <n v="2000"/>
    <x v="0"/>
    <n v="1434"/>
    <n v="780"/>
    <n v="780"/>
    <n v="819"/>
    <n v="1181"/>
    <n v="0"/>
    <x v="10"/>
    <x v="2"/>
    <m/>
    <m/>
    <m/>
    <n v="0.59050000000000002"/>
  </r>
  <r>
    <x v="4"/>
    <x v="116"/>
    <x v="0"/>
    <x v="97"/>
    <m/>
    <n v="2100"/>
    <s v="EVAPORATOR, TOYOTA VIOS 2014 (SUPERMAN)_STAL"/>
    <s v="CA-000146"/>
    <n v="1"/>
    <n v="1875"/>
    <m/>
    <n v="1875"/>
    <x v="0"/>
    <n v="1434"/>
    <n v="780"/>
    <n v="780"/>
    <n v="819"/>
    <n v="1056"/>
    <n v="0"/>
    <x v="10"/>
    <x v="2"/>
    <m/>
    <m/>
    <m/>
    <n v="0.56320000000000003"/>
  </r>
  <r>
    <x v="4"/>
    <x v="96"/>
    <x v="0"/>
    <x v="11"/>
    <m/>
    <m/>
    <s v="EVAPORATOR, TOYOTA VIOS 2014 (SUPERMAN)_STAL"/>
    <s v="CA-000146"/>
    <n v="1"/>
    <n v="2100"/>
    <m/>
    <n v="2100"/>
    <x v="0"/>
    <n v="1434"/>
    <n v="780"/>
    <n v="780"/>
    <n v="819"/>
    <n v="1281"/>
    <n v="0"/>
    <x v="10"/>
    <x v="2"/>
    <m/>
    <m/>
    <m/>
    <n v="0.61"/>
  </r>
  <r>
    <x v="4"/>
    <x v="96"/>
    <x v="0"/>
    <x v="23"/>
    <m/>
    <m/>
    <s v="EVAPORATOR, TOYOTA VIOS 2014 (SUPERMAN)_STAL"/>
    <s v="CA-000146"/>
    <n v="1"/>
    <n v="2100"/>
    <m/>
    <n v="2100"/>
    <x v="0"/>
    <n v="1434"/>
    <n v="780"/>
    <n v="780"/>
    <n v="819"/>
    <n v="1281"/>
    <n v="0"/>
    <x v="10"/>
    <x v="2"/>
    <m/>
    <m/>
    <m/>
    <n v="0.61"/>
  </r>
  <r>
    <x v="2"/>
    <x v="45"/>
    <x v="2"/>
    <x v="22"/>
    <m/>
    <m/>
    <s v="EXP. VALVE LT, POKKA 9A62 ADVENTURE"/>
    <s v="CA-001413"/>
    <n v="2"/>
    <n v="420"/>
    <m/>
    <n v="840"/>
    <x v="0"/>
    <n v="478"/>
    <n v="260"/>
    <n v="520"/>
    <n v="546"/>
    <n v="294"/>
    <n v="88.2"/>
    <x v="23"/>
    <x v="2"/>
    <e v="#REF!"/>
    <e v="#REF!"/>
    <s v=""/>
    <n v="0.35"/>
  </r>
  <r>
    <x v="2"/>
    <x v="55"/>
    <x v="0"/>
    <x v="36"/>
    <m/>
    <m/>
    <s v="HOSE, COOLMATE 5/8 SUNCTION PER FT"/>
    <s v="GE-000181"/>
    <n v="10"/>
    <n v="95"/>
    <m/>
    <n v="950"/>
    <x v="0"/>
    <n v="83"/>
    <n v="45"/>
    <n v="450"/>
    <n v="472.5"/>
    <n v="477.5"/>
    <n v="0"/>
    <x v="19"/>
    <x v="1"/>
    <e v="#REF!"/>
    <e v="#REF!"/>
    <s v=""/>
    <n v="0.50263157894736843"/>
  </r>
  <r>
    <x v="2"/>
    <x v="111"/>
    <x v="2"/>
    <x v="22"/>
    <m/>
    <m/>
    <s v="HOSE, COOLMATE 5/8 SUNCTION PER FT"/>
    <s v="GE-000181"/>
    <n v="10"/>
    <n v="65"/>
    <m/>
    <n v="650"/>
    <x v="0"/>
    <n v="83"/>
    <n v="45"/>
    <n v="450"/>
    <n v="472.5"/>
    <n v="177.5"/>
    <n v="53.25"/>
    <x v="19"/>
    <x v="1"/>
    <e v="#REF!"/>
    <e v="#REF!"/>
    <s v=""/>
    <n v="0.27307692307692305"/>
  </r>
  <r>
    <x v="2"/>
    <x v="55"/>
    <x v="4"/>
    <x v="92"/>
    <m/>
    <m/>
    <s v="ROD, HARRIS SILVER "/>
    <s v="IM-000098"/>
    <n v="20"/>
    <n v="25"/>
    <m/>
    <n v="500"/>
    <x v="0"/>
    <n v="30"/>
    <n v="19"/>
    <n v="380"/>
    <n v="391.40000000000003"/>
    <n v="108.59999999999997"/>
    <n v="32.579999999999991"/>
    <x v="56"/>
    <x v="0"/>
    <e v="#REF!"/>
    <e v="#REF!"/>
    <s v=""/>
    <n v="0.21719999999999992"/>
  </r>
  <r>
    <x v="1"/>
    <x v="28"/>
    <x v="1"/>
    <x v="3"/>
    <m/>
    <m/>
    <s v="AUXFAN_MOTOR, MITSUBISHI PAJERO  (7121)"/>
    <s v="CA-000058"/>
    <n v="1"/>
    <n v="1100"/>
    <m/>
    <n v="1100"/>
    <x v="0"/>
    <n v="1562"/>
    <n v="850"/>
    <n v="850"/>
    <n v="892.5"/>
    <n v="207.5"/>
    <n v="62.25"/>
    <x v="14"/>
    <x v="2"/>
    <e v="#REF!"/>
    <e v="#REF!"/>
    <e v="#REF!"/>
    <n v="0.18863636363636363"/>
  </r>
  <r>
    <x v="0"/>
    <x v="3"/>
    <x v="0"/>
    <x v="23"/>
    <m/>
    <m/>
    <s v="EVAPORATOR, TOYOTA INNOVA OLD (R) JBE-0102X (STAL)"/>
    <s v="CA-001634"/>
    <n v="1"/>
    <n v="1900"/>
    <m/>
    <n v="1900"/>
    <x v="0"/>
    <n v="1470"/>
    <n v="800"/>
    <n v="800"/>
    <n v="840"/>
    <n v="1060"/>
    <n v="0"/>
    <x v="10"/>
    <x v="2"/>
    <m/>
    <m/>
    <s v=""/>
    <n v="0.55789473684210522"/>
  </r>
  <r>
    <x v="0"/>
    <x v="98"/>
    <x v="0"/>
    <x v="17"/>
    <m/>
    <m/>
    <s v="EVAPORATOR, TOYOTA INNOVA OLD (R) JBE-0102X (STAL)"/>
    <s v="CA-001634"/>
    <n v="1"/>
    <n v="1900"/>
    <m/>
    <n v="1900"/>
    <x v="0"/>
    <n v="1470"/>
    <n v="800"/>
    <n v="800"/>
    <n v="840"/>
    <n v="1060"/>
    <n v="0"/>
    <x v="10"/>
    <x v="2"/>
    <m/>
    <m/>
    <s v=""/>
    <n v="0.55789473684210522"/>
  </r>
  <r>
    <x v="0"/>
    <x v="43"/>
    <x v="0"/>
    <x v="49"/>
    <m/>
    <m/>
    <s v="BLOWER_MOTOR, UNIVERSAL 6721"/>
    <s v="CA-000237"/>
    <n v="1"/>
    <n v="1300"/>
    <m/>
    <n v="1300"/>
    <x v="0"/>
    <n v="1379"/>
    <n v="750"/>
    <n v="750"/>
    <n v="787.5"/>
    <n v="512.5"/>
    <n v="0"/>
    <x v="15"/>
    <x v="2"/>
    <e v="#REF!"/>
    <e v="#REF!"/>
    <s v=""/>
    <n v="0.39423076923076922"/>
  </r>
  <r>
    <x v="0"/>
    <x v="9"/>
    <x v="0"/>
    <x v="17"/>
    <m/>
    <m/>
    <s v="EVAPORATOR, TOYOTA INNOVA OLD (R) JBE-0102X (STAL)"/>
    <s v="CA-001634"/>
    <n v="1"/>
    <n v="1900"/>
    <m/>
    <n v="1900"/>
    <x v="0"/>
    <n v="1470"/>
    <n v="800"/>
    <n v="800"/>
    <n v="840"/>
    <n v="1060"/>
    <n v="0"/>
    <x v="10"/>
    <x v="2"/>
    <e v="#REF!"/>
    <e v="#REF!"/>
    <s v=""/>
    <n v="0.55789473684210522"/>
  </r>
  <r>
    <x v="0"/>
    <x v="10"/>
    <x v="0"/>
    <x v="49"/>
    <m/>
    <m/>
    <s v="AUXFAN_MOTOR, MITSUBISHI MONTERO GOLD"/>
    <s v="CA-000056"/>
    <n v="1"/>
    <n v="1300"/>
    <m/>
    <n v="1300"/>
    <x v="0"/>
    <n v="1379"/>
    <n v="750"/>
    <n v="750"/>
    <n v="787.5"/>
    <n v="512.5"/>
    <n v="0"/>
    <x v="14"/>
    <x v="2"/>
    <e v="#REF!"/>
    <e v="#REF!"/>
    <s v=""/>
    <n v="0.39423076923076922"/>
  </r>
  <r>
    <x v="1"/>
    <x v="14"/>
    <x v="0"/>
    <x v="17"/>
    <m/>
    <m/>
    <s v="EVAPORATOR, TOYOTA INNOVA OLD (R) JBE-0102X (STAL)"/>
    <s v="CA-001634"/>
    <n v="1"/>
    <n v="1900"/>
    <m/>
    <n v="1900"/>
    <x v="0"/>
    <n v="1470"/>
    <n v="800"/>
    <n v="800"/>
    <n v="840"/>
    <n v="1060"/>
    <n v="0"/>
    <x v="10"/>
    <x v="2"/>
    <e v="#REF!"/>
    <e v="#REF!"/>
    <s v=""/>
    <n v="0.55789473684210522"/>
  </r>
  <r>
    <x v="1"/>
    <x v="124"/>
    <x v="0"/>
    <x v="11"/>
    <m/>
    <m/>
    <s v="EVAPORATOR, TOYOTA INNOVA NEW (R) JBE-0125ZX (STAL)"/>
    <s v="CA-001632"/>
    <n v="1"/>
    <n v="1900"/>
    <m/>
    <n v="1900"/>
    <x v="0"/>
    <n v="1379"/>
    <n v="750"/>
    <n v="750"/>
    <n v="787.5"/>
    <n v="1112.5"/>
    <n v="0"/>
    <x v="10"/>
    <x v="2"/>
    <e v="#REF!"/>
    <e v="#REF!"/>
    <s v=""/>
    <n v="0.58552631578947367"/>
  </r>
  <r>
    <x v="2"/>
    <x v="40"/>
    <x v="0"/>
    <x v="36"/>
    <m/>
    <n v="600"/>
    <s v="TEMPERATURE_RESISTANCE, HYUNDAI ACCENT 97143"/>
    <s v="CA-001825"/>
    <n v="1"/>
    <n v="536"/>
    <m/>
    <n v="536"/>
    <x v="0"/>
    <n v="699"/>
    <n v="350"/>
    <n v="350"/>
    <n v="367.5"/>
    <n v="168.5"/>
    <n v="0"/>
    <x v="32"/>
    <x v="2"/>
    <e v="#REF!"/>
    <e v="#REF!"/>
    <n v="600.32000000000005"/>
    <n v="0.31436567164179102"/>
  </r>
  <r>
    <x v="1"/>
    <x v="21"/>
    <x v="0"/>
    <x v="8"/>
    <m/>
    <m/>
    <s v="EVAPORATOR, TOYOTA INNOVA OLD (R) JBE-0102X (STAL)"/>
    <s v="CA-001634"/>
    <n v="1"/>
    <n v="1900"/>
    <m/>
    <n v="1900"/>
    <x v="0"/>
    <n v="1470"/>
    <n v="800"/>
    <n v="800"/>
    <n v="840"/>
    <n v="1060"/>
    <n v="0"/>
    <x v="10"/>
    <x v="2"/>
    <e v="#REF!"/>
    <e v="#REF!"/>
    <e v="#REF!"/>
    <n v="0.55789473684210522"/>
  </r>
  <r>
    <x v="1"/>
    <x v="25"/>
    <x v="0"/>
    <x v="48"/>
    <m/>
    <m/>
    <s v="AUXFAN_MOTOR, MITSUBISHI MONTERO GOLD"/>
    <s v="CA-000056"/>
    <n v="1"/>
    <n v="1300"/>
    <m/>
    <n v="1300"/>
    <x v="0"/>
    <n v="1379"/>
    <n v="750"/>
    <n v="750"/>
    <n v="787.5"/>
    <n v="512.5"/>
    <n v="0"/>
    <x v="14"/>
    <x v="2"/>
    <e v="#REF!"/>
    <e v="#REF!"/>
    <e v="#REF!"/>
    <n v="0.39423076923076922"/>
  </r>
  <r>
    <x v="1"/>
    <x v="26"/>
    <x v="0"/>
    <x v="10"/>
    <m/>
    <m/>
    <s v="BLOWER_MOTOR, UNIVERSAL 6711"/>
    <s v="CA-000236"/>
    <n v="1"/>
    <n v="1300"/>
    <m/>
    <n v="1300"/>
    <x v="0"/>
    <n v="1379"/>
    <n v="750"/>
    <n v="750"/>
    <n v="787.5"/>
    <n v="512.5"/>
    <n v="0"/>
    <x v="15"/>
    <x v="2"/>
    <e v="#REF!"/>
    <e v="#REF!"/>
    <e v="#REF!"/>
    <n v="0.39423076923076922"/>
  </r>
  <r>
    <x v="1"/>
    <x v="28"/>
    <x v="0"/>
    <x v="18"/>
    <m/>
    <m/>
    <s v="EVAPORATOR, TOYOTA INNOVA OLD (R) JBE-0102X (STAL)"/>
    <s v="CA-001634"/>
    <n v="1"/>
    <n v="1900"/>
    <m/>
    <n v="1900"/>
    <x v="0"/>
    <n v="1470"/>
    <n v="800"/>
    <n v="800"/>
    <n v="840"/>
    <n v="1060"/>
    <n v="0"/>
    <x v="10"/>
    <x v="2"/>
    <e v="#REF!"/>
    <e v="#REF!"/>
    <e v="#REF!"/>
    <n v="0.55789473684210522"/>
  </r>
  <r>
    <x v="1"/>
    <x v="32"/>
    <x v="0"/>
    <x v="78"/>
    <m/>
    <m/>
    <s v="BLOWER_MOTOR, UNIVERSAL 6711"/>
    <s v="CA-000236"/>
    <n v="1"/>
    <n v="1300"/>
    <m/>
    <n v="1300"/>
    <x v="0"/>
    <n v="1379"/>
    <n v="750"/>
    <n v="750"/>
    <n v="787.5"/>
    <n v="512.5"/>
    <n v="0"/>
    <x v="15"/>
    <x v="2"/>
    <e v="#REF!"/>
    <e v="#REF!"/>
    <e v="#REF!"/>
    <n v="0.39423076923076922"/>
  </r>
  <r>
    <x v="1"/>
    <x v="32"/>
    <x v="0"/>
    <x v="78"/>
    <m/>
    <m/>
    <s v="BLOWER_MOTOR, UNIVERSAL 6721"/>
    <s v="CA-000237"/>
    <n v="1"/>
    <n v="1300"/>
    <m/>
    <n v="1300"/>
    <x v="0"/>
    <n v="1379"/>
    <n v="750"/>
    <n v="750"/>
    <n v="787.5"/>
    <n v="512.5"/>
    <n v="0"/>
    <x v="15"/>
    <x v="2"/>
    <e v="#REF!"/>
    <e v="#REF!"/>
    <e v="#REF!"/>
    <n v="0.39423076923076922"/>
  </r>
  <r>
    <x v="1"/>
    <x v="33"/>
    <x v="0"/>
    <x v="26"/>
    <m/>
    <m/>
    <s v="TAPE_PE, PICUS Polythelene Tape (White)X 4&quot;"/>
    <s v="IM-000247"/>
    <n v="10"/>
    <n v="125"/>
    <m/>
    <n v="1250"/>
    <x v="0"/>
    <n v="147"/>
    <n v="75"/>
    <n v="750"/>
    <n v="772.5"/>
    <n v="477.5"/>
    <n v="0"/>
    <x v="29"/>
    <x v="0"/>
    <e v="#REF!"/>
    <e v="#REF!"/>
    <e v="#REF!"/>
    <n v="0.38200000000000001"/>
  </r>
  <r>
    <x v="2"/>
    <x v="117"/>
    <x v="0"/>
    <x v="58"/>
    <m/>
    <m/>
    <s v="MAPP_GAS, TURBO GAS (Winterpine) TORCH GAS"/>
    <s v="IM-000311"/>
    <n v="3"/>
    <n v="380"/>
    <m/>
    <n v="1140"/>
    <x v="0"/>
    <n v="451"/>
    <n v="250"/>
    <n v="750"/>
    <n v="772.5"/>
    <n v="367.5"/>
    <n v="0"/>
    <x v="45"/>
    <x v="0"/>
    <e v="#REF!"/>
    <e v="#REF!"/>
    <s v=""/>
    <n v="0.32236842105263158"/>
  </r>
  <r>
    <x v="2"/>
    <x v="40"/>
    <x v="2"/>
    <x v="7"/>
    <m/>
    <m/>
    <s v="RECEIVER_DRIER_ALUMINUM, YK 8209 (FX)"/>
    <s v="CA-001107"/>
    <n v="1"/>
    <n v="700"/>
    <m/>
    <n v="700"/>
    <x v="0"/>
    <n v="816"/>
    <n v="345"/>
    <n v="345"/>
    <n v="362.25"/>
    <n v="337.75"/>
    <n v="101.325"/>
    <x v="27"/>
    <x v="2"/>
    <e v="#REF!"/>
    <e v="#REF!"/>
    <s v=""/>
    <n v="0.48249999999999998"/>
  </r>
  <r>
    <x v="2"/>
    <x v="44"/>
    <x v="0"/>
    <x v="49"/>
    <m/>
    <m/>
    <s v="EVAPORATOR, TOYOTA INNOVA OLD (R) JBE-0102X (STAL)"/>
    <s v="CA-001634"/>
    <n v="1"/>
    <n v="1900"/>
    <m/>
    <n v="1900"/>
    <x v="0"/>
    <n v="1470"/>
    <n v="800"/>
    <n v="800"/>
    <n v="840"/>
    <n v="1060"/>
    <n v="0"/>
    <x v="10"/>
    <x v="2"/>
    <e v="#REF!"/>
    <e v="#REF!"/>
    <s v=""/>
    <n v="0.55789473684210522"/>
  </r>
  <r>
    <x v="2"/>
    <x v="45"/>
    <x v="0"/>
    <x v="49"/>
    <m/>
    <m/>
    <s v="EVAPORATOR, TOYOTA INNOVA OLD (R) JBE-0102X (STAL)"/>
    <s v="CA-001634"/>
    <n v="1"/>
    <n v="1900"/>
    <m/>
    <n v="1900"/>
    <x v="0"/>
    <n v="1470"/>
    <n v="800"/>
    <n v="800"/>
    <n v="840"/>
    <n v="1060"/>
    <n v="0"/>
    <x v="10"/>
    <x v="2"/>
    <e v="#REF!"/>
    <e v="#REF!"/>
    <s v=""/>
    <n v="0.55789473684210522"/>
  </r>
  <r>
    <x v="2"/>
    <x v="45"/>
    <x v="2"/>
    <x v="22"/>
    <m/>
    <m/>
    <s v="EXP. VALVE LT, POKKA 9A129B ACCENT"/>
    <s v="CA-000629"/>
    <n v="1"/>
    <n v="450"/>
    <m/>
    <n v="450"/>
    <x v="0"/>
    <n v="625"/>
    <n v="340"/>
    <n v="340"/>
    <n v="357"/>
    <n v="93"/>
    <n v="27.9"/>
    <x v="23"/>
    <x v="2"/>
    <e v="#REF!"/>
    <e v="#REF!"/>
    <s v=""/>
    <n v="0.20666666666666667"/>
  </r>
  <r>
    <x v="2"/>
    <x v="57"/>
    <x v="0"/>
    <x v="36"/>
    <m/>
    <m/>
    <s v="EXP. VALVE LT, POKKA 9A129B ACCENT"/>
    <s v="CA-000629"/>
    <n v="1"/>
    <n v="600"/>
    <m/>
    <n v="600"/>
    <x v="0"/>
    <n v="625"/>
    <n v="340"/>
    <n v="340"/>
    <n v="357"/>
    <n v="243"/>
    <n v="0"/>
    <x v="23"/>
    <x v="2"/>
    <e v="#REF!"/>
    <e v="#REF!"/>
    <s v=""/>
    <n v="0.40500000000000003"/>
  </r>
  <r>
    <x v="2"/>
    <x v="51"/>
    <x v="0"/>
    <x v="26"/>
    <m/>
    <m/>
    <s v="TAPE_PE, PICUS Polythelene Tape (White)X 4&quot;"/>
    <s v="IM-000247"/>
    <n v="10"/>
    <n v="125"/>
    <m/>
    <n v="1250"/>
    <x v="0"/>
    <n v="147"/>
    <n v="75"/>
    <n v="750"/>
    <n v="772.5"/>
    <n v="477.5"/>
    <n v="0"/>
    <x v="29"/>
    <x v="0"/>
    <e v="#REF!"/>
    <e v="#REF!"/>
    <s v=""/>
    <n v="0.38200000000000001"/>
  </r>
  <r>
    <x v="2"/>
    <x v="112"/>
    <x v="0"/>
    <x v="11"/>
    <m/>
    <m/>
    <s v="BLOWER_MOTOR, UNIVERSAL 6721"/>
    <s v="CA-000237"/>
    <n v="1"/>
    <n v="1300"/>
    <m/>
    <n v="1300"/>
    <x v="0"/>
    <n v="1379"/>
    <n v="750"/>
    <n v="750"/>
    <n v="787.5"/>
    <n v="512.5"/>
    <n v="0"/>
    <x v="15"/>
    <x v="2"/>
    <e v="#REF!"/>
    <e v="#REF!"/>
    <s v=""/>
    <n v="0.39423076923076922"/>
  </r>
  <r>
    <x v="2"/>
    <x v="39"/>
    <x v="2"/>
    <x v="22"/>
    <m/>
    <m/>
    <s v="SYSTEM_CLEANER, Cleanse GREEN 141B 500 ML"/>
    <s v="GE-000369"/>
    <n v="5"/>
    <n v="95"/>
    <m/>
    <n v="475"/>
    <x v="0"/>
    <n v="113"/>
    <n v="65"/>
    <n v="325"/>
    <n v="341.25"/>
    <n v="133.75"/>
    <n v="40.125"/>
    <x v="28"/>
    <x v="1"/>
    <e v="#REF!"/>
    <e v="#REF!"/>
    <s v=""/>
    <n v="0.28157894736842104"/>
  </r>
  <r>
    <x v="2"/>
    <x v="56"/>
    <x v="0"/>
    <x v="34"/>
    <m/>
    <m/>
    <s v="TAPE_PE, PICUS Polythelene Tape (White)X 4&quot;"/>
    <s v="IM-000247"/>
    <n v="10"/>
    <n v="125"/>
    <m/>
    <n v="1250"/>
    <x v="0"/>
    <n v="147"/>
    <n v="75"/>
    <n v="750"/>
    <n v="772.5"/>
    <n v="477.5"/>
    <n v="0"/>
    <x v="29"/>
    <x v="0"/>
    <e v="#REF!"/>
    <e v="#REF!"/>
    <s v=""/>
    <n v="0.38200000000000001"/>
  </r>
  <r>
    <x v="2"/>
    <x v="57"/>
    <x v="0"/>
    <x v="49"/>
    <m/>
    <m/>
    <s v="AUXFAN_MOTOR, MITSUBISHI MONTERO GOLD"/>
    <s v="CA-000056"/>
    <n v="1"/>
    <n v="1300"/>
    <m/>
    <n v="1300"/>
    <x v="0"/>
    <n v="1379"/>
    <n v="750"/>
    <n v="750"/>
    <n v="787.5"/>
    <n v="512.5"/>
    <n v="0"/>
    <x v="14"/>
    <x v="2"/>
    <e v="#REF!"/>
    <e v="#REF!"/>
    <s v=""/>
    <n v="0.39423076923076922"/>
  </r>
  <r>
    <x v="1"/>
    <x v="28"/>
    <x v="1"/>
    <x v="3"/>
    <m/>
    <m/>
    <s v="RECEIVER_DRIER_ALUMINUM, YK 8106 (CROSSWIND, PAJERO, DENSO 134A M)"/>
    <s v="CA-001100"/>
    <n v="1"/>
    <n v="550"/>
    <m/>
    <n v="550"/>
    <x v="0"/>
    <n v="485"/>
    <n v="205"/>
    <n v="205"/>
    <n v="215.25"/>
    <n v="334.75"/>
    <n v="100.425"/>
    <x v="27"/>
    <x v="2"/>
    <e v="#REF!"/>
    <e v="#REF!"/>
    <e v="#REF!"/>
    <n v="0.60863636363636364"/>
  </r>
  <r>
    <x v="2"/>
    <x v="111"/>
    <x v="0"/>
    <x v="10"/>
    <m/>
    <m/>
    <s v="EVAPORATOR, TOYOTA INNOVA OLD (R) JBE-0102X (STAL)"/>
    <s v="CA-001634"/>
    <n v="1"/>
    <n v="1900"/>
    <m/>
    <n v="1900"/>
    <x v="0"/>
    <n v="1470"/>
    <n v="800"/>
    <n v="800"/>
    <n v="840"/>
    <n v="1060"/>
    <n v="0"/>
    <x v="10"/>
    <x v="2"/>
    <e v="#REF!"/>
    <e v="#REF!"/>
    <s v=""/>
    <n v="0.55789473684210522"/>
  </r>
  <r>
    <x v="2"/>
    <x v="45"/>
    <x v="2"/>
    <x v="22"/>
    <m/>
    <m/>
    <s v="SYSTEM_CLEANER, Cleanse GREEN 141B 500 ML"/>
    <s v="GE-000369"/>
    <n v="5"/>
    <n v="95"/>
    <m/>
    <n v="475"/>
    <x v="0"/>
    <n v="113"/>
    <n v="65"/>
    <n v="325"/>
    <n v="341.25"/>
    <n v="133.75"/>
    <n v="40.125"/>
    <x v="28"/>
    <x v="1"/>
    <e v="#REF!"/>
    <e v="#REF!"/>
    <s v=""/>
    <n v="0.28157894736842104"/>
  </r>
  <r>
    <x v="3"/>
    <x v="60"/>
    <x v="0"/>
    <x v="78"/>
    <m/>
    <m/>
    <s v="EVAPORATOR, TOYOTA INNOVA OLD (R) JBE-0102X (STAL)"/>
    <s v="CA-001634"/>
    <n v="1"/>
    <n v="1900"/>
    <m/>
    <n v="1900"/>
    <x v="0"/>
    <n v="1470"/>
    <n v="800"/>
    <n v="800"/>
    <n v="840"/>
    <n v="1060"/>
    <n v="0"/>
    <x v="10"/>
    <x v="2"/>
    <m/>
    <m/>
    <s v=""/>
    <n v="0.55789473684210522"/>
  </r>
  <r>
    <x v="2"/>
    <x v="52"/>
    <x v="2"/>
    <x v="22"/>
    <m/>
    <m/>
    <s v="SYSTEM_CLEANER, Cleanse GREEN 141B 500 ML"/>
    <s v="GE-000369"/>
    <n v="5"/>
    <n v="95"/>
    <m/>
    <n v="475"/>
    <x v="0"/>
    <n v="113"/>
    <n v="65"/>
    <n v="325"/>
    <n v="341.25"/>
    <n v="133.75"/>
    <n v="40.125"/>
    <x v="28"/>
    <x v="1"/>
    <e v="#REF!"/>
    <e v="#REF!"/>
    <s v=""/>
    <n v="0.28157894736842104"/>
  </r>
  <r>
    <x v="3"/>
    <x v="64"/>
    <x v="0"/>
    <x v="23"/>
    <m/>
    <n v="1900"/>
    <s v="EVAPORATOR, TOYOTA INNOVA OLD (R) JBE-0102X (STAL)"/>
    <s v="CA-001634"/>
    <n v="1"/>
    <n v="1786"/>
    <m/>
    <n v="1786"/>
    <x v="0"/>
    <n v="1470"/>
    <n v="800"/>
    <n v="800"/>
    <n v="840"/>
    <n v="946"/>
    <n v="0"/>
    <x v="10"/>
    <x v="2"/>
    <m/>
    <m/>
    <n v="2000.3200000000002"/>
    <n v="0.52967525195968646"/>
  </r>
  <r>
    <x v="3"/>
    <x v="66"/>
    <x v="0"/>
    <x v="17"/>
    <m/>
    <n v="2000"/>
    <s v="EVAPORATOR, TOYOTA INNOVA NEW (R) JBE-0125ZX (STAL)"/>
    <s v="CA-001632"/>
    <n v="1"/>
    <n v="1785"/>
    <m/>
    <n v="1785"/>
    <x v="0"/>
    <n v="1379"/>
    <n v="750"/>
    <n v="750"/>
    <n v="787.5"/>
    <n v="997.5"/>
    <n v="0"/>
    <x v="10"/>
    <x v="2"/>
    <m/>
    <m/>
    <n v="1999.2000000000003"/>
    <n v="0.55882352941176472"/>
  </r>
  <r>
    <x v="2"/>
    <x v="39"/>
    <x v="2"/>
    <x v="22"/>
    <m/>
    <n v="220"/>
    <s v="CABIN_FILTER, TOYOTA HI-ACE"/>
    <s v="CA-001292"/>
    <n v="3"/>
    <n v="200"/>
    <m/>
    <n v="600"/>
    <x v="0"/>
    <n v="331"/>
    <n v="105"/>
    <n v="315"/>
    <n v="330.75"/>
    <n v="269.25"/>
    <n v="80.774999999999991"/>
    <x v="12"/>
    <x v="2"/>
    <e v="#REF!"/>
    <e v="#REF!"/>
    <n v="224.00000000000003"/>
    <n v="0.44874999999999998"/>
  </r>
  <r>
    <x v="3"/>
    <x v="101"/>
    <x v="0"/>
    <x v="18"/>
    <m/>
    <n v="2000"/>
    <s v="EVAPORATOR, TOYOTA INNOVA OLD (R) JBE-0102X (STAL)"/>
    <s v="CA-001634"/>
    <n v="1"/>
    <n v="1786"/>
    <m/>
    <n v="1786"/>
    <x v="0"/>
    <n v="1470"/>
    <n v="800"/>
    <n v="800"/>
    <n v="840"/>
    <n v="946"/>
    <n v="0"/>
    <x v="10"/>
    <x v="2"/>
    <m/>
    <m/>
    <n v="2000.3200000000002"/>
    <n v="0.52967525195968646"/>
  </r>
  <r>
    <x v="1"/>
    <x v="28"/>
    <x v="1"/>
    <x v="3"/>
    <m/>
    <m/>
    <s v="LUBRICANT, EMKARATE RL 68H, 1 LITER"/>
    <s v="GE-000135"/>
    <n v="1"/>
    <n v="450"/>
    <m/>
    <n v="450"/>
    <x v="0"/>
    <n v="331"/>
    <n v="180"/>
    <n v="180"/>
    <n v="189"/>
    <n v="261"/>
    <n v="78.3"/>
    <x v="9"/>
    <x v="1"/>
    <e v="#REF!"/>
    <e v="#REF!"/>
    <e v="#REF!"/>
    <n v="0.57999999999999996"/>
  </r>
  <r>
    <x v="3"/>
    <x v="123"/>
    <x v="0"/>
    <x v="8"/>
    <m/>
    <m/>
    <s v="EVAPORATOR, TOYOTA INNOVA OLD (R) JBE-0102X (STAL)"/>
    <s v="CA-001634"/>
    <n v="1"/>
    <n v="2000"/>
    <m/>
    <n v="2000"/>
    <x v="0"/>
    <n v="1470"/>
    <n v="800"/>
    <n v="800"/>
    <n v="840"/>
    <n v="1160"/>
    <n v="0"/>
    <x v="10"/>
    <x v="2"/>
    <m/>
    <m/>
    <m/>
    <n v="0.57999999999999996"/>
  </r>
  <r>
    <x v="4"/>
    <x v="107"/>
    <x v="0"/>
    <x v="26"/>
    <m/>
    <m/>
    <s v="MAPP_GAS, TURBO GAS (Winterpine) TORCH GAS"/>
    <s v="IM-000311"/>
    <n v="3"/>
    <n v="380"/>
    <m/>
    <n v="1140"/>
    <x v="0"/>
    <n v="451"/>
    <n v="250"/>
    <n v="750"/>
    <n v="772.5"/>
    <n v="367.5"/>
    <n v="0"/>
    <x v="45"/>
    <x v="0"/>
    <m/>
    <m/>
    <m/>
    <n v="0.32236842105263158"/>
  </r>
  <r>
    <x v="2"/>
    <x v="49"/>
    <x v="2"/>
    <x v="22"/>
    <m/>
    <m/>
    <s v="EXP. VALVE LT, PATCO 3J057 807 NV350, NAVARRA"/>
    <s v="CA-000627"/>
    <n v="1"/>
    <n v="420"/>
    <m/>
    <n v="420"/>
    <x v="0"/>
    <n v="552"/>
    <n v="300"/>
    <n v="300"/>
    <n v="315"/>
    <n v="105"/>
    <n v="31.5"/>
    <x v="23"/>
    <x v="2"/>
    <e v="#REF!"/>
    <e v="#REF!"/>
    <s v=""/>
    <n v="0.25"/>
  </r>
  <r>
    <x v="4"/>
    <x v="90"/>
    <x v="0"/>
    <x v="8"/>
    <m/>
    <m/>
    <s v="EVAPORATOR, TOYOTA INNOVA OLD (R) JBE-0102X (STAL)"/>
    <s v="CA-001634"/>
    <n v="1"/>
    <n v="1900"/>
    <m/>
    <n v="1900"/>
    <x v="0"/>
    <n v="1470"/>
    <n v="800"/>
    <n v="800"/>
    <n v="840"/>
    <n v="1060"/>
    <n v="0"/>
    <x v="10"/>
    <x v="2"/>
    <m/>
    <m/>
    <m/>
    <n v="0.55789473684210522"/>
  </r>
  <r>
    <x v="4"/>
    <x v="90"/>
    <x v="0"/>
    <x v="8"/>
    <m/>
    <m/>
    <s v="EVAPORATOR, TOYOTA INNOVA OLD (R) JBE-0102X (STAL)"/>
    <s v="CA-001634"/>
    <n v="1"/>
    <n v="1900"/>
    <m/>
    <n v="1900"/>
    <x v="0"/>
    <n v="1470"/>
    <n v="800"/>
    <n v="800"/>
    <n v="840"/>
    <n v="1060"/>
    <n v="0"/>
    <x v="10"/>
    <x v="2"/>
    <m/>
    <m/>
    <m/>
    <n v="0.55789473684210522"/>
  </r>
  <r>
    <x v="4"/>
    <x v="95"/>
    <x v="0"/>
    <x v="48"/>
    <m/>
    <m/>
    <s v="AUXFAN_MOTOR, MITSUBISHI MONTERO GOLD"/>
    <s v="CA-000056"/>
    <n v="1"/>
    <n v="1300"/>
    <m/>
    <n v="1300"/>
    <x v="0"/>
    <n v="1379"/>
    <n v="750"/>
    <n v="750"/>
    <n v="787.5"/>
    <n v="512.5"/>
    <n v="0"/>
    <x v="14"/>
    <x v="2"/>
    <m/>
    <m/>
    <m/>
    <n v="0.39423076923076922"/>
  </r>
  <r>
    <x v="4"/>
    <x v="116"/>
    <x v="0"/>
    <x v="95"/>
    <m/>
    <n v="2000"/>
    <s v="EVAPORATOR, TOYOTA INNOVA NEW (R) JBE-0125ZX (STAL)"/>
    <s v="CA-001632"/>
    <n v="1"/>
    <n v="1786"/>
    <m/>
    <n v="1786"/>
    <x v="0"/>
    <n v="1379"/>
    <n v="750"/>
    <n v="750"/>
    <n v="787.5"/>
    <n v="998.5"/>
    <n v="0"/>
    <x v="10"/>
    <x v="2"/>
    <m/>
    <m/>
    <m/>
    <n v="0.55907054871220607"/>
  </r>
  <r>
    <x v="4"/>
    <x v="78"/>
    <x v="0"/>
    <x v="11"/>
    <m/>
    <m/>
    <s v="BLOWER_MOTOR, UNIVERSAL 6721"/>
    <s v="CA-000237"/>
    <n v="1"/>
    <n v="1300"/>
    <m/>
    <n v="1300"/>
    <x v="0"/>
    <n v="1379"/>
    <n v="750"/>
    <n v="750"/>
    <n v="787.5"/>
    <n v="512.5"/>
    <n v="0"/>
    <x v="15"/>
    <x v="2"/>
    <m/>
    <m/>
    <m/>
    <n v="0.39423076923076922"/>
  </r>
  <r>
    <x v="4"/>
    <x v="81"/>
    <x v="0"/>
    <x v="28"/>
    <m/>
    <m/>
    <s v="EVAPORATOR, TOYOTA INNOVA OLD (R) JBE-0102X (STAL)"/>
    <s v="CA-001634"/>
    <n v="1"/>
    <n v="1900"/>
    <m/>
    <n v="1900"/>
    <x v="0"/>
    <n v="1470"/>
    <n v="800"/>
    <n v="800"/>
    <n v="840"/>
    <n v="1060"/>
    <n v="0"/>
    <x v="10"/>
    <x v="2"/>
    <m/>
    <m/>
    <m/>
    <n v="0.55789473684210522"/>
  </r>
  <r>
    <x v="2"/>
    <x v="36"/>
    <x v="0"/>
    <x v="1"/>
    <m/>
    <n v="23500"/>
    <s v="COMPRESSOR, FORD EXPLORER 2.0 DENSO ORIG"/>
    <s v="CA-001823"/>
    <n v="1"/>
    <n v="23240"/>
    <m/>
    <n v="23240"/>
    <x v="0"/>
    <n v="37669"/>
    <n v="20500"/>
    <n v="20500"/>
    <n v="21525"/>
    <n v="1715"/>
    <n v="0"/>
    <x v="7"/>
    <x v="2"/>
    <e v="#REF!"/>
    <e v="#REF!"/>
    <n v="26028.800000000003"/>
    <n v="7.3795180722891568E-2"/>
  </r>
  <r>
    <x v="5"/>
    <x v="83"/>
    <x v="0"/>
    <x v="20"/>
    <m/>
    <m/>
    <s v="RUBBER_INSULATION, M-FLEX 3/4&quot; 1/4"/>
    <s v="IM-000235"/>
    <n v="1"/>
    <n v="95"/>
    <m/>
    <n v="95"/>
    <x v="0"/>
    <n v="79"/>
    <n v="56.7"/>
    <n v="56.7"/>
    <n v="58.401000000000003"/>
    <n v="36.598999999999997"/>
    <n v="0"/>
    <x v="22"/>
    <x v="0"/>
    <e v="#REF!"/>
    <e v="#REF!"/>
    <s v=""/>
    <n v="0.38525263157894735"/>
  </r>
  <r>
    <x v="5"/>
    <x v="83"/>
    <x v="0"/>
    <x v="20"/>
    <m/>
    <m/>
    <s v="HOSE, ELECTRICAL FLEXIBLE ROLL PER METER"/>
    <s v="G-E000235"/>
    <n v="6"/>
    <n v="15"/>
    <m/>
    <n v="90"/>
    <x v="0"/>
    <n v="15"/>
    <n v="8"/>
    <n v="48"/>
    <n v="50.400000000000006"/>
    <n v="39.599999999999994"/>
    <n v="0"/>
    <x v="19"/>
    <x v="1"/>
    <e v="#REF!"/>
    <e v="#REF!"/>
    <s v=""/>
    <n v="0.43999999999999995"/>
  </r>
  <r>
    <x v="3"/>
    <x v="60"/>
    <x v="0"/>
    <x v="1"/>
    <m/>
    <m/>
    <s v="COPPER_TUBE_SOFTDRAWN, DAEJIN 0.028 X 3/8 x 15 mtr"/>
    <s v="IM-000189"/>
    <n v="0.4"/>
    <n v="3250"/>
    <m/>
    <n v="1300"/>
    <x v="0"/>
    <n v="3374"/>
    <n v="1871.8"/>
    <n v="748.72"/>
    <n v="771.1816"/>
    <n v="528.8184"/>
    <n v="0"/>
    <x v="0"/>
    <x v="0"/>
    <m/>
    <m/>
    <s v=""/>
    <n v="0.4067833846153846"/>
  </r>
  <r>
    <x v="2"/>
    <x v="53"/>
    <x v="2"/>
    <x v="7"/>
    <m/>
    <m/>
    <s v="CABIN_FILTER, TOYOTA VIOS"/>
    <s v="CA-001295"/>
    <n v="3"/>
    <n v="300"/>
    <m/>
    <n v="900"/>
    <x v="0"/>
    <n v="315"/>
    <n v="100"/>
    <n v="300"/>
    <n v="315"/>
    <n v="585"/>
    <n v="175.5"/>
    <x v="12"/>
    <x v="2"/>
    <e v="#REF!"/>
    <e v="#REF!"/>
    <s v=""/>
    <n v="0.65"/>
  </r>
  <r>
    <x v="2"/>
    <x v="53"/>
    <x v="2"/>
    <x v="7"/>
    <m/>
    <n v="350"/>
    <s v="CABIN_FILTER, MITSUBISHI MIRAGE"/>
    <s v="CA-001702"/>
    <n v="2"/>
    <n v="312"/>
    <m/>
    <n v="624"/>
    <x v="0"/>
    <n v="473"/>
    <n v="150"/>
    <n v="300"/>
    <n v="315"/>
    <n v="309"/>
    <n v="92.7"/>
    <x v="12"/>
    <x v="2"/>
    <e v="#REF!"/>
    <e v="#REF!"/>
    <n v="349.44000000000005"/>
    <n v="0.49519230769230771"/>
  </r>
  <r>
    <x v="2"/>
    <x v="38"/>
    <x v="0"/>
    <x v="58"/>
    <m/>
    <m/>
    <s v="BLOWER_MOTOR, UNIVERSAL DOUBLE SHAFTING (ADVENTURE/REVO) 12V"/>
    <s v="CA-000238"/>
    <n v="2"/>
    <n v="750"/>
    <m/>
    <n v="1500"/>
    <x v="0"/>
    <n v="840"/>
    <n v="400"/>
    <n v="800"/>
    <n v="840"/>
    <n v="660"/>
    <n v="0"/>
    <x v="15"/>
    <x v="2"/>
    <e v="#REF!"/>
    <e v="#REF!"/>
    <s v=""/>
    <n v="0.44"/>
  </r>
  <r>
    <x v="2"/>
    <x v="111"/>
    <x v="4"/>
    <x v="25"/>
    <m/>
    <m/>
    <s v="EXP. VALVE LT, BOER 38602 134a EXPEDITION"/>
    <s v="CA-000593"/>
    <n v="1"/>
    <n v="600"/>
    <m/>
    <n v="600"/>
    <x v="0"/>
    <n v="552"/>
    <n v="300"/>
    <n v="300"/>
    <n v="315"/>
    <n v="285"/>
    <n v="85.5"/>
    <x v="23"/>
    <x v="2"/>
    <e v="#REF!"/>
    <e v="#REF!"/>
    <s v=""/>
    <n v="0.47499999999999998"/>
  </r>
  <r>
    <x v="2"/>
    <x v="40"/>
    <x v="0"/>
    <x v="73"/>
    <m/>
    <m/>
    <s v="REFRIGERANT, FU RYDER R22 CAN, 500 GRAMS"/>
    <s v="GE-000523"/>
    <n v="4"/>
    <n v="450"/>
    <m/>
    <n v="1800"/>
    <x v="0"/>
    <n v="630"/>
    <n v="240"/>
    <n v="960"/>
    <n v="1008"/>
    <n v="792"/>
    <n v="0"/>
    <x v="5"/>
    <x v="1"/>
    <e v="#REF!"/>
    <e v="#REF!"/>
    <s v=""/>
    <n v="0.44"/>
  </r>
  <r>
    <x v="2"/>
    <x v="111"/>
    <x v="2"/>
    <x v="22"/>
    <m/>
    <m/>
    <s v="CABIN_FILTER, SUBARU FORESTER"/>
    <s v="CA-001531"/>
    <n v="1"/>
    <n v="400"/>
    <m/>
    <n v="400"/>
    <x v="0"/>
    <n v="630"/>
    <n v="300"/>
    <n v="300"/>
    <n v="315"/>
    <n v="85"/>
    <n v="25.5"/>
    <x v="12"/>
    <x v="2"/>
    <e v="#REF!"/>
    <e v="#REF!"/>
    <s v=""/>
    <n v="0.21249999999999999"/>
  </r>
  <r>
    <x v="0"/>
    <x v="5"/>
    <x v="0"/>
    <x v="1"/>
    <m/>
    <m/>
    <s v="ROYAL CORD, BOSTON 4-CORE, #16 1.25 MM, PER METER"/>
    <s v="GE-000453"/>
    <n v="13"/>
    <n v="125"/>
    <m/>
    <n v="1625"/>
    <x v="0"/>
    <n v="122"/>
    <n v="55"/>
    <n v="715"/>
    <n v="750.75"/>
    <n v="874.25"/>
    <n v="0"/>
    <x v="48"/>
    <x v="1"/>
    <m/>
    <m/>
    <s v=""/>
    <n v="0.53800000000000003"/>
  </r>
  <r>
    <x v="2"/>
    <x v="38"/>
    <x v="0"/>
    <x v="49"/>
    <m/>
    <m/>
    <s v="AUXFAN_MOTOR, TOYOTA AVANZA 5251"/>
    <s v="CA-000082"/>
    <n v="1"/>
    <n v="1500"/>
    <m/>
    <n v="1500"/>
    <x v="0"/>
    <n v="1287"/>
    <n v="700"/>
    <n v="700"/>
    <n v="735"/>
    <n v="765"/>
    <n v="0"/>
    <x v="14"/>
    <x v="2"/>
    <e v="#REF!"/>
    <e v="#REF!"/>
    <s v=""/>
    <n v="0.51"/>
  </r>
  <r>
    <x v="2"/>
    <x v="38"/>
    <x v="0"/>
    <x v="1"/>
    <m/>
    <m/>
    <s v="AUXFAN_MOTOR, TOYOTA CAMRY 2000 - 2006"/>
    <s v="CA-001824"/>
    <n v="1"/>
    <n v="1500"/>
    <m/>
    <n v="1500"/>
    <x v="0"/>
    <n v="1287"/>
    <n v="700"/>
    <n v="700"/>
    <n v="735"/>
    <n v="765"/>
    <n v="0"/>
    <x v="14"/>
    <x v="2"/>
    <e v="#REF!"/>
    <e v="#REF!"/>
    <s v=""/>
    <n v="0.51"/>
  </r>
  <r>
    <x v="1"/>
    <x v="28"/>
    <x v="1"/>
    <x v="3"/>
    <m/>
    <m/>
    <s v="ROD, NIHONWELD ALUMINUM "/>
    <s v="IM-000100"/>
    <n v="5"/>
    <n v="25"/>
    <m/>
    <n v="125"/>
    <x v="0"/>
    <n v="11"/>
    <n v="7"/>
    <n v="35"/>
    <n v="36.050000000000004"/>
    <n v="88.949999999999989"/>
    <n v="26.684999999999995"/>
    <x v="56"/>
    <x v="0"/>
    <e v="#REF!"/>
    <e v="#REF!"/>
    <e v="#REF!"/>
    <n v="0.7115999999999999"/>
  </r>
  <r>
    <x v="4"/>
    <x v="78"/>
    <x v="0"/>
    <x v="63"/>
    <m/>
    <m/>
    <s v="RUBBER_INSULATION, M-FLEX 1/2&quot; X 1 1/8"/>
    <s v="IM-000233"/>
    <n v="10"/>
    <n v="120"/>
    <m/>
    <n v="1200"/>
    <x v="0"/>
    <n v="98"/>
    <n v="70"/>
    <n v="700"/>
    <n v="721"/>
    <n v="479"/>
    <n v="0"/>
    <x v="22"/>
    <x v="0"/>
    <m/>
    <m/>
    <m/>
    <n v="0.39916666666666667"/>
  </r>
  <r>
    <x v="1"/>
    <x v="29"/>
    <x v="0"/>
    <x v="23"/>
    <m/>
    <m/>
    <s v="AUXIALLIARY_FAN, STAL 10 BLADES X 12VOLTS"/>
    <s v="CA-000117"/>
    <n v="2"/>
    <n v="600"/>
    <m/>
    <n v="1200"/>
    <x v="0"/>
    <n v="625"/>
    <n v="340"/>
    <n v="680"/>
    <n v="714"/>
    <n v="486"/>
    <n v="0"/>
    <x v="16"/>
    <x v="2"/>
    <e v="#REF!"/>
    <e v="#REF!"/>
    <e v="#REF!"/>
    <n v="0.40500000000000003"/>
  </r>
  <r>
    <x v="2"/>
    <x v="40"/>
    <x v="0"/>
    <x v="31"/>
    <m/>
    <m/>
    <s v="HOSE,  DRAIN 3/4"/>
    <s v="GE-000128"/>
    <n v="1"/>
    <n v="1300"/>
    <m/>
    <n v="1300"/>
    <x v="0"/>
    <n v="1250"/>
    <n v="680"/>
    <n v="680"/>
    <n v="714"/>
    <n v="586"/>
    <n v="0"/>
    <x v="19"/>
    <x v="1"/>
    <e v="#REF!"/>
    <e v="#REF!"/>
    <s v=""/>
    <n v="0.45076923076923076"/>
  </r>
  <r>
    <x v="3"/>
    <x v="68"/>
    <x v="1"/>
    <x v="42"/>
    <m/>
    <m/>
    <s v="RECEIVER_DRIER_ALUMINUM, YK 8038 (Civic, CRV)"/>
    <s v="CA-001094"/>
    <n v="3"/>
    <n v="380"/>
    <m/>
    <n v="1140"/>
    <x v="0"/>
    <n v="532"/>
    <n v="225"/>
    <n v="675"/>
    <n v="708.75"/>
    <n v="431.25"/>
    <n v="129.375"/>
    <x v="27"/>
    <x v="2"/>
    <m/>
    <m/>
    <s v=""/>
    <n v="0.37828947368421051"/>
  </r>
  <r>
    <x v="4"/>
    <x v="79"/>
    <x v="0"/>
    <x v="6"/>
    <m/>
    <m/>
    <s v="RUBBER_INSULATION, M-FLEX 1/2&quot; 1/4"/>
    <s v="IM-000229"/>
    <n v="20"/>
    <n v="50"/>
    <m/>
    <n v="1000"/>
    <x v="0"/>
    <n v="47"/>
    <n v="33.6"/>
    <n v="672"/>
    <n v="692.16"/>
    <n v="307.84000000000003"/>
    <n v="0"/>
    <x v="22"/>
    <x v="0"/>
    <m/>
    <m/>
    <m/>
    <n v="0.30784000000000006"/>
  </r>
  <r>
    <x v="4"/>
    <x v="113"/>
    <x v="0"/>
    <x v="2"/>
    <m/>
    <m/>
    <s v="COPPER_TUBE_SOFTDRAWN, HAILIANG 0.028 X 1/2  x 15 mtr 04/25/26"/>
    <s v="IM-000328"/>
    <n v="0.2"/>
    <n v="4250"/>
    <m/>
    <n v="850"/>
    <x v="0"/>
    <n v="6554"/>
    <n v="3636"/>
    <n v="727.2"/>
    <n v="749.01600000000008"/>
    <n v="100.98399999999992"/>
    <n v="0"/>
    <x v="0"/>
    <x v="0"/>
    <m/>
    <m/>
    <m/>
    <n v="0.11880470588235285"/>
  </r>
  <r>
    <x v="4"/>
    <x v="75"/>
    <x v="0"/>
    <x v="98"/>
    <m/>
    <m/>
    <s v="COPPER_TUBE_SOFTDRAWN, HAILIANG 0.028 X 1/2  x 15 mtr 04/25/26"/>
    <s v="IM-000328"/>
    <n v="0.2"/>
    <n v="4250"/>
    <m/>
    <n v="850"/>
    <x v="0"/>
    <n v="6554"/>
    <n v="3636"/>
    <n v="727.2"/>
    <n v="749.01600000000008"/>
    <n v="100.98399999999992"/>
    <n v="0"/>
    <x v="0"/>
    <x v="0"/>
    <e v="#REF!"/>
    <e v="#REF!"/>
    <e v="#REF!"/>
    <n v="0"/>
  </r>
  <r>
    <x v="1"/>
    <x v="29"/>
    <x v="0"/>
    <x v="11"/>
    <m/>
    <m/>
    <s v="EXP. VALVE LT, POKKA 9A133 G-STAREX"/>
    <s v="CA-000631"/>
    <n v="2"/>
    <n v="600"/>
    <m/>
    <n v="1200"/>
    <x v="0"/>
    <n v="607"/>
    <n v="330"/>
    <n v="660"/>
    <n v="693"/>
    <n v="507"/>
    <n v="0"/>
    <x v="23"/>
    <x v="2"/>
    <e v="#REF!"/>
    <e v="#REF!"/>
    <e v="#REF!"/>
    <n v="0.42249999999999999"/>
  </r>
  <r>
    <x v="2"/>
    <x v="45"/>
    <x v="2"/>
    <x v="22"/>
    <m/>
    <m/>
    <s v="RECEIVER_DRIER_STEEL , MAXX 5116 (L300 F/B)"/>
    <s v="CA-001134"/>
    <n v="1"/>
    <n v="400"/>
    <m/>
    <n v="400"/>
    <x v="0"/>
    <n v="686"/>
    <n v="290"/>
    <n v="290"/>
    <n v="304.5"/>
    <n v="95.5"/>
    <n v="28.65"/>
    <x v="17"/>
    <x v="2"/>
    <e v="#REF!"/>
    <e v="#REF!"/>
    <s v=""/>
    <n v="0.23874999999999999"/>
  </r>
  <r>
    <x v="3"/>
    <x v="68"/>
    <x v="1"/>
    <x v="42"/>
    <m/>
    <m/>
    <s v="O_RING, NEK MANIPIS 1/2"/>
    <s v="CA-000844"/>
    <n v="11"/>
    <n v="130"/>
    <m/>
    <n v="1430"/>
    <x v="0"/>
    <n v="111"/>
    <n v="60"/>
    <n v="660"/>
    <n v="693"/>
    <n v="737"/>
    <n v="221.1"/>
    <x v="44"/>
    <x v="2"/>
    <m/>
    <m/>
    <s v=""/>
    <n v="0.51538461538461533"/>
  </r>
  <r>
    <x v="4"/>
    <x v="82"/>
    <x v="0"/>
    <x v="72"/>
    <m/>
    <m/>
    <s v="EXP. VALVE LT, POKKA 9A129B ACCENT"/>
    <s v="CA-000629"/>
    <n v="2"/>
    <n v="600"/>
    <m/>
    <n v="1200"/>
    <x v="0"/>
    <n v="625"/>
    <n v="340"/>
    <n v="680"/>
    <n v="714"/>
    <n v="486"/>
    <n v="0"/>
    <x v="23"/>
    <x v="2"/>
    <e v="#REF!"/>
    <e v="#REF!"/>
    <e v="#REF!"/>
    <n v="0"/>
  </r>
  <r>
    <x v="5"/>
    <x v="83"/>
    <x v="0"/>
    <x v="34"/>
    <m/>
    <m/>
    <s v="RUBBER_INSULATION, M-FLEX 1/2&quot; 1/2"/>
    <s v="IM-000227"/>
    <n v="1"/>
    <n v="70"/>
    <m/>
    <n v="70"/>
    <x v="0"/>
    <n v="65"/>
    <n v="46.4"/>
    <n v="46.4"/>
    <n v="47.792000000000002"/>
    <n v="22.207999999999998"/>
    <n v="0"/>
    <x v="22"/>
    <x v="0"/>
    <e v="#REF!"/>
    <e v="#REF!"/>
    <s v=""/>
    <n v="0.31725714285714285"/>
  </r>
  <r>
    <x v="3"/>
    <x v="123"/>
    <x v="0"/>
    <x v="11"/>
    <m/>
    <m/>
    <s v="THERMOSTAT SWITCH, MITSUBISHI L300 "/>
    <s v="CA-001828"/>
    <n v="1"/>
    <n v="1500"/>
    <m/>
    <n v="1500"/>
    <x v="0"/>
    <n v="1365"/>
    <n v="650"/>
    <n v="650"/>
    <n v="682.5"/>
    <n v="817.5"/>
    <n v="0"/>
    <x v="53"/>
    <x v="2"/>
    <m/>
    <m/>
    <m/>
    <n v="0.54500000000000004"/>
  </r>
  <r>
    <x v="0"/>
    <x v="3"/>
    <x v="0"/>
    <x v="1"/>
    <m/>
    <m/>
    <s v="ROYAL CORD, BOSTON 4-CORE, #14 1.25 MM, PER METER"/>
    <s v="GE-000463"/>
    <n v="8"/>
    <n v="160"/>
    <m/>
    <n v="1280"/>
    <x v="0"/>
    <n v="160"/>
    <n v="80"/>
    <n v="640"/>
    <n v="672"/>
    <n v="608"/>
    <n v="0"/>
    <x v="48"/>
    <x v="1"/>
    <m/>
    <m/>
    <s v=""/>
    <n v="0.47499999999999998"/>
  </r>
  <r>
    <x v="3"/>
    <x v="62"/>
    <x v="0"/>
    <x v="29"/>
    <m/>
    <m/>
    <s v="ROYAL CORD, BOSTON 4-CORE, #14 1.25 MM, PER METER"/>
    <s v="GE-000463"/>
    <n v="8"/>
    <n v="160"/>
    <m/>
    <n v="1280"/>
    <x v="0"/>
    <n v="160"/>
    <n v="80"/>
    <n v="640"/>
    <n v="672"/>
    <n v="608"/>
    <n v="0"/>
    <x v="48"/>
    <x v="1"/>
    <m/>
    <m/>
    <s v=""/>
    <n v="0.47499999999999998"/>
  </r>
  <r>
    <x v="4"/>
    <x v="116"/>
    <x v="0"/>
    <x v="41"/>
    <m/>
    <m/>
    <s v="REFRIGERANT, POKKA R134A, 300GRMS"/>
    <s v="GE-000152"/>
    <n v="2"/>
    <n v="450"/>
    <m/>
    <n v="900"/>
    <x v="0"/>
    <n v="809"/>
    <n v="350"/>
    <n v="700"/>
    <n v="735"/>
    <n v="165"/>
    <n v="0"/>
    <x v="5"/>
    <x v="1"/>
    <m/>
    <m/>
    <m/>
    <n v="0.18333333333333332"/>
  </r>
  <r>
    <x v="3"/>
    <x v="71"/>
    <x v="0"/>
    <x v="1"/>
    <m/>
    <m/>
    <s v="COPPER_TUBE_SOFTDRAWN, EVERSTRONG 0.028 X 1/4 x 15 mtr 03/24/26"/>
    <s v="IM-000318"/>
    <n v="0.4"/>
    <n v="2500"/>
    <m/>
    <n v="1000"/>
    <x v="0"/>
    <n v="2866"/>
    <n v="1590"/>
    <n v="636"/>
    <n v="655.08000000000004"/>
    <n v="344.91999999999996"/>
    <n v="0"/>
    <x v="0"/>
    <x v="0"/>
    <m/>
    <m/>
    <s v=""/>
    <n v="0.34491999999999995"/>
  </r>
  <r>
    <x v="4"/>
    <x v="88"/>
    <x v="0"/>
    <x v="1"/>
    <m/>
    <m/>
    <s v="COPPER_TUBE_SOFTDRAWN, EVERSTRONG 0.028 X 1/4 x 15 mtr 03/24/26"/>
    <s v="IM-000318"/>
    <n v="0.4"/>
    <n v="2500"/>
    <m/>
    <n v="1000"/>
    <x v="0"/>
    <n v="2866"/>
    <n v="1590"/>
    <n v="636"/>
    <n v="655.08000000000004"/>
    <n v="344.91999999999996"/>
    <n v="0"/>
    <x v="0"/>
    <x v="0"/>
    <m/>
    <m/>
    <m/>
    <n v="0.34491999999999995"/>
  </r>
  <r>
    <x v="5"/>
    <x v="83"/>
    <x v="0"/>
    <x v="6"/>
    <m/>
    <m/>
    <s v="BOLT &amp; NUT, GI, SET 5/16"/>
    <s v="IM-000003"/>
    <n v="8"/>
    <n v="12"/>
    <m/>
    <n v="96"/>
    <x v="0"/>
    <n v="10"/>
    <n v="5"/>
    <n v="40"/>
    <n v="41.2"/>
    <n v="54.8"/>
    <n v="0"/>
    <x v="57"/>
    <x v="0"/>
    <e v="#REF!"/>
    <e v="#REF!"/>
    <s v=""/>
    <n v="0.5708333333333333"/>
  </r>
  <r>
    <x v="5"/>
    <x v="83"/>
    <x v="0"/>
    <x v="20"/>
    <m/>
    <m/>
    <s v="RUBBER_INSULATION, M-FLEX 1/2&quot; 3/8"/>
    <s v="IM-000231"/>
    <n v="1"/>
    <n v="60"/>
    <m/>
    <n v="60"/>
    <x v="0"/>
    <n v="53"/>
    <n v="37.6"/>
    <n v="37.6"/>
    <n v="38.728000000000002"/>
    <n v="21.271999999999998"/>
    <n v="0"/>
    <x v="22"/>
    <x v="0"/>
    <e v="#REF!"/>
    <e v="#REF!"/>
    <s v=""/>
    <n v="0.35453333333333331"/>
  </r>
  <r>
    <x v="3"/>
    <x v="65"/>
    <x v="0"/>
    <x v="30"/>
    <m/>
    <m/>
    <s v="HOSE,  DRAIN 5/8"/>
    <s v="GE-000186"/>
    <n v="1"/>
    <n v="1200"/>
    <m/>
    <n v="1200"/>
    <x v="0"/>
    <n v="1140"/>
    <n v="620"/>
    <n v="620"/>
    <n v="651"/>
    <n v="549"/>
    <n v="0"/>
    <x v="19"/>
    <x v="1"/>
    <m/>
    <m/>
    <s v=""/>
    <n v="0.45750000000000002"/>
  </r>
  <r>
    <x v="3"/>
    <x v="65"/>
    <x v="0"/>
    <x v="30"/>
    <m/>
    <m/>
    <s v="HOSE,  DRAIN 5/8"/>
    <s v="GE-000186"/>
    <n v="1"/>
    <n v="1200"/>
    <m/>
    <n v="1200"/>
    <x v="0"/>
    <n v="1140"/>
    <n v="620"/>
    <n v="620"/>
    <n v="651"/>
    <n v="549"/>
    <n v="0"/>
    <x v="19"/>
    <x v="1"/>
    <m/>
    <m/>
    <s v=""/>
    <n v="0.45750000000000002"/>
  </r>
  <r>
    <x v="3"/>
    <x v="64"/>
    <x v="0"/>
    <x v="19"/>
    <m/>
    <m/>
    <s v="ROYAL CORD, BOSTON 4-CORE, #16 1.25 MM, PER METER"/>
    <s v="GE-000453"/>
    <n v="11"/>
    <n v="125"/>
    <m/>
    <n v="1375"/>
    <x v="0"/>
    <n v="122"/>
    <n v="55"/>
    <n v="605"/>
    <n v="635.25"/>
    <n v="739.75"/>
    <n v="0"/>
    <x v="48"/>
    <x v="1"/>
    <m/>
    <m/>
    <s v=""/>
    <n v="0.53800000000000003"/>
  </r>
  <r>
    <x v="3"/>
    <x v="68"/>
    <x v="1"/>
    <x v="42"/>
    <m/>
    <m/>
    <s v="O_RING, NEK MANIPIS 5/16"/>
    <s v="CA-000846"/>
    <n v="10"/>
    <n v="130"/>
    <m/>
    <n v="1300"/>
    <x v="0"/>
    <n v="111"/>
    <n v="60"/>
    <n v="600"/>
    <n v="630"/>
    <n v="670"/>
    <n v="201"/>
    <x v="44"/>
    <x v="2"/>
    <m/>
    <m/>
    <s v=""/>
    <n v="0.51538461538461533"/>
  </r>
  <r>
    <x v="3"/>
    <x v="71"/>
    <x v="0"/>
    <x v="1"/>
    <m/>
    <m/>
    <s v="REFRIGERANT, NO BRAND ORANGE 410A,  650 GRAMS"/>
    <s v="GE-000149"/>
    <n v="2"/>
    <n v="650"/>
    <m/>
    <n v="1300"/>
    <x v="0"/>
    <n v="756"/>
    <n v="300"/>
    <n v="600"/>
    <n v="630"/>
    <n v="670"/>
    <n v="0"/>
    <x v="5"/>
    <x v="1"/>
    <m/>
    <m/>
    <s v=""/>
    <n v="0.51538461538461533"/>
  </r>
  <r>
    <x v="3"/>
    <x v="71"/>
    <x v="0"/>
    <x v="62"/>
    <m/>
    <m/>
    <s v="REFRIGERANT, NO BRAND ORANGE 410A,  650 GRAMS"/>
    <s v="GE-000149"/>
    <n v="2"/>
    <n v="650"/>
    <m/>
    <n v="1300"/>
    <x v="0"/>
    <n v="756"/>
    <n v="300"/>
    <n v="600"/>
    <n v="630"/>
    <n v="670"/>
    <n v="0"/>
    <x v="5"/>
    <x v="1"/>
    <m/>
    <m/>
    <s v=""/>
    <n v="0.51538461538461533"/>
  </r>
  <r>
    <x v="4"/>
    <x v="102"/>
    <x v="1"/>
    <x v="60"/>
    <m/>
    <m/>
    <s v="ELECTRICAL SOCKET_BREAKER, AMERICA 20 AMP, 2P NO SOCKET"/>
    <s v="GE-000450"/>
    <n v="2"/>
    <n v="650"/>
    <m/>
    <n v="1300"/>
    <x v="0"/>
    <n v="968"/>
    <n v="300"/>
    <n v="600"/>
    <n v="630"/>
    <n v="670"/>
    <n v="201"/>
    <x v="58"/>
    <x v="1"/>
    <m/>
    <m/>
    <m/>
    <n v="0.51538461538461533"/>
  </r>
  <r>
    <x v="4"/>
    <x v="75"/>
    <x v="0"/>
    <x v="98"/>
    <m/>
    <m/>
    <s v="REFRIGERANT, NO BRAND ORANGE 410A,  650 GRAMS"/>
    <s v="GE-000149"/>
    <n v="2"/>
    <n v="680"/>
    <m/>
    <n v="1360"/>
    <x v="0"/>
    <n v="756"/>
    <n v="300"/>
    <n v="600"/>
    <n v="630"/>
    <n v="730"/>
    <n v="0"/>
    <x v="5"/>
    <x v="1"/>
    <e v="#REF!"/>
    <e v="#REF!"/>
    <e v="#REF!"/>
    <n v="0"/>
  </r>
  <r>
    <x v="5"/>
    <x v="83"/>
    <x v="0"/>
    <x v="32"/>
    <m/>
    <m/>
    <s v="ROD, HARRIS SILVER "/>
    <s v="IM-000098"/>
    <n v="2"/>
    <n v="28"/>
    <m/>
    <n v="56"/>
    <x v="0"/>
    <n v="30"/>
    <n v="19"/>
    <n v="38"/>
    <n v="39.14"/>
    <n v="16.86"/>
    <n v="0"/>
    <x v="56"/>
    <x v="0"/>
    <e v="#REF!"/>
    <e v="#REF!"/>
    <s v=""/>
    <n v="0.30107142857142855"/>
  </r>
  <r>
    <x v="4"/>
    <x v="113"/>
    <x v="0"/>
    <x v="99"/>
    <m/>
    <m/>
    <s v="ELECTRICAL WIRE_STRANDED, POWERFLEX THNN STRANDED   #14, MTR"/>
    <s v="GE-000122"/>
    <n v="28"/>
    <n v="35"/>
    <m/>
    <n v="980"/>
    <x v="0"/>
    <n v="39"/>
    <n v="21"/>
    <n v="588"/>
    <n v="617.4"/>
    <n v="362.6"/>
    <n v="0"/>
    <x v="2"/>
    <x v="1"/>
    <m/>
    <m/>
    <m/>
    <n v="0.37"/>
  </r>
  <r>
    <x v="4"/>
    <x v="79"/>
    <x v="0"/>
    <x v="6"/>
    <m/>
    <m/>
    <s v="ELECTRICAL CIRCUIT_BREAKER, AMERICA 30 AMP, 2P"/>
    <s v="GE-000470"/>
    <n v="3"/>
    <n v="500"/>
    <m/>
    <n v="1500"/>
    <x v="0"/>
    <n v="380"/>
    <n v="190"/>
    <n v="570"/>
    <n v="598.5"/>
    <n v="901.5"/>
    <n v="0"/>
    <x v="59"/>
    <x v="1"/>
    <m/>
    <m/>
    <m/>
    <n v="0.60099999999999998"/>
  </r>
  <r>
    <x v="2"/>
    <x v="44"/>
    <x v="0"/>
    <x v="26"/>
    <m/>
    <m/>
    <s v="RUBBER_INSULATION, M-FLEX 3/4&quot; X 3/4"/>
    <s v="IM-000240"/>
    <n v="6"/>
    <n v="135"/>
    <m/>
    <n v="810"/>
    <x v="0"/>
    <n v="151"/>
    <n v="108"/>
    <n v="648"/>
    <n v="667.44"/>
    <n v="142.55999999999995"/>
    <n v="0"/>
    <x v="22"/>
    <x v="0"/>
    <e v="#REF!"/>
    <e v="#REF!"/>
    <s v=""/>
    <n v="0.17599999999999993"/>
  </r>
  <r>
    <x v="2"/>
    <x v="45"/>
    <x v="2"/>
    <x v="22"/>
    <m/>
    <m/>
    <s v="TAPE_FOAM, AEROTAPE 3MM X 50 MM X 9.1 MTR  04/02/25"/>
    <s v="IM-000332"/>
    <n v="1"/>
    <n v="360"/>
    <m/>
    <n v="360"/>
    <x v="0"/>
    <n v="510"/>
    <n v="330"/>
    <n v="330"/>
    <n v="339.90000000000003"/>
    <n v="20.099999999999966"/>
    <n v="6.0299999999999896"/>
    <x v="25"/>
    <x v="0"/>
    <e v="#REF!"/>
    <e v="#REF!"/>
    <s v=""/>
    <n v="5.5833333333333242E-2"/>
  </r>
  <r>
    <x v="2"/>
    <x v="48"/>
    <x v="2"/>
    <x v="7"/>
    <m/>
    <n v="550"/>
    <s v="RECEIVER_DRIER_ALUMINUM, YK 40 X 235 (DMAX)"/>
    <s v="CA-001082"/>
    <n v="1"/>
    <n v="491"/>
    <m/>
    <n v="491"/>
    <x v="0"/>
    <n v="662"/>
    <n v="280"/>
    <n v="280"/>
    <n v="294"/>
    <n v="197"/>
    <n v="59.099999999999994"/>
    <x v="27"/>
    <x v="2"/>
    <e v="#REF!"/>
    <e v="#REF!"/>
    <n v="549.92000000000007"/>
    <n v="0.40122199592668023"/>
  </r>
  <r>
    <x v="1"/>
    <x v="32"/>
    <x v="0"/>
    <x v="26"/>
    <m/>
    <m/>
    <s v="TAPE_FOAM, AEROTAPE 3MM X 50 MM X 9.1 MTR  04/02/25"/>
    <s v="IM-000332"/>
    <n v="2"/>
    <n v="370"/>
    <m/>
    <n v="740"/>
    <x v="0"/>
    <n v="510"/>
    <n v="330"/>
    <n v="660"/>
    <n v="679.80000000000007"/>
    <n v="60.199999999999932"/>
    <n v="0"/>
    <x v="25"/>
    <x v="0"/>
    <e v="#REF!"/>
    <e v="#REF!"/>
    <e v="#REF!"/>
    <n v="8.1351351351351256E-2"/>
  </r>
  <r>
    <x v="2"/>
    <x v="58"/>
    <x v="4"/>
    <x v="25"/>
    <m/>
    <m/>
    <s v="RECEIVER_DRIER_ALUMINUM, YK 9094 (Lancer)"/>
    <s v="CA-001127"/>
    <n v="1"/>
    <n v="550"/>
    <m/>
    <n v="550"/>
    <x v="0"/>
    <n v="662"/>
    <n v="280"/>
    <n v="280"/>
    <n v="294"/>
    <n v="256"/>
    <n v="76.8"/>
    <x v="27"/>
    <x v="2"/>
    <e v="#REF!"/>
    <e v="#REF!"/>
    <s v=""/>
    <n v="0.46545454545454545"/>
  </r>
  <r>
    <x v="2"/>
    <x v="39"/>
    <x v="0"/>
    <x v="58"/>
    <m/>
    <m/>
    <s v="RECEIVER_DRIER_ALUMINUM, YK 2020-2 (ERTIGA)"/>
    <s v="CA-001081"/>
    <n v="2"/>
    <n v="500"/>
    <m/>
    <n v="1000"/>
    <x v="0"/>
    <n v="662"/>
    <n v="280"/>
    <n v="560"/>
    <n v="588"/>
    <n v="412"/>
    <n v="0"/>
    <x v="27"/>
    <x v="2"/>
    <e v="#REF!"/>
    <e v="#REF!"/>
    <s v=""/>
    <n v="0.41199999999999998"/>
  </r>
  <r>
    <x v="3"/>
    <x v="65"/>
    <x v="0"/>
    <x v="57"/>
    <m/>
    <m/>
    <s v="TAPE_FOAM, AEROTAPE 3MM X 50 MM X 9.1 MTR  04/02/25"/>
    <s v="IM-000332"/>
    <n v="2"/>
    <n v="370"/>
    <m/>
    <n v="740"/>
    <x v="0"/>
    <n v="510"/>
    <n v="330"/>
    <n v="660"/>
    <n v="679.80000000000007"/>
    <n v="60.199999999999932"/>
    <n v="0"/>
    <x v="25"/>
    <x v="0"/>
    <m/>
    <m/>
    <s v=""/>
    <n v="8.1351351351351256E-2"/>
  </r>
  <r>
    <x v="3"/>
    <x v="118"/>
    <x v="6"/>
    <x v="54"/>
    <m/>
    <m/>
    <s v="TAPE_FOAM, AEROTAPE 3MM X 50 MM X 9.1 MTR  04/02/25"/>
    <s v="IM-000332"/>
    <n v="2"/>
    <n v="370"/>
    <m/>
    <n v="740"/>
    <x v="0"/>
    <n v="510"/>
    <n v="330"/>
    <n v="660"/>
    <n v="679.80000000000007"/>
    <n v="60.199999999999932"/>
    <n v="18.059999999999977"/>
    <x v="25"/>
    <x v="0"/>
    <m/>
    <m/>
    <s v=""/>
    <n v="8.1351351351351256E-2"/>
  </r>
  <r>
    <x v="4"/>
    <x v="105"/>
    <x v="0"/>
    <x v="58"/>
    <m/>
    <m/>
    <s v="TAPE_FOAM, AEROTAPE 3MM X 50 MM X 9.1 MTR  04/02/25"/>
    <s v="IM-000332"/>
    <n v="2"/>
    <n v="400"/>
    <m/>
    <n v="800"/>
    <x v="0"/>
    <n v="510"/>
    <n v="330"/>
    <n v="660"/>
    <n v="679.80000000000007"/>
    <n v="120.19999999999993"/>
    <n v="0"/>
    <x v="25"/>
    <x v="0"/>
    <m/>
    <m/>
    <m/>
    <n v="0.15024999999999991"/>
  </r>
  <r>
    <x v="4"/>
    <x v="89"/>
    <x v="0"/>
    <x v="1"/>
    <m/>
    <m/>
    <s v="ROYAL CORD, POWERFLEX 4-CORE, #16 1.2 MM, METER"/>
    <s v="GE-000485"/>
    <n v="8"/>
    <n v="125"/>
    <m/>
    <n v="1000"/>
    <x v="0"/>
    <n v="90"/>
    <n v="72"/>
    <n v="576"/>
    <n v="604.80000000000007"/>
    <n v="395.19999999999993"/>
    <n v="0"/>
    <x v="48"/>
    <x v="1"/>
    <m/>
    <m/>
    <m/>
    <n v="0.39519999999999994"/>
  </r>
  <r>
    <x v="4"/>
    <x v="110"/>
    <x v="0"/>
    <x v="19"/>
    <m/>
    <m/>
    <s v="ROYAL CORD, BOSTON 4-CORE, #14 1.25 MM, PER METER"/>
    <s v="GE-000463"/>
    <n v="7"/>
    <n v="160"/>
    <m/>
    <n v="1120"/>
    <x v="0"/>
    <n v="160"/>
    <n v="80"/>
    <n v="560"/>
    <n v="588"/>
    <n v="532"/>
    <n v="0"/>
    <x v="48"/>
    <x v="1"/>
    <m/>
    <m/>
    <m/>
    <n v="0.47499999999999998"/>
  </r>
  <r>
    <x v="4"/>
    <x v="103"/>
    <x v="0"/>
    <x v="26"/>
    <m/>
    <m/>
    <s v="TAPE_FOAM, AEROTAPE 3MM X 50 MM X 9.1 MTR  04/02/25"/>
    <s v="IM-000332"/>
    <n v="2"/>
    <n v="380"/>
    <m/>
    <n v="760"/>
    <x v="0"/>
    <n v="510"/>
    <n v="330"/>
    <n v="660"/>
    <n v="679.80000000000007"/>
    <n v="80.199999999999932"/>
    <n v="0"/>
    <x v="25"/>
    <x v="0"/>
    <m/>
    <m/>
    <m/>
    <n v="0.10552631578947359"/>
  </r>
  <r>
    <x v="4"/>
    <x v="82"/>
    <x v="0"/>
    <x v="58"/>
    <m/>
    <m/>
    <s v="RECEIVER_DRIER_ALUMINUM, YK 2020-2 (ERTIGA)"/>
    <s v="CA-001081"/>
    <n v="2"/>
    <n v="600"/>
    <m/>
    <n v="1200"/>
    <x v="0"/>
    <n v="662"/>
    <n v="280"/>
    <n v="560"/>
    <n v="588"/>
    <n v="612"/>
    <n v="0"/>
    <x v="27"/>
    <x v="2"/>
    <m/>
    <m/>
    <m/>
    <n v="0.51"/>
  </r>
  <r>
    <x v="3"/>
    <x v="64"/>
    <x v="0"/>
    <x v="19"/>
    <m/>
    <m/>
    <s v="BRACKET , GB 1HP, COATED"/>
    <s v="IM-000008"/>
    <n v="3"/>
    <n v="360"/>
    <m/>
    <n v="1080"/>
    <x v="0"/>
    <n v="334"/>
    <n v="185"/>
    <n v="555"/>
    <n v="571.65"/>
    <n v="508.35"/>
    <n v="0"/>
    <x v="1"/>
    <x v="0"/>
    <m/>
    <m/>
    <s v=""/>
    <n v="0.47069444444444447"/>
  </r>
  <r>
    <x v="1"/>
    <x v="17"/>
    <x v="0"/>
    <x v="15"/>
    <m/>
    <m/>
    <s v="RUBBER_INSULATION, M-FLEX 1/2&quot; 5/8"/>
    <s v="IM-000232"/>
    <n v="10"/>
    <n v="75"/>
    <m/>
    <n v="750"/>
    <x v="0"/>
    <n v="77"/>
    <n v="55.2"/>
    <n v="552"/>
    <n v="568.56000000000006"/>
    <n v="181.43999999999994"/>
    <n v="0"/>
    <x v="22"/>
    <x v="0"/>
    <e v="#REF!"/>
    <e v="#REF!"/>
    <s v=""/>
    <n v="0.24191999999999991"/>
  </r>
  <r>
    <x v="4"/>
    <x v="113"/>
    <x v="0"/>
    <x v="57"/>
    <m/>
    <m/>
    <s v="RUBBER_INSULATION, M-FLEX 1/2&quot; 5/8"/>
    <s v="IM-000232"/>
    <n v="10"/>
    <n v="80"/>
    <m/>
    <n v="800"/>
    <x v="0"/>
    <n v="77"/>
    <n v="55.2"/>
    <n v="552"/>
    <n v="568.56000000000006"/>
    <n v="231.43999999999994"/>
    <n v="0"/>
    <x v="22"/>
    <x v="0"/>
    <m/>
    <m/>
    <m/>
    <n v="0.28929999999999995"/>
  </r>
  <r>
    <x v="4"/>
    <x v="79"/>
    <x v="0"/>
    <x v="6"/>
    <m/>
    <m/>
    <s v="RUBBER_INSULATION, M-FLEX 1/2&quot; 5/8"/>
    <s v="IM-000232"/>
    <n v="10"/>
    <n v="80"/>
    <m/>
    <n v="800"/>
    <x v="0"/>
    <n v="77"/>
    <n v="55.2"/>
    <n v="552"/>
    <n v="568.56000000000006"/>
    <n v="231.43999999999994"/>
    <n v="0"/>
    <x v="22"/>
    <x v="0"/>
    <m/>
    <m/>
    <m/>
    <n v="0.28929999999999995"/>
  </r>
  <r>
    <x v="3"/>
    <x v="60"/>
    <x v="0"/>
    <x v="1"/>
    <m/>
    <m/>
    <s v="ROYAL CORD, BOSTON 4-CORE, #16 1.25 MM, PER METER"/>
    <s v="GE-000453"/>
    <n v="10"/>
    <n v="125"/>
    <m/>
    <n v="1250"/>
    <x v="0"/>
    <n v="122"/>
    <n v="55"/>
    <n v="550"/>
    <n v="577.5"/>
    <n v="672.5"/>
    <n v="0"/>
    <x v="48"/>
    <x v="1"/>
    <m/>
    <m/>
    <s v=""/>
    <n v="0.53800000000000003"/>
  </r>
  <r>
    <x v="2"/>
    <x v="44"/>
    <x v="2"/>
    <x v="9"/>
    <m/>
    <n v="260"/>
    <s v="TAPE, EVER SEAL CORK TAPE"/>
    <s v="GE-000344"/>
    <n v="2"/>
    <n v="232"/>
    <m/>
    <n v="464"/>
    <x v="0"/>
    <n v="226"/>
    <n v="130"/>
    <n v="260"/>
    <n v="273"/>
    <n v="191"/>
    <n v="57.3"/>
    <x v="41"/>
    <x v="1"/>
    <e v="#REF!"/>
    <e v="#REF!"/>
    <n v="259.84000000000003"/>
    <n v="0.41163793103448276"/>
  </r>
  <r>
    <x v="1"/>
    <x v="17"/>
    <x v="0"/>
    <x v="15"/>
    <m/>
    <m/>
    <s v="ROD, HARRIS SILVER "/>
    <s v="IM-000098"/>
    <n v="30"/>
    <n v="25"/>
    <m/>
    <n v="750"/>
    <x v="0"/>
    <n v="30"/>
    <n v="19"/>
    <n v="570"/>
    <n v="587.1"/>
    <n v="162.89999999999998"/>
    <n v="0"/>
    <x v="56"/>
    <x v="0"/>
    <e v="#REF!"/>
    <e v="#REF!"/>
    <s v=""/>
    <n v="0.21719999999999998"/>
  </r>
  <r>
    <x v="2"/>
    <x v="48"/>
    <x v="2"/>
    <x v="7"/>
    <m/>
    <n v="550"/>
    <s v="EXP. VALVE LT, POKKA 9A60 / 9A233 EXTRAIL"/>
    <s v="CA-001829"/>
    <n v="1"/>
    <n v="491"/>
    <m/>
    <n v="491"/>
    <x v="0"/>
    <n v="478"/>
    <n v="260"/>
    <n v="260"/>
    <n v="273"/>
    <n v="218"/>
    <n v="65.399999999999991"/>
    <x v="23"/>
    <x v="2"/>
    <e v="#REF!"/>
    <e v="#REF!"/>
    <n v="549.92000000000007"/>
    <n v="0.4439918533604888"/>
  </r>
  <r>
    <x v="2"/>
    <x v="48"/>
    <x v="0"/>
    <x v="1"/>
    <m/>
    <m/>
    <s v="ELECTRICAL WIRE_STRANDED, POWERFLEX THNN STRANDED   #12, MTR"/>
    <s v="GE-000120"/>
    <n v="20"/>
    <n v="35"/>
    <m/>
    <n v="700"/>
    <x v="0"/>
    <n v="50"/>
    <n v="27"/>
    <n v="540"/>
    <n v="567"/>
    <n v="133"/>
    <n v="0"/>
    <x v="2"/>
    <x v="1"/>
    <e v="#REF!"/>
    <e v="#REF!"/>
    <s v=""/>
    <n v="0.19"/>
  </r>
  <r>
    <x v="3"/>
    <x v="68"/>
    <x v="1"/>
    <x v="42"/>
    <m/>
    <m/>
    <s v="O_RING, NEK MAKAPAL 1/2"/>
    <s v="CA-000840"/>
    <n v="9"/>
    <n v="130"/>
    <m/>
    <n v="1170"/>
    <x v="0"/>
    <n v="111"/>
    <n v="60"/>
    <n v="540"/>
    <n v="567"/>
    <n v="603"/>
    <n v="180.9"/>
    <x v="44"/>
    <x v="2"/>
    <m/>
    <m/>
    <s v=""/>
    <n v="0.51538461538461533"/>
  </r>
  <r>
    <x v="4"/>
    <x v="107"/>
    <x v="0"/>
    <x v="1"/>
    <m/>
    <m/>
    <s v="ELECTRICAL WIRE_STRANDED, POWERFLEX THNN STRANDED   #12, MTR"/>
    <s v="GE-000120"/>
    <n v="20"/>
    <n v="45"/>
    <m/>
    <n v="900"/>
    <x v="0"/>
    <n v="50"/>
    <n v="27"/>
    <n v="540"/>
    <n v="567"/>
    <n v="333"/>
    <n v="0"/>
    <x v="2"/>
    <x v="1"/>
    <m/>
    <m/>
    <m/>
    <n v="0.37"/>
  </r>
  <r>
    <x v="4"/>
    <x v="113"/>
    <x v="0"/>
    <x v="99"/>
    <m/>
    <m/>
    <s v="ELECTRICAL WIRE_STRANDED, POWERFLEX THNN STRANDED   #12, MTR"/>
    <s v="GE-000120"/>
    <n v="20"/>
    <n v="45"/>
    <m/>
    <n v="900"/>
    <x v="0"/>
    <n v="50"/>
    <n v="27"/>
    <n v="540"/>
    <n v="567"/>
    <n v="333"/>
    <n v="0"/>
    <x v="2"/>
    <x v="1"/>
    <m/>
    <m/>
    <m/>
    <n v="0.37"/>
  </r>
  <r>
    <x v="5"/>
    <x v="83"/>
    <x v="0"/>
    <x v="1"/>
    <m/>
    <m/>
    <s v="BOLT &amp; NUT, DYNABOLT 3/8&quot;"/>
    <s v="GE-000396"/>
    <n v="4"/>
    <n v="25"/>
    <m/>
    <n v="100"/>
    <x v="0"/>
    <n v="19"/>
    <n v="8.9"/>
    <n v="35.6"/>
    <n v="37.380000000000003"/>
    <n v="62.62"/>
    <n v="0"/>
    <x v="57"/>
    <x v="1"/>
    <e v="#REF!"/>
    <e v="#REF!"/>
    <s v=""/>
    <n v="0.62619999999999998"/>
  </r>
  <r>
    <x v="4"/>
    <x v="113"/>
    <x v="0"/>
    <x v="63"/>
    <m/>
    <m/>
    <s v="RUBBER_INSULATION, M-FLEX 3/4&quot; X 3/8"/>
    <s v="IM-000241"/>
    <n v="8"/>
    <n v="100"/>
    <m/>
    <n v="800"/>
    <x v="0"/>
    <n v="94"/>
    <n v="67.2"/>
    <n v="537.6"/>
    <n v="553.72800000000007"/>
    <n v="246.27199999999993"/>
    <n v="0"/>
    <x v="22"/>
    <x v="0"/>
    <m/>
    <m/>
    <m/>
    <n v="0.30783999999999989"/>
  </r>
  <r>
    <x v="4"/>
    <x v="103"/>
    <x v="0"/>
    <x v="1"/>
    <m/>
    <m/>
    <s v="RUBBER_INSULATION, M-FLEX 3/4&quot; X 3/8"/>
    <s v="IM-000241"/>
    <n v="8"/>
    <n v="100"/>
    <m/>
    <n v="800"/>
    <x v="0"/>
    <n v="94"/>
    <n v="67.2"/>
    <n v="537.6"/>
    <n v="553.72800000000007"/>
    <n v="246.27199999999993"/>
    <n v="0"/>
    <x v="22"/>
    <x v="0"/>
    <m/>
    <m/>
    <m/>
    <n v="0.30783999999999989"/>
  </r>
  <r>
    <x v="5"/>
    <x v="83"/>
    <x v="0"/>
    <x v="34"/>
    <m/>
    <m/>
    <s v="RUBBER_INSULATION, M-FLEX 1/2&quot; 1/4"/>
    <s v="IM-000229"/>
    <n v="1"/>
    <n v="50"/>
    <m/>
    <n v="50"/>
    <x v="0"/>
    <n v="47"/>
    <n v="33.6"/>
    <n v="33.6"/>
    <n v="34.608000000000004"/>
    <n v="15.391999999999996"/>
    <n v="0"/>
    <x v="22"/>
    <x v="0"/>
    <e v="#REF!"/>
    <e v="#REF!"/>
    <s v=""/>
    <n v="0.30783999999999989"/>
  </r>
  <r>
    <x v="0"/>
    <x v="8"/>
    <x v="0"/>
    <x v="1"/>
    <m/>
    <m/>
    <s v="HOSE,  DRAIN PUMP PER MTR"/>
    <s v="GE-000242"/>
    <n v="15"/>
    <n v="50"/>
    <m/>
    <n v="750"/>
    <x v="0"/>
    <n v="65"/>
    <n v="35"/>
    <n v="525"/>
    <n v="551.25"/>
    <n v="198.75"/>
    <n v="0"/>
    <x v="19"/>
    <x v="1"/>
    <m/>
    <m/>
    <s v=""/>
    <n v="0.26500000000000001"/>
  </r>
  <r>
    <x v="1"/>
    <x v="22"/>
    <x v="0"/>
    <x v="1"/>
    <m/>
    <m/>
    <s v="TAPE_PE, PICUS Polythelene Tape (White)X 4&quot;"/>
    <s v="IM-000247"/>
    <n v="7"/>
    <n v="125"/>
    <m/>
    <n v="875"/>
    <x v="0"/>
    <n v="147"/>
    <n v="75"/>
    <n v="525"/>
    <n v="540.75"/>
    <n v="334.25"/>
    <n v="0"/>
    <x v="29"/>
    <x v="0"/>
    <e v="#REF!"/>
    <e v="#REF!"/>
    <e v="#REF!"/>
    <n v="0.38200000000000001"/>
  </r>
  <r>
    <x v="1"/>
    <x v="33"/>
    <x v="0"/>
    <x v="26"/>
    <m/>
    <m/>
    <s v="RUBBER_INSULATION, M-FLEX 3/4&quot; 5/8"/>
    <s v="IM-000331"/>
    <n v="6"/>
    <n v="125"/>
    <m/>
    <n v="750"/>
    <x v="0"/>
    <n v="140"/>
    <n v="100"/>
    <n v="600"/>
    <n v="618"/>
    <n v="132"/>
    <n v="0"/>
    <x v="22"/>
    <x v="0"/>
    <e v="#REF!"/>
    <e v="#REF!"/>
    <e v="#REF!"/>
    <n v="0.17599999999999999"/>
  </r>
  <r>
    <x v="2"/>
    <x v="44"/>
    <x v="0"/>
    <x v="26"/>
    <m/>
    <m/>
    <s v="RUBBER_INSULATION, M-FLEX 3/4&quot; 5/8"/>
    <s v="IM-000331"/>
    <n v="6"/>
    <n v="125"/>
    <m/>
    <n v="750"/>
    <x v="0"/>
    <n v="140"/>
    <n v="100"/>
    <n v="600"/>
    <n v="618"/>
    <n v="132"/>
    <n v="0"/>
    <x v="22"/>
    <x v="0"/>
    <e v="#REF!"/>
    <e v="#REF!"/>
    <s v=""/>
    <n v="0.17599999999999999"/>
  </r>
  <r>
    <x v="4"/>
    <x v="88"/>
    <x v="0"/>
    <x v="100"/>
    <m/>
    <m/>
    <s v="ELECTRICAL WIRE_STRANDED, POWERFLEX THNN STRANDED   #14, MTR"/>
    <s v="GE-000122"/>
    <n v="25"/>
    <n v="35"/>
    <m/>
    <n v="875"/>
    <x v="0"/>
    <n v="39"/>
    <n v="21"/>
    <n v="525"/>
    <n v="551.25"/>
    <n v="323.75"/>
    <n v="0"/>
    <x v="2"/>
    <x v="1"/>
    <m/>
    <m/>
    <m/>
    <n v="0.37"/>
  </r>
  <r>
    <x v="0"/>
    <x v="0"/>
    <x v="5"/>
    <x v="37"/>
    <m/>
    <m/>
    <s v="ELECTRICAL_PANEL, AMERICA NEMA 3R, 2P"/>
    <s v="GE-000418"/>
    <n v="2"/>
    <n v="450"/>
    <m/>
    <n v="900"/>
    <x v="0"/>
    <n v="478"/>
    <n v="260"/>
    <n v="520"/>
    <n v="546"/>
    <n v="354"/>
    <n v="106.2"/>
    <x v="39"/>
    <x v="1"/>
    <m/>
    <m/>
    <m/>
    <n v="0.39333333333333331"/>
  </r>
  <r>
    <x v="1"/>
    <x v="29"/>
    <x v="1"/>
    <x v="3"/>
    <m/>
    <m/>
    <s v="RECEIVER_DRIER_ALUMINUM, YK 8234 (CX7)"/>
    <s v="CA-001111"/>
    <n v="1"/>
    <n v="600"/>
    <m/>
    <n v="600"/>
    <x v="0"/>
    <n v="650"/>
    <n v="275"/>
    <n v="275"/>
    <n v="288.75"/>
    <n v="311.25"/>
    <n v="93.375"/>
    <x v="27"/>
    <x v="2"/>
    <e v="#REF!"/>
    <e v="#REF!"/>
    <e v="#REF!"/>
    <n v="0.51875000000000004"/>
  </r>
  <r>
    <x v="2"/>
    <x v="57"/>
    <x v="2"/>
    <x v="22"/>
    <m/>
    <m/>
    <s v="EXP. VALVE LT, POKKA 9A224 / 9A219 NISSAN JUKE"/>
    <s v="CA-001831"/>
    <n v="1"/>
    <n v="420"/>
    <m/>
    <n v="420"/>
    <x v="0"/>
    <n v="478"/>
    <n v="260"/>
    <n v="260"/>
    <n v="273"/>
    <n v="147"/>
    <n v="44.1"/>
    <x v="23"/>
    <x v="2"/>
    <e v="#REF!"/>
    <e v="#REF!"/>
    <s v=""/>
    <n v="0.35"/>
  </r>
  <r>
    <x v="1"/>
    <x v="28"/>
    <x v="0"/>
    <x v="10"/>
    <m/>
    <m/>
    <s v="SYSTEM_CLEANER, Cleanse GREEN 141B 500 ML"/>
    <s v="GE-000369"/>
    <n v="8"/>
    <n v="120"/>
    <m/>
    <n v="960"/>
    <x v="0"/>
    <n v="113"/>
    <n v="65"/>
    <n v="520"/>
    <n v="546"/>
    <n v="414"/>
    <n v="0"/>
    <x v="28"/>
    <x v="1"/>
    <e v="#REF!"/>
    <e v="#REF!"/>
    <e v="#REF!"/>
    <n v="0.43125000000000002"/>
  </r>
  <r>
    <x v="1"/>
    <x v="32"/>
    <x v="0"/>
    <x v="10"/>
    <m/>
    <m/>
    <s v="SYSTEM_CLEANER, Cleanse GREEN 141B 500 ML"/>
    <s v="GE-000369"/>
    <n v="8"/>
    <n v="120"/>
    <m/>
    <n v="960"/>
    <x v="0"/>
    <n v="113"/>
    <n v="65"/>
    <n v="520"/>
    <n v="546"/>
    <n v="414"/>
    <n v="0"/>
    <x v="28"/>
    <x v="1"/>
    <e v="#REF!"/>
    <e v="#REF!"/>
    <e v="#REF!"/>
    <n v="0"/>
  </r>
  <r>
    <x v="2"/>
    <x v="112"/>
    <x v="0"/>
    <x v="11"/>
    <m/>
    <m/>
    <s v="EXP. VALVE LT, POKKA 9A55 HONDA NEW"/>
    <s v="CA-000636"/>
    <n v="2"/>
    <n v="550"/>
    <m/>
    <n v="1100"/>
    <x v="0"/>
    <n v="497"/>
    <n v="270"/>
    <n v="540"/>
    <n v="567"/>
    <n v="533"/>
    <n v="0"/>
    <x v="23"/>
    <x v="2"/>
    <e v="#REF!"/>
    <e v="#REF!"/>
    <s v=""/>
    <n v="0.48454545454545456"/>
  </r>
  <r>
    <x v="3"/>
    <x v="71"/>
    <x v="0"/>
    <x v="6"/>
    <m/>
    <m/>
    <s v="ELECTRICAL_PANEL, AMERICA NEMA 3R, 2P"/>
    <s v="GE-000418"/>
    <n v="2"/>
    <n v="500"/>
    <m/>
    <n v="1000"/>
    <x v="0"/>
    <n v="478"/>
    <n v="260"/>
    <n v="520"/>
    <n v="546"/>
    <n v="454"/>
    <n v="0"/>
    <x v="39"/>
    <x v="1"/>
    <m/>
    <m/>
    <s v=""/>
    <n v="0.45400000000000001"/>
  </r>
  <r>
    <x v="3"/>
    <x v="71"/>
    <x v="0"/>
    <x v="11"/>
    <m/>
    <m/>
    <s v="EXP. VALVE LT, POKKA 9A233 / 9A60 DMAX 03-11"/>
    <s v="CA-001832"/>
    <n v="2"/>
    <n v="550"/>
    <m/>
    <n v="1100"/>
    <x v="0"/>
    <n v="478"/>
    <n v="260"/>
    <n v="520"/>
    <n v="546"/>
    <n v="554"/>
    <n v="0"/>
    <x v="23"/>
    <x v="2"/>
    <m/>
    <m/>
    <s v=""/>
    <n v="0.50363636363636366"/>
  </r>
  <r>
    <x v="1"/>
    <x v="29"/>
    <x v="1"/>
    <x v="3"/>
    <m/>
    <m/>
    <s v="EXP. VALVE LT, POKKA 9A214 MAZDA 3"/>
    <s v="CA-000633"/>
    <n v="1"/>
    <n v="550"/>
    <m/>
    <n v="550"/>
    <x v="0"/>
    <n v="460"/>
    <n v="250"/>
    <n v="250"/>
    <n v="262.5"/>
    <n v="287.5"/>
    <n v="86.25"/>
    <x v="23"/>
    <x v="2"/>
    <e v="#REF!"/>
    <e v="#REF!"/>
    <e v="#REF!"/>
    <n v="0.52272727272727271"/>
  </r>
  <r>
    <x v="2"/>
    <x v="45"/>
    <x v="2"/>
    <x v="22"/>
    <m/>
    <m/>
    <s v="RECEIVER_DRIER_ALUMINUM, YK 8015 (L) (Adventure)"/>
    <s v="CA-001085"/>
    <n v="1"/>
    <n v="370"/>
    <m/>
    <n v="370"/>
    <x v="0"/>
    <n v="615"/>
    <n v="260"/>
    <n v="260"/>
    <n v="273"/>
    <n v="97"/>
    <n v="29.099999999999998"/>
    <x v="27"/>
    <x v="2"/>
    <e v="#REF!"/>
    <e v="#REF!"/>
    <s v=""/>
    <n v="0.26216216216216215"/>
  </r>
  <r>
    <x v="2"/>
    <x v="52"/>
    <x v="2"/>
    <x v="22"/>
    <m/>
    <m/>
    <s v="RECEIVER_DRIER_ALUMINUM, YK 8733 L (URVAN, NV350)"/>
    <s v="CA-001115"/>
    <n v="1"/>
    <n v="370"/>
    <m/>
    <n v="370"/>
    <x v="0"/>
    <n v="615"/>
    <n v="260"/>
    <n v="260"/>
    <n v="273"/>
    <n v="97"/>
    <n v="29.099999999999998"/>
    <x v="27"/>
    <x v="2"/>
    <e v="#REF!"/>
    <e v="#REF!"/>
    <s v=""/>
    <n v="0.26216216216216215"/>
  </r>
  <r>
    <x v="4"/>
    <x v="79"/>
    <x v="0"/>
    <x v="8"/>
    <m/>
    <m/>
    <s v="EXP. VALVE SC, HONDA OVERSIZE / FX R134A"/>
    <s v="CA-000569"/>
    <n v="2"/>
    <n v="450"/>
    <m/>
    <n v="900"/>
    <x v="0"/>
    <n v="478"/>
    <n v="260"/>
    <n v="520"/>
    <n v="546"/>
    <n v="354"/>
    <n v="0"/>
    <x v="34"/>
    <x v="2"/>
    <m/>
    <m/>
    <m/>
    <n v="0.39333333333333331"/>
  </r>
  <r>
    <x v="4"/>
    <x v="77"/>
    <x v="0"/>
    <x v="18"/>
    <m/>
    <m/>
    <s v="EXP. VALVE SC, HONDA OVERSIZE / FX R134A"/>
    <s v="CA-000569"/>
    <n v="2"/>
    <n v="450"/>
    <m/>
    <n v="900"/>
    <x v="0"/>
    <n v="478"/>
    <n v="260"/>
    <n v="520"/>
    <n v="546"/>
    <n v="354"/>
    <n v="0"/>
    <x v="34"/>
    <x v="2"/>
    <e v="#REF!"/>
    <e v="#REF!"/>
    <e v="#REF!"/>
    <n v="0"/>
  </r>
  <r>
    <x v="5"/>
    <x v="83"/>
    <x v="0"/>
    <x v="1"/>
    <m/>
    <m/>
    <s v="RUBBER_INSULATION, M-FLEX 1/2&quot; 1/4"/>
    <s v="IM-000229"/>
    <n v="1"/>
    <n v="50"/>
    <m/>
    <n v="50"/>
    <x v="0"/>
    <n v="47"/>
    <n v="33.6"/>
    <n v="33.6"/>
    <n v="34.608000000000004"/>
    <n v="15.391999999999996"/>
    <n v="0"/>
    <x v="22"/>
    <x v="0"/>
    <e v="#REF!"/>
    <e v="#REF!"/>
    <s v=""/>
    <n v="0.30783999999999989"/>
  </r>
  <r>
    <x v="0"/>
    <x v="1"/>
    <x v="0"/>
    <x v="1"/>
    <m/>
    <m/>
    <s v="COPPER_TUBE_SOFTDRAWN, EVERSTRONG 0.028 X 1/2 x 15 mtr  07/15/25"/>
    <s v="IM-000307"/>
    <n v="0.2"/>
    <n v="3750"/>
    <m/>
    <n v="750"/>
    <x v="0"/>
    <n v="4543"/>
    <n v="2520"/>
    <n v="504"/>
    <n v="519.12"/>
    <n v="230.88"/>
    <n v="0"/>
    <x v="0"/>
    <x v="0"/>
    <m/>
    <m/>
    <s v=""/>
    <n v="0.30784"/>
  </r>
  <r>
    <x v="0"/>
    <x v="1"/>
    <x v="0"/>
    <x v="1"/>
    <m/>
    <m/>
    <s v="COPPER_TUBE_SOFTDRAWN, EVERSTRONG 0.028 X 1/2 x 15 mtr  07/15/25"/>
    <s v="IM-000307"/>
    <n v="0.2"/>
    <n v="3750"/>
    <m/>
    <n v="750"/>
    <x v="0"/>
    <n v="4543"/>
    <n v="2520"/>
    <n v="504"/>
    <n v="519.12"/>
    <n v="230.88"/>
    <n v="0"/>
    <x v="0"/>
    <x v="0"/>
    <m/>
    <m/>
    <s v=""/>
    <n v="0.30784"/>
  </r>
  <r>
    <x v="0"/>
    <x v="6"/>
    <x v="0"/>
    <x v="2"/>
    <m/>
    <m/>
    <s v="COPPER_TUBE_SOFTDRAWN, EVERSTRONG 0.028 X 1/2 x 15 mtr  07/15/25"/>
    <s v="IM-000307"/>
    <n v="0.2"/>
    <n v="3750"/>
    <m/>
    <n v="750"/>
    <x v="0"/>
    <n v="4543"/>
    <n v="2520"/>
    <n v="504"/>
    <n v="519.12"/>
    <n v="230.88"/>
    <n v="0"/>
    <x v="0"/>
    <x v="0"/>
    <m/>
    <m/>
    <s v=""/>
    <n v="0.30784"/>
  </r>
  <r>
    <x v="0"/>
    <x v="8"/>
    <x v="0"/>
    <x v="1"/>
    <m/>
    <m/>
    <s v="COPPER_TUBE_SOFTDRAWN, EVERSTRONG 0.028 X 1/2 x 15 mtr  07/15/25"/>
    <s v="IM-000307"/>
    <n v="0.2"/>
    <n v="3750"/>
    <m/>
    <n v="750"/>
    <x v="0"/>
    <n v="4543"/>
    <n v="2520"/>
    <n v="504"/>
    <n v="519.12"/>
    <n v="230.88"/>
    <n v="0"/>
    <x v="0"/>
    <x v="0"/>
    <m/>
    <m/>
    <s v=""/>
    <n v="0.30784"/>
  </r>
  <r>
    <x v="0"/>
    <x v="9"/>
    <x v="0"/>
    <x v="1"/>
    <m/>
    <m/>
    <s v="COPPER_TUBE_SOFTDRAWN, EVERSTRONG 0.028 X 1/2 x 15 mtr  07/15/25"/>
    <s v="IM-000307"/>
    <n v="0.2"/>
    <n v="3750"/>
    <m/>
    <n v="750"/>
    <x v="0"/>
    <n v="4543"/>
    <n v="2520"/>
    <n v="504"/>
    <n v="519.12"/>
    <n v="230.88"/>
    <n v="0"/>
    <x v="0"/>
    <x v="0"/>
    <e v="#REF!"/>
    <e v="#REF!"/>
    <s v=""/>
    <n v="0.30784"/>
  </r>
  <r>
    <x v="0"/>
    <x v="12"/>
    <x v="0"/>
    <x v="1"/>
    <m/>
    <m/>
    <s v="COPPER_TUBE_SOFTDRAWN, EVERSTRONG 0.028 X 1/2 x 15 mtr  07/15/25"/>
    <s v="IM-000307"/>
    <n v="0.2"/>
    <n v="3750"/>
    <m/>
    <n v="750"/>
    <x v="0"/>
    <n v="4543"/>
    <n v="2520"/>
    <n v="504"/>
    <n v="519.12"/>
    <n v="230.88"/>
    <n v="0"/>
    <x v="0"/>
    <x v="0"/>
    <e v="#REF!"/>
    <e v="#REF!"/>
    <s v=""/>
    <n v="0.30784"/>
  </r>
  <r>
    <x v="0"/>
    <x v="13"/>
    <x v="0"/>
    <x v="1"/>
    <m/>
    <m/>
    <s v="COPPER_TUBE_SOFTDRAWN, EVERSTRONG 0.028 X 1/2 x 15 mtr  07/15/25"/>
    <s v="IM-000307"/>
    <n v="0.2"/>
    <n v="3750"/>
    <m/>
    <n v="750"/>
    <x v="0"/>
    <n v="4543"/>
    <n v="2520"/>
    <n v="504"/>
    <n v="519.12"/>
    <n v="230.88"/>
    <n v="0"/>
    <x v="0"/>
    <x v="0"/>
    <e v="#REF!"/>
    <e v="#REF!"/>
    <s v=""/>
    <n v="0.30784"/>
  </r>
  <r>
    <x v="1"/>
    <x v="24"/>
    <x v="0"/>
    <x v="1"/>
    <m/>
    <m/>
    <s v="COPPER_TUBE_SOFTDRAWN, EVERSTRONG 0.028 X 1/2 x 15 mtr  07/15/25"/>
    <s v="IM-000307"/>
    <n v="0.2"/>
    <n v="3750"/>
    <m/>
    <n v="750"/>
    <x v="0"/>
    <n v="4543"/>
    <n v="2520"/>
    <n v="504"/>
    <n v="519.12"/>
    <n v="230.88"/>
    <n v="0"/>
    <x v="0"/>
    <x v="0"/>
    <e v="#REF!"/>
    <e v="#REF!"/>
    <e v="#REF!"/>
    <n v="0.30784"/>
  </r>
  <r>
    <x v="1"/>
    <x v="28"/>
    <x v="8"/>
    <x v="101"/>
    <m/>
    <m/>
    <s v="BRACKET , GB 1HP, STAINLESS STEEL FLOOR"/>
    <s v="IM-000009"/>
    <n v="2"/>
    <n v="450"/>
    <m/>
    <n v="900"/>
    <x v="0"/>
    <n v="451"/>
    <n v="250"/>
    <n v="500"/>
    <n v="515"/>
    <n v="385"/>
    <n v="115.5"/>
    <x v="1"/>
    <x v="0"/>
    <e v="#REF!"/>
    <e v="#REF!"/>
    <e v="#REF!"/>
    <n v="0.42777777777777776"/>
  </r>
  <r>
    <x v="2"/>
    <x v="45"/>
    <x v="2"/>
    <x v="22"/>
    <m/>
    <m/>
    <s v="RECEIVER_DRIER_ALUMINUM, YK 8025 (Hyundai VTEC,Corolla SD, Nissan)"/>
    <s v="CA-001091"/>
    <n v="1"/>
    <n v="370"/>
    <m/>
    <n v="370"/>
    <x v="0"/>
    <n v="579"/>
    <n v="245"/>
    <n v="245"/>
    <n v="257.25"/>
    <n v="112.75"/>
    <n v="33.824999999999996"/>
    <x v="27"/>
    <x v="2"/>
    <e v="#REF!"/>
    <e v="#REF!"/>
    <s v=""/>
    <n v="0.30472972972972973"/>
  </r>
  <r>
    <x v="2"/>
    <x v="51"/>
    <x v="0"/>
    <x v="26"/>
    <m/>
    <n v="380"/>
    <s v="MAPP_GAS, COOLIB (ISHABELLA) TORCH GAS"/>
    <s v="IM-000317"/>
    <n v="2"/>
    <n v="340"/>
    <m/>
    <n v="680"/>
    <x v="0"/>
    <n v="451"/>
    <n v="250"/>
    <n v="500"/>
    <n v="515"/>
    <n v="165"/>
    <n v="0"/>
    <x v="45"/>
    <x v="0"/>
    <e v="#REF!"/>
    <e v="#REF!"/>
    <n v="380.8"/>
    <n v="0.24264705882352941"/>
  </r>
  <r>
    <x v="2"/>
    <x v="58"/>
    <x v="4"/>
    <x v="25"/>
    <m/>
    <m/>
    <s v="EXP. VALVE LT, POKKA 9A62 ADVENTURE"/>
    <s v="CA-001413"/>
    <n v="1"/>
    <n v="550"/>
    <m/>
    <n v="550"/>
    <x v="0"/>
    <n v="478"/>
    <n v="260"/>
    <n v="260"/>
    <n v="273"/>
    <n v="277"/>
    <n v="83.1"/>
    <x v="23"/>
    <x v="2"/>
    <e v="#REF!"/>
    <e v="#REF!"/>
    <s v=""/>
    <n v="0.50363636363636366"/>
  </r>
  <r>
    <x v="2"/>
    <x v="58"/>
    <x v="4"/>
    <x v="25"/>
    <m/>
    <m/>
    <s v="EXP. VALVE LT, POKKA 9A56 INNOVA F"/>
    <s v="CA-000637"/>
    <n v="1"/>
    <n v="550"/>
    <m/>
    <n v="550"/>
    <x v="0"/>
    <n v="460"/>
    <n v="250"/>
    <n v="250"/>
    <n v="262.5"/>
    <n v="287.5"/>
    <n v="86.25"/>
    <x v="23"/>
    <x v="2"/>
    <e v="#REF!"/>
    <e v="#REF!"/>
    <s v=""/>
    <n v="0.52272727272727271"/>
  </r>
  <r>
    <x v="3"/>
    <x v="68"/>
    <x v="1"/>
    <x v="42"/>
    <m/>
    <m/>
    <s v="RECEIVER_DRIER_ALUMINUM, YK 8015 (L) (Adventure)"/>
    <s v="CA-001085"/>
    <n v="2"/>
    <n v="380"/>
    <m/>
    <n v="760"/>
    <x v="0"/>
    <n v="615"/>
    <n v="260"/>
    <n v="520"/>
    <n v="546"/>
    <n v="214"/>
    <n v="64.2"/>
    <x v="27"/>
    <x v="2"/>
    <m/>
    <m/>
    <s v=""/>
    <n v="0.28157894736842104"/>
  </r>
  <r>
    <x v="4"/>
    <x v="107"/>
    <x v="6"/>
    <x v="54"/>
    <m/>
    <m/>
    <s v="MAPP_GAS, MAP PRO TORCH GAS"/>
    <s v="IM-000218"/>
    <n v="2"/>
    <n v="380"/>
    <m/>
    <n v="760"/>
    <x v="0"/>
    <n v="451"/>
    <n v="250"/>
    <n v="500"/>
    <n v="515"/>
    <n v="245"/>
    <n v="73.5"/>
    <x v="45"/>
    <x v="0"/>
    <m/>
    <m/>
    <m/>
    <n v="0.32236842105263158"/>
  </r>
  <r>
    <x v="4"/>
    <x v="95"/>
    <x v="0"/>
    <x v="58"/>
    <m/>
    <m/>
    <s v="MAPP_GAS, MAP PRO TORCH GAS"/>
    <s v="IM-000218"/>
    <n v="2"/>
    <n v="380"/>
    <m/>
    <n v="760"/>
    <x v="0"/>
    <n v="451"/>
    <n v="250"/>
    <n v="500"/>
    <n v="515"/>
    <n v="245"/>
    <n v="0"/>
    <x v="45"/>
    <x v="0"/>
    <m/>
    <m/>
    <m/>
    <n v="0.32236842105263158"/>
  </r>
  <r>
    <x v="4"/>
    <x v="103"/>
    <x v="0"/>
    <x v="26"/>
    <m/>
    <m/>
    <s v="MAPP_GAS, MAP PRO TORCH GAS"/>
    <s v="IM-000218"/>
    <n v="2"/>
    <n v="380"/>
    <m/>
    <n v="760"/>
    <x v="0"/>
    <n v="451"/>
    <n v="250"/>
    <n v="500"/>
    <n v="515"/>
    <n v="245"/>
    <n v="0"/>
    <x v="45"/>
    <x v="0"/>
    <m/>
    <m/>
    <m/>
    <n v="0.32236842105263158"/>
  </r>
  <r>
    <x v="4"/>
    <x v="79"/>
    <x v="0"/>
    <x v="6"/>
    <m/>
    <m/>
    <s v="MAPP_GAS, COOLIB (ISHABELLA) TORCH GAS"/>
    <s v="IM-000317"/>
    <n v="2"/>
    <n v="380"/>
    <m/>
    <n v="760"/>
    <x v="0"/>
    <n v="451"/>
    <n v="250"/>
    <n v="500"/>
    <n v="515"/>
    <n v="245"/>
    <n v="0"/>
    <x v="45"/>
    <x v="0"/>
    <m/>
    <m/>
    <m/>
    <n v="0.32236842105263158"/>
  </r>
  <r>
    <x v="4"/>
    <x v="82"/>
    <x v="0"/>
    <x v="1"/>
    <m/>
    <m/>
    <s v="MAPP_GAS, COOLIB (ISHABELLA) TORCH GAS"/>
    <s v="IM-000317"/>
    <n v="2"/>
    <n v="380"/>
    <m/>
    <n v="760"/>
    <x v="0"/>
    <n v="451"/>
    <n v="250"/>
    <n v="500"/>
    <n v="515"/>
    <n v="245"/>
    <n v="0"/>
    <x v="45"/>
    <x v="0"/>
    <e v="#REF!"/>
    <e v="#REF!"/>
    <e v="#REF!"/>
    <n v="0"/>
  </r>
  <r>
    <x v="2"/>
    <x v="55"/>
    <x v="0"/>
    <x v="1"/>
    <m/>
    <m/>
    <s v="COPPER_TUBE_SOFTDRAWN, EVERSTRONG 0.028 X 3/8 x 15 mtr  03/24/26"/>
    <s v="IM-000319"/>
    <n v="0.2"/>
    <n v="3250"/>
    <m/>
    <n v="650"/>
    <x v="0"/>
    <n v="4844"/>
    <n v="2475"/>
    <n v="495"/>
    <n v="509.85"/>
    <n v="140.14999999999998"/>
    <n v="0"/>
    <x v="0"/>
    <x v="0"/>
    <e v="#REF!"/>
    <e v="#REF!"/>
    <s v=""/>
    <n v="0.21561538461538457"/>
  </r>
  <r>
    <x v="3"/>
    <x v="59"/>
    <x v="0"/>
    <x v="27"/>
    <m/>
    <m/>
    <s v="COPPER_TUBE_SOFTDRAWN, EVERSTRONG 0.028 X 3/8 x 15 mtr  03/24/26"/>
    <s v="IM-000319"/>
    <n v="0.2"/>
    <n v="3250"/>
    <m/>
    <n v="650"/>
    <x v="0"/>
    <n v="4844"/>
    <n v="2475"/>
    <n v="495"/>
    <n v="509.85"/>
    <n v="140.14999999999998"/>
    <n v="0"/>
    <x v="0"/>
    <x v="0"/>
    <m/>
    <m/>
    <s v=""/>
    <n v="0.21561538461538457"/>
  </r>
  <r>
    <x v="3"/>
    <x v="63"/>
    <x v="0"/>
    <x v="1"/>
    <m/>
    <m/>
    <s v="COPPER_TUBE_SOFTDRAWN, EVERSTRONG 0.028 X 3/8 x 15 mtr  03/24/26"/>
    <s v="IM-000319"/>
    <n v="0.2"/>
    <n v="3250"/>
    <m/>
    <n v="650"/>
    <x v="0"/>
    <n v="4844"/>
    <n v="2475"/>
    <n v="495"/>
    <n v="509.85"/>
    <n v="140.14999999999998"/>
    <n v="0"/>
    <x v="0"/>
    <x v="0"/>
    <m/>
    <m/>
    <s v=""/>
    <n v="0.21561538461538457"/>
  </r>
  <r>
    <x v="3"/>
    <x v="64"/>
    <x v="0"/>
    <x v="40"/>
    <m/>
    <m/>
    <s v="COPPER_TUBE_SOFTDRAWN, EVERSTRONG 0.028 X 3/8 x 15 mtr  03/24/26"/>
    <s v="IM-000319"/>
    <n v="0.2"/>
    <n v="3250"/>
    <m/>
    <n v="650"/>
    <x v="0"/>
    <n v="4844"/>
    <n v="2475"/>
    <n v="495"/>
    <n v="509.85"/>
    <n v="140.14999999999998"/>
    <n v="0"/>
    <x v="0"/>
    <x v="0"/>
    <m/>
    <m/>
    <s v=""/>
    <n v="0.21561538461538457"/>
  </r>
  <r>
    <x v="3"/>
    <x v="115"/>
    <x v="0"/>
    <x v="1"/>
    <m/>
    <m/>
    <s v="COPPER_TUBE_SOFTDRAWN, EVERSTRONG 0.028 X 3/8 x 15 mtr  03/24/26"/>
    <s v="IM-000319"/>
    <n v="0.2"/>
    <n v="3250"/>
    <m/>
    <n v="650"/>
    <x v="0"/>
    <n v="4844"/>
    <n v="2475"/>
    <n v="495"/>
    <n v="509.85"/>
    <n v="140.14999999999998"/>
    <n v="0"/>
    <x v="0"/>
    <x v="0"/>
    <m/>
    <m/>
    <s v=""/>
    <n v="0.21561538461538457"/>
  </r>
  <r>
    <x v="3"/>
    <x v="68"/>
    <x v="0"/>
    <x v="2"/>
    <m/>
    <m/>
    <s v="COPPER_TUBE_SOFTDRAWN, EVERSTRONG 0.028 X 3/8 x 15 mtr  03/24/26"/>
    <s v="IM-000319"/>
    <n v="0.2"/>
    <n v="3250"/>
    <m/>
    <n v="650"/>
    <x v="0"/>
    <n v="4844"/>
    <n v="2475"/>
    <n v="495"/>
    <n v="509.85"/>
    <n v="140.14999999999998"/>
    <n v="0"/>
    <x v="0"/>
    <x v="0"/>
    <m/>
    <m/>
    <s v=""/>
    <n v="0.21561538461538457"/>
  </r>
  <r>
    <x v="3"/>
    <x v="118"/>
    <x v="6"/>
    <x v="54"/>
    <m/>
    <m/>
    <s v="COPPER_TUBE_SOFTDRAWN, EVERSTRONG 0.028 X 3/8 x 15 mtr  03/24/26"/>
    <s v="IM-000319"/>
    <n v="0.2"/>
    <n v="3250"/>
    <m/>
    <n v="650"/>
    <x v="0"/>
    <n v="4844"/>
    <n v="2475"/>
    <n v="495"/>
    <n v="509.85"/>
    <n v="140.14999999999998"/>
    <n v="42.044999999999995"/>
    <x v="0"/>
    <x v="0"/>
    <m/>
    <m/>
    <s v=""/>
    <n v="0.21561538461538457"/>
  </r>
  <r>
    <x v="3"/>
    <x v="119"/>
    <x v="0"/>
    <x v="41"/>
    <m/>
    <m/>
    <s v="COPPER_TUBE_SOFTDRAWN, EVERSTRONG 0.028 X 3/8 x 15 mtr  03/24/26"/>
    <s v="IM-000319"/>
    <n v="0.2"/>
    <n v="3250"/>
    <m/>
    <n v="650"/>
    <x v="0"/>
    <n v="4844"/>
    <n v="2475"/>
    <n v="495"/>
    <n v="509.85"/>
    <n v="140.14999999999998"/>
    <n v="0"/>
    <x v="0"/>
    <x v="0"/>
    <m/>
    <m/>
    <s v=""/>
    <n v="0.21561538461538457"/>
  </r>
  <r>
    <x v="3"/>
    <x v="101"/>
    <x v="0"/>
    <x v="27"/>
    <m/>
    <m/>
    <s v="COPPER_TUBE_SOFTDRAWN, EVERSTRONG 0.028 X 3/8 x 15 mtr  03/24/26"/>
    <s v="IM-000319"/>
    <n v="0.2"/>
    <n v="3250"/>
    <m/>
    <n v="650"/>
    <x v="0"/>
    <n v="4844"/>
    <n v="2475"/>
    <n v="495"/>
    <n v="509.85"/>
    <n v="140.14999999999998"/>
    <n v="0"/>
    <x v="0"/>
    <x v="0"/>
    <m/>
    <m/>
    <s v=""/>
    <n v="0.21561538461538457"/>
  </r>
  <r>
    <x v="3"/>
    <x v="123"/>
    <x v="0"/>
    <x v="102"/>
    <m/>
    <m/>
    <s v="COPPER_TUBE_SOFTDRAWN, EVERSTRONG 0.028 X 3/8 x 15 mtr  03/24/26"/>
    <s v="IM-000319"/>
    <n v="0.2"/>
    <n v="3250"/>
    <m/>
    <n v="650"/>
    <x v="0"/>
    <n v="4844"/>
    <n v="2475"/>
    <n v="495"/>
    <n v="509.85"/>
    <n v="140.14999999999998"/>
    <n v="0"/>
    <x v="0"/>
    <x v="0"/>
    <m/>
    <m/>
    <m/>
    <n v="0.21561538461538457"/>
  </r>
  <r>
    <x v="3"/>
    <x v="86"/>
    <x v="0"/>
    <x v="41"/>
    <m/>
    <m/>
    <s v="COPPER_TUBE_SOFTDRAWN, EVERSTRONG 0.028 X 3/8 x 15 mtr  03/24/26"/>
    <s v="IM-000319"/>
    <n v="0.2"/>
    <n v="3250"/>
    <m/>
    <n v="650"/>
    <x v="0"/>
    <n v="4844"/>
    <n v="2475"/>
    <n v="495"/>
    <n v="509.85"/>
    <n v="140.14999999999998"/>
    <n v="0"/>
    <x v="0"/>
    <x v="0"/>
    <m/>
    <m/>
    <m/>
    <n v="0.21561538461538457"/>
  </r>
  <r>
    <x v="4"/>
    <x v="102"/>
    <x v="0"/>
    <x v="1"/>
    <m/>
    <m/>
    <s v="COPPER_TUBE_SOFTDRAWN, EVERSTRONG 0.028 X 3/8 x 15 mtr  03/24/26"/>
    <s v="IM-000319"/>
    <n v="0.2"/>
    <n v="3250"/>
    <m/>
    <n v="650"/>
    <x v="0"/>
    <n v="4844"/>
    <n v="2475"/>
    <n v="495"/>
    <n v="509.85"/>
    <n v="140.14999999999998"/>
    <n v="0"/>
    <x v="0"/>
    <x v="0"/>
    <m/>
    <m/>
    <m/>
    <n v="0.21561538461538457"/>
  </r>
  <r>
    <x v="4"/>
    <x v="105"/>
    <x v="0"/>
    <x v="1"/>
    <m/>
    <m/>
    <s v="COPPER_TUBE_SOFTDRAWN, EVERSTRONG 0.028 X 3/8 x 15 mtr  03/24/26"/>
    <s v="IM-000319"/>
    <n v="0.2"/>
    <n v="3250"/>
    <m/>
    <n v="650"/>
    <x v="0"/>
    <n v="4844"/>
    <n v="2475"/>
    <n v="495"/>
    <n v="509.85"/>
    <n v="140.14999999999998"/>
    <n v="0"/>
    <x v="0"/>
    <x v="0"/>
    <m/>
    <m/>
    <m/>
    <n v="0.21561538461538457"/>
  </r>
  <r>
    <x v="4"/>
    <x v="75"/>
    <x v="0"/>
    <x v="34"/>
    <m/>
    <m/>
    <s v="RUBBER_INSULATION, INSUFLEX 1&quot; x 3/4"/>
    <s v="IM-000193"/>
    <n v="3"/>
    <n v="240"/>
    <m/>
    <n v="720"/>
    <x v="0"/>
    <n v="233"/>
    <n v="165"/>
    <n v="495"/>
    <n v="509.85"/>
    <n v="210.14999999999998"/>
    <n v="0"/>
    <x v="22"/>
    <x v="0"/>
    <e v="#REF!"/>
    <e v="#REF!"/>
    <e v="#REF!"/>
    <n v="0"/>
  </r>
  <r>
    <x v="4"/>
    <x v="88"/>
    <x v="0"/>
    <x v="102"/>
    <m/>
    <m/>
    <s v="COPPER_TUBE_SOFTDRAWN, HAILIANG 0.028 X 3/8 x 15 mtr 04/25/26"/>
    <s v="IM-000327"/>
    <n v="0.2"/>
    <n v="3250"/>
    <m/>
    <n v="650"/>
    <x v="0"/>
    <n v="4774"/>
    <n v="2648"/>
    <n v="529.6"/>
    <n v="545.48800000000006"/>
    <n v="104.51199999999994"/>
    <n v="0"/>
    <x v="0"/>
    <x v="0"/>
    <m/>
    <m/>
    <m/>
    <n v="0.16078769230769221"/>
  </r>
  <r>
    <x v="4"/>
    <x v="108"/>
    <x v="0"/>
    <x v="1"/>
    <m/>
    <m/>
    <s v="COPPER_TUBE_SOFTDRAWN, HAILIANG 0.028 X 3/8 x 15 mtr 04/25/26"/>
    <s v="IM-000327"/>
    <n v="0.2"/>
    <n v="3250"/>
    <m/>
    <n v="650"/>
    <x v="0"/>
    <n v="4774"/>
    <n v="2648"/>
    <n v="529.6"/>
    <n v="545.48800000000006"/>
    <n v="104.51199999999994"/>
    <n v="0"/>
    <x v="0"/>
    <x v="0"/>
    <m/>
    <m/>
    <m/>
    <n v="0.16078769230769221"/>
  </r>
  <r>
    <x v="4"/>
    <x v="90"/>
    <x v="0"/>
    <x v="41"/>
    <m/>
    <m/>
    <s v="COPPER_TUBE_SOFTDRAWN, HAILIANG 0.028 X 3/8 x 15 mtr 04/25/26"/>
    <s v="IM-000327"/>
    <n v="0.2"/>
    <n v="3250"/>
    <m/>
    <n v="650"/>
    <x v="0"/>
    <n v="4774"/>
    <n v="2648"/>
    <n v="529.6"/>
    <n v="545.48800000000006"/>
    <n v="104.51199999999994"/>
    <n v="0"/>
    <x v="0"/>
    <x v="0"/>
    <m/>
    <m/>
    <m/>
    <n v="0.16078769230769221"/>
  </r>
  <r>
    <x v="4"/>
    <x v="92"/>
    <x v="0"/>
    <x v="41"/>
    <m/>
    <m/>
    <s v="COPPER_TUBE_SOFTDRAWN, HAILIANG 0.028 X 3/8 x 15 mtr 04/25/26"/>
    <s v="IM-000327"/>
    <n v="0.2"/>
    <n v="3250"/>
    <m/>
    <n v="650"/>
    <x v="0"/>
    <n v="4774"/>
    <n v="2648"/>
    <n v="529.6"/>
    <n v="545.48800000000006"/>
    <n v="104.51199999999994"/>
    <n v="0"/>
    <x v="0"/>
    <x v="0"/>
    <m/>
    <m/>
    <m/>
    <n v="0.16078769230769221"/>
  </r>
  <r>
    <x v="4"/>
    <x v="110"/>
    <x v="0"/>
    <x v="103"/>
    <m/>
    <m/>
    <s v="COPPER_TUBE_SOFTDRAWN, HAILIANG 0.028 X 3/8 x 15 mtr 04/25/26"/>
    <s v="IM-000327"/>
    <n v="0.2"/>
    <n v="3250"/>
    <m/>
    <n v="650"/>
    <x v="0"/>
    <n v="4774"/>
    <n v="2648"/>
    <n v="529.6"/>
    <n v="545.48800000000006"/>
    <n v="104.51199999999994"/>
    <n v="0"/>
    <x v="0"/>
    <x v="0"/>
    <m/>
    <m/>
    <m/>
    <n v="0.16078769230769221"/>
  </r>
  <r>
    <x v="4"/>
    <x v="95"/>
    <x v="0"/>
    <x v="41"/>
    <m/>
    <m/>
    <s v="COPPER_TUBE_SOFTDRAWN, HAILIANG 0.028 X 3/8 x 15 mtr 04/25/26"/>
    <s v="IM-000327"/>
    <n v="0.2"/>
    <n v="3250"/>
    <m/>
    <n v="650"/>
    <x v="0"/>
    <n v="4774"/>
    <n v="2648"/>
    <n v="529.6"/>
    <n v="545.48800000000006"/>
    <n v="104.51199999999994"/>
    <n v="0"/>
    <x v="0"/>
    <x v="0"/>
    <m/>
    <m/>
    <m/>
    <n v="0.16078769230769221"/>
  </r>
  <r>
    <x v="4"/>
    <x v="103"/>
    <x v="0"/>
    <x v="30"/>
    <m/>
    <m/>
    <s v="COPPER_TUBE_SOFTDRAWN, HAILIANG 0.028 X 3/8 x 15 mtr 04/25/26"/>
    <s v="IM-000327"/>
    <n v="0.2"/>
    <n v="3250"/>
    <m/>
    <n v="650"/>
    <x v="0"/>
    <n v="4774"/>
    <n v="2648"/>
    <n v="529.6"/>
    <n v="545.48800000000006"/>
    <n v="104.51199999999994"/>
    <n v="0"/>
    <x v="0"/>
    <x v="0"/>
    <m/>
    <m/>
    <m/>
    <n v="0.16078769230769221"/>
  </r>
  <r>
    <x v="4"/>
    <x v="80"/>
    <x v="0"/>
    <x v="104"/>
    <m/>
    <m/>
    <s v="COPPER_TUBE_SOFTDRAWN, HAILIANG 0.028 X 3/8 x 15 mtr 04/25/26"/>
    <s v="IM-000327"/>
    <n v="0.2"/>
    <n v="3000"/>
    <m/>
    <n v="600"/>
    <x v="0"/>
    <n v="4774"/>
    <n v="2648"/>
    <n v="529.6"/>
    <n v="545.48800000000006"/>
    <n v="54.511999999999944"/>
    <n v="0"/>
    <x v="0"/>
    <x v="0"/>
    <m/>
    <m/>
    <m/>
    <n v="9.0853333333333244E-2"/>
  </r>
  <r>
    <x v="4"/>
    <x v="75"/>
    <x v="0"/>
    <x v="105"/>
    <m/>
    <m/>
    <s v="COPPER_TUBE_SOFTDRAWN, HAILIANG 0.028 X 3/8 x 15 mtr 04/25/26"/>
    <s v="IM-000327"/>
    <n v="0.2"/>
    <n v="3250"/>
    <m/>
    <n v="650"/>
    <x v="0"/>
    <n v="4774"/>
    <n v="2648"/>
    <n v="529.6"/>
    <n v="545.48800000000006"/>
    <n v="104.51199999999994"/>
    <n v="0"/>
    <x v="0"/>
    <x v="0"/>
    <e v="#REF!"/>
    <e v="#REF!"/>
    <e v="#REF!"/>
    <n v="0"/>
  </r>
  <r>
    <x v="3"/>
    <x v="62"/>
    <x v="0"/>
    <x v="29"/>
    <m/>
    <m/>
    <s v="ELECTRICAL WIRE_STRANDED, POWERFLEX THNN STRANDED   #12, MTR"/>
    <s v="GE-000120"/>
    <n v="18"/>
    <n v="45"/>
    <m/>
    <n v="810"/>
    <x v="0"/>
    <n v="50"/>
    <n v="27"/>
    <n v="486"/>
    <n v="510.3"/>
    <n v="299.7"/>
    <n v="0"/>
    <x v="2"/>
    <x v="1"/>
    <m/>
    <m/>
    <s v=""/>
    <n v="0.37"/>
  </r>
  <r>
    <x v="2"/>
    <x v="40"/>
    <x v="2"/>
    <x v="7"/>
    <m/>
    <m/>
    <s v="EXP. VALVE SC, MITSUBISHI ORING TYPE 5/16"/>
    <s v="CA-000567"/>
    <n v="1"/>
    <n v="450"/>
    <m/>
    <n v="450"/>
    <x v="0"/>
    <n v="386"/>
    <n v="210"/>
    <n v="210"/>
    <n v="220.5"/>
    <n v="229.5"/>
    <n v="68.849999999999994"/>
    <x v="34"/>
    <x v="2"/>
    <e v="#REF!"/>
    <e v="#REF!"/>
    <s v=""/>
    <n v="0.51"/>
  </r>
  <r>
    <x v="2"/>
    <x v="37"/>
    <x v="0"/>
    <x v="36"/>
    <m/>
    <n v="300"/>
    <s v="CABIN_FILTER, TOYOTA INNOVA"/>
    <s v="CA-001294"/>
    <n v="2"/>
    <n v="270"/>
    <m/>
    <n v="540"/>
    <x v="0"/>
    <n v="315"/>
    <n v="100"/>
    <n v="200"/>
    <n v="210"/>
    <n v="330"/>
    <n v="0"/>
    <x v="12"/>
    <x v="2"/>
    <e v="#REF!"/>
    <e v="#REF!"/>
    <n v="302.40000000000003"/>
    <n v="0.61111111111111116"/>
  </r>
  <r>
    <x v="2"/>
    <x v="37"/>
    <x v="0"/>
    <x v="36"/>
    <m/>
    <n v="300"/>
    <s v="CABIN_FILTER, TOYOTA WIGO"/>
    <s v="CA-000387"/>
    <n v="2"/>
    <n v="268"/>
    <m/>
    <n v="536"/>
    <x v="0"/>
    <n v="315"/>
    <n v="100"/>
    <n v="200"/>
    <n v="210"/>
    <n v="326"/>
    <n v="0"/>
    <x v="12"/>
    <x v="2"/>
    <e v="#REF!"/>
    <e v="#REF!"/>
    <n v="300.16000000000003"/>
    <n v="0.60820895522388063"/>
  </r>
  <r>
    <x v="2"/>
    <x v="39"/>
    <x v="2"/>
    <x v="22"/>
    <m/>
    <m/>
    <s v="RECEIVER_DRIER_ALUMINUM, YK 8106 (CROSSWIND, PAJERO, DENSO 134A M)"/>
    <s v="CA-001100"/>
    <n v="1"/>
    <n v="370"/>
    <m/>
    <n v="370"/>
    <x v="0"/>
    <n v="485"/>
    <n v="205"/>
    <n v="205"/>
    <n v="215.25"/>
    <n v="154.75"/>
    <n v="46.424999999999997"/>
    <x v="27"/>
    <x v="2"/>
    <e v="#REF!"/>
    <e v="#REF!"/>
    <s v=""/>
    <n v="0.41824324324324325"/>
  </r>
  <r>
    <x v="2"/>
    <x v="35"/>
    <x v="2"/>
    <x v="7"/>
    <m/>
    <n v="450"/>
    <s v="LUBRICANT, EMKARATE RL 68H, 1 LITER"/>
    <s v="GE-000135"/>
    <n v="1"/>
    <n v="405"/>
    <m/>
    <n v="405"/>
    <x v="0"/>
    <n v="331"/>
    <n v="180"/>
    <n v="180"/>
    <n v="189"/>
    <n v="216"/>
    <n v="64.8"/>
    <x v="9"/>
    <x v="1"/>
    <e v="#REF!"/>
    <e v="#REF!"/>
    <n v="453.6"/>
    <n v="0.53333333333333333"/>
  </r>
  <r>
    <x v="2"/>
    <x v="39"/>
    <x v="2"/>
    <x v="22"/>
    <m/>
    <m/>
    <s v="LUBRICANT, EMKARATE RL 68H, 1 LITER"/>
    <s v="GE-000135"/>
    <n v="1"/>
    <n v="380"/>
    <m/>
    <n v="380"/>
    <x v="0"/>
    <n v="331"/>
    <n v="180"/>
    <n v="180"/>
    <n v="189"/>
    <n v="191"/>
    <n v="57.3"/>
    <x v="9"/>
    <x v="1"/>
    <e v="#REF!"/>
    <e v="#REF!"/>
    <s v=""/>
    <n v="0.50263157894736843"/>
  </r>
  <r>
    <x v="3"/>
    <x v="65"/>
    <x v="0"/>
    <x v="1"/>
    <m/>
    <m/>
    <s v="BOARD, AC UNIVERSAL BLUE CASE"/>
    <s v="GE-000392"/>
    <n v="1"/>
    <n v="850"/>
    <m/>
    <n v="850"/>
    <x v="0"/>
    <n v="882"/>
    <n v="480"/>
    <n v="480"/>
    <n v="504"/>
    <n v="346"/>
    <n v="0"/>
    <x v="20"/>
    <x v="1"/>
    <m/>
    <m/>
    <s v=""/>
    <n v="0.40705882352941175"/>
  </r>
  <r>
    <x v="2"/>
    <x v="52"/>
    <x v="2"/>
    <x v="22"/>
    <m/>
    <m/>
    <s v="LUBRICANT, EMKARATE RL 68H, 1 LITER"/>
    <s v="GE-000135"/>
    <n v="1"/>
    <n v="380"/>
    <m/>
    <n v="380"/>
    <x v="0"/>
    <n v="331"/>
    <n v="180"/>
    <n v="180"/>
    <n v="189"/>
    <n v="191"/>
    <n v="57.3"/>
    <x v="9"/>
    <x v="1"/>
    <e v="#REF!"/>
    <e v="#REF!"/>
    <s v=""/>
    <n v="0.50263157894736843"/>
  </r>
  <r>
    <x v="3"/>
    <x v="68"/>
    <x v="1"/>
    <x v="42"/>
    <m/>
    <m/>
    <s v="O_RING, NEK MANIPIS 5/8"/>
    <s v="CA-000847"/>
    <n v="8"/>
    <n v="130"/>
    <m/>
    <n v="1040"/>
    <x v="0"/>
    <n v="111"/>
    <n v="60"/>
    <n v="480"/>
    <n v="504"/>
    <n v="536"/>
    <n v="160.79999999999998"/>
    <x v="44"/>
    <x v="2"/>
    <m/>
    <m/>
    <s v=""/>
    <n v="0.51538461538461533"/>
  </r>
  <r>
    <x v="3"/>
    <x v="74"/>
    <x v="0"/>
    <x v="1"/>
    <m/>
    <m/>
    <s v="BOARD, AC UNIVERSAL BLUE CASE"/>
    <s v="GE-000392"/>
    <n v="1"/>
    <n v="850"/>
    <m/>
    <n v="850"/>
    <x v="0"/>
    <n v="882"/>
    <n v="480"/>
    <n v="480"/>
    <n v="504"/>
    <n v="346"/>
    <n v="0"/>
    <x v="20"/>
    <x v="1"/>
    <m/>
    <m/>
    <m/>
    <n v="0.40705882352941175"/>
  </r>
  <r>
    <x v="2"/>
    <x v="37"/>
    <x v="3"/>
    <x v="12"/>
    <m/>
    <n v="40"/>
    <s v="FITTINGS, STRAIGHT FLARE TYPE 1/2"/>
    <s v="CA-000671"/>
    <n v="10"/>
    <n v="36"/>
    <m/>
    <n v="360"/>
    <x v="0"/>
    <n v="30"/>
    <n v="16"/>
    <n v="160"/>
    <n v="168"/>
    <n v="192"/>
    <n v="57.599999999999994"/>
    <x v="33"/>
    <x v="2"/>
    <e v="#REF!"/>
    <e v="#REF!"/>
    <n v="40.320000000000007"/>
    <n v="0.53333333333333333"/>
  </r>
  <r>
    <x v="4"/>
    <x v="78"/>
    <x v="0"/>
    <x v="11"/>
    <m/>
    <m/>
    <s v="EXP. VALVE LT, POKKA 9A56 INNOVA F"/>
    <s v="CA-000637"/>
    <n v="2"/>
    <n v="550"/>
    <m/>
    <n v="1100"/>
    <x v="0"/>
    <n v="460"/>
    <n v="250"/>
    <n v="500"/>
    <n v="525"/>
    <n v="575"/>
    <n v="0"/>
    <x v="23"/>
    <x v="2"/>
    <m/>
    <m/>
    <m/>
    <n v="0.52272727272727271"/>
  </r>
  <r>
    <x v="4"/>
    <x v="78"/>
    <x v="0"/>
    <x v="11"/>
    <m/>
    <m/>
    <s v="EXP. VALVE LT, POKKA 9A57 INNOVA R"/>
    <s v="CA-000638"/>
    <n v="2"/>
    <n v="550"/>
    <m/>
    <n v="1100"/>
    <x v="0"/>
    <n v="460"/>
    <n v="250"/>
    <n v="500"/>
    <n v="525"/>
    <n v="575"/>
    <n v="0"/>
    <x v="23"/>
    <x v="2"/>
    <m/>
    <m/>
    <m/>
    <n v="0.52272727272727271"/>
  </r>
  <r>
    <x v="4"/>
    <x v="81"/>
    <x v="0"/>
    <x v="58"/>
    <m/>
    <m/>
    <s v="RECEIVER_DRIER_ALUMINUM, YK 8793 (MAZDA 3)"/>
    <s v="CA-001122"/>
    <n v="2"/>
    <n v="550"/>
    <m/>
    <n v="1100"/>
    <x v="0"/>
    <n v="567"/>
    <n v="240"/>
    <n v="480"/>
    <n v="504"/>
    <n v="596"/>
    <n v="0"/>
    <x v="27"/>
    <x v="2"/>
    <m/>
    <m/>
    <m/>
    <n v="0.54181818181818187"/>
  </r>
  <r>
    <x v="1"/>
    <x v="22"/>
    <x v="9"/>
    <x v="55"/>
    <m/>
    <m/>
    <s v="RUBBER_INSULATION, M-FLEX 3/4&quot; X 3/4"/>
    <s v="IM-000240"/>
    <n v="5"/>
    <n v="135"/>
    <m/>
    <n v="675"/>
    <x v="0"/>
    <n v="151"/>
    <n v="108"/>
    <n v="540"/>
    <n v="556.20000000000005"/>
    <n v="118.79999999999995"/>
    <n v="35.639999999999986"/>
    <x v="22"/>
    <x v="0"/>
    <e v="#REF!"/>
    <e v="#REF!"/>
    <e v="#REF!"/>
    <n v="0.17599999999999993"/>
  </r>
  <r>
    <x v="3"/>
    <x v="71"/>
    <x v="0"/>
    <x v="1"/>
    <m/>
    <m/>
    <s v="RUBBER_INSULATION, M-FLEX 3/4&quot; X 3/4"/>
    <s v="IM-000240"/>
    <n v="5"/>
    <n v="140"/>
    <m/>
    <n v="700"/>
    <x v="0"/>
    <n v="151"/>
    <n v="108"/>
    <n v="540"/>
    <n v="556.20000000000005"/>
    <n v="143.79999999999995"/>
    <n v="0"/>
    <x v="22"/>
    <x v="0"/>
    <m/>
    <m/>
    <s v=""/>
    <n v="0.20542857142857138"/>
  </r>
  <r>
    <x v="3"/>
    <x v="71"/>
    <x v="0"/>
    <x v="26"/>
    <m/>
    <m/>
    <s v="RUBBER_INSULATION, M-FLEX 3/4&quot; X 3/4"/>
    <s v="IM-000240"/>
    <n v="5"/>
    <n v="125"/>
    <m/>
    <n v="625"/>
    <x v="0"/>
    <n v="151"/>
    <n v="108"/>
    <n v="540"/>
    <n v="556.20000000000005"/>
    <n v="68.799999999999955"/>
    <n v="0"/>
    <x v="22"/>
    <x v="0"/>
    <m/>
    <m/>
    <s v=""/>
    <n v="0.11007999999999993"/>
  </r>
  <r>
    <x v="3"/>
    <x v="65"/>
    <x v="0"/>
    <x v="57"/>
    <m/>
    <m/>
    <s v="RUBBER_INSULATION, M-FLEX 1/2&quot; 1/2"/>
    <s v="IM-000227"/>
    <n v="10"/>
    <n v="65"/>
    <m/>
    <n v="650"/>
    <x v="0"/>
    <n v="65"/>
    <n v="46.4"/>
    <n v="464"/>
    <n v="477.92"/>
    <n v="172.07999999999998"/>
    <n v="0"/>
    <x v="22"/>
    <x v="0"/>
    <m/>
    <m/>
    <s v=""/>
    <n v="0.26473846153846153"/>
  </r>
  <r>
    <x v="4"/>
    <x v="79"/>
    <x v="0"/>
    <x v="6"/>
    <m/>
    <m/>
    <s v="RUBBER_INSULATION, M-FLEX 1/2&quot; 1/2"/>
    <s v="IM-000227"/>
    <n v="10"/>
    <n v="70"/>
    <m/>
    <n v="700"/>
    <x v="0"/>
    <n v="65"/>
    <n v="46.4"/>
    <n v="464"/>
    <n v="477.92"/>
    <n v="222.07999999999998"/>
    <n v="0"/>
    <x v="22"/>
    <x v="0"/>
    <m/>
    <m/>
    <m/>
    <n v="0.31725714285714285"/>
  </r>
  <r>
    <x v="4"/>
    <x v="103"/>
    <x v="0"/>
    <x v="1"/>
    <m/>
    <m/>
    <s v="RUBBER_INSULATION, M-FLEX 3/4&quot; 1/4"/>
    <s v="IM-000235"/>
    <n v="8"/>
    <n v="95"/>
    <m/>
    <n v="760"/>
    <x v="0"/>
    <n v="79"/>
    <n v="56.7"/>
    <n v="453.6"/>
    <n v="467.20800000000003"/>
    <n v="292.79199999999997"/>
    <n v="0"/>
    <x v="22"/>
    <x v="0"/>
    <m/>
    <m/>
    <m/>
    <n v="0.38525263157894735"/>
  </r>
  <r>
    <x v="1"/>
    <x v="32"/>
    <x v="1"/>
    <x v="3"/>
    <m/>
    <m/>
    <s v="BLOWER_MOTOR, ISUZU CROSSWIND ('R)"/>
    <s v="CA-000168"/>
    <n v="1"/>
    <n v="1900"/>
    <m/>
    <n v="1900"/>
    <x v="0"/>
    <n v="2481"/>
    <n v="1350"/>
    <n v="1350"/>
    <n v="1417.5"/>
    <n v="482.5"/>
    <n v="144.75"/>
    <x v="15"/>
    <x v="2"/>
    <e v="#REF!"/>
    <e v="#REF!"/>
    <e v="#REF!"/>
    <n v="0.25394736842105264"/>
  </r>
  <r>
    <x v="0"/>
    <x v="31"/>
    <x v="0"/>
    <x v="1"/>
    <m/>
    <n v="650"/>
    <s v="REFRIGERANT, POKKA R32, 600 GRMS "/>
    <s v="GE-000509"/>
    <n v="1"/>
    <n v="585"/>
    <m/>
    <n v="585"/>
    <x v="0"/>
    <n v="756"/>
    <n v="480"/>
    <n v="480"/>
    <n v="504"/>
    <n v="81"/>
    <n v="0"/>
    <x v="5"/>
    <x v="1"/>
    <m/>
    <m/>
    <n v="655.20000000000005"/>
    <n v="0.13846153846153847"/>
  </r>
  <r>
    <x v="0"/>
    <x v="1"/>
    <x v="0"/>
    <x v="1"/>
    <m/>
    <n v="650"/>
    <s v="REFRIGERANT, POKKA R32, 600 GRMS "/>
    <s v="GE-000509"/>
    <n v="1"/>
    <n v="585"/>
    <m/>
    <n v="585"/>
    <x v="0"/>
    <n v="756"/>
    <n v="480"/>
    <n v="480"/>
    <n v="504"/>
    <n v="81"/>
    <n v="0"/>
    <x v="5"/>
    <x v="1"/>
    <m/>
    <m/>
    <n v="655.20000000000005"/>
    <n v="0.13846153846153847"/>
  </r>
  <r>
    <x v="0"/>
    <x v="2"/>
    <x v="0"/>
    <x v="1"/>
    <m/>
    <n v="650"/>
    <s v="REFRIGERANT, POKKA R32, 600 GRMS "/>
    <s v="GE-000509"/>
    <n v="1"/>
    <n v="585"/>
    <m/>
    <n v="585"/>
    <x v="0"/>
    <n v="756"/>
    <n v="480"/>
    <n v="480"/>
    <n v="504"/>
    <n v="81"/>
    <n v="0"/>
    <x v="5"/>
    <x v="1"/>
    <m/>
    <m/>
    <n v="655.20000000000005"/>
    <n v="0.13846153846153847"/>
  </r>
  <r>
    <x v="0"/>
    <x v="5"/>
    <x v="0"/>
    <x v="1"/>
    <m/>
    <n v="650"/>
    <s v="REFRIGERANT, POKKA R32, 600 GRMS "/>
    <s v="GE-000509"/>
    <n v="1"/>
    <n v="585"/>
    <m/>
    <n v="585"/>
    <x v="0"/>
    <n v="756"/>
    <n v="480"/>
    <n v="480"/>
    <n v="504"/>
    <n v="81"/>
    <n v="0"/>
    <x v="5"/>
    <x v="1"/>
    <m/>
    <m/>
    <n v="655.20000000000005"/>
    <n v="0.13846153846153847"/>
  </r>
  <r>
    <x v="0"/>
    <x v="84"/>
    <x v="0"/>
    <x v="1"/>
    <m/>
    <n v="650"/>
    <s v="REFRIGERANT, POKKA R32, 600 GRMS "/>
    <s v="GE-000509"/>
    <n v="1"/>
    <n v="585"/>
    <m/>
    <n v="585"/>
    <x v="0"/>
    <n v="756"/>
    <n v="480"/>
    <n v="480"/>
    <n v="504"/>
    <n v="81"/>
    <n v="0"/>
    <x v="5"/>
    <x v="1"/>
    <m/>
    <m/>
    <n v="655.20000000000005"/>
    <n v="0.13846153846153847"/>
  </r>
  <r>
    <x v="0"/>
    <x v="98"/>
    <x v="0"/>
    <x v="35"/>
    <m/>
    <n v="650"/>
    <s v="REFRIGERANT, POKKA R32, 600 GRMS "/>
    <s v="GE-000509"/>
    <n v="1"/>
    <n v="585"/>
    <m/>
    <n v="585"/>
    <x v="0"/>
    <n v="756"/>
    <n v="480"/>
    <n v="480"/>
    <n v="504"/>
    <n v="81"/>
    <n v="0"/>
    <x v="5"/>
    <x v="1"/>
    <m/>
    <m/>
    <n v="655.20000000000005"/>
    <n v="0.13846153846153847"/>
  </r>
  <r>
    <x v="0"/>
    <x v="8"/>
    <x v="0"/>
    <x v="1"/>
    <m/>
    <n v="650"/>
    <s v="REFRIGERANT, POKKA R32, 600 GRMS "/>
    <s v="GE-000509"/>
    <n v="1"/>
    <n v="585"/>
    <m/>
    <n v="585"/>
    <x v="0"/>
    <n v="756"/>
    <n v="480"/>
    <n v="480"/>
    <n v="504"/>
    <n v="81"/>
    <n v="0"/>
    <x v="5"/>
    <x v="1"/>
    <m/>
    <m/>
    <n v="655.20000000000005"/>
    <n v="0.13846153846153847"/>
  </r>
  <r>
    <x v="0"/>
    <x v="8"/>
    <x v="0"/>
    <x v="58"/>
    <m/>
    <m/>
    <s v="THERMOSTAT, NEK CAR"/>
    <s v="CA-001647"/>
    <n v="5"/>
    <n v="187.5"/>
    <m/>
    <n v="937.5"/>
    <x v="0"/>
    <n v="180"/>
    <n v="90"/>
    <n v="450"/>
    <n v="472.5"/>
    <n v="465"/>
    <n v="0"/>
    <x v="31"/>
    <x v="2"/>
    <m/>
    <m/>
    <e v="#REF!"/>
    <n v="0.496"/>
  </r>
  <r>
    <x v="0"/>
    <x v="91"/>
    <x v="0"/>
    <x v="1"/>
    <m/>
    <n v="650"/>
    <s v="REFRIGERANT, POKKA R32, 600 GRMS "/>
    <s v="GE-000509"/>
    <n v="1"/>
    <n v="585"/>
    <m/>
    <n v="585"/>
    <x v="0"/>
    <n v="756"/>
    <n v="480"/>
    <n v="480"/>
    <n v="504"/>
    <n v="81"/>
    <n v="0"/>
    <x v="5"/>
    <x v="1"/>
    <m/>
    <m/>
    <n v="655.20000000000005"/>
    <n v="0.13846153846153847"/>
  </r>
  <r>
    <x v="1"/>
    <x v="34"/>
    <x v="1"/>
    <x v="3"/>
    <m/>
    <m/>
    <s v="EVAPORATOR, MITSUBISHI MONTERO 2016 (F)  (STAL)"/>
    <s v="CA-000341"/>
    <n v="1"/>
    <n v="2100"/>
    <m/>
    <n v="2100"/>
    <x v="0"/>
    <n v="1930"/>
    <n v="1050"/>
    <n v="1050"/>
    <n v="1102.5"/>
    <n v="997.5"/>
    <n v="299.25"/>
    <x v="10"/>
    <x v="2"/>
    <e v="#REF!"/>
    <e v="#REF!"/>
    <e v="#REF!"/>
    <n v="0"/>
  </r>
  <r>
    <x v="0"/>
    <x v="13"/>
    <x v="0"/>
    <x v="1"/>
    <m/>
    <m/>
    <s v="REFRIGERANT, POKKA R32, 600 GRMS "/>
    <s v="GE-000509"/>
    <n v="1"/>
    <n v="650"/>
    <m/>
    <n v="650"/>
    <x v="0"/>
    <n v="756"/>
    <n v="480"/>
    <n v="480"/>
    <n v="504"/>
    <n v="146"/>
    <n v="0"/>
    <x v="5"/>
    <x v="1"/>
    <e v="#REF!"/>
    <e v="#REF!"/>
    <s v=""/>
    <n v="0.22461538461538461"/>
  </r>
  <r>
    <x v="0"/>
    <x v="13"/>
    <x v="0"/>
    <x v="1"/>
    <m/>
    <m/>
    <s v="REFRIGERANT, POKKA R32, 600 GRMS "/>
    <s v="GE-000509"/>
    <n v="1"/>
    <n v="650"/>
    <m/>
    <n v="650"/>
    <x v="0"/>
    <n v="756"/>
    <n v="480"/>
    <n v="480"/>
    <n v="504"/>
    <n v="146"/>
    <n v="0"/>
    <x v="5"/>
    <x v="1"/>
    <e v="#REF!"/>
    <e v="#REF!"/>
    <s v=""/>
    <n v="0.22461538461538461"/>
  </r>
  <r>
    <x v="1"/>
    <x v="24"/>
    <x v="0"/>
    <x v="1"/>
    <m/>
    <m/>
    <s v="REFRIGERANT, POKKA R32, 600 GRMS "/>
    <s v="GE-000509"/>
    <n v="1"/>
    <n v="650"/>
    <m/>
    <n v="650"/>
    <x v="0"/>
    <n v="756"/>
    <n v="480"/>
    <n v="480"/>
    <n v="504"/>
    <n v="146"/>
    <n v="0"/>
    <x v="5"/>
    <x v="1"/>
    <e v="#REF!"/>
    <e v="#REF!"/>
    <e v="#REF!"/>
    <n v="0.22461538461538461"/>
  </r>
  <r>
    <x v="1"/>
    <x v="34"/>
    <x v="0"/>
    <x v="1"/>
    <m/>
    <m/>
    <s v="REFRIGERANT, POKKA R32, 600 GRMS "/>
    <s v="GE-000509"/>
    <n v="1"/>
    <n v="650"/>
    <m/>
    <n v="650"/>
    <x v="0"/>
    <n v="756"/>
    <n v="480"/>
    <n v="480"/>
    <n v="504"/>
    <n v="146"/>
    <n v="0"/>
    <x v="5"/>
    <x v="1"/>
    <e v="#REF!"/>
    <e v="#REF!"/>
    <e v="#REF!"/>
    <n v="0"/>
  </r>
  <r>
    <x v="2"/>
    <x v="42"/>
    <x v="0"/>
    <x v="1"/>
    <m/>
    <m/>
    <s v="ELECTRICAL SOCKET_BREAKER, AMERICA 15 AMP, 2P"/>
    <s v="GE-000380"/>
    <n v="1"/>
    <n v="750"/>
    <m/>
    <n v="750"/>
    <x v="0"/>
    <n v="968"/>
    <n v="450"/>
    <n v="450"/>
    <n v="472.5"/>
    <n v="277.5"/>
    <n v="0"/>
    <x v="58"/>
    <x v="1"/>
    <e v="#REF!"/>
    <e v="#REF!"/>
    <s v=""/>
    <n v="0.37"/>
  </r>
  <r>
    <x v="2"/>
    <x v="42"/>
    <x v="0"/>
    <x v="35"/>
    <m/>
    <n v="650"/>
    <s v="REFRIGERANT, POKKA R32, 600 GRMS "/>
    <s v="GE-000509"/>
    <n v="1"/>
    <n v="585"/>
    <m/>
    <n v="585"/>
    <x v="0"/>
    <n v="756"/>
    <n v="480"/>
    <n v="480"/>
    <n v="504"/>
    <n v="81"/>
    <n v="0"/>
    <x v="5"/>
    <x v="1"/>
    <e v="#REF!"/>
    <e v="#REF!"/>
    <n v="655.20000000000005"/>
    <n v="0.13846153846153847"/>
  </r>
  <r>
    <x v="2"/>
    <x v="51"/>
    <x v="0"/>
    <x v="1"/>
    <m/>
    <n v="650"/>
    <s v="REFRIGERANT, POKKA R32, 600 GRMS "/>
    <s v="GE-000509"/>
    <n v="1"/>
    <n v="650"/>
    <m/>
    <n v="650"/>
    <x v="0"/>
    <n v="756"/>
    <n v="480"/>
    <n v="480"/>
    <n v="504"/>
    <n v="146"/>
    <n v="0"/>
    <x v="5"/>
    <x v="1"/>
    <e v="#REF!"/>
    <e v="#REF!"/>
    <n v="728.00000000000011"/>
    <n v="0.22461538461538461"/>
  </r>
  <r>
    <x v="2"/>
    <x v="56"/>
    <x v="0"/>
    <x v="73"/>
    <m/>
    <m/>
    <s v="REFRIGERANT, POKKA R32, 600 GRMS "/>
    <s v="GE-000509"/>
    <n v="1"/>
    <n v="650"/>
    <m/>
    <n v="650"/>
    <x v="0"/>
    <n v="756"/>
    <n v="480"/>
    <n v="480"/>
    <n v="504"/>
    <n v="146"/>
    <n v="0"/>
    <x v="5"/>
    <x v="1"/>
    <e v="#REF!"/>
    <e v="#REF!"/>
    <s v=""/>
    <n v="0.22461538461538461"/>
  </r>
  <r>
    <x v="3"/>
    <x v="60"/>
    <x v="0"/>
    <x v="1"/>
    <m/>
    <n v="650"/>
    <s v="REFRIGERANT, POKKA R32, 600 GRMS "/>
    <s v="GE-000509"/>
    <n v="1"/>
    <n v="580"/>
    <m/>
    <n v="580"/>
    <x v="0"/>
    <n v="756"/>
    <n v="480"/>
    <n v="480"/>
    <n v="504"/>
    <n v="76"/>
    <n v="0"/>
    <x v="5"/>
    <x v="1"/>
    <m/>
    <m/>
    <n v="649.6"/>
    <n v="0.1310344827586207"/>
  </r>
  <r>
    <x v="3"/>
    <x v="63"/>
    <x v="0"/>
    <x v="106"/>
    <m/>
    <n v="650"/>
    <s v="REFRIGERANT, POKKA R32, 600 GRMS "/>
    <s v="GE-000509"/>
    <n v="1"/>
    <n v="580"/>
    <m/>
    <n v="580"/>
    <x v="0"/>
    <n v="756"/>
    <n v="480"/>
    <n v="480"/>
    <n v="504"/>
    <n v="76"/>
    <n v="0"/>
    <x v="5"/>
    <x v="1"/>
    <m/>
    <m/>
    <n v="649.6"/>
    <n v="0.1310344827586207"/>
  </r>
  <r>
    <x v="3"/>
    <x v="64"/>
    <x v="1"/>
    <x v="107"/>
    <m/>
    <m/>
    <s v="REFRIGERANT, POKKA R32, 600 GRMS "/>
    <s v="GE-000509"/>
    <n v="1"/>
    <n v="650"/>
    <m/>
    <n v="650"/>
    <x v="0"/>
    <n v="756"/>
    <n v="480"/>
    <n v="480"/>
    <n v="504"/>
    <n v="146"/>
    <n v="43.8"/>
    <x v="5"/>
    <x v="1"/>
    <m/>
    <m/>
    <s v=""/>
    <n v="0.22461538461538461"/>
  </r>
  <r>
    <x v="3"/>
    <x v="68"/>
    <x v="0"/>
    <x v="1"/>
    <m/>
    <m/>
    <s v="REFRIGERANT, POKKA R32, 600 GRMS "/>
    <s v="GE-000509"/>
    <n v="1"/>
    <n v="650"/>
    <m/>
    <n v="650"/>
    <x v="0"/>
    <n v="756"/>
    <n v="480"/>
    <n v="480"/>
    <n v="504"/>
    <n v="146"/>
    <n v="0"/>
    <x v="5"/>
    <x v="1"/>
    <m/>
    <m/>
    <s v=""/>
    <n v="0.22461538461538461"/>
  </r>
  <r>
    <x v="3"/>
    <x v="68"/>
    <x v="0"/>
    <x v="108"/>
    <m/>
    <m/>
    <s v="REFRIGERANT, POKKA R32, 600 GRMS "/>
    <s v="GE-000509"/>
    <n v="1"/>
    <n v="650"/>
    <m/>
    <n v="650"/>
    <x v="0"/>
    <n v="756"/>
    <n v="480"/>
    <n v="480"/>
    <n v="504"/>
    <n v="146"/>
    <n v="0"/>
    <x v="5"/>
    <x v="1"/>
    <m/>
    <m/>
    <s v=""/>
    <n v="0.22461538461538461"/>
  </r>
  <r>
    <x v="3"/>
    <x v="71"/>
    <x v="0"/>
    <x v="1"/>
    <m/>
    <m/>
    <s v="REFRIGERANT, POKKA R32, 600 GRMS "/>
    <s v="GE-000509"/>
    <n v="1"/>
    <n v="650"/>
    <m/>
    <n v="650"/>
    <x v="0"/>
    <n v="756"/>
    <n v="480"/>
    <n v="480"/>
    <n v="504"/>
    <n v="146"/>
    <n v="0"/>
    <x v="5"/>
    <x v="1"/>
    <m/>
    <m/>
    <s v=""/>
    <n v="0.22461538461538461"/>
  </r>
  <r>
    <x v="3"/>
    <x v="72"/>
    <x v="0"/>
    <x v="1"/>
    <m/>
    <m/>
    <s v="REFRIGERANT, POKKA R32, 600 GRMS "/>
    <s v="GE-000509"/>
    <n v="1"/>
    <n v="500"/>
    <m/>
    <n v="500"/>
    <x v="0"/>
    <n v="756"/>
    <n v="480"/>
    <n v="480"/>
    <n v="504"/>
    <n v="-4"/>
    <n v="0"/>
    <x v="5"/>
    <x v="1"/>
    <m/>
    <m/>
    <s v=""/>
    <n v="-8.0000000000000002E-3"/>
  </r>
  <r>
    <x v="3"/>
    <x v="122"/>
    <x v="0"/>
    <x v="1"/>
    <m/>
    <n v="650"/>
    <s v="REFRIGERANT, POKKA R32, 600 GRMS "/>
    <s v="GE-000509"/>
    <n v="1"/>
    <n v="580"/>
    <m/>
    <n v="580"/>
    <x v="0"/>
    <n v="756"/>
    <n v="480"/>
    <n v="480"/>
    <n v="504"/>
    <n v="76"/>
    <n v="0"/>
    <x v="5"/>
    <x v="1"/>
    <m/>
    <m/>
    <n v="649.6"/>
    <n v="0.1310344827586207"/>
  </r>
  <r>
    <x v="3"/>
    <x v="85"/>
    <x v="0"/>
    <x v="62"/>
    <m/>
    <m/>
    <s v="REFRIGERANT, POKKA R32, 600 GRMS "/>
    <s v="GE-000509"/>
    <n v="1"/>
    <n v="650"/>
    <m/>
    <n v="650"/>
    <x v="0"/>
    <n v="756"/>
    <n v="480"/>
    <n v="480"/>
    <n v="504"/>
    <n v="146"/>
    <n v="0"/>
    <x v="5"/>
    <x v="1"/>
    <m/>
    <m/>
    <m/>
    <n v="0.22461538461538461"/>
  </r>
  <r>
    <x v="3"/>
    <x v="85"/>
    <x v="0"/>
    <x v="83"/>
    <m/>
    <m/>
    <s v="REFRIGERANT, POKKA R32, 600 GRMS "/>
    <s v="GE-000509"/>
    <n v="1"/>
    <n v="650"/>
    <m/>
    <n v="650"/>
    <x v="0"/>
    <n v="756"/>
    <n v="480"/>
    <n v="480"/>
    <n v="504"/>
    <n v="146"/>
    <n v="0"/>
    <x v="5"/>
    <x v="1"/>
    <m/>
    <m/>
    <m/>
    <n v="0.22461538461538461"/>
  </r>
  <r>
    <x v="4"/>
    <x v="102"/>
    <x v="0"/>
    <x v="62"/>
    <m/>
    <n v="650"/>
    <s v="REFRIGERANT, POKKA R32, 600 GRMS "/>
    <s v="GE-000509"/>
    <n v="1"/>
    <n v="580"/>
    <m/>
    <n v="580"/>
    <x v="0"/>
    <n v="756"/>
    <n v="480"/>
    <n v="480"/>
    <n v="504"/>
    <n v="76"/>
    <n v="0"/>
    <x v="5"/>
    <x v="1"/>
    <m/>
    <m/>
    <m/>
    <n v="0.1310344827586207"/>
  </r>
  <r>
    <x v="4"/>
    <x v="105"/>
    <x v="0"/>
    <x v="1"/>
    <m/>
    <m/>
    <s v="ELECTRICAL SOCKET_BREAKER, AMERICA 20 AMP, 2P"/>
    <s v="GE-000381"/>
    <n v="1"/>
    <n v="750"/>
    <m/>
    <n v="750"/>
    <x v="0"/>
    <n v="968"/>
    <n v="450"/>
    <n v="450"/>
    <n v="472.5"/>
    <n v="277.5"/>
    <n v="0"/>
    <x v="58"/>
    <x v="1"/>
    <m/>
    <m/>
    <m/>
    <n v="0.37"/>
  </r>
  <r>
    <x v="4"/>
    <x v="113"/>
    <x v="0"/>
    <x v="109"/>
    <m/>
    <n v="650"/>
    <s v="REFRIGERANT, POKKA R32, 600 GRMS "/>
    <s v="GE-000509"/>
    <n v="1"/>
    <n v="580"/>
    <m/>
    <n v="580"/>
    <x v="0"/>
    <n v="756"/>
    <n v="480"/>
    <n v="480"/>
    <n v="504"/>
    <n v="76"/>
    <n v="0"/>
    <x v="5"/>
    <x v="1"/>
    <m/>
    <m/>
    <m/>
    <n v="0.1310344827586207"/>
  </r>
  <r>
    <x v="4"/>
    <x v="90"/>
    <x v="0"/>
    <x v="32"/>
    <m/>
    <n v="650"/>
    <s v="REFRIGERANT, POKKA R32, 600 GRMS "/>
    <s v="GE-000509"/>
    <n v="1"/>
    <n v="580"/>
    <m/>
    <n v="580"/>
    <x v="0"/>
    <n v="756"/>
    <n v="480"/>
    <n v="480"/>
    <n v="504"/>
    <n v="76"/>
    <n v="0"/>
    <x v="5"/>
    <x v="1"/>
    <m/>
    <m/>
    <m/>
    <n v="0.1310344827586207"/>
  </r>
  <r>
    <x v="4"/>
    <x v="116"/>
    <x v="0"/>
    <x v="63"/>
    <m/>
    <m/>
    <s v="TAPE_PE, PICUS Polythelene Tape (White)X 4&quot;"/>
    <s v="IM-000247"/>
    <n v="6"/>
    <n v="125"/>
    <m/>
    <n v="750"/>
    <x v="0"/>
    <n v="147"/>
    <n v="75"/>
    <n v="450"/>
    <n v="463.5"/>
    <n v="286.5"/>
    <n v="0"/>
    <x v="29"/>
    <x v="0"/>
    <m/>
    <m/>
    <m/>
    <n v="0.38200000000000001"/>
  </r>
  <r>
    <x v="4"/>
    <x v="96"/>
    <x v="0"/>
    <x v="27"/>
    <m/>
    <m/>
    <s v="REFRIGERANT, POKKA R32, 600 GRMS "/>
    <s v="GE-000509"/>
    <n v="1"/>
    <n v="680"/>
    <m/>
    <n v="680"/>
    <x v="0"/>
    <n v="756"/>
    <n v="480"/>
    <n v="480"/>
    <n v="504"/>
    <n v="176"/>
    <n v="0"/>
    <x v="5"/>
    <x v="1"/>
    <m/>
    <m/>
    <m/>
    <n v="0.25882352941176473"/>
  </r>
  <r>
    <x v="4"/>
    <x v="78"/>
    <x v="0"/>
    <x v="1"/>
    <m/>
    <m/>
    <s v="REFRIGERANT, POKKA R32, 600 GRMS "/>
    <s v="GE-000509"/>
    <n v="1"/>
    <n v="680"/>
    <m/>
    <n v="680"/>
    <x v="0"/>
    <n v="756"/>
    <n v="480"/>
    <n v="480"/>
    <n v="504"/>
    <n v="176"/>
    <n v="0"/>
    <x v="5"/>
    <x v="1"/>
    <m/>
    <m/>
    <m/>
    <n v="0.25882352941176473"/>
  </r>
  <r>
    <x v="4"/>
    <x v="80"/>
    <x v="0"/>
    <x v="1"/>
    <m/>
    <m/>
    <s v="REFRIGERANT, POKKA R32, 600 GRMS "/>
    <s v="GE-000509"/>
    <n v="1"/>
    <n v="680"/>
    <m/>
    <n v="680"/>
    <x v="0"/>
    <n v="756"/>
    <n v="480"/>
    <n v="480"/>
    <n v="504"/>
    <n v="176"/>
    <n v="0"/>
    <x v="5"/>
    <x v="1"/>
    <m/>
    <m/>
    <m/>
    <n v="0.25882352941176473"/>
  </r>
  <r>
    <x v="2"/>
    <x v="45"/>
    <x v="2"/>
    <x v="22"/>
    <m/>
    <m/>
    <s v="TAPE, EVER SEAL CORK TAPE"/>
    <s v="GE-000344"/>
    <n v="1"/>
    <n v="225"/>
    <m/>
    <n v="225"/>
    <x v="0"/>
    <n v="226"/>
    <n v="130"/>
    <n v="130"/>
    <n v="136.5"/>
    <n v="88.5"/>
    <n v="26.55"/>
    <x v="41"/>
    <x v="1"/>
    <e v="#REF!"/>
    <e v="#REF!"/>
    <s v=""/>
    <n v="0.39333333333333331"/>
  </r>
  <r>
    <x v="5"/>
    <x v="83"/>
    <x v="0"/>
    <x v="20"/>
    <m/>
    <m/>
    <s v="RUBBER_INSULATION, M-FLEX 1/2&quot; 1/4"/>
    <s v="IM-000229"/>
    <n v="1"/>
    <n v="50"/>
    <m/>
    <n v="50"/>
    <x v="0"/>
    <n v="47"/>
    <n v="33.6"/>
    <n v="33.6"/>
    <n v="34.608000000000004"/>
    <n v="15.391999999999996"/>
    <n v="0"/>
    <x v="22"/>
    <x v="0"/>
    <e v="#REF!"/>
    <e v="#REF!"/>
    <s v=""/>
    <n v="0.30783999999999989"/>
  </r>
  <r>
    <x v="4"/>
    <x v="103"/>
    <x v="0"/>
    <x v="26"/>
    <m/>
    <m/>
    <s v="RUBBER_INSULATION, M-FLEX 1/2&quot; 5/8"/>
    <s v="IM-000232"/>
    <n v="8"/>
    <n v="80"/>
    <m/>
    <n v="640"/>
    <x v="0"/>
    <n v="77"/>
    <n v="55.2"/>
    <n v="441.6"/>
    <n v="454.84800000000001"/>
    <n v="185.15199999999999"/>
    <n v="0"/>
    <x v="22"/>
    <x v="0"/>
    <m/>
    <m/>
    <m/>
    <n v="0.2893"/>
  </r>
  <r>
    <x v="2"/>
    <x v="50"/>
    <x v="0"/>
    <x v="73"/>
    <m/>
    <n v="500"/>
    <s v="REFRIGERANT, FU RYDER R22 CAN, 500 GRAMS 3/19/26"/>
    <s v="GE-000523"/>
    <n v="2"/>
    <n v="446"/>
    <m/>
    <n v="892"/>
    <x v="0"/>
    <n v="630"/>
    <n v="240"/>
    <n v="480"/>
    <n v="504"/>
    <n v="388"/>
    <n v="0"/>
    <x v="5"/>
    <x v="1"/>
    <e v="#REF!"/>
    <e v="#REF!"/>
    <n v="499.52000000000004"/>
    <n v="0.4349775784753363"/>
  </r>
  <r>
    <x v="3"/>
    <x v="68"/>
    <x v="1"/>
    <x v="42"/>
    <m/>
    <m/>
    <s v="RECEIVER_DRIER_ALUMINUM, STAL 8742 (CITY 03) 0008"/>
    <s v="CA-000451"/>
    <n v="2"/>
    <n v="380"/>
    <m/>
    <n v="760"/>
    <x v="0"/>
    <n v="520"/>
    <n v="220"/>
    <n v="440"/>
    <n v="462"/>
    <n v="298"/>
    <n v="89.399999999999991"/>
    <x v="27"/>
    <x v="2"/>
    <m/>
    <m/>
    <s v=""/>
    <n v="0.39210526315789473"/>
  </r>
  <r>
    <x v="4"/>
    <x v="75"/>
    <x v="0"/>
    <x v="63"/>
    <m/>
    <m/>
    <s v="RUBBER_INSULATION, M-FLEX 3/4&quot; 5/8"/>
    <s v="IM-000331"/>
    <n v="5"/>
    <n v="125"/>
    <m/>
    <n v="625"/>
    <x v="0"/>
    <n v="140"/>
    <n v="100"/>
    <n v="500"/>
    <n v="515"/>
    <n v="110"/>
    <n v="0"/>
    <x v="22"/>
    <x v="0"/>
    <m/>
    <m/>
    <m/>
    <n v="0.17599999999999999"/>
  </r>
  <r>
    <x v="4"/>
    <x v="102"/>
    <x v="1"/>
    <x v="60"/>
    <m/>
    <m/>
    <s v="ELECTRICAL WIRE_STRANDED, POWERFLEX THNN STRANDED   #12, MTR"/>
    <s v="GE-000120"/>
    <n v="16"/>
    <n v="45"/>
    <m/>
    <n v="720"/>
    <x v="0"/>
    <n v="50"/>
    <n v="27"/>
    <n v="432"/>
    <n v="453.6"/>
    <n v="266.39999999999998"/>
    <n v="79.919999999999987"/>
    <x v="2"/>
    <x v="1"/>
    <m/>
    <m/>
    <m/>
    <n v="0.37"/>
  </r>
  <r>
    <x v="1"/>
    <x v="34"/>
    <x v="1"/>
    <x v="3"/>
    <m/>
    <m/>
    <s v="CABIN_FILTER, MITSUBISHI MONTERO 2016"/>
    <s v="CA-001703"/>
    <n v="1"/>
    <n v="350"/>
    <m/>
    <n v="350"/>
    <x v="0"/>
    <n v="567"/>
    <n v="180"/>
    <n v="180"/>
    <n v="189"/>
    <n v="161"/>
    <n v="48.3"/>
    <x v="12"/>
    <x v="2"/>
    <e v="#REF!"/>
    <e v="#REF!"/>
    <e v="#REF!"/>
    <n v="0"/>
  </r>
  <r>
    <x v="0"/>
    <x v="91"/>
    <x v="0"/>
    <x v="1"/>
    <m/>
    <m/>
    <s v="MAGNETIC_CLUTCH, HYUNDAI GRAND STAREX"/>
    <s v="CA-000776"/>
    <n v="1"/>
    <n v="750"/>
    <m/>
    <n v="750"/>
    <x v="0"/>
    <n v="772"/>
    <n v="420"/>
    <n v="420"/>
    <n v="441"/>
    <n v="309"/>
    <n v="0"/>
    <x v="4"/>
    <x v="2"/>
    <m/>
    <m/>
    <s v=""/>
    <n v="0.41199999999999998"/>
  </r>
  <r>
    <x v="1"/>
    <x v="19"/>
    <x v="0"/>
    <x v="10"/>
    <m/>
    <m/>
    <s v="AUXIALLIARY_FAN, POKKA 10 BLADES X 12VOLTS"/>
    <s v="CA-000106"/>
    <n v="1"/>
    <n v="650"/>
    <m/>
    <n v="650"/>
    <x v="0"/>
    <n v="772"/>
    <n v="420"/>
    <n v="420"/>
    <n v="441"/>
    <n v="209"/>
    <n v="0"/>
    <x v="16"/>
    <x v="2"/>
    <e v="#REF!"/>
    <e v="#REF!"/>
    <s v=""/>
    <n v="0.32153846153846155"/>
  </r>
  <r>
    <x v="1"/>
    <x v="34"/>
    <x v="0"/>
    <x v="10"/>
    <m/>
    <m/>
    <s v="MAGNETIC_CLUTCH, HONDA CITY 2006"/>
    <s v="CA-000757"/>
    <n v="1"/>
    <n v="800"/>
    <m/>
    <n v="800"/>
    <x v="0"/>
    <n v="772"/>
    <n v="420"/>
    <n v="420"/>
    <n v="441"/>
    <n v="359"/>
    <n v="0"/>
    <x v="4"/>
    <x v="2"/>
    <e v="#REF!"/>
    <e v="#REF!"/>
    <e v="#REF!"/>
    <n v="0"/>
  </r>
  <r>
    <x v="2"/>
    <x v="44"/>
    <x v="1"/>
    <x v="5"/>
    <m/>
    <m/>
    <s v="AUXIALLIARY_FAN, POKKA 10 BLADES X 12VOLTS"/>
    <s v="CA-000106"/>
    <n v="1"/>
    <n v="650"/>
    <m/>
    <n v="650"/>
    <x v="0"/>
    <n v="772"/>
    <n v="420"/>
    <n v="420"/>
    <n v="441"/>
    <n v="209"/>
    <n v="62.699999999999996"/>
    <x v="16"/>
    <x v="2"/>
    <e v="#REF!"/>
    <e v="#REF!"/>
    <s v=""/>
    <n v="0.32153846153846155"/>
  </r>
  <r>
    <x v="2"/>
    <x v="111"/>
    <x v="0"/>
    <x v="88"/>
    <m/>
    <m/>
    <s v="EXP. VALVE SC, MITSUBISHI ORING TYPE 5/16"/>
    <s v="CA-000567"/>
    <n v="2"/>
    <n v="500"/>
    <m/>
    <n v="1000"/>
    <x v="0"/>
    <n v="386"/>
    <n v="210"/>
    <n v="420"/>
    <n v="441"/>
    <n v="559"/>
    <n v="0"/>
    <x v="34"/>
    <x v="2"/>
    <e v="#REF!"/>
    <e v="#REF!"/>
    <s v=""/>
    <n v="0.55900000000000005"/>
  </r>
  <r>
    <x v="3"/>
    <x v="65"/>
    <x v="0"/>
    <x v="30"/>
    <m/>
    <m/>
    <s v="ELECTRICAL WIRE_STRANDED, POWERFLEX THNN STRANDED   #14, MTR"/>
    <s v="GE-000122"/>
    <n v="20"/>
    <n v="35"/>
    <m/>
    <n v="700"/>
    <x v="0"/>
    <n v="39"/>
    <n v="21"/>
    <n v="420"/>
    <n v="441"/>
    <n v="259"/>
    <n v="0"/>
    <x v="2"/>
    <x v="1"/>
    <m/>
    <m/>
    <s v=""/>
    <n v="0.37"/>
  </r>
  <r>
    <x v="3"/>
    <x v="115"/>
    <x v="0"/>
    <x v="49"/>
    <m/>
    <m/>
    <s v="AUXIALLIARY_FAN, POKKA 10 BLADES X 12VOLTS"/>
    <s v="CA-000106"/>
    <n v="1"/>
    <n v="650"/>
    <m/>
    <n v="650"/>
    <x v="0"/>
    <n v="772"/>
    <n v="420"/>
    <n v="420"/>
    <n v="441"/>
    <n v="209"/>
    <n v="0"/>
    <x v="16"/>
    <x v="2"/>
    <m/>
    <m/>
    <s v=""/>
    <n v="0.32153846153846155"/>
  </r>
  <r>
    <x v="3"/>
    <x v="115"/>
    <x v="0"/>
    <x v="49"/>
    <m/>
    <m/>
    <s v="AUXIALLIARY_FAN, POKKA 12 BLADES X 12VOLTS"/>
    <s v="CA-000108"/>
    <n v="1"/>
    <n v="700"/>
    <m/>
    <n v="700"/>
    <x v="0"/>
    <n v="827"/>
    <n v="450"/>
    <n v="450"/>
    <n v="472.5"/>
    <n v="227.5"/>
    <n v="0"/>
    <x v="16"/>
    <x v="2"/>
    <m/>
    <m/>
    <s v=""/>
    <n v="0.32500000000000001"/>
  </r>
  <r>
    <x v="4"/>
    <x v="107"/>
    <x v="0"/>
    <x v="58"/>
    <m/>
    <m/>
    <s v="AUXIALLIARY_FAN, POKKA 10 BLADES X 12VOLTS"/>
    <s v="CA-000106"/>
    <n v="1"/>
    <n v="600"/>
    <m/>
    <n v="600"/>
    <x v="0"/>
    <n v="772"/>
    <n v="420"/>
    <n v="420"/>
    <n v="441"/>
    <n v="159"/>
    <n v="0"/>
    <x v="16"/>
    <x v="2"/>
    <m/>
    <m/>
    <m/>
    <n v="0.26500000000000001"/>
  </r>
  <r>
    <x v="2"/>
    <x v="52"/>
    <x v="2"/>
    <x v="22"/>
    <m/>
    <n v="250"/>
    <s v="TAPE, EVER SEAL CORK TAPE"/>
    <s v="GE-000344"/>
    <n v="1"/>
    <n v="250"/>
    <m/>
    <n v="250"/>
    <x v="0"/>
    <n v="226"/>
    <n v="130"/>
    <n v="130"/>
    <n v="136.5"/>
    <n v="113.5"/>
    <n v="34.049999999999997"/>
    <x v="41"/>
    <x v="1"/>
    <e v="#REF!"/>
    <e v="#REF!"/>
    <n v="280"/>
    <n v="0.45400000000000001"/>
  </r>
  <r>
    <x v="4"/>
    <x v="88"/>
    <x v="0"/>
    <x v="8"/>
    <m/>
    <m/>
    <s v="AUXIALLIARY_FAN, POKKA 10 BLADES X 12VOLTS"/>
    <s v="CA-000106"/>
    <n v="1"/>
    <n v="600"/>
    <m/>
    <n v="600"/>
    <x v="0"/>
    <n v="772"/>
    <n v="420"/>
    <n v="420"/>
    <n v="441"/>
    <n v="159"/>
    <n v="0"/>
    <x v="16"/>
    <x v="2"/>
    <m/>
    <m/>
    <m/>
    <n v="0.26500000000000001"/>
  </r>
  <r>
    <x v="4"/>
    <x v="88"/>
    <x v="0"/>
    <x v="1"/>
    <m/>
    <m/>
    <s v="ELECTRICAL WIRE_STRANDED, POWERFLEX THNN STRANDED   #14, MTR"/>
    <s v="GE-000122"/>
    <n v="20"/>
    <n v="35"/>
    <m/>
    <n v="700"/>
    <x v="0"/>
    <n v="39"/>
    <n v="21"/>
    <n v="420"/>
    <n v="441"/>
    <n v="259"/>
    <n v="0"/>
    <x v="2"/>
    <x v="1"/>
    <m/>
    <m/>
    <m/>
    <n v="0.37"/>
  </r>
  <r>
    <x v="2"/>
    <x v="58"/>
    <x v="4"/>
    <x v="25"/>
    <m/>
    <m/>
    <s v="SYSTEM_CLEANER, Cleanse GREEN 141B 500 ML"/>
    <s v="GE-000369"/>
    <n v="2"/>
    <n v="120"/>
    <m/>
    <n v="240"/>
    <x v="0"/>
    <n v="113"/>
    <n v="65"/>
    <n v="130"/>
    <n v="136.5"/>
    <n v="103.5"/>
    <n v="31.049999999999997"/>
    <x v="28"/>
    <x v="1"/>
    <e v="#REF!"/>
    <e v="#REF!"/>
    <s v=""/>
    <n v="0.43125000000000002"/>
  </r>
  <r>
    <x v="4"/>
    <x v="94"/>
    <x v="0"/>
    <x v="49"/>
    <m/>
    <m/>
    <s v="AUXIALLIARY_FAN, POKKA 12 BLADES X 12VOLTS"/>
    <s v="CA-000108"/>
    <n v="1"/>
    <n v="700"/>
    <m/>
    <n v="700"/>
    <x v="0"/>
    <n v="827"/>
    <n v="450"/>
    <n v="450"/>
    <n v="472.5"/>
    <n v="227.5"/>
    <n v="0"/>
    <x v="16"/>
    <x v="2"/>
    <m/>
    <m/>
    <m/>
    <n v="0.32500000000000001"/>
  </r>
  <r>
    <x v="4"/>
    <x v="116"/>
    <x v="0"/>
    <x v="23"/>
    <m/>
    <m/>
    <s v="AUXIALLIARY_FAN, POKKA 10 BLADES X 12VOLTS"/>
    <s v="CA-000106"/>
    <n v="1"/>
    <n v="600"/>
    <m/>
    <n v="600"/>
    <x v="0"/>
    <n v="772"/>
    <n v="420"/>
    <n v="420"/>
    <n v="441"/>
    <n v="159"/>
    <n v="0"/>
    <x v="16"/>
    <x v="2"/>
    <m/>
    <m/>
    <m/>
    <n v="0.26500000000000001"/>
  </r>
  <r>
    <x v="4"/>
    <x v="116"/>
    <x v="0"/>
    <x v="23"/>
    <m/>
    <m/>
    <s v="AUXIALLIARY_FAN, POKKA 12 BLADES X 12VOLTS"/>
    <s v="CA-000108"/>
    <n v="1"/>
    <n v="650"/>
    <m/>
    <n v="650"/>
    <x v="0"/>
    <n v="827"/>
    <n v="450"/>
    <n v="450"/>
    <n v="472.5"/>
    <n v="177.5"/>
    <n v="0"/>
    <x v="16"/>
    <x v="2"/>
    <m/>
    <m/>
    <m/>
    <n v="0.27307692307692305"/>
  </r>
  <r>
    <x v="4"/>
    <x v="78"/>
    <x v="0"/>
    <x v="49"/>
    <m/>
    <m/>
    <s v="AUXIALLIARY_FAN, POKKA 10 BLADES X 12VOLTS"/>
    <s v="CA-000106"/>
    <n v="1"/>
    <n v="650"/>
    <m/>
    <n v="650"/>
    <x v="0"/>
    <n v="772"/>
    <n v="420"/>
    <n v="420"/>
    <n v="441"/>
    <n v="209"/>
    <n v="0"/>
    <x v="16"/>
    <x v="2"/>
    <m/>
    <m/>
    <m/>
    <n v="0.32153846153846155"/>
  </r>
  <r>
    <x v="4"/>
    <x v="80"/>
    <x v="0"/>
    <x v="8"/>
    <m/>
    <m/>
    <s v="AUXIALLIARY_FAN, POKKA 10 BLADES X 12VOLTS"/>
    <s v="CA-000106"/>
    <n v="1"/>
    <n v="650"/>
    <m/>
    <n v="650"/>
    <x v="0"/>
    <n v="772"/>
    <n v="420"/>
    <n v="420"/>
    <n v="441"/>
    <n v="209"/>
    <n v="0"/>
    <x v="16"/>
    <x v="2"/>
    <m/>
    <m/>
    <m/>
    <n v="0.32153846153846155"/>
  </r>
  <r>
    <x v="4"/>
    <x v="80"/>
    <x v="0"/>
    <x v="8"/>
    <m/>
    <m/>
    <s v="AUXIALLIARY_FAN, POKKA 10 BLADES X 12VOLTS"/>
    <s v="CA-000106"/>
    <n v="1"/>
    <n v="650"/>
    <m/>
    <n v="650"/>
    <x v="0"/>
    <n v="772"/>
    <n v="420"/>
    <n v="420"/>
    <n v="441"/>
    <n v="209"/>
    <n v="0"/>
    <x v="16"/>
    <x v="2"/>
    <m/>
    <m/>
    <m/>
    <n v="0.32153846153846155"/>
  </r>
  <r>
    <x v="4"/>
    <x v="75"/>
    <x v="0"/>
    <x v="10"/>
    <m/>
    <m/>
    <s v="AUXIALLIARY_FAN, POKKA 10 BLADES X 12VOLTS"/>
    <s v="CA-000106"/>
    <n v="1"/>
    <n v="650"/>
    <m/>
    <n v="650"/>
    <x v="0"/>
    <n v="772"/>
    <n v="420"/>
    <n v="420"/>
    <n v="441"/>
    <n v="209"/>
    <n v="0"/>
    <x v="16"/>
    <x v="2"/>
    <e v="#REF!"/>
    <e v="#REF!"/>
    <e v="#REF!"/>
    <n v="0"/>
  </r>
  <r>
    <x v="4"/>
    <x v="75"/>
    <x v="0"/>
    <x v="58"/>
    <m/>
    <m/>
    <s v="AUXIALLIARY_FAN, POKKA 10 BLADES X 12VOLTS"/>
    <s v="CA-000106"/>
    <n v="1"/>
    <n v="650"/>
    <m/>
    <n v="650"/>
    <x v="0"/>
    <n v="772"/>
    <n v="420"/>
    <n v="420"/>
    <n v="441"/>
    <n v="209"/>
    <n v="0"/>
    <x v="16"/>
    <x v="2"/>
    <m/>
    <m/>
    <m/>
    <n v="0.32153846153846155"/>
  </r>
  <r>
    <x v="2"/>
    <x v="58"/>
    <x v="4"/>
    <x v="25"/>
    <m/>
    <m/>
    <s v="SYSTEM_CLEANER, Cleanse GREEN 141B 500 ML"/>
    <s v="GE-000369"/>
    <n v="2"/>
    <n v="120"/>
    <m/>
    <n v="240"/>
    <x v="0"/>
    <n v="113"/>
    <n v="65"/>
    <n v="130"/>
    <n v="136.5"/>
    <n v="103.5"/>
    <n v="31.049999999999997"/>
    <x v="28"/>
    <x v="1"/>
    <e v="#REF!"/>
    <e v="#REF!"/>
    <s v=""/>
    <n v="0.43125000000000002"/>
  </r>
  <r>
    <x v="0"/>
    <x v="31"/>
    <x v="0"/>
    <x v="23"/>
    <m/>
    <m/>
    <s v="HOSE, COOLMATE 5/8 SUNCTION PER FT"/>
    <s v="GE-000181"/>
    <n v="10"/>
    <n v="95"/>
    <m/>
    <n v="950"/>
    <x v="0"/>
    <n v="83"/>
    <n v="45"/>
    <n v="450"/>
    <n v="472.5"/>
    <n v="477.5"/>
    <n v="0"/>
    <x v="19"/>
    <x v="1"/>
    <m/>
    <m/>
    <s v=""/>
    <n v="0.50263157894736843"/>
  </r>
  <r>
    <x v="0"/>
    <x v="3"/>
    <x v="0"/>
    <x v="1"/>
    <m/>
    <m/>
    <s v="BRACKET , ATLAS 1HP, COATED"/>
    <s v="IM-000242"/>
    <n v="2"/>
    <n v="350"/>
    <m/>
    <n v="700"/>
    <x v="0"/>
    <n v="370"/>
    <n v="205"/>
    <n v="410"/>
    <n v="422.3"/>
    <n v="277.7"/>
    <n v="0"/>
    <x v="1"/>
    <x v="0"/>
    <m/>
    <m/>
    <s v=""/>
    <n v="0.39671428571428569"/>
  </r>
  <r>
    <x v="1"/>
    <x v="34"/>
    <x v="6"/>
    <x v="54"/>
    <m/>
    <m/>
    <s v="BRACKET , ATLAS 1HP, COATED"/>
    <s v="IM-000242"/>
    <n v="2"/>
    <n v="350"/>
    <m/>
    <n v="700"/>
    <x v="0"/>
    <n v="370"/>
    <n v="205"/>
    <n v="410"/>
    <n v="422.3"/>
    <n v="277.7"/>
    <n v="83.309999999999988"/>
    <x v="1"/>
    <x v="0"/>
    <e v="#REF!"/>
    <e v="#REF!"/>
    <e v="#REF!"/>
    <n v="0"/>
  </r>
  <r>
    <x v="2"/>
    <x v="39"/>
    <x v="2"/>
    <x v="22"/>
    <m/>
    <n v="220"/>
    <s v="CABIN_FILTER, TOYOTA WIGO"/>
    <s v="CA-000387"/>
    <n v="1"/>
    <n v="200"/>
    <m/>
    <n v="200"/>
    <x v="0"/>
    <n v="315"/>
    <n v="100"/>
    <n v="100"/>
    <n v="105"/>
    <n v="95"/>
    <n v="28.5"/>
    <x v="12"/>
    <x v="2"/>
    <e v="#REF!"/>
    <e v="#REF!"/>
    <n v="224.00000000000003"/>
    <n v="0.47499999999999998"/>
  </r>
  <r>
    <x v="2"/>
    <x v="39"/>
    <x v="2"/>
    <x v="22"/>
    <m/>
    <n v="220"/>
    <s v="CABIN_FILTER, TOYOTA VIOS"/>
    <s v="CA-001295"/>
    <n v="1"/>
    <n v="200"/>
    <m/>
    <n v="200"/>
    <x v="0"/>
    <n v="315"/>
    <n v="100"/>
    <n v="100"/>
    <n v="105"/>
    <n v="95"/>
    <n v="28.5"/>
    <x v="12"/>
    <x v="2"/>
    <e v="#REF!"/>
    <e v="#REF!"/>
    <n v="224.00000000000003"/>
    <n v="0.47499999999999998"/>
  </r>
  <r>
    <x v="1"/>
    <x v="15"/>
    <x v="0"/>
    <x v="13"/>
    <m/>
    <m/>
    <s v="RUBBER_INSULATION, M-FLEX 1/2&quot; 1/4"/>
    <s v="IM-000229"/>
    <n v="12"/>
    <n v="45"/>
    <m/>
    <n v="540"/>
    <x v="0"/>
    <n v="47"/>
    <n v="33.6"/>
    <n v="403.20000000000005"/>
    <n v="415.29600000000005"/>
    <n v="124.70399999999995"/>
    <n v="0"/>
    <x v="22"/>
    <x v="0"/>
    <e v="#REF!"/>
    <e v="#REF!"/>
    <s v=""/>
    <n v="0.23093333333333324"/>
  </r>
  <r>
    <x v="0"/>
    <x v="31"/>
    <x v="0"/>
    <x v="23"/>
    <m/>
    <m/>
    <s v="HOSE, COOLMATE 1/2 DISCHARGE PER FT"/>
    <s v="GE-000179"/>
    <n v="10"/>
    <n v="90"/>
    <m/>
    <n v="900"/>
    <x v="0"/>
    <n v="80"/>
    <n v="43"/>
    <n v="430"/>
    <n v="451.5"/>
    <n v="448.5"/>
    <n v="0"/>
    <x v="19"/>
    <x v="1"/>
    <m/>
    <m/>
    <s v=""/>
    <n v="0.49833333333333335"/>
  </r>
  <r>
    <x v="0"/>
    <x v="4"/>
    <x v="0"/>
    <x v="11"/>
    <m/>
    <m/>
    <s v="AUXIALLIARY_FAN, POKKA 10 BLADES X 24VOLTS"/>
    <s v="CA-000107"/>
    <n v="1"/>
    <n v="650"/>
    <m/>
    <n v="650"/>
    <x v="0"/>
    <n v="772"/>
    <n v="420"/>
    <n v="420"/>
    <n v="441"/>
    <n v="209"/>
    <n v="0"/>
    <x v="16"/>
    <x v="2"/>
    <m/>
    <m/>
    <s v=""/>
    <n v="0.32153846153846155"/>
  </r>
  <r>
    <x v="0"/>
    <x v="6"/>
    <x v="0"/>
    <x v="8"/>
    <m/>
    <m/>
    <s v="PASTE_FLUX, HARRIS ALUMINUM BRAZE  (227G)"/>
    <s v="CA-000848"/>
    <n v="1"/>
    <n v="700"/>
    <m/>
    <n v="700"/>
    <x v="0"/>
    <n v="772"/>
    <n v="420"/>
    <n v="420"/>
    <n v="441"/>
    <n v="259"/>
    <n v="0"/>
    <x v="60"/>
    <x v="2"/>
    <m/>
    <m/>
    <s v=""/>
    <n v="0.37"/>
  </r>
  <r>
    <x v="1"/>
    <x v="14"/>
    <x v="0"/>
    <x v="17"/>
    <m/>
    <m/>
    <s v="PRESSURE_SWITCH, TOYOTA  WIGO 3 PINS"/>
    <s v="CA-001414"/>
    <n v="1"/>
    <n v="1200"/>
    <m/>
    <n v="1200"/>
    <x v="0"/>
    <n v="1176"/>
    <n v="400"/>
    <n v="400"/>
    <n v="420"/>
    <n v="780"/>
    <n v="0"/>
    <x v="47"/>
    <x v="2"/>
    <e v="#REF!"/>
    <e v="#REF!"/>
    <s v=""/>
    <n v="0.65"/>
  </r>
  <r>
    <x v="1"/>
    <x v="114"/>
    <x v="0"/>
    <x v="1"/>
    <m/>
    <m/>
    <s v="Temp_Switch, Honeywell  SPDT 220-240V , T6373A1108"/>
    <s v="GE-000346"/>
    <n v="1"/>
    <n v="850"/>
    <m/>
    <n v="850"/>
    <x v="0"/>
    <n v="840"/>
    <n v="400"/>
    <n v="400"/>
    <n v="420"/>
    <n v="430"/>
    <n v="0"/>
    <x v="61"/>
    <x v="1"/>
    <e v="#REF!"/>
    <e v="#REF!"/>
    <s v=""/>
    <n v="0.50588235294117645"/>
  </r>
  <r>
    <x v="1"/>
    <x v="34"/>
    <x v="1"/>
    <x v="3"/>
    <m/>
    <m/>
    <s v="O_RING, NEK MAKAPAL 1/2"/>
    <s v="CA-000840"/>
    <n v="1"/>
    <n v="200"/>
    <m/>
    <n v="200"/>
    <x v="0"/>
    <n v="111"/>
    <n v="60"/>
    <n v="60"/>
    <n v="63"/>
    <n v="137"/>
    <n v="41.1"/>
    <x v="44"/>
    <x v="2"/>
    <e v="#REF!"/>
    <e v="#REF!"/>
    <e v="#REF!"/>
    <n v="0"/>
  </r>
  <r>
    <x v="2"/>
    <x v="39"/>
    <x v="2"/>
    <x v="22"/>
    <m/>
    <n v="220"/>
    <s v="CABIN_FILTER, TOYOTA INNOVA"/>
    <s v="CA-001294"/>
    <n v="1"/>
    <n v="200"/>
    <m/>
    <n v="200"/>
    <x v="0"/>
    <n v="315"/>
    <n v="100"/>
    <n v="100"/>
    <n v="105"/>
    <n v="95"/>
    <n v="28.5"/>
    <x v="12"/>
    <x v="2"/>
    <e v="#REF!"/>
    <e v="#REF!"/>
    <n v="224.00000000000003"/>
    <n v="0.47499999999999998"/>
  </r>
  <r>
    <x v="2"/>
    <x v="35"/>
    <x v="0"/>
    <x v="70"/>
    <m/>
    <m/>
    <s v="PRESSURE_SWITCH, NISSAN 42CP8-11 (XTRAIL)"/>
    <s v="CA-000857"/>
    <n v="1"/>
    <n v="900"/>
    <m/>
    <n v="900"/>
    <x v="0"/>
    <n v="1050"/>
    <n v="400"/>
    <n v="400"/>
    <n v="420"/>
    <n v="480"/>
    <n v="0"/>
    <x v="47"/>
    <x v="2"/>
    <e v="#REF!"/>
    <e v="#REF!"/>
    <s v=""/>
    <n v="0.53333333333333333"/>
  </r>
  <r>
    <x v="2"/>
    <x v="35"/>
    <x v="1"/>
    <x v="3"/>
    <m/>
    <m/>
    <s v="SYSTEM_CLEANER, Cleanse GREEN 141B 500 ML"/>
    <s v="GE-000369"/>
    <n v="2"/>
    <n v="120"/>
    <m/>
    <n v="240"/>
    <x v="0"/>
    <n v="113"/>
    <n v="65"/>
    <n v="130"/>
    <n v="136.5"/>
    <n v="103.5"/>
    <n v="31.049999999999997"/>
    <x v="28"/>
    <x v="1"/>
    <e v="#REF!"/>
    <e v="#REF!"/>
    <s v=""/>
    <n v="0.43125000000000002"/>
  </r>
  <r>
    <x v="3"/>
    <x v="65"/>
    <x v="1"/>
    <x v="5"/>
    <m/>
    <m/>
    <s v="PASTE_FLUX, HARRIS ALUMINUM BRAZE  (227G)"/>
    <s v="CA-000848"/>
    <n v="1"/>
    <n v="700"/>
    <m/>
    <n v="700"/>
    <x v="0"/>
    <n v="772"/>
    <n v="420"/>
    <n v="420"/>
    <n v="441"/>
    <n v="259"/>
    <n v="77.7"/>
    <x v="60"/>
    <x v="2"/>
    <m/>
    <m/>
    <s v=""/>
    <n v="0.37"/>
  </r>
  <r>
    <x v="3"/>
    <x v="70"/>
    <x v="5"/>
    <x v="37"/>
    <m/>
    <m/>
    <s v="ELECTRICAL WIRE_STRANDED, POWERFLEX THNN STRANDED   #10, MTR 04/06/26"/>
    <s v="GE-000113"/>
    <n v="10"/>
    <n v="60"/>
    <m/>
    <n v="600"/>
    <x v="0"/>
    <n v="74"/>
    <n v="40"/>
    <n v="400"/>
    <n v="420"/>
    <n v="180"/>
    <n v="54"/>
    <x v="2"/>
    <x v="1"/>
    <m/>
    <m/>
    <s v=""/>
    <n v="0.3"/>
  </r>
  <r>
    <x v="2"/>
    <x v="45"/>
    <x v="2"/>
    <x v="22"/>
    <m/>
    <m/>
    <s v="CABIN_FILTER, TOYOTA VIOS"/>
    <s v="CA-001295"/>
    <n v="1"/>
    <n v="220"/>
    <m/>
    <n v="220"/>
    <x v="0"/>
    <n v="315"/>
    <n v="100"/>
    <n v="100"/>
    <n v="105"/>
    <n v="115"/>
    <n v="34.5"/>
    <x v="12"/>
    <x v="2"/>
    <e v="#REF!"/>
    <e v="#REF!"/>
    <s v=""/>
    <n v="0.52272727272727271"/>
  </r>
  <r>
    <x v="2"/>
    <x v="117"/>
    <x v="1"/>
    <x v="3"/>
    <m/>
    <m/>
    <s v="REFRIGERANT, ENTALPIA EUROPE R134A 13.6   2/7/26"/>
    <s v="GE-000517"/>
    <n v="1"/>
    <n v="8000"/>
    <m/>
    <n v="8000"/>
    <x v="0"/>
    <n v="10489"/>
    <n v="7684"/>
    <n v="7684"/>
    <n v="8068.2000000000007"/>
    <n v="-68.200000000000728"/>
    <n v="-20.460000000000218"/>
    <x v="5"/>
    <x v="1"/>
    <e v="#REF!"/>
    <e v="#REF!"/>
    <s v=""/>
    <n v="-8.5250000000000915E-3"/>
  </r>
  <r>
    <x v="4"/>
    <x v="89"/>
    <x v="0"/>
    <x v="61"/>
    <m/>
    <s v="                                                                                                                                                                                                                                                                                                                                                                          "/>
    <s v="AUXIALLIARY_FAN, POKKA 10 BLADES X 24VOLTS"/>
    <s v="CA-000107"/>
    <n v="1"/>
    <n v="700"/>
    <m/>
    <n v="700"/>
    <x v="0"/>
    <n v="772"/>
    <n v="420"/>
    <n v="420"/>
    <n v="441"/>
    <n v="259"/>
    <n v="0"/>
    <x v="16"/>
    <x v="2"/>
    <m/>
    <m/>
    <m/>
    <n v="0.37"/>
  </r>
  <r>
    <x v="2"/>
    <x v="37"/>
    <x v="3"/>
    <x v="12"/>
    <m/>
    <n v="15"/>
    <s v="FERULLE,  1/2&quot;"/>
    <s v="CA-000644"/>
    <n v="10"/>
    <n v="14"/>
    <m/>
    <n v="140"/>
    <x v="0"/>
    <n v="13"/>
    <n v="7"/>
    <n v="70"/>
    <n v="73.5"/>
    <n v="66.5"/>
    <n v="19.95"/>
    <x v="42"/>
    <x v="2"/>
    <e v="#REF!"/>
    <e v="#REF!"/>
    <n v="15.680000000000001"/>
    <n v="0.47499999999999998"/>
  </r>
  <r>
    <x v="2"/>
    <x v="117"/>
    <x v="1"/>
    <x v="3"/>
    <m/>
    <m/>
    <s v="EVAPORATOR, ISUZU CROSSWIND (F)"/>
    <s v="CA-000498"/>
    <n v="1"/>
    <n v="1800"/>
    <m/>
    <n v="1800"/>
    <x v="0"/>
    <n v="2297"/>
    <n v="1250"/>
    <n v="1250"/>
    <n v="1312.5"/>
    <n v="487.5"/>
    <n v="146.25"/>
    <x v="10"/>
    <x v="2"/>
    <e v="#REF!"/>
    <e v="#REF!"/>
    <s v=""/>
    <n v="0.27083333333333331"/>
  </r>
  <r>
    <x v="4"/>
    <x v="104"/>
    <x v="0"/>
    <x v="61"/>
    <m/>
    <m/>
    <s v="AUXIALLIARY_FAN, POKKA 10 BLADES X 24VOLTS"/>
    <s v="CA-000107"/>
    <n v="1"/>
    <n v="700"/>
    <m/>
    <n v="700"/>
    <x v="0"/>
    <n v="772"/>
    <n v="420"/>
    <n v="420"/>
    <n v="441"/>
    <n v="259"/>
    <n v="0"/>
    <x v="16"/>
    <x v="2"/>
    <e v="#REF!"/>
    <e v="#REF!"/>
    <e v="#REF!"/>
    <n v="0"/>
  </r>
  <r>
    <x v="2"/>
    <x v="55"/>
    <x v="0"/>
    <x v="36"/>
    <m/>
    <m/>
    <s v="FERULLE,  5/8&quot;"/>
    <s v="CA-000646"/>
    <n v="10"/>
    <n v="15"/>
    <m/>
    <n v="150"/>
    <x v="0"/>
    <n v="13"/>
    <n v="7"/>
    <n v="70"/>
    <n v="73.5"/>
    <n v="76.5"/>
    <n v="0"/>
    <x v="42"/>
    <x v="2"/>
    <e v="#REF!"/>
    <e v="#REF!"/>
    <s v=""/>
    <n v="0.51"/>
  </r>
  <r>
    <x v="1"/>
    <x v="100"/>
    <x v="0"/>
    <x v="8"/>
    <m/>
    <m/>
    <s v="EXP. VALVE LT, STAL 9A63 MONTERO TRITON (STAL)"/>
    <s v="CA-001779"/>
    <n v="2"/>
    <n v="550"/>
    <m/>
    <n v="1100"/>
    <x v="0"/>
    <n v="390"/>
    <n v="195"/>
    <n v="390"/>
    <n v="409.5"/>
    <n v="690.5"/>
    <n v="0"/>
    <x v="23"/>
    <x v="2"/>
    <e v="#REF!"/>
    <e v="#REF!"/>
    <s v=""/>
    <n v="0.62772727272727269"/>
  </r>
  <r>
    <x v="2"/>
    <x v="111"/>
    <x v="2"/>
    <x v="22"/>
    <m/>
    <m/>
    <s v="FERULLE,  1/2&quot;"/>
    <s v="CA-000644"/>
    <n v="10"/>
    <n v="12"/>
    <m/>
    <n v="120"/>
    <x v="0"/>
    <n v="13"/>
    <n v="7"/>
    <n v="70"/>
    <n v="73.5"/>
    <n v="46.5"/>
    <n v="13.95"/>
    <x v="42"/>
    <x v="2"/>
    <e v="#REF!"/>
    <e v="#REF!"/>
    <s v=""/>
    <n v="0.38750000000000001"/>
  </r>
  <r>
    <x v="2"/>
    <x v="35"/>
    <x v="0"/>
    <x v="8"/>
    <m/>
    <m/>
    <s v="MAGNETIC_CLUTCH, TOYOTA HI-ACE"/>
    <s v="CA-000828"/>
    <n v="1"/>
    <n v="800"/>
    <m/>
    <n v="800"/>
    <x v="0"/>
    <n v="717"/>
    <n v="390"/>
    <n v="390"/>
    <n v="409.5"/>
    <n v="390.5"/>
    <n v="0"/>
    <x v="4"/>
    <x v="2"/>
    <e v="#REF!"/>
    <e v="#REF!"/>
    <s v=""/>
    <n v="0.48812499999999998"/>
  </r>
  <r>
    <x v="2"/>
    <x v="48"/>
    <x v="0"/>
    <x v="110"/>
    <m/>
    <m/>
    <s v="SYSTEM_CLEANER, Cleanse GREEN 141B 500 ML"/>
    <s v="GE-000369"/>
    <n v="6"/>
    <n v="120"/>
    <m/>
    <n v="720"/>
    <x v="0"/>
    <n v="113"/>
    <n v="65"/>
    <n v="390"/>
    <n v="409.5"/>
    <n v="310.5"/>
    <n v="0"/>
    <x v="28"/>
    <x v="1"/>
    <e v="#REF!"/>
    <e v="#REF!"/>
    <s v=""/>
    <n v="0.43125000000000002"/>
  </r>
  <r>
    <x v="2"/>
    <x v="111"/>
    <x v="2"/>
    <x v="22"/>
    <m/>
    <m/>
    <s v="FERULLE,  5/8&quot;"/>
    <s v="CA-000646"/>
    <n v="10"/>
    <n v="12"/>
    <m/>
    <n v="120"/>
    <x v="0"/>
    <n v="13"/>
    <n v="7"/>
    <n v="70"/>
    <n v="73.5"/>
    <n v="46.5"/>
    <n v="13.95"/>
    <x v="42"/>
    <x v="2"/>
    <e v="#REF!"/>
    <e v="#REF!"/>
    <s v=""/>
    <n v="0.38750000000000001"/>
  </r>
  <r>
    <x v="3"/>
    <x v="64"/>
    <x v="2"/>
    <x v="7"/>
    <m/>
    <m/>
    <s v="REFRIGERANT, ENTALPIA EUROPE R134A 13.6   2/7/26"/>
    <s v="GE-000517"/>
    <n v="1"/>
    <n v="8300"/>
    <m/>
    <n v="8300"/>
    <x v="0"/>
    <n v="10489"/>
    <n v="7684"/>
    <n v="7684"/>
    <n v="8068.2000000000007"/>
    <n v="231.79999999999927"/>
    <n v="69.539999999999779"/>
    <x v="5"/>
    <x v="1"/>
    <m/>
    <m/>
    <s v=""/>
    <n v="2.7927710843373407E-2"/>
  </r>
  <r>
    <x v="0"/>
    <x v="3"/>
    <x v="0"/>
    <x v="1"/>
    <m/>
    <m/>
    <s v="REFRIGERANT, FU RYDER R410A CAN, 600 GRAMS"/>
    <s v="GE-000031"/>
    <n v="1"/>
    <n v="650"/>
    <m/>
    <n v="650"/>
    <x v="0"/>
    <n v="536"/>
    <n v="340"/>
    <n v="340"/>
    <n v="357"/>
    <n v="293"/>
    <n v="0"/>
    <x v="5"/>
    <x v="1"/>
    <m/>
    <m/>
    <s v=""/>
    <n v="0.45076923076923076"/>
  </r>
  <r>
    <x v="1"/>
    <x v="32"/>
    <x v="0"/>
    <x v="10"/>
    <m/>
    <m/>
    <s v="RECEIVER_DRIER_ALUMINUM, JAYSON ALMERA (PLASTIC)"/>
    <s v="CA-000598"/>
    <n v="1"/>
    <n v="700"/>
    <m/>
    <n v="700"/>
    <x v="0"/>
    <n v="898"/>
    <n v="380"/>
    <n v="380"/>
    <n v="399"/>
    <n v="301"/>
    <n v="0"/>
    <x v="27"/>
    <x v="2"/>
    <e v="#REF!"/>
    <e v="#REF!"/>
    <e v="#REF!"/>
    <n v="0.43"/>
  </r>
  <r>
    <x v="2"/>
    <x v="42"/>
    <x v="0"/>
    <x v="1"/>
    <m/>
    <m/>
    <s v="REFRIGERANT, FU RYDER R410A CAN, 600 GRAMS"/>
    <s v="GE-000031"/>
    <n v="1"/>
    <n v="650"/>
    <m/>
    <n v="650"/>
    <x v="0"/>
    <n v="536"/>
    <n v="340"/>
    <n v="340"/>
    <n v="357"/>
    <n v="293"/>
    <n v="0"/>
    <x v="5"/>
    <x v="1"/>
    <e v="#REF!"/>
    <e v="#REF!"/>
    <s v=""/>
    <n v="0.45076923076923076"/>
  </r>
  <r>
    <x v="3"/>
    <x v="71"/>
    <x v="0"/>
    <x v="6"/>
    <m/>
    <m/>
    <s v="ELECTRICAL CIRCUIT_BREAKER, AMERICA 20 AMP, 2P"/>
    <s v="GE-000469"/>
    <n v="2"/>
    <n v="450"/>
    <m/>
    <n v="900"/>
    <x v="0"/>
    <n v="380"/>
    <n v="190"/>
    <n v="380"/>
    <n v="399"/>
    <n v="501"/>
    <n v="0"/>
    <x v="59"/>
    <x v="1"/>
    <m/>
    <m/>
    <s v=""/>
    <n v="0.55666666666666664"/>
  </r>
  <r>
    <x v="3"/>
    <x v="71"/>
    <x v="0"/>
    <x v="44"/>
    <m/>
    <m/>
    <s v="REFRIGERANT, FU RYDER R410A CAN, 600 GRAMS"/>
    <s v="GE-000031"/>
    <n v="1"/>
    <n v="650"/>
    <m/>
    <n v="650"/>
    <x v="0"/>
    <n v="536"/>
    <n v="340"/>
    <n v="340"/>
    <n v="357"/>
    <n v="293"/>
    <n v="0"/>
    <x v="5"/>
    <x v="1"/>
    <m/>
    <m/>
    <s v=""/>
    <n v="0.45076923076923076"/>
  </r>
  <r>
    <x v="4"/>
    <x v="79"/>
    <x v="0"/>
    <x v="6"/>
    <m/>
    <m/>
    <s v="ELECTRICAL CIRCUIT_BREAKER, AMERICA 20 AMP, 2P"/>
    <s v="GE-000469"/>
    <n v="2"/>
    <n v="500"/>
    <m/>
    <n v="1000"/>
    <x v="0"/>
    <n v="380"/>
    <n v="190"/>
    <n v="380"/>
    <n v="399"/>
    <n v="601"/>
    <n v="0"/>
    <x v="59"/>
    <x v="1"/>
    <m/>
    <m/>
    <m/>
    <n v="0.60099999999999998"/>
  </r>
  <r>
    <x v="5"/>
    <x v="83"/>
    <x v="0"/>
    <x v="1"/>
    <m/>
    <m/>
    <s v="BOLT &amp; NUT, TOX WITH METAL SCREW #8"/>
    <s v="GE-000404"/>
    <n v="20"/>
    <n v="6"/>
    <m/>
    <n v="120"/>
    <x v="0"/>
    <n v="3"/>
    <n v="1.25"/>
    <n v="25"/>
    <n v="26.25"/>
    <n v="93.75"/>
    <n v="0"/>
    <x v="57"/>
    <x v="1"/>
    <e v="#REF!"/>
    <e v="#REF!"/>
    <s v=""/>
    <n v="0.78125"/>
  </r>
  <r>
    <x v="1"/>
    <x v="17"/>
    <x v="0"/>
    <x v="15"/>
    <m/>
    <m/>
    <s v="RUBBER_INSULATION, M-FLEX 1/2&quot; 3/8"/>
    <s v="IM-000231"/>
    <n v="10"/>
    <n v="55"/>
    <m/>
    <n v="550"/>
    <x v="0"/>
    <n v="53"/>
    <n v="37.6"/>
    <n v="376"/>
    <n v="387.28000000000003"/>
    <n v="162.71999999999997"/>
    <n v="0"/>
    <x v="22"/>
    <x v="0"/>
    <e v="#REF!"/>
    <e v="#REF!"/>
    <s v=""/>
    <n v="0.29585454545454543"/>
  </r>
  <r>
    <x v="1"/>
    <x v="22"/>
    <x v="0"/>
    <x v="1"/>
    <m/>
    <m/>
    <s v="RUBBER_INSULATION, M-FLEX 1/2&quot; 3/8"/>
    <s v="IM-000231"/>
    <n v="10"/>
    <n v="55"/>
    <m/>
    <n v="550"/>
    <x v="0"/>
    <n v="53"/>
    <n v="37.6"/>
    <n v="376"/>
    <n v="387.28000000000003"/>
    <n v="162.71999999999997"/>
    <n v="0"/>
    <x v="22"/>
    <x v="0"/>
    <e v="#REF!"/>
    <e v="#REF!"/>
    <e v="#REF!"/>
    <n v="0.29585454545454543"/>
  </r>
  <r>
    <x v="1"/>
    <x v="24"/>
    <x v="0"/>
    <x v="1"/>
    <m/>
    <m/>
    <s v="RUBBER_INSULATION, M-FLEX 1/2&quot; 3/8"/>
    <s v="IM-000231"/>
    <n v="10"/>
    <n v="55"/>
    <m/>
    <n v="550"/>
    <x v="0"/>
    <n v="53"/>
    <n v="37.6"/>
    <n v="376"/>
    <n v="387.28000000000003"/>
    <n v="162.71999999999997"/>
    <n v="0"/>
    <x v="22"/>
    <x v="0"/>
    <e v="#REF!"/>
    <e v="#REF!"/>
    <e v="#REF!"/>
    <n v="0.29585454545454543"/>
  </r>
  <r>
    <x v="1"/>
    <x v="109"/>
    <x v="0"/>
    <x v="111"/>
    <m/>
    <m/>
    <s v="RUBBER_INSULATION, M-FLEX 1/2&quot; 3/8"/>
    <s v="IM-000231"/>
    <n v="10"/>
    <n v="55"/>
    <m/>
    <n v="550"/>
    <x v="0"/>
    <n v="53"/>
    <n v="37.6"/>
    <n v="376"/>
    <n v="387.28000000000003"/>
    <n v="162.71999999999997"/>
    <n v="0"/>
    <x v="22"/>
    <x v="0"/>
    <e v="#REF!"/>
    <e v="#REF!"/>
    <e v="#REF!"/>
    <n v="0.29585454545454543"/>
  </r>
  <r>
    <x v="2"/>
    <x v="125"/>
    <x v="0"/>
    <x v="1"/>
    <m/>
    <m/>
    <s v="RUBBER_INSULATION, M-FLEX 1/2&quot; 3/8"/>
    <s v="IM-000231"/>
    <n v="10"/>
    <n v="55"/>
    <m/>
    <n v="550"/>
    <x v="0"/>
    <n v="53"/>
    <n v="37.6"/>
    <n v="376"/>
    <n v="387.28000000000003"/>
    <n v="162.71999999999997"/>
    <n v="0"/>
    <x v="22"/>
    <x v="0"/>
    <e v="#REF!"/>
    <e v="#REF!"/>
    <s v=""/>
    <n v="0.29585454545454543"/>
  </r>
  <r>
    <x v="4"/>
    <x v="79"/>
    <x v="0"/>
    <x v="6"/>
    <m/>
    <m/>
    <s v="RUBBER_INSULATION, M-FLEX 1/2&quot; 3/8"/>
    <s v="IM-000231"/>
    <n v="10"/>
    <n v="60"/>
    <m/>
    <n v="600"/>
    <x v="0"/>
    <n v="53"/>
    <n v="37.6"/>
    <n v="376"/>
    <n v="387.28000000000003"/>
    <n v="212.71999999999997"/>
    <n v="0"/>
    <x v="22"/>
    <x v="0"/>
    <m/>
    <m/>
    <m/>
    <n v="0.35453333333333331"/>
  </r>
  <r>
    <x v="4"/>
    <x v="75"/>
    <x v="0"/>
    <x v="112"/>
    <m/>
    <m/>
    <s v="RUBBER_INSULATION, M-FLEX 1/2&quot; 3/8"/>
    <s v="IM-000231"/>
    <n v="10"/>
    <n v="60"/>
    <m/>
    <n v="600"/>
    <x v="0"/>
    <n v="53"/>
    <n v="37.6"/>
    <n v="376"/>
    <n v="387.28000000000003"/>
    <n v="212.71999999999997"/>
    <n v="0"/>
    <x v="22"/>
    <x v="0"/>
    <e v="#REF!"/>
    <e v="#REF!"/>
    <e v="#REF!"/>
    <n v="0"/>
  </r>
  <r>
    <x v="2"/>
    <x v="51"/>
    <x v="0"/>
    <x v="26"/>
    <m/>
    <n v="140"/>
    <s v="RUBBER_INSULATION, M-FLEX 3/4&quot; X 3/4"/>
    <s v="IM-000240"/>
    <n v="4"/>
    <n v="125"/>
    <m/>
    <n v="500"/>
    <x v="0"/>
    <n v="151"/>
    <n v="108"/>
    <n v="432"/>
    <n v="444.96000000000004"/>
    <n v="55.039999999999964"/>
    <n v="0"/>
    <x v="22"/>
    <x v="0"/>
    <e v="#REF!"/>
    <e v="#REF!"/>
    <n v="140"/>
    <n v="0.11007999999999993"/>
  </r>
  <r>
    <x v="1"/>
    <x v="32"/>
    <x v="0"/>
    <x v="26"/>
    <m/>
    <m/>
    <s v="TAPE_PE, PICUS Polythelene Tape (White)X 4&quot;"/>
    <s v="IM-000247"/>
    <n v="5"/>
    <n v="125"/>
    <m/>
    <n v="625"/>
    <x v="0"/>
    <n v="147"/>
    <n v="75"/>
    <n v="375"/>
    <n v="386.25"/>
    <n v="238.75"/>
    <n v="0"/>
    <x v="29"/>
    <x v="0"/>
    <e v="#REF!"/>
    <e v="#REF!"/>
    <e v="#REF!"/>
    <n v="0.38200000000000001"/>
  </r>
  <r>
    <x v="2"/>
    <x v="35"/>
    <x v="0"/>
    <x v="30"/>
    <m/>
    <m/>
    <s v="TAPE_PE, PICUS Polythelene Tape (White)X 4&quot;"/>
    <s v="IM-000247"/>
    <n v="5"/>
    <n v="125"/>
    <m/>
    <n v="625"/>
    <x v="0"/>
    <n v="147"/>
    <n v="75"/>
    <n v="375"/>
    <n v="386.25"/>
    <n v="238.75"/>
    <n v="0"/>
    <x v="29"/>
    <x v="0"/>
    <e v="#REF!"/>
    <e v="#REF!"/>
    <s v=""/>
    <n v="0.38200000000000001"/>
  </r>
  <r>
    <x v="3"/>
    <x v="71"/>
    <x v="0"/>
    <x v="26"/>
    <m/>
    <m/>
    <s v="TAPE_PE, PICUS Polythelene Tape (White)X 4&quot;"/>
    <s v="IM-000247"/>
    <n v="5"/>
    <n v="125"/>
    <m/>
    <n v="625"/>
    <x v="0"/>
    <n v="147"/>
    <n v="75"/>
    <n v="375"/>
    <n v="386.25"/>
    <n v="238.75"/>
    <n v="0"/>
    <x v="29"/>
    <x v="0"/>
    <m/>
    <m/>
    <s v=""/>
    <n v="0.38200000000000001"/>
  </r>
  <r>
    <x v="4"/>
    <x v="107"/>
    <x v="0"/>
    <x v="26"/>
    <m/>
    <m/>
    <s v="TAPE_PE, PICUS Polythelene Tape (White)X 4&quot;"/>
    <s v="IM-000247"/>
    <n v="5"/>
    <n v="125"/>
    <m/>
    <n v="625"/>
    <x v="0"/>
    <n v="147"/>
    <n v="75"/>
    <n v="375"/>
    <n v="386.25"/>
    <n v="238.75"/>
    <n v="0"/>
    <x v="29"/>
    <x v="0"/>
    <m/>
    <m/>
    <m/>
    <n v="0.38200000000000001"/>
  </r>
  <r>
    <x v="4"/>
    <x v="103"/>
    <x v="0"/>
    <x v="26"/>
    <m/>
    <m/>
    <s v="TAPE_PE, PICUS Polythelene Tape (White)X 4&quot;"/>
    <s v="IM-000247"/>
    <n v="5"/>
    <n v="125"/>
    <m/>
    <n v="625"/>
    <x v="0"/>
    <n v="147"/>
    <n v="75"/>
    <n v="375"/>
    <n v="386.25"/>
    <n v="238.75"/>
    <n v="0"/>
    <x v="29"/>
    <x v="0"/>
    <m/>
    <m/>
    <m/>
    <n v="0.38200000000000001"/>
  </r>
  <r>
    <x v="4"/>
    <x v="77"/>
    <x v="0"/>
    <x v="26"/>
    <m/>
    <m/>
    <s v="TAPE_PE, PICUS Polythelene Tape (White)X 4&quot;"/>
    <s v="IM-000247"/>
    <n v="5"/>
    <n v="125"/>
    <m/>
    <n v="625"/>
    <x v="0"/>
    <n v="147"/>
    <n v="75"/>
    <n v="375"/>
    <n v="386.25"/>
    <n v="238.75"/>
    <n v="0"/>
    <x v="29"/>
    <x v="0"/>
    <e v="#REF!"/>
    <e v="#REF!"/>
    <e v="#REF!"/>
    <n v="0"/>
  </r>
  <r>
    <x v="5"/>
    <x v="83"/>
    <x v="0"/>
    <x v="20"/>
    <m/>
    <m/>
    <s v="BOLT &amp; NUT, GI, SET 3/8"/>
    <s v="IM-000002"/>
    <n v="4"/>
    <n v="14"/>
    <m/>
    <n v="56"/>
    <x v="0"/>
    <n v="10"/>
    <n v="5.43"/>
    <n v="21.72"/>
    <n v="22.371600000000001"/>
    <n v="33.628399999999999"/>
    <n v="0"/>
    <x v="57"/>
    <x v="0"/>
    <e v="#REF!"/>
    <e v="#REF!"/>
    <s v=""/>
    <n v="0.60050714285714279"/>
  </r>
  <r>
    <x v="1"/>
    <x v="15"/>
    <x v="0"/>
    <x v="13"/>
    <m/>
    <m/>
    <s v="RUBBER_INSULATION, M-FLEX 1/2&quot; 1/2"/>
    <s v="IM-000227"/>
    <n v="8"/>
    <n v="65"/>
    <m/>
    <n v="520"/>
    <x v="0"/>
    <n v="65"/>
    <n v="46.4"/>
    <n v="371.2"/>
    <n v="382.33600000000001"/>
    <n v="137.66399999999999"/>
    <n v="0"/>
    <x v="22"/>
    <x v="0"/>
    <e v="#REF!"/>
    <e v="#REF!"/>
    <s v=""/>
    <n v="0.26473846153846153"/>
  </r>
  <r>
    <x v="1"/>
    <x v="28"/>
    <x v="0"/>
    <x v="24"/>
    <m/>
    <m/>
    <s v="RUBBER_INSULATION, M-FLEX 1/2&quot; 1/2"/>
    <s v="IM-000227"/>
    <n v="8"/>
    <n v="65"/>
    <m/>
    <n v="520"/>
    <x v="0"/>
    <n v="65"/>
    <n v="46.4"/>
    <n v="371.2"/>
    <n v="382.33600000000001"/>
    <n v="137.66399999999999"/>
    <n v="0"/>
    <x v="22"/>
    <x v="0"/>
    <e v="#REF!"/>
    <e v="#REF!"/>
    <e v="#REF!"/>
    <n v="0.26473846153846153"/>
  </r>
  <r>
    <x v="3"/>
    <x v="72"/>
    <x v="2"/>
    <x v="7"/>
    <m/>
    <m/>
    <s v="AUXFAN_MOTOR, SUZUKI SWIFT 8310"/>
    <s v="CA-000076"/>
    <n v="1"/>
    <n v="1800"/>
    <m/>
    <n v="1800"/>
    <x v="0"/>
    <n v="2114"/>
    <n v="1150"/>
    <n v="1150"/>
    <n v="1207.5"/>
    <n v="592.5"/>
    <n v="177.75"/>
    <x v="14"/>
    <x v="2"/>
    <m/>
    <m/>
    <s v=""/>
    <n v="0.32916666666666666"/>
  </r>
  <r>
    <x v="3"/>
    <x v="69"/>
    <x v="0"/>
    <x v="63"/>
    <m/>
    <n v="360"/>
    <s v="BRACKET , GB 1HP, COATED"/>
    <s v="IM-000008"/>
    <n v="2"/>
    <n v="321"/>
    <m/>
    <n v="642"/>
    <x v="0"/>
    <n v="334"/>
    <n v="185"/>
    <n v="370"/>
    <n v="381.1"/>
    <n v="260.89999999999998"/>
    <n v="0"/>
    <x v="1"/>
    <x v="0"/>
    <m/>
    <m/>
    <n v="359.52000000000004"/>
    <n v="0.40638629283489092"/>
  </r>
  <r>
    <x v="3"/>
    <x v="71"/>
    <x v="0"/>
    <x v="6"/>
    <m/>
    <m/>
    <s v="BRACKET , GB 1HP, COATED"/>
    <s v="IM-000008"/>
    <n v="2"/>
    <n v="360"/>
    <m/>
    <n v="720"/>
    <x v="0"/>
    <n v="334"/>
    <n v="185"/>
    <n v="370"/>
    <n v="381.1"/>
    <n v="338.9"/>
    <n v="0"/>
    <x v="1"/>
    <x v="0"/>
    <m/>
    <m/>
    <s v=""/>
    <n v="0.47069444444444442"/>
  </r>
  <r>
    <x v="4"/>
    <x v="107"/>
    <x v="0"/>
    <x v="58"/>
    <m/>
    <m/>
    <s v="AUXIALLIARY_FAN, NEK 12 V METAL FAN"/>
    <s v="CA-000103"/>
    <n v="1"/>
    <n v="600"/>
    <m/>
    <n v="600"/>
    <x v="0"/>
    <n v="680"/>
    <n v="370"/>
    <n v="370"/>
    <n v="388.5"/>
    <n v="211.5"/>
    <n v="0"/>
    <x v="16"/>
    <x v="2"/>
    <m/>
    <m/>
    <m/>
    <n v="0.35249999999999998"/>
  </r>
  <r>
    <x v="4"/>
    <x v="107"/>
    <x v="0"/>
    <x v="62"/>
    <m/>
    <m/>
    <s v="BRACKET , GB 1HP, COATED"/>
    <s v="IM-000008"/>
    <n v="2"/>
    <n v="360"/>
    <m/>
    <n v="720"/>
    <x v="0"/>
    <n v="334"/>
    <n v="185"/>
    <n v="370"/>
    <n v="381.1"/>
    <n v="338.9"/>
    <n v="0"/>
    <x v="1"/>
    <x v="0"/>
    <m/>
    <m/>
    <m/>
    <n v="0.47069444444444442"/>
  </r>
  <r>
    <x v="4"/>
    <x v="89"/>
    <x v="0"/>
    <x v="1"/>
    <m/>
    <m/>
    <s v="BRACKET , GB 1HP, COATED"/>
    <s v="IM-000008"/>
    <n v="2"/>
    <n v="360"/>
    <m/>
    <n v="720"/>
    <x v="0"/>
    <n v="334"/>
    <n v="185"/>
    <n v="370"/>
    <n v="381.1"/>
    <n v="338.9"/>
    <n v="0"/>
    <x v="1"/>
    <x v="0"/>
    <m/>
    <m/>
    <m/>
    <n v="0.47069444444444442"/>
  </r>
  <r>
    <x v="4"/>
    <x v="110"/>
    <x v="0"/>
    <x v="19"/>
    <m/>
    <m/>
    <s v="BRACKET , GB 1HP, COATED"/>
    <s v="IM-000008"/>
    <n v="2"/>
    <n v="360"/>
    <m/>
    <n v="720"/>
    <x v="0"/>
    <n v="334"/>
    <n v="185"/>
    <n v="370"/>
    <n v="381.1"/>
    <n v="338.9"/>
    <n v="0"/>
    <x v="1"/>
    <x v="0"/>
    <m/>
    <m/>
    <m/>
    <n v="0.47069444444444442"/>
  </r>
  <r>
    <x v="4"/>
    <x v="79"/>
    <x v="0"/>
    <x v="6"/>
    <m/>
    <m/>
    <s v="BRACKET , GB 1HP, COATED"/>
    <s v="IM-000008"/>
    <n v="2"/>
    <n v="360"/>
    <m/>
    <n v="720"/>
    <x v="0"/>
    <n v="334"/>
    <n v="185"/>
    <n v="370"/>
    <n v="381.1"/>
    <n v="338.9"/>
    <n v="0"/>
    <x v="1"/>
    <x v="0"/>
    <m/>
    <m/>
    <m/>
    <n v="0.47069444444444442"/>
  </r>
  <r>
    <x v="0"/>
    <x v="97"/>
    <x v="1"/>
    <x v="5"/>
    <m/>
    <m/>
    <s v="LUBRICANT, EMKARATE RL 68H, 1 LITER"/>
    <s v="GE-000135"/>
    <n v="2"/>
    <n v="450"/>
    <m/>
    <n v="900"/>
    <x v="0"/>
    <n v="331"/>
    <n v="180"/>
    <n v="360"/>
    <n v="378"/>
    <n v="522"/>
    <n v="156.6"/>
    <x v="9"/>
    <x v="1"/>
    <m/>
    <m/>
    <s v=""/>
    <n v="0.57999999999999996"/>
  </r>
  <r>
    <x v="0"/>
    <x v="31"/>
    <x v="0"/>
    <x v="113"/>
    <m/>
    <m/>
    <s v="LUBRICANT, EMKARATE RL 68H, 1 LITER"/>
    <s v="GE-000135"/>
    <n v="2"/>
    <n v="450"/>
    <m/>
    <n v="900"/>
    <x v="0"/>
    <n v="331"/>
    <n v="180"/>
    <n v="360"/>
    <n v="378"/>
    <n v="522"/>
    <n v="0"/>
    <x v="9"/>
    <x v="1"/>
    <m/>
    <m/>
    <s v=""/>
    <n v="0.57999999999999996"/>
  </r>
  <r>
    <x v="0"/>
    <x v="4"/>
    <x v="0"/>
    <x v="114"/>
    <m/>
    <m/>
    <s v="ROD, HARRIS SILVER "/>
    <s v="IM-000098"/>
    <n v="20"/>
    <n v="25"/>
    <m/>
    <n v="500"/>
    <x v="0"/>
    <n v="30"/>
    <n v="19"/>
    <n v="380"/>
    <n v="391.40000000000003"/>
    <n v="108.59999999999997"/>
    <n v="0"/>
    <x v="56"/>
    <x v="0"/>
    <m/>
    <m/>
    <e v="#REF!"/>
    <n v="0.21719999999999992"/>
  </r>
  <r>
    <x v="0"/>
    <x v="13"/>
    <x v="0"/>
    <x v="18"/>
    <m/>
    <m/>
    <s v="BLOWER_MOTOR, UNIVERSAL DOUBLE SHAFTING (ADVENTURE/REVO) 12V"/>
    <s v="CA-000238"/>
    <n v="1"/>
    <n v="700"/>
    <m/>
    <n v="700"/>
    <x v="0"/>
    <n v="840"/>
    <n v="400"/>
    <n v="400"/>
    <n v="420"/>
    <n v="280"/>
    <n v="0"/>
    <x v="15"/>
    <x v="2"/>
    <e v="#REF!"/>
    <e v="#REF!"/>
    <s v=""/>
    <n v="0.4"/>
  </r>
  <r>
    <x v="3"/>
    <x v="72"/>
    <x v="2"/>
    <x v="7"/>
    <m/>
    <m/>
    <s v="REFRIGERANT, ENTALPIA EUROPE R134A 13.6   4/8/26 NBO"/>
    <s v="GE-000510"/>
    <n v="1"/>
    <n v="8300"/>
    <m/>
    <n v="8300"/>
    <x v="0"/>
    <n v="0"/>
    <n v="0"/>
    <n v="0"/>
    <n v="0"/>
    <n v="8300"/>
    <n v="2490"/>
    <x v="13"/>
    <x v="3"/>
    <m/>
    <m/>
    <s v=""/>
    <n v="1"/>
  </r>
  <r>
    <x v="3"/>
    <x v="101"/>
    <x v="0"/>
    <x v="36"/>
    <m/>
    <n v="2100"/>
    <s v="EVAPORATOR, HONDA CIVIC 2016"/>
    <s v="CA-000480"/>
    <n v="1"/>
    <n v="1875"/>
    <m/>
    <n v="1875"/>
    <x v="0"/>
    <n v="2940"/>
    <n v="1600"/>
    <n v="1600"/>
    <n v="1680"/>
    <n v="195"/>
    <n v="0"/>
    <x v="10"/>
    <x v="2"/>
    <m/>
    <m/>
    <n v="2100"/>
    <n v="0.104"/>
  </r>
  <r>
    <x v="1"/>
    <x v="33"/>
    <x v="0"/>
    <x v="114"/>
    <m/>
    <m/>
    <s v="ROD, HARRIS SILVER "/>
    <s v="IM-000098"/>
    <n v="20"/>
    <n v="25"/>
    <m/>
    <n v="500"/>
    <x v="0"/>
    <n v="30"/>
    <n v="19"/>
    <n v="380"/>
    <n v="391.40000000000003"/>
    <n v="108.59999999999997"/>
    <n v="0"/>
    <x v="56"/>
    <x v="0"/>
    <e v="#REF!"/>
    <e v="#REF!"/>
    <e v="#REF!"/>
    <n v="0.21719999999999992"/>
  </r>
  <r>
    <x v="3"/>
    <x v="64"/>
    <x v="4"/>
    <x v="25"/>
    <m/>
    <n v="2100"/>
    <s v="EVAPORATOR, HYUNDAI TUCSON 2017"/>
    <s v="CA-001782"/>
    <n v="1"/>
    <n v="2100"/>
    <m/>
    <n v="2100"/>
    <x v="0"/>
    <n v="2849"/>
    <n v="1550"/>
    <n v="1550"/>
    <n v="1627.5"/>
    <n v="472.5"/>
    <n v="141.75"/>
    <x v="10"/>
    <x v="2"/>
    <m/>
    <m/>
    <n v="2352"/>
    <n v="0.22500000000000001"/>
  </r>
  <r>
    <x v="3"/>
    <x v="62"/>
    <x v="2"/>
    <x v="7"/>
    <m/>
    <n v="2200"/>
    <s v="EVAPORATOR, FORD RANGER 12 40A547"/>
    <s v="CA-001833"/>
    <n v="1"/>
    <n v="1964"/>
    <m/>
    <n v="1964"/>
    <x v="0"/>
    <n v="2757"/>
    <n v="1500"/>
    <n v="1500"/>
    <n v="1575"/>
    <n v="389"/>
    <n v="116.69999999999999"/>
    <x v="10"/>
    <x v="2"/>
    <m/>
    <m/>
    <n v="2199.6800000000003"/>
    <n v="0.19806517311608962"/>
  </r>
  <r>
    <x v="3"/>
    <x v="65"/>
    <x v="2"/>
    <x v="22"/>
    <m/>
    <m/>
    <s v="PULLEY_ASSEMBLY, TOYOTA INNOVA DENSO 7PK 2008"/>
    <s v="CA-000242"/>
    <n v="1"/>
    <n v="2100"/>
    <m/>
    <n v="2100"/>
    <x v="0"/>
    <n v="2520"/>
    <n v="1500"/>
    <n v="1500"/>
    <n v="1575"/>
    <n v="525"/>
    <n v="157.5"/>
    <x v="11"/>
    <x v="2"/>
    <m/>
    <m/>
    <s v=""/>
    <n v="0.25"/>
  </r>
  <r>
    <x v="3"/>
    <x v="66"/>
    <x v="2"/>
    <x v="9"/>
    <m/>
    <n v="2050"/>
    <s v="EVAPORATOR, FORD RANGER 12 40A547"/>
    <s v="CA-001833"/>
    <n v="1"/>
    <n v="1830"/>
    <m/>
    <n v="1830"/>
    <x v="0"/>
    <n v="2757"/>
    <n v="1500"/>
    <n v="1500"/>
    <n v="1575"/>
    <n v="255"/>
    <n v="76.5"/>
    <x v="10"/>
    <x v="2"/>
    <m/>
    <m/>
    <n v="2049.6000000000004"/>
    <n v="0.13934426229508196"/>
  </r>
  <r>
    <x v="3"/>
    <x v="71"/>
    <x v="2"/>
    <x v="22"/>
    <m/>
    <m/>
    <s v="EVAPORATOR, FORD RANGER 12 40A547"/>
    <s v="CA-001833"/>
    <n v="1"/>
    <n v="2000"/>
    <m/>
    <n v="2000"/>
    <x v="0"/>
    <n v="2757"/>
    <n v="1500"/>
    <n v="1500"/>
    <n v="1575"/>
    <n v="425"/>
    <n v="127.5"/>
    <x v="10"/>
    <x v="2"/>
    <e v="#REF!"/>
    <e v="#REF!"/>
    <e v="#REF!"/>
    <n v="0.21249999999999999"/>
  </r>
  <r>
    <x v="4"/>
    <x v="108"/>
    <x v="0"/>
    <x v="58"/>
    <m/>
    <m/>
    <s v="TAPE_PE, AEROWRAP Polythelene Tape (BLUE)X 4&quot;"/>
    <s v="IM-000184"/>
    <n v="4"/>
    <n v="135"/>
    <m/>
    <n v="540"/>
    <x v="0"/>
    <n v="177"/>
    <n v="90"/>
    <n v="360"/>
    <n v="370.8"/>
    <n v="169.2"/>
    <n v="0"/>
    <x v="29"/>
    <x v="0"/>
    <m/>
    <m/>
    <m/>
    <n v="0.3133333333333333"/>
  </r>
  <r>
    <x v="3"/>
    <x v="69"/>
    <x v="2"/>
    <x v="22"/>
    <m/>
    <m/>
    <s v="EVAPORATOR, HYUNDAI TUCSON 2013"/>
    <s v="CA-001734"/>
    <n v="1"/>
    <n v="2000"/>
    <m/>
    <n v="2000"/>
    <x v="0"/>
    <n v="2665"/>
    <n v="1450"/>
    <n v="1450"/>
    <n v="1522.5"/>
    <n v="477.5"/>
    <n v="143.25"/>
    <x v="10"/>
    <x v="2"/>
    <e v="#REF!"/>
    <e v="#REF!"/>
    <e v="#REF!"/>
    <n v="0.23874999999999999"/>
  </r>
  <r>
    <x v="4"/>
    <x v="104"/>
    <x v="1"/>
    <x v="5"/>
    <m/>
    <m/>
    <s v="LUBRICANT, EMKARATE RL 68H, 1 LITER"/>
    <s v="GE-000135"/>
    <n v="2"/>
    <n v="450"/>
    <m/>
    <n v="900"/>
    <x v="0"/>
    <n v="331"/>
    <n v="180"/>
    <n v="360"/>
    <n v="378"/>
    <n v="522"/>
    <n v="156.6"/>
    <x v="9"/>
    <x v="1"/>
    <m/>
    <m/>
    <m/>
    <n v="0.57999999999999996"/>
  </r>
  <r>
    <x v="0"/>
    <x v="98"/>
    <x v="0"/>
    <x v="77"/>
    <m/>
    <m/>
    <s v="MAGNETIC_CLUTCH, NISSAN NV350"/>
    <s v="CA-000810"/>
    <n v="1"/>
    <n v="900"/>
    <m/>
    <n v="900"/>
    <x v="0"/>
    <n v="644"/>
    <n v="350"/>
    <n v="350"/>
    <n v="367.5"/>
    <n v="532.5"/>
    <n v="0"/>
    <x v="4"/>
    <x v="2"/>
    <m/>
    <m/>
    <e v="#REF!"/>
    <n v="0.59166666666666667"/>
  </r>
  <r>
    <x v="3"/>
    <x v="72"/>
    <x v="0"/>
    <x v="36"/>
    <m/>
    <n v="2100"/>
    <s v="BLOWER_MOTOR, SUZUKI CELERIO 2015"/>
    <s v="CA-001797"/>
    <n v="1"/>
    <n v="1875"/>
    <m/>
    <n v="1875"/>
    <x v="0"/>
    <n v="2665"/>
    <n v="1450"/>
    <n v="1450"/>
    <n v="1522.5"/>
    <n v="352.5"/>
    <n v="0"/>
    <x v="15"/>
    <x v="2"/>
    <m/>
    <m/>
    <n v="2100"/>
    <n v="0.188"/>
  </r>
  <r>
    <x v="3"/>
    <x v="86"/>
    <x v="2"/>
    <x v="22"/>
    <m/>
    <m/>
    <s v="EVAPORATOR, HYUNDAI TUCSON 2013"/>
    <s v="CA-001734"/>
    <n v="1"/>
    <n v="2000"/>
    <m/>
    <n v="2000"/>
    <x v="0"/>
    <n v="2665"/>
    <n v="1450"/>
    <n v="1450"/>
    <n v="1522.5"/>
    <n v="477.5"/>
    <n v="143.25"/>
    <x v="10"/>
    <x v="2"/>
    <e v="#REF!"/>
    <e v="#REF!"/>
    <e v="#REF!"/>
    <n v="0.23874999999999999"/>
  </r>
  <r>
    <x v="0"/>
    <x v="9"/>
    <x v="0"/>
    <x v="11"/>
    <m/>
    <m/>
    <s v="TEMPERATURE_RESISTANCE, MONTERO THERMISTOR 3PIN"/>
    <s v="CA-001640"/>
    <n v="1"/>
    <n v="900"/>
    <m/>
    <n v="900"/>
    <x v="0"/>
    <n v="882"/>
    <n v="350"/>
    <n v="350"/>
    <n v="367.5"/>
    <n v="532.5"/>
    <n v="0"/>
    <x v="32"/>
    <x v="2"/>
    <e v="#REF!"/>
    <e v="#REF!"/>
    <s v=""/>
    <n v="0.59166666666666667"/>
  </r>
  <r>
    <x v="0"/>
    <x v="11"/>
    <x v="0"/>
    <x v="115"/>
    <m/>
    <m/>
    <s v="RUBBER_INSULATION, M-FLEX 3/4&quot; 5/8"/>
    <s v="IM-000331"/>
    <n v="4"/>
    <n v="125"/>
    <m/>
    <n v="500"/>
    <x v="0"/>
    <n v="140"/>
    <n v="100"/>
    <n v="400"/>
    <n v="412"/>
    <n v="88"/>
    <n v="0"/>
    <x v="22"/>
    <x v="0"/>
    <e v="#REF!"/>
    <e v="#REF!"/>
    <s v=""/>
    <n v="0.17599999999999999"/>
  </r>
  <r>
    <x v="1"/>
    <x v="22"/>
    <x v="9"/>
    <x v="55"/>
    <m/>
    <m/>
    <s v="ELECTRICAL CIRCUIT_BREAKER, KOTEN 40 AMP, 2P"/>
    <s v="GE-000104"/>
    <n v="1"/>
    <n v="500"/>
    <m/>
    <n v="500"/>
    <x v="0"/>
    <n v="644"/>
    <n v="350"/>
    <n v="350"/>
    <n v="367.5"/>
    <n v="132.5"/>
    <n v="39.75"/>
    <x v="59"/>
    <x v="1"/>
    <e v="#REF!"/>
    <e v="#REF!"/>
    <e v="#REF!"/>
    <n v="0.26500000000000001"/>
  </r>
  <r>
    <x v="1"/>
    <x v="34"/>
    <x v="0"/>
    <x v="17"/>
    <m/>
    <m/>
    <s v="TEMPERATURE_RESISTANCE, MONTERO THERMISTOR 3PIN"/>
    <s v="CA-001640"/>
    <n v="1"/>
    <n v="900"/>
    <m/>
    <n v="900"/>
    <x v="0"/>
    <n v="882"/>
    <n v="350"/>
    <n v="350"/>
    <n v="367.5"/>
    <n v="532.5"/>
    <n v="0"/>
    <x v="32"/>
    <x v="2"/>
    <e v="#REF!"/>
    <e v="#REF!"/>
    <e v="#REF!"/>
    <n v="0"/>
  </r>
  <r>
    <x v="2"/>
    <x v="39"/>
    <x v="0"/>
    <x v="17"/>
    <m/>
    <m/>
    <s v="EXP. VALVE LT, POKKA 9A83 ECOSPORT"/>
    <s v="CA-001621"/>
    <n v="1"/>
    <n v="550"/>
    <m/>
    <n v="550"/>
    <x v="0"/>
    <n v="662"/>
    <n v="360"/>
    <n v="360"/>
    <n v="378"/>
    <n v="172"/>
    <n v="0"/>
    <x v="23"/>
    <x v="2"/>
    <e v="#REF!"/>
    <e v="#REF!"/>
    <s v=""/>
    <n v="0.31272727272727274"/>
  </r>
  <r>
    <x v="3"/>
    <x v="62"/>
    <x v="2"/>
    <x v="9"/>
    <m/>
    <m/>
    <s v="EVAPORATOR, NISSAN FRONTIER"/>
    <s v="CA-000519"/>
    <n v="1"/>
    <n v="2000"/>
    <m/>
    <n v="2000"/>
    <x v="0"/>
    <n v="2481"/>
    <n v="1350"/>
    <n v="1350"/>
    <n v="1417.5"/>
    <n v="582.5"/>
    <n v="174.75"/>
    <x v="10"/>
    <x v="2"/>
    <m/>
    <m/>
    <s v=""/>
    <n v="0.29125000000000001"/>
  </r>
  <r>
    <x v="3"/>
    <x v="61"/>
    <x v="0"/>
    <x v="17"/>
    <m/>
    <m/>
    <s v="TEMPERATURE_RESISTANCE, MONTERO THERMISTOR 3PIN"/>
    <s v="CA-001640"/>
    <n v="1"/>
    <n v="900"/>
    <m/>
    <n v="900"/>
    <x v="0"/>
    <n v="882"/>
    <n v="350"/>
    <n v="350"/>
    <n v="367.5"/>
    <n v="532.5"/>
    <n v="0"/>
    <x v="32"/>
    <x v="2"/>
    <m/>
    <m/>
    <s v=""/>
    <n v="0.59166666666666667"/>
  </r>
  <r>
    <x v="3"/>
    <x v="85"/>
    <x v="0"/>
    <x v="10"/>
    <m/>
    <m/>
    <s v="MAGNETIC_CLUTCH, HONDA CRV 1.8"/>
    <s v="CA-000767"/>
    <n v="1"/>
    <n v="800"/>
    <m/>
    <n v="800"/>
    <x v="0"/>
    <n v="644"/>
    <n v="350"/>
    <n v="350"/>
    <n v="367.5"/>
    <n v="432.5"/>
    <n v="0"/>
    <x v="4"/>
    <x v="2"/>
    <m/>
    <m/>
    <m/>
    <n v="0.54062500000000002"/>
  </r>
  <r>
    <x v="3"/>
    <x v="85"/>
    <x v="0"/>
    <x v="72"/>
    <m/>
    <m/>
    <s v="RESISTOR_BLOCK, ISUZU  D-MAX 7570B"/>
    <s v="CA-001168"/>
    <n v="1"/>
    <n v="900"/>
    <m/>
    <n v="900"/>
    <x v="0"/>
    <n v="754"/>
    <n v="350"/>
    <n v="350"/>
    <n v="367.5"/>
    <n v="532.5"/>
    <n v="0"/>
    <x v="43"/>
    <x v="2"/>
    <m/>
    <m/>
    <m/>
    <n v="0.59166666666666667"/>
  </r>
  <r>
    <x v="3"/>
    <x v="85"/>
    <x v="0"/>
    <x v="11"/>
    <m/>
    <m/>
    <s v="MAGNETIC_CLUTCH, TOYOTA INNOVA 2008"/>
    <s v="CA-000829"/>
    <n v="1"/>
    <n v="800"/>
    <m/>
    <n v="800"/>
    <x v="0"/>
    <n v="644"/>
    <n v="350"/>
    <n v="350"/>
    <n v="367.5"/>
    <n v="432.5"/>
    <n v="0"/>
    <x v="4"/>
    <x v="2"/>
    <m/>
    <m/>
    <m/>
    <n v="0.54062500000000002"/>
  </r>
  <r>
    <x v="3"/>
    <x v="68"/>
    <x v="2"/>
    <x v="22"/>
    <m/>
    <m/>
    <s v="EVAPORATOR, HYUNDAI STAREX 95 (LT) 40A17"/>
    <s v="CA-000494"/>
    <n v="1"/>
    <n v="1900"/>
    <m/>
    <n v="1900"/>
    <x v="0"/>
    <n v="2481"/>
    <n v="1350"/>
    <n v="1350"/>
    <n v="1417.5"/>
    <n v="482.5"/>
    <n v="144.75"/>
    <x v="10"/>
    <x v="2"/>
    <e v="#REF!"/>
    <e v="#REF!"/>
    <e v="#REF!"/>
    <n v="0.25394736842105264"/>
  </r>
  <r>
    <x v="3"/>
    <x v="118"/>
    <x v="0"/>
    <x v="36"/>
    <m/>
    <n v="2000"/>
    <s v="BLOWER_MOTOR, NISSAN ALMERA"/>
    <s v="CA-000194"/>
    <n v="1"/>
    <n v="1786"/>
    <m/>
    <n v="1786"/>
    <x v="0"/>
    <n v="2481"/>
    <n v="1350"/>
    <n v="1350"/>
    <n v="1417.5"/>
    <n v="368.5"/>
    <n v="0"/>
    <x v="15"/>
    <x v="2"/>
    <m/>
    <m/>
    <n v="2000.3200000000002"/>
    <n v="0.20632698768197089"/>
  </r>
  <r>
    <x v="4"/>
    <x v="105"/>
    <x v="0"/>
    <x v="23"/>
    <m/>
    <m/>
    <s v="RECEIVER_DRIER_ALUMINUM, YK 8209 (FX)"/>
    <s v="CA-001107"/>
    <n v="1"/>
    <n v="600"/>
    <m/>
    <n v="600"/>
    <x v="0"/>
    <n v="816"/>
    <n v="345"/>
    <n v="345"/>
    <n v="362.25"/>
    <n v="237.75"/>
    <n v="0"/>
    <x v="27"/>
    <x v="2"/>
    <m/>
    <m/>
    <m/>
    <n v="0.39624999999999999"/>
  </r>
  <r>
    <x v="3"/>
    <x v="119"/>
    <x v="2"/>
    <x v="22"/>
    <m/>
    <n v="1800"/>
    <s v="BLOWER_MOTOR, HONDA CITY 2009"/>
    <s v="CA-000140"/>
    <n v="1"/>
    <n v="1607"/>
    <m/>
    <n v="1607"/>
    <x v="0"/>
    <n v="2481"/>
    <n v="1350"/>
    <n v="1350"/>
    <n v="1417.5"/>
    <n v="189.5"/>
    <n v="56.85"/>
    <x v="15"/>
    <x v="2"/>
    <m/>
    <m/>
    <n v="1799.8400000000001"/>
    <n v="0.1179215930304916"/>
  </r>
  <r>
    <x v="0"/>
    <x v="11"/>
    <x v="0"/>
    <x v="115"/>
    <m/>
    <m/>
    <s v="TAPE_FOAM, CROCO Polythelene Tape (White)X 4&quot;"/>
    <s v="IM-000104"/>
    <n v="4"/>
    <n v="125"/>
    <m/>
    <n v="500"/>
    <x v="0"/>
    <n v="132"/>
    <n v="85"/>
    <n v="340"/>
    <n v="350.2"/>
    <n v="149.80000000000001"/>
    <n v="0"/>
    <x v="25"/>
    <x v="0"/>
    <e v="#REF!"/>
    <e v="#REF!"/>
    <s v=""/>
    <n v="0.29960000000000003"/>
  </r>
  <r>
    <x v="2"/>
    <x v="36"/>
    <x v="1"/>
    <x v="3"/>
    <m/>
    <m/>
    <s v="EXP. VALVE LT, POKKA 9A55 HONDA NEW"/>
    <s v="CA-000636"/>
    <n v="1"/>
    <n v="550"/>
    <m/>
    <n v="550"/>
    <x v="0"/>
    <n v="497"/>
    <n v="270"/>
    <n v="270"/>
    <n v="283.5"/>
    <n v="266.5"/>
    <n v="79.95"/>
    <x v="23"/>
    <x v="2"/>
    <e v="#REF!"/>
    <e v="#REF!"/>
    <s v=""/>
    <n v="0.48454545454545456"/>
  </r>
  <r>
    <x v="2"/>
    <x v="38"/>
    <x v="1"/>
    <x v="3"/>
    <m/>
    <m/>
    <s v="RECEIVER_DRIER_ALUMINUM, YK 8227A (Montero)"/>
    <s v="CA-001109"/>
    <n v="1"/>
    <n v="550"/>
    <m/>
    <n v="550"/>
    <x v="0"/>
    <n v="579"/>
    <n v="245"/>
    <n v="245"/>
    <n v="257.25"/>
    <n v="292.75"/>
    <n v="87.825000000000003"/>
    <x v="27"/>
    <x v="2"/>
    <e v="#REF!"/>
    <e v="#REF!"/>
    <s v=""/>
    <n v="0.53227272727272723"/>
  </r>
  <r>
    <x v="1"/>
    <x v="22"/>
    <x v="0"/>
    <x v="1"/>
    <m/>
    <m/>
    <s v="RUBBER_INSULATION, M-FLEX 1/2&quot; 1/4"/>
    <s v="IM-000229"/>
    <n v="10"/>
    <n v="45"/>
    <m/>
    <n v="450"/>
    <x v="0"/>
    <n v="47"/>
    <n v="33.6"/>
    <n v="336"/>
    <n v="346.08"/>
    <n v="103.92000000000002"/>
    <n v="0"/>
    <x v="22"/>
    <x v="0"/>
    <e v="#REF!"/>
    <e v="#REF!"/>
    <e v="#REF!"/>
    <n v="0.23093333333333338"/>
  </r>
  <r>
    <x v="3"/>
    <x v="62"/>
    <x v="0"/>
    <x v="2"/>
    <m/>
    <m/>
    <s v="ELECTRICAL WIRE_STRANDED, POWERFLEX THNN STRANDED   #14, MTR"/>
    <s v="GE-000122"/>
    <n v="16"/>
    <n v="28"/>
    <m/>
    <n v="448"/>
    <x v="0"/>
    <n v="39"/>
    <n v="21"/>
    <n v="336"/>
    <n v="352.8"/>
    <n v="95.199999999999989"/>
    <n v="0"/>
    <x v="2"/>
    <x v="1"/>
    <m/>
    <m/>
    <s v=""/>
    <n v="0.21249999999999997"/>
  </r>
  <r>
    <x v="3"/>
    <x v="65"/>
    <x v="0"/>
    <x v="57"/>
    <m/>
    <m/>
    <s v="RUBBER_INSULATION, M-FLEX 1/2&quot; 1/4"/>
    <s v="IM-000229"/>
    <n v="10"/>
    <n v="45"/>
    <m/>
    <n v="450"/>
    <x v="0"/>
    <n v="47"/>
    <n v="33.6"/>
    <n v="336"/>
    <n v="346.08"/>
    <n v="103.92000000000002"/>
    <n v="0"/>
    <x v="22"/>
    <x v="0"/>
    <m/>
    <m/>
    <s v=""/>
    <n v="0.23093333333333338"/>
  </r>
  <r>
    <x v="4"/>
    <x v="113"/>
    <x v="0"/>
    <x v="57"/>
    <m/>
    <m/>
    <s v="RUBBER_INSULATION, M-FLEX 1/2&quot; 1/4"/>
    <s v="IM-000229"/>
    <n v="10"/>
    <n v="50"/>
    <m/>
    <n v="500"/>
    <x v="0"/>
    <n v="47"/>
    <n v="33.6"/>
    <n v="336"/>
    <n v="346.08"/>
    <n v="153.92000000000002"/>
    <n v="0"/>
    <x v="22"/>
    <x v="0"/>
    <m/>
    <m/>
    <m/>
    <n v="0.30784000000000006"/>
  </r>
  <r>
    <x v="4"/>
    <x v="78"/>
    <x v="0"/>
    <x v="63"/>
    <m/>
    <m/>
    <s v="RUBBER_INSULATION, M-FLEX 1/2&quot; 1/4"/>
    <s v="IM-000229"/>
    <n v="10"/>
    <n v="90"/>
    <m/>
    <n v="900"/>
    <x v="0"/>
    <n v="47"/>
    <n v="33.6"/>
    <n v="336"/>
    <n v="346.08"/>
    <n v="553.92000000000007"/>
    <n v="0"/>
    <x v="22"/>
    <x v="0"/>
    <m/>
    <m/>
    <m/>
    <n v="0.61546666666666672"/>
  </r>
  <r>
    <x v="4"/>
    <x v="75"/>
    <x v="0"/>
    <x v="112"/>
    <m/>
    <m/>
    <s v="RUBBER_INSULATION, M-FLEX 1/2&quot; 1/4"/>
    <s v="IM-000229"/>
    <n v="10"/>
    <n v="50"/>
    <m/>
    <n v="500"/>
    <x v="0"/>
    <n v="47"/>
    <n v="33.6"/>
    <n v="336"/>
    <n v="346.08"/>
    <n v="153.92000000000002"/>
    <n v="0"/>
    <x v="22"/>
    <x v="0"/>
    <e v="#REF!"/>
    <e v="#REF!"/>
    <e v="#REF!"/>
    <n v="0"/>
  </r>
  <r>
    <x v="5"/>
    <x v="83"/>
    <x v="0"/>
    <x v="1"/>
    <m/>
    <m/>
    <s v="BOLT &amp; NUT, GI, SET 5/16"/>
    <s v="IM-000003"/>
    <n v="4"/>
    <n v="12"/>
    <m/>
    <n v="48"/>
    <x v="0"/>
    <n v="10"/>
    <n v="5"/>
    <n v="20"/>
    <n v="20.6"/>
    <n v="27.4"/>
    <n v="0"/>
    <x v="57"/>
    <x v="0"/>
    <e v="#REF!"/>
    <e v="#REF!"/>
    <s v=""/>
    <n v="0.5708333333333333"/>
  </r>
  <r>
    <x v="3"/>
    <x v="64"/>
    <x v="0"/>
    <x v="19"/>
    <m/>
    <m/>
    <s v="ELECTRICAL CIRCUIT_BREAKER, KOTEN 20 AMP, 2P"/>
    <s v="GE-000103"/>
    <n v="1"/>
    <n v="550"/>
    <m/>
    <n v="550"/>
    <x v="0"/>
    <n v="611"/>
    <n v="332.5"/>
    <n v="332.5"/>
    <n v="349.125"/>
    <n v="200.875"/>
    <n v="0"/>
    <x v="59"/>
    <x v="1"/>
    <m/>
    <m/>
    <s v=""/>
    <n v="0.36522727272727273"/>
  </r>
  <r>
    <x v="1"/>
    <x v="33"/>
    <x v="0"/>
    <x v="26"/>
    <m/>
    <m/>
    <s v="RUBBER_INSULATION, M-FLEX 1/2&quot; 5/8"/>
    <s v="IM-000232"/>
    <n v="6"/>
    <n v="75"/>
    <m/>
    <n v="450"/>
    <x v="0"/>
    <n v="77"/>
    <n v="55.2"/>
    <n v="331.20000000000005"/>
    <n v="341.13600000000008"/>
    <n v="108.86399999999992"/>
    <n v="0"/>
    <x v="22"/>
    <x v="0"/>
    <e v="#REF!"/>
    <e v="#REF!"/>
    <e v="#REF!"/>
    <n v="0.24191999999999983"/>
  </r>
  <r>
    <x v="0"/>
    <x v="98"/>
    <x v="0"/>
    <x v="18"/>
    <m/>
    <m/>
    <s v="EXP. VALVE LT, POKKA 9A129B ACCENT"/>
    <s v="CA-000629"/>
    <n v="1"/>
    <n v="600"/>
    <m/>
    <n v="600"/>
    <x v="0"/>
    <n v="625"/>
    <n v="340"/>
    <n v="340"/>
    <n v="357"/>
    <n v="243"/>
    <n v="0"/>
    <x v="23"/>
    <x v="2"/>
    <m/>
    <m/>
    <s v=""/>
    <n v="0.40500000000000003"/>
  </r>
  <r>
    <x v="2"/>
    <x v="38"/>
    <x v="1"/>
    <x v="3"/>
    <m/>
    <n v="350"/>
    <s v="CABIN_FILTER, MITSUBISHI MONTERO OLD"/>
    <s v="CA-001704"/>
    <n v="1"/>
    <n v="315"/>
    <m/>
    <n v="315"/>
    <x v="0"/>
    <n v="567"/>
    <n v="180"/>
    <n v="180"/>
    <n v="189"/>
    <n v="126"/>
    <n v="37.799999999999997"/>
    <x v="12"/>
    <x v="2"/>
    <e v="#REF!"/>
    <e v="#REF!"/>
    <n v="352.8"/>
    <n v="0.4"/>
  </r>
  <r>
    <x v="3"/>
    <x v="59"/>
    <x v="2"/>
    <x v="22"/>
    <m/>
    <n v="1900"/>
    <s v="EVAPORATOR, MITSUBISHI ADVENTURE LAM  (STAL)"/>
    <s v="CA-001719"/>
    <n v="1"/>
    <n v="1700"/>
    <m/>
    <n v="1700"/>
    <x v="0"/>
    <n v="2536"/>
    <n v="1380"/>
    <n v="1380"/>
    <n v="1449"/>
    <n v="251"/>
    <n v="75.3"/>
    <x v="10"/>
    <x v="2"/>
    <e v="#REF!"/>
    <e v="#REF!"/>
    <e v="#REF!"/>
    <n v="0.14764705882352941"/>
  </r>
  <r>
    <x v="3"/>
    <x v="59"/>
    <x v="2"/>
    <x v="22"/>
    <m/>
    <m/>
    <s v="BLOWER_MOTOR, ISUZU D-MAX 2013 / MUX"/>
    <s v="CA-000171"/>
    <n v="1"/>
    <n v="1800"/>
    <m/>
    <n v="1800"/>
    <x v="0"/>
    <n v="2389"/>
    <n v="1300"/>
    <n v="1300"/>
    <n v="1365"/>
    <n v="435"/>
    <n v="130.5"/>
    <x v="15"/>
    <x v="2"/>
    <m/>
    <m/>
    <s v=""/>
    <n v="0.24166666666666667"/>
  </r>
  <r>
    <x v="1"/>
    <x v="17"/>
    <x v="0"/>
    <x v="18"/>
    <m/>
    <m/>
    <s v="EXP. VALVE LT, POKKA 9A129B ACCENT"/>
    <s v="CA-000629"/>
    <n v="1"/>
    <n v="600"/>
    <m/>
    <n v="600"/>
    <x v="0"/>
    <n v="625"/>
    <n v="340"/>
    <n v="340"/>
    <n v="357"/>
    <n v="243"/>
    <n v="0"/>
    <x v="23"/>
    <x v="2"/>
    <e v="#REF!"/>
    <e v="#REF!"/>
    <s v=""/>
    <n v="0.40500000000000003"/>
  </r>
  <r>
    <x v="1"/>
    <x v="19"/>
    <x v="0"/>
    <x v="17"/>
    <m/>
    <m/>
    <s v="EXP. VALVE LT, POKKA 9A129B ACCENT"/>
    <s v="CA-000629"/>
    <n v="1"/>
    <n v="600"/>
    <m/>
    <n v="600"/>
    <x v="0"/>
    <n v="625"/>
    <n v="340"/>
    <n v="340"/>
    <n v="357"/>
    <n v="243"/>
    <n v="0"/>
    <x v="23"/>
    <x v="2"/>
    <e v="#REF!"/>
    <e v="#REF!"/>
    <s v=""/>
    <n v="0.40500000000000003"/>
  </r>
  <r>
    <x v="2"/>
    <x v="39"/>
    <x v="1"/>
    <x v="3"/>
    <m/>
    <m/>
    <s v="EVAPORATOR, HYUNDAI H100 2018"/>
    <s v="CA-000490"/>
    <n v="1"/>
    <n v="2000"/>
    <m/>
    <n v="2000"/>
    <x v="0"/>
    <n v="2665"/>
    <n v="1450"/>
    <n v="1450"/>
    <n v="1522.5"/>
    <n v="477.5"/>
    <n v="143.25"/>
    <x v="10"/>
    <x v="2"/>
    <e v="#REF!"/>
    <e v="#REF!"/>
    <s v=""/>
    <n v="0.23874999999999999"/>
  </r>
  <r>
    <x v="3"/>
    <x v="59"/>
    <x v="2"/>
    <x v="7"/>
    <m/>
    <m/>
    <s v="BLOWER_MOTOR, TOYOTA VIOS BATMAN/ AVANZA"/>
    <s v="CA-000230"/>
    <n v="1"/>
    <n v="1900"/>
    <m/>
    <n v="1900"/>
    <x v="0"/>
    <n v="2389"/>
    <n v="1300"/>
    <n v="1300"/>
    <n v="1365"/>
    <n v="535"/>
    <n v="160.5"/>
    <x v="15"/>
    <x v="2"/>
    <m/>
    <m/>
    <s v=""/>
    <n v="0.28157894736842104"/>
  </r>
  <r>
    <x v="3"/>
    <x v="61"/>
    <x v="2"/>
    <x v="9"/>
    <m/>
    <m/>
    <s v="BLOWER_MOTOR, MITSUBISHI MIRAGE"/>
    <s v="CA-001727"/>
    <n v="1"/>
    <n v="1900"/>
    <m/>
    <n v="1900"/>
    <x v="0"/>
    <n v="2389"/>
    <n v="1300"/>
    <n v="1300"/>
    <n v="1365"/>
    <n v="535"/>
    <n v="160.5"/>
    <x v="15"/>
    <x v="2"/>
    <m/>
    <m/>
    <s v=""/>
    <n v="0.28157894736842104"/>
  </r>
  <r>
    <x v="3"/>
    <x v="62"/>
    <x v="4"/>
    <x v="25"/>
    <m/>
    <n v="1900"/>
    <s v="BLOWER_MOTOR, MITSUBISHI MIRAGE"/>
    <s v="CA-001727"/>
    <n v="1"/>
    <n v="1696"/>
    <m/>
    <n v="1696"/>
    <x v="0"/>
    <n v="2389"/>
    <n v="1300"/>
    <n v="1300"/>
    <n v="1365"/>
    <n v="331"/>
    <n v="99.3"/>
    <x v="15"/>
    <x v="2"/>
    <m/>
    <m/>
    <n v="1899.5200000000002"/>
    <n v="0.19516509433962265"/>
  </r>
  <r>
    <x v="3"/>
    <x v="115"/>
    <x v="2"/>
    <x v="22"/>
    <m/>
    <m/>
    <s v="EVAPORATOR, TOYOTA AVANZA 14 HS-40A523"/>
    <s v="CA-000536"/>
    <n v="1"/>
    <n v="2000"/>
    <m/>
    <n v="2000"/>
    <x v="0"/>
    <n v="2389"/>
    <n v="1300"/>
    <n v="1300"/>
    <n v="1365"/>
    <n v="635"/>
    <n v="190.5"/>
    <x v="10"/>
    <x v="2"/>
    <e v="#REF!"/>
    <e v="#REF!"/>
    <e v="#REF!"/>
    <n v="0.3175"/>
  </r>
  <r>
    <x v="3"/>
    <x v="115"/>
    <x v="4"/>
    <x v="25"/>
    <m/>
    <n v="2000"/>
    <s v="EVAPORATOR, ISUZU TRAVIS /NHR DC 40A492"/>
    <s v="CA-001836"/>
    <n v="1"/>
    <n v="1786"/>
    <m/>
    <n v="1786"/>
    <x v="0"/>
    <n v="2389"/>
    <n v="1300"/>
    <n v="1300"/>
    <n v="1365"/>
    <n v="421"/>
    <n v="126.3"/>
    <x v="10"/>
    <x v="2"/>
    <m/>
    <m/>
    <n v="2000.3200000000002"/>
    <n v="0.23572228443449048"/>
  </r>
  <r>
    <x v="3"/>
    <x v="71"/>
    <x v="2"/>
    <x v="7"/>
    <m/>
    <m/>
    <s v="BLOWER_MOTOR, ISUZU D-MAX 2013 / MUX"/>
    <s v="CA-000171"/>
    <n v="1"/>
    <n v="1900"/>
    <m/>
    <n v="1900"/>
    <x v="0"/>
    <n v="2389"/>
    <n v="1300"/>
    <n v="1300"/>
    <n v="1365"/>
    <n v="535"/>
    <n v="160.5"/>
    <x v="15"/>
    <x v="2"/>
    <m/>
    <m/>
    <s v=""/>
    <n v="0"/>
  </r>
  <r>
    <x v="2"/>
    <x v="40"/>
    <x v="1"/>
    <x v="3"/>
    <m/>
    <m/>
    <s v="EVAPORATOR, MITSUBISHI LANCER 1997 (STAL)"/>
    <s v="CA-001751"/>
    <n v="1"/>
    <n v="2000"/>
    <m/>
    <n v="2000"/>
    <x v="0"/>
    <n v="1930"/>
    <n v="1050"/>
    <n v="1050"/>
    <n v="1102.5"/>
    <n v="897.5"/>
    <n v="269.25"/>
    <x v="10"/>
    <x v="2"/>
    <e v="#REF!"/>
    <e v="#REF!"/>
    <s v=""/>
    <n v="0.44874999999999998"/>
  </r>
  <r>
    <x v="3"/>
    <x v="72"/>
    <x v="2"/>
    <x v="7"/>
    <m/>
    <m/>
    <s v="BLOWER_MOTOR, ISUZU D-MAX 2013 / MUX"/>
    <s v="CA-000171"/>
    <n v="1"/>
    <n v="1900"/>
    <m/>
    <n v="1900"/>
    <x v="0"/>
    <n v="2389"/>
    <n v="1300"/>
    <n v="1300"/>
    <n v="1365"/>
    <n v="535"/>
    <n v="160.5"/>
    <x v="15"/>
    <x v="2"/>
    <m/>
    <m/>
    <s v=""/>
    <n v="0.28157894736842104"/>
  </r>
  <r>
    <x v="3"/>
    <x v="74"/>
    <x v="2"/>
    <x v="22"/>
    <m/>
    <m/>
    <s v="EVAPORATOR, ISUZU TRAVIS /NHR DC 40A492"/>
    <s v="CA-001836"/>
    <n v="1"/>
    <n v="1820"/>
    <m/>
    <n v="1820"/>
    <x v="0"/>
    <n v="2389"/>
    <n v="1300"/>
    <n v="1300"/>
    <n v="1365"/>
    <n v="455"/>
    <n v="136.5"/>
    <x v="10"/>
    <x v="2"/>
    <e v="#REF!"/>
    <e v="#REF!"/>
    <e v="#REF!"/>
    <n v="0.25"/>
  </r>
  <r>
    <x v="4"/>
    <x v="92"/>
    <x v="0"/>
    <x v="79"/>
    <m/>
    <m/>
    <s v="EXP. VALVE LT, POKKA 9A129B ACCENT"/>
    <s v="CA-000629"/>
    <n v="1"/>
    <n v="600"/>
    <m/>
    <n v="600"/>
    <x v="0"/>
    <n v="625"/>
    <n v="340"/>
    <n v="340"/>
    <n v="357"/>
    <n v="243"/>
    <n v="0"/>
    <x v="23"/>
    <x v="2"/>
    <m/>
    <m/>
    <m/>
    <n v="0.40500000000000003"/>
  </r>
  <r>
    <x v="3"/>
    <x v="62"/>
    <x v="2"/>
    <x v="50"/>
    <m/>
    <n v="2200"/>
    <s v="EVAPORATOR, TOYOTA HIACE 08 REAR (STAL)"/>
    <s v="CA-001780"/>
    <n v="1"/>
    <n v="1970"/>
    <m/>
    <n v="1970"/>
    <x v="0"/>
    <n v="2297"/>
    <n v="1250"/>
    <n v="1250"/>
    <n v="1312.5"/>
    <n v="657.5"/>
    <n v="197.25"/>
    <x v="10"/>
    <x v="2"/>
    <m/>
    <m/>
    <n v="2206.4"/>
    <n v="0.33375634517766495"/>
  </r>
  <r>
    <x v="5"/>
    <x v="83"/>
    <x v="0"/>
    <x v="2"/>
    <m/>
    <m/>
    <s v="BOLT &amp; NUT, TOX WITH METAL SCREW #8"/>
    <s v="GE-000404"/>
    <n v="10"/>
    <n v="6"/>
    <m/>
    <n v="60"/>
    <x v="0"/>
    <n v="3"/>
    <n v="1.25"/>
    <n v="12.5"/>
    <n v="13.125"/>
    <n v="46.875"/>
    <n v="0"/>
    <x v="57"/>
    <x v="1"/>
    <e v="#REF!"/>
    <e v="#REF!"/>
    <s v=""/>
    <n v="0.78125"/>
  </r>
  <r>
    <x v="5"/>
    <x v="83"/>
    <x v="0"/>
    <x v="1"/>
    <m/>
    <m/>
    <s v="BOLT &amp; NUT, TOX WITH METAL SCREW #8"/>
    <s v="GE-000404"/>
    <n v="7"/>
    <n v="6"/>
    <m/>
    <n v="42"/>
    <x v="0"/>
    <n v="3"/>
    <n v="1.25"/>
    <n v="8.75"/>
    <n v="9.1875"/>
    <n v="32.8125"/>
    <n v="0"/>
    <x v="57"/>
    <x v="1"/>
    <e v="#REF!"/>
    <e v="#REF!"/>
    <s v=""/>
    <n v="0.78125"/>
  </r>
  <r>
    <x v="3"/>
    <x v="61"/>
    <x v="4"/>
    <x v="25"/>
    <m/>
    <n v="2100"/>
    <s v="EVAPORATOR, HYUNDAI STAREX F RIGHT (STAL)"/>
    <s v="CA-001758"/>
    <n v="1"/>
    <n v="1875"/>
    <m/>
    <n v="1875"/>
    <x v="0"/>
    <n v="2205"/>
    <n v="1200"/>
    <n v="1200"/>
    <n v="1260"/>
    <n v="615"/>
    <n v="184.5"/>
    <x v="10"/>
    <x v="2"/>
    <m/>
    <m/>
    <n v="2100"/>
    <n v="0.32800000000000001"/>
  </r>
  <r>
    <x v="3"/>
    <x v="63"/>
    <x v="2"/>
    <x v="22"/>
    <m/>
    <m/>
    <s v="PULLEY_ASSEMBLY, TOYOTA VIOS 2014  4PK"/>
    <s v="CA-001397"/>
    <n v="1"/>
    <n v="1800"/>
    <m/>
    <n v="1800"/>
    <x v="0"/>
    <n v="2016"/>
    <n v="1200"/>
    <n v="1200"/>
    <n v="1260"/>
    <n v="540"/>
    <n v="162"/>
    <x v="11"/>
    <x v="2"/>
    <m/>
    <m/>
    <s v=""/>
    <n v="0.3"/>
  </r>
  <r>
    <x v="3"/>
    <x v="85"/>
    <x v="3"/>
    <x v="12"/>
    <m/>
    <n v="2000"/>
    <s v="EVAPORATOR, TOYOTA AVANZA 08"/>
    <s v="CA-000537"/>
    <n v="1"/>
    <n v="1786"/>
    <m/>
    <n v="1786"/>
    <x v="0"/>
    <n v="2205"/>
    <n v="1200"/>
    <n v="1200"/>
    <n v="1260"/>
    <n v="526"/>
    <n v="157.79999999999998"/>
    <x v="10"/>
    <x v="2"/>
    <m/>
    <m/>
    <m/>
    <n v="0.29451287793952968"/>
  </r>
  <r>
    <x v="3"/>
    <x v="87"/>
    <x v="4"/>
    <x v="25"/>
    <m/>
    <n v="1900"/>
    <s v="EVAPORATOR, ISUZU CROSSWIND (F)"/>
    <s v="CA-000498"/>
    <n v="1"/>
    <n v="1696"/>
    <m/>
    <n v="1696"/>
    <x v="0"/>
    <n v="2297"/>
    <n v="1250"/>
    <n v="1250"/>
    <n v="1312.5"/>
    <n v="383.5"/>
    <n v="115.05"/>
    <x v="10"/>
    <x v="2"/>
    <m/>
    <m/>
    <m/>
    <n v="0.22612028301886791"/>
  </r>
  <r>
    <x v="3"/>
    <x v="65"/>
    <x v="0"/>
    <x v="36"/>
    <m/>
    <n v="1800"/>
    <s v="AUXFAN_MOTOR, HYUNDAI STAREX"/>
    <s v="CA-000033"/>
    <n v="1"/>
    <n v="1607"/>
    <m/>
    <n v="1607"/>
    <x v="0"/>
    <n v="2114"/>
    <n v="1150"/>
    <n v="1150"/>
    <n v="1207.5"/>
    <n v="399.5"/>
    <n v="0"/>
    <x v="14"/>
    <x v="2"/>
    <m/>
    <m/>
    <n v="1799.8400000000001"/>
    <n v="0.24859987554449284"/>
  </r>
  <r>
    <x v="3"/>
    <x v="122"/>
    <x v="2"/>
    <x v="22"/>
    <m/>
    <m/>
    <s v="AUXFAN_MOTOR, NISSAN NV350"/>
    <s v="CA-000066"/>
    <n v="1"/>
    <n v="1800"/>
    <m/>
    <n v="1800"/>
    <x v="0"/>
    <n v="2114"/>
    <n v="1150"/>
    <n v="1150"/>
    <n v="1207.5"/>
    <n v="592.5"/>
    <n v="177.75"/>
    <x v="14"/>
    <x v="2"/>
    <m/>
    <m/>
    <s v=""/>
    <n v="0.32916666666666666"/>
  </r>
  <r>
    <x v="2"/>
    <x v="42"/>
    <x v="1"/>
    <x v="5"/>
    <m/>
    <m/>
    <s v="SYSTEM_CLEANER, Cleanse GREEN 141B 500 ML"/>
    <s v="GE-000369"/>
    <n v="5"/>
    <n v="120"/>
    <m/>
    <n v="600"/>
    <x v="0"/>
    <n v="113"/>
    <n v="65"/>
    <n v="325"/>
    <n v="341.25"/>
    <n v="258.75"/>
    <n v="77.625"/>
    <x v="28"/>
    <x v="1"/>
    <e v="#REF!"/>
    <e v="#REF!"/>
    <s v=""/>
    <n v="0.43125000000000002"/>
  </r>
  <r>
    <x v="3"/>
    <x v="123"/>
    <x v="0"/>
    <x v="36"/>
    <m/>
    <m/>
    <s v="AUXFAN_MOTOR, MITSUBISHI MIRAGE 4 PIN 7030"/>
    <s v="CA-000054"/>
    <n v="1"/>
    <n v="1800"/>
    <m/>
    <n v="1800"/>
    <x v="0"/>
    <n v="2114"/>
    <n v="1150"/>
    <n v="1150"/>
    <n v="1207.5"/>
    <n v="592.5"/>
    <n v="0"/>
    <x v="14"/>
    <x v="2"/>
    <m/>
    <m/>
    <m/>
    <n v="0.32916666666666666"/>
  </r>
  <r>
    <x v="3"/>
    <x v="60"/>
    <x v="4"/>
    <x v="25"/>
    <m/>
    <n v="1700"/>
    <s v="AUXFAN_MOTOR, TOYOTA VIOS 14 8030"/>
    <s v="CA-000093"/>
    <n v="1"/>
    <n v="1518"/>
    <m/>
    <n v="1518"/>
    <x v="0"/>
    <n v="2022"/>
    <n v="1100"/>
    <n v="1100"/>
    <n v="1155"/>
    <n v="363"/>
    <n v="108.89999999999999"/>
    <x v="14"/>
    <x v="2"/>
    <m/>
    <m/>
    <n v="1700.16"/>
    <n v="0.2391304347826087"/>
  </r>
  <r>
    <x v="3"/>
    <x v="64"/>
    <x v="2"/>
    <x v="7"/>
    <m/>
    <m/>
    <s v="AUXFAN_MOTOR, TOYOTA AVANZA 2410"/>
    <s v="CA-000081"/>
    <n v="1"/>
    <n v="1800"/>
    <m/>
    <n v="1800"/>
    <x v="0"/>
    <n v="2022"/>
    <n v="1100"/>
    <n v="1100"/>
    <n v="1155"/>
    <n v="645"/>
    <n v="193.5"/>
    <x v="14"/>
    <x v="2"/>
    <m/>
    <m/>
    <s v=""/>
    <n v="0.35833333333333334"/>
  </r>
  <r>
    <x v="3"/>
    <x v="67"/>
    <x v="2"/>
    <x v="22"/>
    <m/>
    <m/>
    <s v="CONDENSER, MITSUBISHI L300"/>
    <s v="CA-000406"/>
    <n v="1"/>
    <n v="1700"/>
    <m/>
    <n v="1700"/>
    <x v="0"/>
    <n v="2022"/>
    <n v="1100"/>
    <n v="1100"/>
    <n v="1155"/>
    <n v="545"/>
    <n v="163.5"/>
    <x v="8"/>
    <x v="2"/>
    <m/>
    <m/>
    <s v=""/>
    <n v="0.32058823529411767"/>
  </r>
  <r>
    <x v="3"/>
    <x v="68"/>
    <x v="0"/>
    <x v="36"/>
    <m/>
    <n v="2000"/>
    <s v="EVAPORATOR, MITSUBISHI LANCER 2003 (STAL)"/>
    <s v="CA-001759"/>
    <n v="1"/>
    <n v="2000"/>
    <m/>
    <n v="2000"/>
    <x v="0"/>
    <n v="2022"/>
    <n v="1100"/>
    <n v="1100"/>
    <n v="1155"/>
    <n v="845"/>
    <n v="0"/>
    <x v="10"/>
    <x v="2"/>
    <m/>
    <m/>
    <n v="2240"/>
    <n v="0.42249999999999999"/>
  </r>
  <r>
    <x v="3"/>
    <x v="118"/>
    <x v="3"/>
    <x v="12"/>
    <m/>
    <n v="2100"/>
    <s v="EVAPORATOR, NISSAN NV350 (STAL)"/>
    <s v="CA-001660"/>
    <n v="1"/>
    <n v="1875"/>
    <m/>
    <n v="1875"/>
    <x v="0"/>
    <n v="2022"/>
    <n v="1100"/>
    <n v="1100"/>
    <n v="1155"/>
    <n v="720"/>
    <n v="216"/>
    <x v="10"/>
    <x v="2"/>
    <m/>
    <m/>
    <n v="2100"/>
    <n v="0.38400000000000001"/>
  </r>
  <r>
    <x v="4"/>
    <x v="104"/>
    <x v="1"/>
    <x v="5"/>
    <m/>
    <m/>
    <s v="SYSTEM_CLEANER, Cleanse GREEN 141B 500 ML"/>
    <s v="GE-000369"/>
    <n v="5"/>
    <n v="120"/>
    <m/>
    <n v="600"/>
    <x v="0"/>
    <n v="113"/>
    <n v="65"/>
    <n v="325"/>
    <n v="341.25"/>
    <n v="258.75"/>
    <n v="77.625"/>
    <x v="28"/>
    <x v="1"/>
    <m/>
    <m/>
    <m/>
    <n v="0.43125000000000002"/>
  </r>
  <r>
    <x v="5"/>
    <x v="126"/>
    <x v="0"/>
    <x v="18"/>
    <m/>
    <m/>
    <s v="REFRIGERANT, ENTALPIA EUROPE R134A 13.6   5/19/26 NBO"/>
    <s v=""/>
    <n v="1"/>
    <n v="8700"/>
    <m/>
    <n v="8700"/>
    <x v="0"/>
    <n v="0"/>
    <n v="0"/>
    <n v="0"/>
    <n v="0"/>
    <n v="8700"/>
    <n v="0"/>
    <x v="13"/>
    <x v="3"/>
    <e v="#REF!"/>
    <e v="#REF!"/>
    <s v=""/>
    <n v="1"/>
  </r>
  <r>
    <x v="0"/>
    <x v="12"/>
    <x v="0"/>
    <x v="1"/>
    <m/>
    <m/>
    <s v="REFRIGERANT, POKKA R134A, 300GRMS"/>
    <s v="GE-000152"/>
    <n v="1"/>
    <n v="430"/>
    <m/>
    <n v="430"/>
    <x v="0"/>
    <n v="809"/>
    <n v="350"/>
    <n v="350"/>
    <n v="367.5"/>
    <n v="62.5"/>
    <n v="0"/>
    <x v="5"/>
    <x v="1"/>
    <e v="#REF!"/>
    <e v="#REF!"/>
    <s v=""/>
    <n v="0.14534883720930233"/>
  </r>
  <r>
    <x v="2"/>
    <x v="40"/>
    <x v="1"/>
    <x v="3"/>
    <m/>
    <m/>
    <s v="EXP. VALVE DC, MITSUBISHI ORING TYPE 1/2 (ADVENTURE)"/>
    <s v="CA-000561"/>
    <n v="1"/>
    <n v="700"/>
    <m/>
    <n v="700"/>
    <x v="0"/>
    <n v="588"/>
    <n v="320"/>
    <n v="320"/>
    <n v="336"/>
    <n v="364"/>
    <n v="109.2"/>
    <x v="46"/>
    <x v="2"/>
    <e v="#REF!"/>
    <e v="#REF!"/>
    <s v=""/>
    <n v="0.52"/>
  </r>
  <r>
    <x v="2"/>
    <x v="125"/>
    <x v="0"/>
    <x v="32"/>
    <m/>
    <m/>
    <s v="ROYAL CORD, BOSTON 4-CORE, #14 1.25 MM, PER METER"/>
    <s v="GE-000463"/>
    <n v="4"/>
    <n v="160"/>
    <m/>
    <n v="640"/>
    <x v="0"/>
    <n v="160"/>
    <n v="80"/>
    <n v="320"/>
    <n v="336"/>
    <n v="304"/>
    <n v="0"/>
    <x v="48"/>
    <x v="1"/>
    <e v="#REF!"/>
    <e v="#REF!"/>
    <s v=""/>
    <n v="0.47499999999999998"/>
  </r>
  <r>
    <x v="2"/>
    <x v="125"/>
    <x v="0"/>
    <x v="1"/>
    <m/>
    <m/>
    <s v="REFRIGERANT, POKKA R134A, 300GRMS"/>
    <s v="GE-000152"/>
    <n v="1"/>
    <n v="430"/>
    <m/>
    <n v="430"/>
    <x v="0"/>
    <n v="809"/>
    <n v="350"/>
    <n v="350"/>
    <n v="367.5"/>
    <n v="62.5"/>
    <n v="0"/>
    <x v="5"/>
    <x v="1"/>
    <e v="#REF!"/>
    <e v="#REF!"/>
    <s v=""/>
    <n v="0.14534883720930233"/>
  </r>
  <r>
    <x v="2"/>
    <x v="112"/>
    <x v="0"/>
    <x v="1"/>
    <m/>
    <m/>
    <s v="REFRIGERANT, POKKA R134A, 300GRMS"/>
    <s v="GE-000152"/>
    <n v="1"/>
    <n v="430"/>
    <m/>
    <n v="430"/>
    <x v="0"/>
    <n v="809"/>
    <n v="350"/>
    <n v="350"/>
    <n v="367.5"/>
    <n v="62.5"/>
    <n v="0"/>
    <x v="5"/>
    <x v="1"/>
    <e v="#REF!"/>
    <e v="#REF!"/>
    <s v=""/>
    <n v="0.14534883720930233"/>
  </r>
  <r>
    <x v="2"/>
    <x v="125"/>
    <x v="1"/>
    <x v="3"/>
    <m/>
    <m/>
    <s v="EXP. VALVE LT, POKKA 9A214 MAZDA 3"/>
    <s v="CA-000633"/>
    <n v="1"/>
    <n v="550"/>
    <m/>
    <n v="550"/>
    <x v="0"/>
    <n v="460"/>
    <n v="250"/>
    <n v="250"/>
    <n v="262.5"/>
    <n v="287.5"/>
    <n v="86.25"/>
    <x v="23"/>
    <x v="2"/>
    <e v="#REF!"/>
    <e v="#REF!"/>
    <s v=""/>
    <n v="0.52272727272727271"/>
  </r>
  <r>
    <x v="2"/>
    <x v="111"/>
    <x v="0"/>
    <x v="1"/>
    <m/>
    <m/>
    <s v="REFRIGERANT, POKKA R134A, 300GRMS"/>
    <s v="GE-000152"/>
    <n v="1"/>
    <n v="430"/>
    <m/>
    <n v="430"/>
    <x v="0"/>
    <n v="809"/>
    <n v="350"/>
    <n v="350"/>
    <n v="367.5"/>
    <n v="62.5"/>
    <n v="0"/>
    <x v="5"/>
    <x v="1"/>
    <e v="#REF!"/>
    <e v="#REF!"/>
    <s v=""/>
    <n v="0.14534883720930233"/>
  </r>
  <r>
    <x v="2"/>
    <x v="46"/>
    <x v="1"/>
    <x v="3"/>
    <m/>
    <m/>
    <s v="REFRIGERANT, ENTALPIA EUROPE R134A 13.6   2/7/26"/>
    <s v="GE-000517"/>
    <n v="1"/>
    <n v="8000"/>
    <m/>
    <n v="8000"/>
    <x v="0"/>
    <n v="10489"/>
    <n v="7684"/>
    <n v="7684"/>
    <n v="8068.2000000000007"/>
    <n v="-68.200000000000728"/>
    <n v="-20.460000000000218"/>
    <x v="5"/>
    <x v="1"/>
    <e v="#REF!"/>
    <e v="#REF!"/>
    <s v=""/>
    <n v="-8.5250000000000915E-3"/>
  </r>
  <r>
    <x v="3"/>
    <x v="60"/>
    <x v="0"/>
    <x v="1"/>
    <m/>
    <m/>
    <s v="REFRIGERANT, POKKA R134A, 300GRMS"/>
    <s v="GE-000152"/>
    <n v="1"/>
    <n v="430"/>
    <m/>
    <n v="430"/>
    <x v="0"/>
    <n v="809"/>
    <n v="350"/>
    <n v="350"/>
    <n v="367.5"/>
    <n v="62.5"/>
    <n v="0"/>
    <x v="5"/>
    <x v="1"/>
    <m/>
    <m/>
    <s v=""/>
    <n v="0.14534883720930233"/>
  </r>
  <r>
    <x v="2"/>
    <x v="46"/>
    <x v="1"/>
    <x v="3"/>
    <m/>
    <m/>
    <s v="EXP. VALVE LT, POKKA 9A55 HONDA NEW"/>
    <s v="CA-000636"/>
    <n v="1"/>
    <n v="550"/>
    <m/>
    <n v="550"/>
    <x v="0"/>
    <n v="497"/>
    <n v="270"/>
    <n v="270"/>
    <n v="283.5"/>
    <n v="266.5"/>
    <n v="79.95"/>
    <x v="23"/>
    <x v="2"/>
    <e v="#REF!"/>
    <e v="#REF!"/>
    <s v=""/>
    <n v="0.48454545454545456"/>
  </r>
  <r>
    <x v="3"/>
    <x v="69"/>
    <x v="0"/>
    <x v="19"/>
    <m/>
    <n v="160"/>
    <s v="ROYAL CORD, BOSTON 4-CORE, #14 1.25 MM, PER METER"/>
    <s v="GE-000463"/>
    <n v="4"/>
    <n v="143"/>
    <m/>
    <n v="572"/>
    <x v="0"/>
    <n v="160"/>
    <n v="80"/>
    <n v="320"/>
    <n v="336"/>
    <n v="236"/>
    <n v="0"/>
    <x v="48"/>
    <x v="1"/>
    <m/>
    <m/>
    <n v="160.16000000000003"/>
    <n v="0.41258741258741261"/>
  </r>
  <r>
    <x v="4"/>
    <x v="110"/>
    <x v="0"/>
    <x v="1"/>
    <m/>
    <m/>
    <s v="REFRIGERANT, POKKA R134A, 300GRMS"/>
    <s v="GE-000152"/>
    <n v="1"/>
    <n v="450"/>
    <m/>
    <n v="450"/>
    <x v="0"/>
    <n v="809"/>
    <n v="350"/>
    <n v="350"/>
    <n v="367.5"/>
    <n v="82.5"/>
    <n v="0"/>
    <x v="5"/>
    <x v="1"/>
    <m/>
    <m/>
    <m/>
    <n v="0.18333333333333332"/>
  </r>
  <r>
    <x v="3"/>
    <x v="85"/>
    <x v="2"/>
    <x v="7"/>
    <m/>
    <m/>
    <s v="AUXFAN_MOTOR, TOYOTA VIOS 14 8030"/>
    <s v="CA-000093"/>
    <n v="1"/>
    <n v="1900"/>
    <m/>
    <n v="1900"/>
    <x v="0"/>
    <n v="2022"/>
    <n v="1100"/>
    <n v="1100"/>
    <n v="1155"/>
    <n v="745"/>
    <n v="223.5"/>
    <x v="14"/>
    <x v="2"/>
    <m/>
    <m/>
    <m/>
    <n v="0.39210526315789473"/>
  </r>
  <r>
    <x v="4"/>
    <x v="94"/>
    <x v="0"/>
    <x v="1"/>
    <m/>
    <m/>
    <s v="REFRIGERANT, POKKA R134A, 300GRMS"/>
    <s v="GE-000152"/>
    <n v="1"/>
    <n v="450"/>
    <m/>
    <n v="450"/>
    <x v="0"/>
    <n v="809"/>
    <n v="350"/>
    <n v="350"/>
    <n v="367.5"/>
    <n v="82.5"/>
    <n v="0"/>
    <x v="5"/>
    <x v="1"/>
    <m/>
    <m/>
    <m/>
    <n v="0.18333333333333332"/>
  </r>
  <r>
    <x v="2"/>
    <x v="50"/>
    <x v="1"/>
    <x v="3"/>
    <m/>
    <m/>
    <s v="CABIN_FILTER, CHEVROLET SPARK"/>
    <s v="CA-001629"/>
    <n v="1"/>
    <n v="350"/>
    <m/>
    <n v="350"/>
    <x v="0"/>
    <n v="276"/>
    <n v="150"/>
    <n v="150"/>
    <n v="157.5"/>
    <n v="192.5"/>
    <n v="57.75"/>
    <x v="12"/>
    <x v="2"/>
    <e v="#REF!"/>
    <e v="#REF!"/>
    <s v=""/>
    <n v="0.55000000000000004"/>
  </r>
  <r>
    <x v="3"/>
    <x v="86"/>
    <x v="2"/>
    <x v="7"/>
    <m/>
    <m/>
    <s v="AUXFAN_MOTOR, TOYOTA AVANZA 2410"/>
    <s v="CA-000081"/>
    <n v="1"/>
    <n v="1800"/>
    <m/>
    <n v="1800"/>
    <x v="0"/>
    <n v="2022"/>
    <n v="1100"/>
    <n v="1100"/>
    <n v="1155"/>
    <n v="645"/>
    <n v="193.5"/>
    <x v="14"/>
    <x v="2"/>
    <m/>
    <m/>
    <m/>
    <n v="0.35833333333333334"/>
  </r>
  <r>
    <x v="4"/>
    <x v="75"/>
    <x v="0"/>
    <x v="1"/>
    <m/>
    <m/>
    <s v="REFRIGERANT, POKKA R134A, 300GRMS"/>
    <s v="GE-000152"/>
    <n v="1"/>
    <n v="450"/>
    <m/>
    <n v="450"/>
    <x v="0"/>
    <n v="809"/>
    <n v="350"/>
    <n v="350"/>
    <n v="367.5"/>
    <n v="82.5"/>
    <n v="0"/>
    <x v="5"/>
    <x v="1"/>
    <e v="#REF!"/>
    <e v="#REF!"/>
    <e v="#REF!"/>
    <n v="0"/>
  </r>
  <r>
    <x v="4"/>
    <x v="82"/>
    <x v="0"/>
    <x v="23"/>
    <m/>
    <m/>
    <s v="MAGNETIC_CLUTCH, TOYOTA VIOS SUPERMAN"/>
    <s v="CA-000834"/>
    <n v="1"/>
    <n v="800"/>
    <m/>
    <n v="800"/>
    <x v="0"/>
    <n v="588"/>
    <n v="320"/>
    <n v="320"/>
    <n v="336"/>
    <n v="464"/>
    <n v="0"/>
    <x v="4"/>
    <x v="2"/>
    <e v="#REF!"/>
    <e v="#REF!"/>
    <e v="#REF!"/>
    <n v="0"/>
  </r>
  <r>
    <x v="4"/>
    <x v="82"/>
    <x v="0"/>
    <x v="1"/>
    <m/>
    <m/>
    <s v="REFRIGERANT, POKKA R134A, 300GRMS"/>
    <s v="GE-000152"/>
    <n v="1"/>
    <n v="450"/>
    <m/>
    <n v="450"/>
    <x v="0"/>
    <n v="809"/>
    <n v="350"/>
    <n v="350"/>
    <n v="367.5"/>
    <n v="82.5"/>
    <n v="0"/>
    <x v="5"/>
    <x v="1"/>
    <e v="#REF!"/>
    <e v="#REF!"/>
    <e v="#REF!"/>
    <n v="0"/>
  </r>
  <r>
    <x v="5"/>
    <x v="126"/>
    <x v="0"/>
    <x v="8"/>
    <m/>
    <m/>
    <s v="REFRIGERANT, ENTALPIA EUROPE R134A 13.6   5/19/26 NBO"/>
    <s v=""/>
    <n v="1"/>
    <n v="8700"/>
    <m/>
    <n v="8700"/>
    <x v="0"/>
    <n v="0"/>
    <n v="0"/>
    <n v="0"/>
    <n v="0"/>
    <n v="8700"/>
    <n v="0"/>
    <x v="13"/>
    <x v="3"/>
    <e v="#REF!"/>
    <e v="#REF!"/>
    <s v=""/>
    <n v="1"/>
  </r>
  <r>
    <x v="2"/>
    <x v="52"/>
    <x v="1"/>
    <x v="3"/>
    <m/>
    <m/>
    <s v="EVAPORATOR, MITSUBISHI MIRAGE (STAL)"/>
    <s v="CA-000142"/>
    <n v="1"/>
    <n v="2100"/>
    <m/>
    <n v="2100"/>
    <x v="0"/>
    <n v="1976"/>
    <n v="1075"/>
    <n v="1075"/>
    <n v="1128.75"/>
    <n v="971.25"/>
    <n v="291.375"/>
    <x v="10"/>
    <x v="2"/>
    <e v="#REF!"/>
    <e v="#REF!"/>
    <s v=""/>
    <n v="0.46250000000000002"/>
  </r>
  <r>
    <x v="3"/>
    <x v="66"/>
    <x v="0"/>
    <x v="41"/>
    <m/>
    <m/>
    <s v="COPPER_TUBE_SOFTDRAWN, EVERSTRONG 0.028 X 1/4 x 15 mtr 03/24/26"/>
    <s v="IM-000318"/>
    <n v="0.2"/>
    <n v="2500"/>
    <m/>
    <n v="500"/>
    <x v="0"/>
    <n v="2866"/>
    <n v="1590"/>
    <n v="318"/>
    <n v="327.54000000000002"/>
    <n v="172.45999999999998"/>
    <n v="0"/>
    <x v="0"/>
    <x v="0"/>
    <m/>
    <m/>
    <s v=""/>
    <n v="0.34491999999999995"/>
  </r>
  <r>
    <x v="3"/>
    <x v="66"/>
    <x v="0"/>
    <x v="19"/>
    <m/>
    <m/>
    <s v="COPPER_TUBE_SOFTDRAWN, EVERSTRONG 0.028 X 1/4 x 15 mtr 03/24/26"/>
    <s v="IM-000318"/>
    <n v="0.2"/>
    <n v="2500"/>
    <m/>
    <n v="500"/>
    <x v="0"/>
    <n v="2866"/>
    <n v="1590"/>
    <n v="318"/>
    <n v="327.54000000000002"/>
    <n v="172.45999999999998"/>
    <n v="0"/>
    <x v="0"/>
    <x v="0"/>
    <m/>
    <m/>
    <s v=""/>
    <n v="0.34491999999999995"/>
  </r>
  <r>
    <x v="3"/>
    <x v="115"/>
    <x v="0"/>
    <x v="1"/>
    <m/>
    <m/>
    <s v="COPPER_TUBE_SOFTDRAWN, EVERSTRONG 0.028 X 1/4 x 15 mtr 03/24/26"/>
    <s v="IM-000318"/>
    <n v="0.2"/>
    <n v="2500"/>
    <m/>
    <n v="500"/>
    <x v="0"/>
    <n v="2866"/>
    <n v="1590"/>
    <n v="318"/>
    <n v="327.54000000000002"/>
    <n v="172.45999999999998"/>
    <n v="0"/>
    <x v="0"/>
    <x v="0"/>
    <m/>
    <m/>
    <s v=""/>
    <n v="0.34491999999999995"/>
  </r>
  <r>
    <x v="3"/>
    <x v="118"/>
    <x v="6"/>
    <x v="54"/>
    <m/>
    <m/>
    <s v="COPPER_TUBE_SOFTDRAWN, EVERSTRONG 0.028 X 1/4 x 15 mtr 03/24/26"/>
    <s v="IM-000318"/>
    <n v="0.2"/>
    <n v="2500"/>
    <m/>
    <n v="500"/>
    <x v="0"/>
    <n v="2866"/>
    <n v="1590"/>
    <n v="318"/>
    <n v="327.54000000000002"/>
    <n v="172.45999999999998"/>
    <n v="51.737999999999992"/>
    <x v="0"/>
    <x v="0"/>
    <m/>
    <m/>
    <s v=""/>
    <n v="0.34491999999999995"/>
  </r>
  <r>
    <x v="3"/>
    <x v="119"/>
    <x v="0"/>
    <x v="41"/>
    <m/>
    <m/>
    <s v="COPPER_TUBE_SOFTDRAWN, EVERSTRONG 0.028 X 1/4 x 15 mtr 03/24/26"/>
    <s v="IM-000318"/>
    <n v="0.2"/>
    <n v="2500"/>
    <m/>
    <n v="500"/>
    <x v="0"/>
    <n v="2866"/>
    <n v="1590"/>
    <n v="318"/>
    <n v="327.54000000000002"/>
    <n v="172.45999999999998"/>
    <n v="0"/>
    <x v="0"/>
    <x v="0"/>
    <m/>
    <m/>
    <s v=""/>
    <n v="0.34491999999999995"/>
  </r>
  <r>
    <x v="3"/>
    <x v="71"/>
    <x v="0"/>
    <x v="44"/>
    <m/>
    <m/>
    <s v="COPPER_TUBE_SOFTDRAWN, EVERSTRONG 0.028 X 1/4 x 15 mtr 03/24/26"/>
    <s v="IM-000318"/>
    <n v="0.2"/>
    <n v="2500"/>
    <m/>
    <n v="500"/>
    <x v="0"/>
    <n v="2866"/>
    <n v="1590"/>
    <n v="318"/>
    <n v="327.54000000000002"/>
    <n v="172.45999999999998"/>
    <n v="0"/>
    <x v="0"/>
    <x v="0"/>
    <m/>
    <m/>
    <s v=""/>
    <n v="0.34491999999999995"/>
  </r>
  <r>
    <x v="3"/>
    <x v="101"/>
    <x v="0"/>
    <x v="27"/>
    <m/>
    <m/>
    <s v="COPPER_TUBE_SOFTDRAWN, EVERSTRONG 0.028 X 1/4 x 15 mtr 03/24/26"/>
    <s v="IM-000318"/>
    <n v="0.2"/>
    <n v="2500"/>
    <m/>
    <n v="500"/>
    <x v="0"/>
    <n v="2866"/>
    <n v="1590"/>
    <n v="318"/>
    <n v="327.54000000000002"/>
    <n v="172.45999999999998"/>
    <n v="0"/>
    <x v="0"/>
    <x v="0"/>
    <m/>
    <m/>
    <s v=""/>
    <n v="0.34491999999999995"/>
  </r>
  <r>
    <x v="3"/>
    <x v="123"/>
    <x v="0"/>
    <x v="102"/>
    <m/>
    <m/>
    <s v="COPPER_TUBE_SOFTDRAWN, EVERSTRONG 0.028 X 1/4 x 15 mtr 03/24/26"/>
    <s v="IM-000318"/>
    <n v="0.2"/>
    <n v="2500"/>
    <m/>
    <n v="500"/>
    <x v="0"/>
    <n v="2866"/>
    <n v="1590"/>
    <n v="318"/>
    <n v="327.54000000000002"/>
    <n v="172.45999999999998"/>
    <n v="0"/>
    <x v="0"/>
    <x v="0"/>
    <m/>
    <m/>
    <m/>
    <n v="0.34491999999999995"/>
  </r>
  <r>
    <x v="3"/>
    <x v="86"/>
    <x v="0"/>
    <x v="41"/>
    <m/>
    <m/>
    <s v="COPPER_TUBE_SOFTDRAWN, EVERSTRONG 0.028 X 1/4 x 15 mtr 03/24/26"/>
    <s v="IM-000318"/>
    <n v="0.2"/>
    <n v="2500"/>
    <m/>
    <n v="500"/>
    <x v="0"/>
    <n v="2866"/>
    <n v="1590"/>
    <n v="318"/>
    <n v="327.54000000000002"/>
    <n v="172.45999999999998"/>
    <n v="0"/>
    <x v="0"/>
    <x v="0"/>
    <m/>
    <m/>
    <m/>
    <n v="0.34491999999999995"/>
  </r>
  <r>
    <x v="4"/>
    <x v="102"/>
    <x v="0"/>
    <x v="1"/>
    <m/>
    <m/>
    <s v="COPPER_TUBE_SOFTDRAWN, EVERSTRONG 0.028 X 1/4 x 15 mtr 03/24/26"/>
    <s v="IM-000318"/>
    <n v="0.2"/>
    <n v="2500"/>
    <m/>
    <n v="500"/>
    <x v="0"/>
    <n v="2866"/>
    <n v="1590"/>
    <n v="318"/>
    <n v="327.54000000000002"/>
    <n v="172.45999999999998"/>
    <n v="0"/>
    <x v="0"/>
    <x v="0"/>
    <m/>
    <m/>
    <m/>
    <n v="0.34491999999999995"/>
  </r>
  <r>
    <x v="4"/>
    <x v="105"/>
    <x v="0"/>
    <x v="1"/>
    <m/>
    <m/>
    <s v="COPPER_TUBE_SOFTDRAWN, EVERSTRONG 0.028 X 1/4 x 15 mtr 03/24/26"/>
    <s v="IM-000318"/>
    <n v="0.2"/>
    <n v="2500"/>
    <m/>
    <n v="500"/>
    <x v="0"/>
    <n v="2866"/>
    <n v="1590"/>
    <n v="318"/>
    <n v="327.54000000000002"/>
    <n v="172.45999999999998"/>
    <n v="0"/>
    <x v="0"/>
    <x v="0"/>
    <m/>
    <m/>
    <m/>
    <n v="0.34491999999999995"/>
  </r>
  <r>
    <x v="4"/>
    <x v="88"/>
    <x v="0"/>
    <x v="102"/>
    <m/>
    <m/>
    <s v="COPPER_TUBE_SOFTDRAWN, EVERSTRONG 0.028 X 1/4 x 15 mtr 03/24/26"/>
    <s v="IM-000318"/>
    <n v="0.2"/>
    <n v="2500"/>
    <m/>
    <n v="500"/>
    <x v="0"/>
    <n v="2866"/>
    <n v="1590"/>
    <n v="318"/>
    <n v="327.54000000000002"/>
    <n v="172.45999999999998"/>
    <n v="0"/>
    <x v="0"/>
    <x v="0"/>
    <m/>
    <m/>
    <m/>
    <n v="0.34491999999999995"/>
  </r>
  <r>
    <x v="4"/>
    <x v="113"/>
    <x v="0"/>
    <x v="99"/>
    <m/>
    <m/>
    <s v="COPPER_TUBE_SOFTDRAWN, EVERSTRONG 0.028 X 1/4 x 15 mtr 03/24/26"/>
    <s v="IM-000318"/>
    <n v="0.2"/>
    <n v="2500"/>
    <m/>
    <n v="500"/>
    <x v="0"/>
    <n v="2866"/>
    <n v="1590"/>
    <n v="318"/>
    <n v="327.54000000000002"/>
    <n v="172.45999999999998"/>
    <n v="0"/>
    <x v="0"/>
    <x v="0"/>
    <m/>
    <m/>
    <m/>
    <n v="0.34491999999999995"/>
  </r>
  <r>
    <x v="4"/>
    <x v="90"/>
    <x v="0"/>
    <x v="41"/>
    <m/>
    <m/>
    <s v="COPPER_TUBE_SOFTDRAWN, EVERSTRONG 0.028 X 1/4 x 15 mtr 03/24/26"/>
    <s v="IM-000318"/>
    <n v="0.2"/>
    <n v="2500"/>
    <m/>
    <n v="500"/>
    <x v="0"/>
    <n v="2866"/>
    <n v="1590"/>
    <n v="318"/>
    <n v="327.54000000000002"/>
    <n v="172.45999999999998"/>
    <n v="0"/>
    <x v="0"/>
    <x v="0"/>
    <m/>
    <m/>
    <m/>
    <n v="0.34491999999999995"/>
  </r>
  <r>
    <x v="3"/>
    <x v="86"/>
    <x v="2"/>
    <x v="22"/>
    <m/>
    <m/>
    <s v="ECV, HYUNDAI ACCENT, 8-22A"/>
    <s v="CA-000454"/>
    <n v="1"/>
    <n v="1700"/>
    <m/>
    <n v="1700"/>
    <x v="0"/>
    <n v="1838"/>
    <n v="1000"/>
    <n v="1000"/>
    <n v="1050"/>
    <n v="650"/>
    <n v="195"/>
    <x v="26"/>
    <x v="2"/>
    <m/>
    <m/>
    <m/>
    <n v="0.38235294117647056"/>
  </r>
  <r>
    <x v="3"/>
    <x v="61"/>
    <x v="0"/>
    <x v="40"/>
    <m/>
    <m/>
    <s v="HOSE, DRAIN PUMP PER MTR  TRANSPARENT 6MM"/>
    <s v="GE-000444"/>
    <n v="21"/>
    <n v="35"/>
    <m/>
    <n v="735"/>
    <x v="0"/>
    <n v="34"/>
    <n v="15"/>
    <n v="315"/>
    <n v="330.75"/>
    <n v="404.25"/>
    <n v="0"/>
    <x v="19"/>
    <x v="1"/>
    <m/>
    <m/>
    <s v=""/>
    <n v="0.55000000000000004"/>
  </r>
  <r>
    <x v="3"/>
    <x v="66"/>
    <x v="0"/>
    <x v="41"/>
    <m/>
    <m/>
    <s v="ELECTRICAL WIRE_STRANDED, POWERFLEX THNN STRANDED   #14, MTR"/>
    <s v="GE-000122"/>
    <n v="15"/>
    <n v="35"/>
    <m/>
    <n v="525"/>
    <x v="0"/>
    <n v="39"/>
    <n v="21"/>
    <n v="315"/>
    <n v="330.75"/>
    <n v="194.25"/>
    <n v="0"/>
    <x v="2"/>
    <x v="1"/>
    <m/>
    <m/>
    <s v=""/>
    <n v="0.37"/>
  </r>
  <r>
    <x v="3"/>
    <x v="68"/>
    <x v="1"/>
    <x v="42"/>
    <m/>
    <m/>
    <s v="CABIN_FILTER, TOYOTA HI-ACE"/>
    <s v="CA-001292"/>
    <n v="3"/>
    <n v="150"/>
    <m/>
    <n v="450"/>
    <x v="0"/>
    <n v="331"/>
    <n v="105"/>
    <n v="315"/>
    <n v="330.75"/>
    <n v="119.25"/>
    <n v="35.774999999999999"/>
    <x v="12"/>
    <x v="2"/>
    <m/>
    <m/>
    <s v=""/>
    <n v="0.26500000000000001"/>
  </r>
  <r>
    <x v="3"/>
    <x v="119"/>
    <x v="0"/>
    <x v="41"/>
    <m/>
    <m/>
    <s v="ELECTRICAL WIRE_STRANDED, POWERFLEX THNN STRANDED   #14, MTR"/>
    <s v="GE-000122"/>
    <n v="15"/>
    <n v="35"/>
    <m/>
    <n v="525"/>
    <x v="0"/>
    <n v="39"/>
    <n v="21"/>
    <n v="315"/>
    <n v="330.75"/>
    <n v="194.25"/>
    <n v="0"/>
    <x v="2"/>
    <x v="1"/>
    <m/>
    <m/>
    <s v=""/>
    <n v="0.37"/>
  </r>
  <r>
    <x v="3"/>
    <x v="86"/>
    <x v="0"/>
    <x v="41"/>
    <m/>
    <m/>
    <s v="ELECTRICAL WIRE_STRANDED, POWERFLEX THNN STRANDED   #14, MTR"/>
    <s v="GE-000122"/>
    <n v="15"/>
    <n v="35"/>
    <m/>
    <n v="525"/>
    <x v="0"/>
    <n v="39"/>
    <n v="21"/>
    <n v="315"/>
    <n v="330.75"/>
    <n v="194.25"/>
    <n v="0"/>
    <x v="2"/>
    <x v="1"/>
    <m/>
    <m/>
    <m/>
    <n v="0.37"/>
  </r>
  <r>
    <x v="4"/>
    <x v="110"/>
    <x v="0"/>
    <x v="41"/>
    <m/>
    <m/>
    <s v="ELECTRICAL WIRE_STRANDED, POWERFLEX THNN STRANDED   #14, MTR"/>
    <s v="GE-000122"/>
    <n v="15"/>
    <n v="35"/>
    <m/>
    <n v="525"/>
    <x v="0"/>
    <n v="39"/>
    <n v="21"/>
    <n v="315"/>
    <n v="330.75"/>
    <n v="194.25"/>
    <n v="0"/>
    <x v="2"/>
    <x v="1"/>
    <m/>
    <m/>
    <m/>
    <n v="0.37"/>
  </r>
  <r>
    <x v="4"/>
    <x v="95"/>
    <x v="0"/>
    <x v="41"/>
    <m/>
    <m/>
    <s v="ELECTRICAL WIRE_STRANDED, POWERFLEX THNN STRANDED   #14, MTR"/>
    <s v="GE-000122"/>
    <n v="15"/>
    <n v="35"/>
    <m/>
    <n v="525"/>
    <x v="0"/>
    <n v="39"/>
    <n v="21"/>
    <n v="315"/>
    <n v="330.75"/>
    <n v="194.25"/>
    <n v="0"/>
    <x v="2"/>
    <x v="1"/>
    <m/>
    <m/>
    <m/>
    <n v="0.37"/>
  </r>
  <r>
    <x v="4"/>
    <x v="113"/>
    <x v="0"/>
    <x v="99"/>
    <m/>
    <m/>
    <s v="COPPER_TUBE_SOFTDRAWN, HAILIANG 0.028 X 1/4 x 15 mtr 04/25/26"/>
    <s v=""/>
    <n v="0.2"/>
    <n v="3250"/>
    <m/>
    <n v="650"/>
    <x v="0"/>
    <n v="0"/>
    <n v="0"/>
    <n v="0"/>
    <n v="0"/>
    <n v="650"/>
    <n v="0"/>
    <x v="13"/>
    <x v="3"/>
    <m/>
    <m/>
    <m/>
    <n v="1"/>
  </r>
  <r>
    <x v="4"/>
    <x v="110"/>
    <x v="0"/>
    <x v="41"/>
    <m/>
    <m/>
    <s v="COPPER_TUBE_SOFTDRAWN, HAILIANG 0.028 X 1/4 x 15 mtr 04/25/26"/>
    <s v=""/>
    <n v="0.2"/>
    <n v="2500"/>
    <m/>
    <n v="500"/>
    <x v="0"/>
    <n v="0"/>
    <n v="0"/>
    <n v="0"/>
    <n v="0"/>
    <n v="500"/>
    <n v="0"/>
    <x v="13"/>
    <x v="3"/>
    <m/>
    <m/>
    <m/>
    <n v="1"/>
  </r>
  <r>
    <x v="4"/>
    <x v="110"/>
    <x v="0"/>
    <x v="103"/>
    <m/>
    <m/>
    <s v="COPPER_TUBE_SOFTDRAWN, HAILIANG 0.028 X 1/4 x 15 mtr 04/25/26"/>
    <s v=""/>
    <n v="0.2"/>
    <n v="2500"/>
    <m/>
    <n v="500"/>
    <x v="0"/>
    <n v="0"/>
    <n v="0"/>
    <n v="0"/>
    <n v="0"/>
    <n v="500"/>
    <n v="0"/>
    <x v="13"/>
    <x v="3"/>
    <m/>
    <m/>
    <m/>
    <n v="1"/>
  </r>
  <r>
    <x v="4"/>
    <x v="95"/>
    <x v="0"/>
    <x v="41"/>
    <m/>
    <m/>
    <s v="COPPER_TUBE_SOFTDRAWN, HAILIANG 0.028 X 1/4 x 15 mtr 04/25/26"/>
    <s v=""/>
    <n v="0.2"/>
    <n v="2500"/>
    <m/>
    <n v="500"/>
    <x v="0"/>
    <n v="0"/>
    <n v="0"/>
    <n v="0"/>
    <n v="0"/>
    <n v="500"/>
    <n v="0"/>
    <x v="13"/>
    <x v="3"/>
    <m/>
    <m/>
    <m/>
    <n v="1"/>
  </r>
  <r>
    <x v="4"/>
    <x v="103"/>
    <x v="0"/>
    <x v="30"/>
    <m/>
    <m/>
    <s v="COPPER_TUBE_SOFTDRAWN, HAILIANG 0.028 X 1/4 x 15 mtr 04/25/26"/>
    <s v=""/>
    <n v="0.2"/>
    <n v="2500"/>
    <m/>
    <n v="500"/>
    <x v="0"/>
    <n v="0"/>
    <n v="0"/>
    <n v="0"/>
    <n v="0"/>
    <n v="500"/>
    <n v="0"/>
    <x v="13"/>
    <x v="3"/>
    <m/>
    <m/>
    <m/>
    <n v="1"/>
  </r>
  <r>
    <x v="4"/>
    <x v="75"/>
    <x v="0"/>
    <x v="98"/>
    <m/>
    <m/>
    <s v="COPPER_TUBE_SOFTDRAWN, HAILIANG 0.028 X 1/4 x 15 mtr 04/25/26"/>
    <s v=""/>
    <n v="0.2"/>
    <n v="2500"/>
    <m/>
    <n v="500"/>
    <x v="0"/>
    <n v="0"/>
    <n v="0"/>
    <n v="0"/>
    <n v="0"/>
    <n v="500"/>
    <n v="0"/>
    <x v="13"/>
    <x v="3"/>
    <e v="#REF!"/>
    <e v="#REF!"/>
    <e v="#REF!"/>
    <n v="0"/>
  </r>
  <r>
    <x v="3"/>
    <x v="60"/>
    <x v="0"/>
    <x v="1"/>
    <m/>
    <n v="80"/>
    <s v="HOSE,  DRAIN 3/4 PER METER"/>
    <s v="GE-000001"/>
    <n v="9"/>
    <n v="71"/>
    <m/>
    <n v="639"/>
    <x v="0"/>
    <n v="63"/>
    <n v="34"/>
    <n v="306"/>
    <n v="321.3"/>
    <n v="317.7"/>
    <n v="0"/>
    <x v="19"/>
    <x v="1"/>
    <m/>
    <m/>
    <n v="79.52000000000001"/>
    <n v="0.4971830985915493"/>
  </r>
  <r>
    <x v="0"/>
    <x v="31"/>
    <x v="0"/>
    <x v="62"/>
    <m/>
    <m/>
    <s v="REFRIGERANT, NO BRAND ORANGE 410A,  650 GRAMS"/>
    <s v="GE-000149"/>
    <n v="1"/>
    <n v="650"/>
    <m/>
    <n v="650"/>
    <x v="0"/>
    <n v="756"/>
    <n v="300"/>
    <n v="300"/>
    <n v="315"/>
    <n v="335"/>
    <n v="0"/>
    <x v="5"/>
    <x v="1"/>
    <m/>
    <m/>
    <s v=""/>
    <n v="0.51538461538461533"/>
  </r>
  <r>
    <x v="3"/>
    <x v="87"/>
    <x v="2"/>
    <x v="9"/>
    <m/>
    <m/>
    <s v="CONDENSER, UNIVERSAL 12 x 23 x 20 5/16"/>
    <s v="CA-000445"/>
    <n v="1"/>
    <n v="1800"/>
    <m/>
    <n v="1800"/>
    <x v="0"/>
    <n v="2022"/>
    <n v="1100"/>
    <n v="1100"/>
    <n v="1155"/>
    <n v="645"/>
    <n v="193.5"/>
    <x v="8"/>
    <x v="2"/>
    <m/>
    <m/>
    <m/>
    <n v="0.35833333333333334"/>
  </r>
  <r>
    <x v="0"/>
    <x v="43"/>
    <x v="0"/>
    <x v="17"/>
    <m/>
    <m/>
    <s v="EXP. VALVE LT, POKKA 9A172 FORD RANGER 12"/>
    <s v="CA-001385"/>
    <n v="1"/>
    <n v="600"/>
    <m/>
    <n v="600"/>
    <x v="0"/>
    <n v="588"/>
    <n v="320"/>
    <n v="320"/>
    <n v="336"/>
    <n v="264"/>
    <n v="0"/>
    <x v="23"/>
    <x v="2"/>
    <e v="#REF!"/>
    <e v="#REF!"/>
    <s v=""/>
    <n v="0.44"/>
  </r>
  <r>
    <x v="0"/>
    <x v="13"/>
    <x v="0"/>
    <x v="1"/>
    <m/>
    <m/>
    <s v="ELECTRICAL SOCKET_BREAKER, AMERICA 30  AMP, 2P NO SOCKET"/>
    <s v="GE-000451"/>
    <n v="1"/>
    <n v="750"/>
    <m/>
    <n v="750"/>
    <x v="0"/>
    <n v="968"/>
    <n v="300"/>
    <n v="300"/>
    <n v="315"/>
    <n v="435"/>
    <n v="0"/>
    <x v="58"/>
    <x v="1"/>
    <e v="#REF!"/>
    <e v="#REF!"/>
    <s v=""/>
    <n v="0.57999999999999996"/>
  </r>
  <r>
    <x v="0"/>
    <x v="13"/>
    <x v="1"/>
    <x v="5"/>
    <m/>
    <m/>
    <s v="REFRIGERANT, NO BRAND ORANGE 410A,  650 GRAMS"/>
    <s v="GE-000149"/>
    <n v="1"/>
    <n v="650"/>
    <m/>
    <n v="650"/>
    <x v="0"/>
    <n v="756"/>
    <n v="300"/>
    <n v="300"/>
    <n v="315"/>
    <n v="335"/>
    <n v="100.5"/>
    <x v="5"/>
    <x v="1"/>
    <e v="#REF!"/>
    <e v="#REF!"/>
    <s v=""/>
    <n v="0.51538461538461533"/>
  </r>
  <r>
    <x v="2"/>
    <x v="52"/>
    <x v="1"/>
    <x v="3"/>
    <m/>
    <m/>
    <s v="EXP. VALVE LT, POKKA 9A55 HONDA NEW"/>
    <s v="CA-000636"/>
    <n v="1"/>
    <n v="550"/>
    <m/>
    <n v="550"/>
    <x v="0"/>
    <n v="497"/>
    <n v="270"/>
    <n v="270"/>
    <n v="283.5"/>
    <n v="266.5"/>
    <n v="79.95"/>
    <x v="23"/>
    <x v="2"/>
    <e v="#REF!"/>
    <e v="#REF!"/>
    <s v=""/>
    <n v="0.48454545454545456"/>
  </r>
  <r>
    <x v="1"/>
    <x v="20"/>
    <x v="0"/>
    <x v="1"/>
    <m/>
    <m/>
    <s v="REFRIGERANT, NO BRAND ORANGE 410A,  650 GRAMS"/>
    <s v="GE-000149"/>
    <n v="1"/>
    <n v="650"/>
    <m/>
    <n v="650"/>
    <x v="0"/>
    <n v="756"/>
    <n v="300"/>
    <n v="300"/>
    <n v="315"/>
    <n v="335"/>
    <n v="0"/>
    <x v="5"/>
    <x v="1"/>
    <e v="#REF!"/>
    <e v="#REF!"/>
    <s v=""/>
    <n v="0.51538461538461533"/>
  </r>
  <r>
    <x v="1"/>
    <x v="21"/>
    <x v="0"/>
    <x v="1"/>
    <m/>
    <m/>
    <s v="REFRIGERANT, NO BRAND ORANGE 410A,  650 GRAMS"/>
    <s v="GE-000149"/>
    <n v="1"/>
    <n v="650"/>
    <m/>
    <n v="650"/>
    <x v="0"/>
    <n v="756"/>
    <n v="300"/>
    <n v="300"/>
    <n v="315"/>
    <n v="335"/>
    <n v="0"/>
    <x v="5"/>
    <x v="1"/>
    <e v="#REF!"/>
    <e v="#REF!"/>
    <e v="#REF!"/>
    <n v="0.51538461538461533"/>
  </r>
  <r>
    <x v="3"/>
    <x v="69"/>
    <x v="0"/>
    <x v="36"/>
    <m/>
    <n v="2100"/>
    <s v="EVAPORATOR, MITSUBISHI LANCER 1997 (STAL)"/>
    <s v="CA-001751"/>
    <n v="1"/>
    <n v="1875"/>
    <m/>
    <n v="1875"/>
    <x v="0"/>
    <n v="1930"/>
    <n v="1050"/>
    <n v="1050"/>
    <n v="1102.5"/>
    <n v="772.5"/>
    <n v="0"/>
    <x v="10"/>
    <x v="2"/>
    <m/>
    <m/>
    <n v="2100"/>
    <n v="0.41199999999999998"/>
  </r>
  <r>
    <x v="3"/>
    <x v="118"/>
    <x v="2"/>
    <x v="7"/>
    <m/>
    <n v="2000"/>
    <s v="EVAPORATOR, MITSUBISHI MONTERO 2008 (F) (STAL)"/>
    <s v="CA-001744"/>
    <n v="1"/>
    <n v="1786"/>
    <m/>
    <n v="1786"/>
    <x v="0"/>
    <n v="1930"/>
    <n v="1050"/>
    <n v="1050"/>
    <n v="1102.5"/>
    <n v="683.5"/>
    <n v="205.04999999999998"/>
    <x v="10"/>
    <x v="2"/>
    <m/>
    <m/>
    <n v="2000.3200000000002"/>
    <n v="0.38269876819708848"/>
  </r>
  <r>
    <x v="1"/>
    <x v="109"/>
    <x v="0"/>
    <x v="1"/>
    <m/>
    <m/>
    <s v="EXP. VALVE LT, BOER 38359 CHEVY TRAILBLAZER REAR"/>
    <s v="CA-001500"/>
    <n v="1"/>
    <n v="600"/>
    <m/>
    <n v="600"/>
    <x v="0"/>
    <n v="552"/>
    <n v="300"/>
    <n v="300"/>
    <n v="315"/>
    <n v="285"/>
    <n v="0"/>
    <x v="23"/>
    <x v="2"/>
    <e v="#REF!"/>
    <e v="#REF!"/>
    <e v="#REF!"/>
    <n v="0.47499999999999998"/>
  </r>
  <r>
    <x v="3"/>
    <x v="62"/>
    <x v="2"/>
    <x v="9"/>
    <m/>
    <m/>
    <s v="HOSE, COOLMATE 1/2 DISCHARGE PER FT"/>
    <s v="GE-000179"/>
    <n v="25"/>
    <n v="90"/>
    <m/>
    <n v="2250"/>
    <x v="0"/>
    <n v="80"/>
    <n v="43"/>
    <n v="1075"/>
    <n v="1128.75"/>
    <n v="1121.25"/>
    <n v="336.375"/>
    <x v="19"/>
    <x v="1"/>
    <m/>
    <m/>
    <s v=""/>
    <n v="0.49833333333333335"/>
  </r>
  <r>
    <x v="3"/>
    <x v="119"/>
    <x v="2"/>
    <x v="22"/>
    <m/>
    <m/>
    <s v="AUXFAN_MOTOR, MITSUBISHI MONTERO (ORIG) SILVER"/>
    <s v="CA-000055"/>
    <n v="1"/>
    <n v="1400"/>
    <m/>
    <n v="1400"/>
    <x v="0"/>
    <n v="1838"/>
    <n v="1000"/>
    <n v="1000"/>
    <n v="1050"/>
    <n v="350"/>
    <n v="105"/>
    <x v="14"/>
    <x v="2"/>
    <m/>
    <m/>
    <s v=""/>
    <n v="0.25"/>
  </r>
  <r>
    <x v="3"/>
    <x v="61"/>
    <x v="2"/>
    <x v="9"/>
    <m/>
    <m/>
    <s v="AUXIALLIARY_FAN, POKKA 10 BLADES X 12VOLTS"/>
    <s v="CA-000106"/>
    <n v="2"/>
    <n v="600"/>
    <m/>
    <n v="1200"/>
    <x v="0"/>
    <n v="772"/>
    <n v="420"/>
    <n v="840"/>
    <n v="882"/>
    <n v="318"/>
    <n v="95.399999999999991"/>
    <x v="16"/>
    <x v="2"/>
    <m/>
    <m/>
    <s v=""/>
    <n v="0.26500000000000001"/>
  </r>
  <r>
    <x v="3"/>
    <x v="87"/>
    <x v="2"/>
    <x v="9"/>
    <m/>
    <m/>
    <s v="AUXIALLIARY_FAN, POKKA 10 BLADES X 12VOLTS"/>
    <s v="CA-000106"/>
    <n v="2"/>
    <n v="600"/>
    <m/>
    <n v="1200"/>
    <x v="0"/>
    <n v="772"/>
    <n v="420"/>
    <n v="840"/>
    <n v="882"/>
    <n v="318"/>
    <n v="95.399999999999991"/>
    <x v="16"/>
    <x v="2"/>
    <m/>
    <m/>
    <m/>
    <n v="0.26500000000000001"/>
  </r>
  <r>
    <x v="2"/>
    <x v="54"/>
    <x v="0"/>
    <x v="8"/>
    <m/>
    <m/>
    <s v="EXP. VALVE LT, BOER 38359 CHEVY TRAILBLAZER REAR"/>
    <s v="CA-001500"/>
    <n v="1"/>
    <n v="600"/>
    <m/>
    <n v="600"/>
    <x v="0"/>
    <n v="552"/>
    <n v="300"/>
    <n v="300"/>
    <n v="315"/>
    <n v="285"/>
    <n v="0"/>
    <x v="23"/>
    <x v="2"/>
    <e v="#REF!"/>
    <e v="#REF!"/>
    <s v=""/>
    <n v="0.47499999999999998"/>
  </r>
  <r>
    <x v="2"/>
    <x v="58"/>
    <x v="0"/>
    <x v="1"/>
    <m/>
    <m/>
    <s v="HOSE, KOREA GAUGE 1.5M PIECE 134A"/>
    <s v="TL-000082"/>
    <n v="1"/>
    <n v="400"/>
    <m/>
    <n v="400"/>
    <x v="0"/>
    <n v="552"/>
    <n v="300"/>
    <n v="300"/>
    <n v="315"/>
    <n v="85"/>
    <n v="0"/>
    <x v="19"/>
    <x v="4"/>
    <e v="#REF!"/>
    <e v="#REF!"/>
    <s v=""/>
    <n v="0.21249999999999999"/>
  </r>
  <r>
    <x v="3"/>
    <x v="61"/>
    <x v="3"/>
    <x v="12"/>
    <m/>
    <n v="2000"/>
    <s v="EVAPORATOR, TOYOTA INNOVA OLD (F) JBE-0103ZX (STAL)"/>
    <s v="CA-001633"/>
    <n v="1"/>
    <n v="1786"/>
    <m/>
    <n v="1786"/>
    <x v="0"/>
    <n v="1654"/>
    <n v="900"/>
    <n v="900"/>
    <n v="945"/>
    <n v="841"/>
    <n v="252.29999999999998"/>
    <x v="10"/>
    <x v="2"/>
    <m/>
    <m/>
    <n v="2000.3200000000002"/>
    <n v="0.47088465845464728"/>
  </r>
  <r>
    <x v="3"/>
    <x v="61"/>
    <x v="2"/>
    <x v="96"/>
    <m/>
    <n v="2000"/>
    <s v="EVAPORATOR, TOYOTA INNOVA OLD (F) JBE-0103ZX (STAL)"/>
    <s v="CA-001633"/>
    <n v="1"/>
    <n v="1786"/>
    <m/>
    <n v="1786"/>
    <x v="0"/>
    <n v="1654"/>
    <n v="900"/>
    <n v="900"/>
    <n v="945"/>
    <n v="841"/>
    <n v="252.29999999999998"/>
    <x v="10"/>
    <x v="2"/>
    <m/>
    <m/>
    <n v="2000.3200000000002"/>
    <n v="0.47088465845464728"/>
  </r>
  <r>
    <x v="3"/>
    <x v="65"/>
    <x v="2"/>
    <x v="9"/>
    <m/>
    <n v="2000"/>
    <s v="EVAPORATOR, TOYOTA INNOVA OLD (F) JBE-0103ZX (STAL)"/>
    <s v="CA-001633"/>
    <n v="1"/>
    <n v="1790"/>
    <m/>
    <n v="1790"/>
    <x v="0"/>
    <n v="1654"/>
    <n v="900"/>
    <n v="900"/>
    <n v="945"/>
    <n v="845"/>
    <n v="253.5"/>
    <x v="10"/>
    <x v="2"/>
    <m/>
    <m/>
    <n v="2004.8000000000002"/>
    <n v="0.47206703910614523"/>
  </r>
  <r>
    <x v="4"/>
    <x v="102"/>
    <x v="0"/>
    <x v="62"/>
    <m/>
    <n v="650"/>
    <s v="REFRIGERANT, NO BRAND ORANGE 410A,  650 GRAMS"/>
    <s v="GE-000149"/>
    <n v="1"/>
    <n v="580"/>
    <m/>
    <n v="580"/>
    <x v="0"/>
    <n v="756"/>
    <n v="300"/>
    <n v="300"/>
    <n v="315"/>
    <n v="265"/>
    <n v="0"/>
    <x v="5"/>
    <x v="1"/>
    <m/>
    <m/>
    <m/>
    <n v="0.45689655172413796"/>
  </r>
  <r>
    <x v="3"/>
    <x v="66"/>
    <x v="2"/>
    <x v="22"/>
    <m/>
    <n v="1820"/>
    <s v="EVAPORATOR, TOYOTA INNOVA OLD (F) JBE-0103ZX (STAL)"/>
    <s v="CA-001633"/>
    <n v="1"/>
    <n v="1625"/>
    <m/>
    <n v="1625"/>
    <x v="0"/>
    <n v="1654"/>
    <n v="900"/>
    <n v="900"/>
    <n v="945"/>
    <n v="680"/>
    <n v="204"/>
    <x v="10"/>
    <x v="2"/>
    <e v="#REF!"/>
    <e v="#REF!"/>
    <e v="#REF!"/>
    <n v="0.41846153846153844"/>
  </r>
  <r>
    <x v="3"/>
    <x v="101"/>
    <x v="3"/>
    <x v="12"/>
    <m/>
    <n v="2000"/>
    <s v="EVAPORATOR, TOYOTA INNOVA OLD (F) JBE-0103ZX (STAL)"/>
    <s v="CA-001633"/>
    <n v="1"/>
    <n v="1786"/>
    <m/>
    <n v="1786"/>
    <x v="0"/>
    <n v="1654"/>
    <n v="900"/>
    <n v="900"/>
    <n v="945"/>
    <n v="841"/>
    <n v="252.29999999999998"/>
    <x v="10"/>
    <x v="2"/>
    <m/>
    <m/>
    <n v="2000.3200000000002"/>
    <n v="0.47088465845464728"/>
  </r>
  <r>
    <x v="4"/>
    <x v="92"/>
    <x v="0"/>
    <x v="1"/>
    <m/>
    <m/>
    <s v="CABIN_FILTER, MITSUBISHI MIRAGE"/>
    <s v="CA-001702"/>
    <n v="2"/>
    <n v="450"/>
    <m/>
    <n v="900"/>
    <x v="0"/>
    <n v="473"/>
    <n v="150"/>
    <n v="300"/>
    <n v="315"/>
    <n v="585"/>
    <n v="0"/>
    <x v="12"/>
    <x v="2"/>
    <m/>
    <m/>
    <m/>
    <n v="0.65"/>
  </r>
  <r>
    <x v="4"/>
    <x v="93"/>
    <x v="0"/>
    <x v="32"/>
    <m/>
    <m/>
    <s v="ELECTRICAL SOCKET_BREAKER, AMERICA 30  AMP, 2P NO SOCKET"/>
    <s v="GE-000451"/>
    <n v="1"/>
    <n v="650"/>
    <m/>
    <n v="650"/>
    <x v="0"/>
    <n v="968"/>
    <n v="300"/>
    <n v="300"/>
    <n v="315"/>
    <n v="335"/>
    <n v="0"/>
    <x v="58"/>
    <x v="1"/>
    <m/>
    <m/>
    <m/>
    <n v="0.51538461538461533"/>
  </r>
  <r>
    <x v="4"/>
    <x v="116"/>
    <x v="0"/>
    <x v="17"/>
    <m/>
    <m/>
    <s v="EXP. VALVE LT, BOER 38682 CHEV SPIN, CRUIZE, ECOSPORT"/>
    <s v="CA-000597"/>
    <n v="1"/>
    <n v="600"/>
    <m/>
    <n v="600"/>
    <x v="0"/>
    <n v="552"/>
    <n v="300"/>
    <n v="300"/>
    <n v="315"/>
    <n v="285"/>
    <n v="0"/>
    <x v="23"/>
    <x v="2"/>
    <m/>
    <m/>
    <m/>
    <n v="0.47499999999999998"/>
  </r>
  <r>
    <x v="4"/>
    <x v="79"/>
    <x v="0"/>
    <x v="32"/>
    <m/>
    <m/>
    <s v="REFRIGERANT, NO BRAND ORANGE 410A,  650 GRAMS"/>
    <s v="GE-000149"/>
    <n v="1"/>
    <n v="680"/>
    <m/>
    <n v="680"/>
    <x v="0"/>
    <n v="756"/>
    <n v="300"/>
    <n v="300"/>
    <n v="315"/>
    <n v="365"/>
    <n v="0"/>
    <x v="5"/>
    <x v="1"/>
    <m/>
    <m/>
    <m/>
    <n v="0.53676470588235292"/>
  </r>
  <r>
    <x v="3"/>
    <x v="74"/>
    <x v="2"/>
    <x v="22"/>
    <m/>
    <n v="1820"/>
    <s v="EVAPORATOR, TOYOTA INNOVA OLD (F) JBE-0103ZX (STAL)"/>
    <s v="CA-001633"/>
    <n v="1"/>
    <n v="1625"/>
    <m/>
    <n v="1625"/>
    <x v="0"/>
    <n v="1654"/>
    <n v="900"/>
    <n v="900"/>
    <n v="945"/>
    <n v="680"/>
    <n v="204"/>
    <x v="10"/>
    <x v="2"/>
    <e v="#REF!"/>
    <e v="#REF!"/>
    <e v="#REF!"/>
    <n v="0.41846153846153844"/>
  </r>
  <r>
    <x v="2"/>
    <x v="52"/>
    <x v="0"/>
    <x v="35"/>
    <m/>
    <m/>
    <s v="BRACKET , GB 2HP, COATED"/>
    <s v="IM-000011"/>
    <n v="1"/>
    <n v="450"/>
    <m/>
    <n v="450"/>
    <x v="0"/>
    <n v="532"/>
    <n v="295"/>
    <n v="295"/>
    <n v="303.85000000000002"/>
    <n v="146.14999999999998"/>
    <n v="0"/>
    <x v="1"/>
    <x v="0"/>
    <e v="#REF!"/>
    <e v="#REF!"/>
    <s v=""/>
    <n v="0.32477777777777772"/>
  </r>
  <r>
    <x v="3"/>
    <x v="61"/>
    <x v="6"/>
    <x v="39"/>
    <m/>
    <m/>
    <s v="BRACKET , GB 2HP, COATED"/>
    <s v="IM-000011"/>
    <n v="1"/>
    <n v="450"/>
    <m/>
    <n v="450"/>
    <x v="0"/>
    <n v="532"/>
    <n v="295"/>
    <n v="295"/>
    <n v="303.85000000000002"/>
    <n v="146.14999999999998"/>
    <n v="43.844999999999992"/>
    <x v="1"/>
    <x v="0"/>
    <m/>
    <m/>
    <s v=""/>
    <n v="0.32477777777777772"/>
  </r>
  <r>
    <x v="4"/>
    <x v="102"/>
    <x v="0"/>
    <x v="27"/>
    <m/>
    <m/>
    <s v="BRACKET , GB 2HP, COATED"/>
    <s v="IM-000011"/>
    <n v="1"/>
    <n v="460"/>
    <m/>
    <n v="460"/>
    <x v="0"/>
    <n v="532"/>
    <n v="295"/>
    <n v="295"/>
    <n v="303.85000000000002"/>
    <n v="156.14999999999998"/>
    <n v="0"/>
    <x v="1"/>
    <x v="0"/>
    <m/>
    <m/>
    <m/>
    <n v="0.33945652173913038"/>
  </r>
  <r>
    <x v="4"/>
    <x v="102"/>
    <x v="0"/>
    <x v="19"/>
    <m/>
    <m/>
    <s v="BRACKET , GB 2HP, COATED"/>
    <s v="IM-000011"/>
    <n v="1"/>
    <n v="460"/>
    <m/>
    <n v="460"/>
    <x v="0"/>
    <n v="532"/>
    <n v="295"/>
    <n v="295"/>
    <n v="303.85000000000002"/>
    <n v="156.14999999999998"/>
    <n v="0"/>
    <x v="1"/>
    <x v="0"/>
    <m/>
    <m/>
    <m/>
    <n v="0.33945652173913038"/>
  </r>
  <r>
    <x v="4"/>
    <x v="104"/>
    <x v="0"/>
    <x v="27"/>
    <m/>
    <m/>
    <s v="BRACKET , GB 2HP, COATED"/>
    <s v="IM-000011"/>
    <n v="1"/>
    <n v="460"/>
    <m/>
    <n v="460"/>
    <x v="0"/>
    <n v="532"/>
    <n v="295"/>
    <n v="295"/>
    <n v="303.85000000000002"/>
    <n v="156.14999999999998"/>
    <n v="0"/>
    <x v="1"/>
    <x v="0"/>
    <m/>
    <m/>
    <m/>
    <n v="0.33945652173913038"/>
  </r>
  <r>
    <x v="4"/>
    <x v="77"/>
    <x v="0"/>
    <x v="27"/>
    <m/>
    <m/>
    <s v="BRACKET , GB 2HP, COATED"/>
    <s v="IM-000011"/>
    <n v="1"/>
    <n v="460"/>
    <m/>
    <n v="460"/>
    <x v="0"/>
    <n v="532"/>
    <n v="295"/>
    <n v="295"/>
    <n v="303.85000000000002"/>
    <n v="156.14999999999998"/>
    <n v="0"/>
    <x v="1"/>
    <x v="0"/>
    <e v="#REF!"/>
    <e v="#REF!"/>
    <e v="#REF!"/>
    <n v="0"/>
  </r>
  <r>
    <x v="3"/>
    <x v="86"/>
    <x v="2"/>
    <x v="7"/>
    <m/>
    <n v="2000"/>
    <s v="EVAPORATOR, TOYOTA INNOVA OLD (F) JBE-0103ZX (STAL)"/>
    <s v="CA-001633"/>
    <n v="1"/>
    <n v="2000"/>
    <m/>
    <n v="2000"/>
    <x v="0"/>
    <n v="1654"/>
    <n v="900"/>
    <n v="900"/>
    <n v="945"/>
    <n v="1055"/>
    <n v="316.5"/>
    <x v="10"/>
    <x v="2"/>
    <m/>
    <m/>
    <m/>
    <n v="0.52749999999999997"/>
  </r>
  <r>
    <x v="3"/>
    <x v="59"/>
    <x v="3"/>
    <x v="12"/>
    <m/>
    <n v="2000"/>
    <s v="EVAPORATOR, TOYOTA VIOS 2014 (SUPERMAN)_STAL"/>
    <s v="CA-000146"/>
    <n v="1"/>
    <n v="1786"/>
    <m/>
    <n v="1786"/>
    <x v="0"/>
    <n v="1434"/>
    <n v="780"/>
    <n v="780"/>
    <n v="819"/>
    <n v="967"/>
    <n v="290.09999999999997"/>
    <x v="10"/>
    <x v="2"/>
    <m/>
    <m/>
    <n v="2000.3200000000002"/>
    <n v="0.5414333706606943"/>
  </r>
  <r>
    <x v="0"/>
    <x v="7"/>
    <x v="0"/>
    <x v="11"/>
    <m/>
    <m/>
    <s v="RECEIVER_DRIER_ALUMINUM, YK 2020-2 (ERTIGA)"/>
    <s v="CA-001081"/>
    <n v="1"/>
    <n v="550"/>
    <m/>
    <n v="550"/>
    <x v="0"/>
    <n v="662"/>
    <n v="280"/>
    <n v="280"/>
    <n v="294"/>
    <n v="256"/>
    <n v="0"/>
    <x v="27"/>
    <x v="2"/>
    <m/>
    <m/>
    <s v=""/>
    <n v="0.46545454545454545"/>
  </r>
  <r>
    <x v="0"/>
    <x v="9"/>
    <x v="0"/>
    <x v="17"/>
    <m/>
    <m/>
    <s v="RECEIVER_DRIER_ALUMINUM, YK 2020-2 (ERTIGA)"/>
    <s v="CA-001081"/>
    <n v="1"/>
    <n v="550"/>
    <m/>
    <n v="550"/>
    <x v="0"/>
    <n v="662"/>
    <n v="280"/>
    <n v="280"/>
    <n v="294"/>
    <n v="256"/>
    <n v="0"/>
    <x v="27"/>
    <x v="2"/>
    <m/>
    <m/>
    <s v=""/>
    <n v="0.46545454545454545"/>
  </r>
  <r>
    <x v="0"/>
    <x v="98"/>
    <x v="0"/>
    <x v="72"/>
    <m/>
    <m/>
    <s v="EXP. VALVE LT, POKKA 9A244 NISSAN NV350"/>
    <s v="CA-001471"/>
    <n v="1"/>
    <n v="550"/>
    <m/>
    <n v="550"/>
    <x v="0"/>
    <n v="515"/>
    <n v="280"/>
    <n v="280"/>
    <n v="294"/>
    <n v="256"/>
    <n v="0"/>
    <x v="23"/>
    <x v="2"/>
    <m/>
    <m/>
    <s v=""/>
    <n v="0.46545454545454545"/>
  </r>
  <r>
    <x v="0"/>
    <x v="99"/>
    <x v="0"/>
    <x v="19"/>
    <m/>
    <m/>
    <s v="TAPE_FOAM, AEROTAPE 3MM X 50 MM X 9.1 MTR  04/02/25"/>
    <s v="IM-000332"/>
    <n v="1"/>
    <n v="370"/>
    <m/>
    <n v="370"/>
    <x v="0"/>
    <n v="510"/>
    <n v="330"/>
    <n v="330"/>
    <n v="339.90000000000003"/>
    <n v="30.099999999999966"/>
    <n v="0"/>
    <x v="25"/>
    <x v="0"/>
    <m/>
    <m/>
    <s v=""/>
    <n v="8.1351351351351256E-2"/>
  </r>
  <r>
    <x v="0"/>
    <x v="99"/>
    <x v="0"/>
    <x v="59"/>
    <m/>
    <m/>
    <s v="TAPE_FOAM, AEROTAPE 3MM X 50 MM X 9.1 MTR  04/02/25"/>
    <s v="IM-000332"/>
    <n v="1"/>
    <n v="370"/>
    <m/>
    <n v="370"/>
    <x v="0"/>
    <n v="510"/>
    <n v="330"/>
    <n v="330"/>
    <n v="339.90000000000003"/>
    <n v="30.099999999999966"/>
    <n v="0"/>
    <x v="25"/>
    <x v="0"/>
    <m/>
    <m/>
    <s v=""/>
    <n v="8.1351351351351256E-2"/>
  </r>
  <r>
    <x v="0"/>
    <x v="9"/>
    <x v="0"/>
    <x v="116"/>
    <m/>
    <m/>
    <s v="TAPE_FOAM, AEROTAPE 3MM X 50 MM X 9.1 MTR  04/02/25"/>
    <s v="IM-000332"/>
    <n v="1"/>
    <n v="370"/>
    <m/>
    <n v="370"/>
    <x v="0"/>
    <n v="510"/>
    <n v="330"/>
    <n v="330"/>
    <n v="339.90000000000003"/>
    <n v="30.099999999999966"/>
    <n v="0"/>
    <x v="25"/>
    <x v="0"/>
    <e v="#REF!"/>
    <e v="#REF!"/>
    <s v=""/>
    <n v="8.1351351351351256E-2"/>
  </r>
  <r>
    <x v="0"/>
    <x v="10"/>
    <x v="0"/>
    <x v="1"/>
    <m/>
    <m/>
    <s v="TAPE_FOAM, AEROTAPE 3MM X 50 MM X 9.1 MTR  04/02/25"/>
    <s v="IM-000332"/>
    <n v="1"/>
    <n v="370"/>
    <m/>
    <n v="370"/>
    <x v="0"/>
    <n v="510"/>
    <n v="330"/>
    <n v="330"/>
    <n v="339.90000000000003"/>
    <n v="30.099999999999966"/>
    <n v="0"/>
    <x v="25"/>
    <x v="0"/>
    <e v="#REF!"/>
    <e v="#REF!"/>
    <s v=""/>
    <n v="8.1351351351351256E-2"/>
  </r>
  <r>
    <x v="0"/>
    <x v="10"/>
    <x v="0"/>
    <x v="114"/>
    <m/>
    <m/>
    <s v="TAPE_FOAM, AEROTAPE 3MM X 50 MM X 9.1 MTR  04/02/25"/>
    <s v="IM-000332"/>
    <n v="1"/>
    <n v="370"/>
    <m/>
    <n v="370"/>
    <x v="0"/>
    <n v="510"/>
    <n v="330"/>
    <n v="330"/>
    <n v="339.90000000000003"/>
    <n v="30.099999999999966"/>
    <n v="0"/>
    <x v="25"/>
    <x v="0"/>
    <e v="#REF!"/>
    <e v="#REF!"/>
    <s v=""/>
    <n v="8.1351351351351256E-2"/>
  </r>
  <r>
    <x v="0"/>
    <x v="12"/>
    <x v="0"/>
    <x v="11"/>
    <m/>
    <m/>
    <s v="TAPE_FOAM, AEROTAPE 3MM X 50 MM X 9.1 MTR  04/02/25"/>
    <s v="IM-000332"/>
    <n v="1"/>
    <n v="370"/>
    <m/>
    <n v="370"/>
    <x v="0"/>
    <n v="510"/>
    <n v="330"/>
    <n v="330"/>
    <n v="339.90000000000003"/>
    <n v="30.099999999999966"/>
    <n v="0"/>
    <x v="25"/>
    <x v="0"/>
    <e v="#REF!"/>
    <e v="#REF!"/>
    <s v=""/>
    <n v="8.1351351351351256E-2"/>
  </r>
  <r>
    <x v="0"/>
    <x v="73"/>
    <x v="0"/>
    <x v="18"/>
    <m/>
    <m/>
    <s v="TAPE_FOAM, AEROTAPE 3MM X 50 MM X 9.1 MTR  04/02/25"/>
    <s v="IM-000332"/>
    <n v="1"/>
    <n v="370"/>
    <m/>
    <n v="370"/>
    <x v="0"/>
    <n v="510"/>
    <n v="330"/>
    <n v="330"/>
    <n v="339.90000000000003"/>
    <n v="30.099999999999966"/>
    <n v="0"/>
    <x v="25"/>
    <x v="0"/>
    <e v="#REF!"/>
    <e v="#REF!"/>
    <s v=""/>
    <n v="8.1351351351351256E-2"/>
  </r>
  <r>
    <x v="1"/>
    <x v="17"/>
    <x v="0"/>
    <x v="1"/>
    <m/>
    <m/>
    <s v="TAPE_FOAM, AEROTAPE 3MM X 50 MM X 9.1 MTR  04/02/25"/>
    <s v="IM-000332"/>
    <n v="1"/>
    <n v="370"/>
    <m/>
    <n v="370"/>
    <x v="0"/>
    <n v="510"/>
    <n v="330"/>
    <n v="330"/>
    <n v="339.90000000000003"/>
    <n v="30.099999999999966"/>
    <n v="0"/>
    <x v="25"/>
    <x v="0"/>
    <e v="#REF!"/>
    <e v="#REF!"/>
    <s v=""/>
    <n v="8.1351351351351256E-2"/>
  </r>
  <r>
    <x v="1"/>
    <x v="114"/>
    <x v="0"/>
    <x v="1"/>
    <m/>
    <m/>
    <s v="TAPE_FOAM, AEROTAPE 3MM X 50 MM X 9.1 MTR  04/02/25"/>
    <s v="IM-000332"/>
    <n v="1"/>
    <n v="370"/>
    <m/>
    <n v="370"/>
    <x v="0"/>
    <n v="510"/>
    <n v="330"/>
    <n v="330"/>
    <n v="339.90000000000003"/>
    <n v="30.099999999999966"/>
    <n v="0"/>
    <x v="25"/>
    <x v="0"/>
    <e v="#REF!"/>
    <e v="#REF!"/>
    <s v=""/>
    <n v="8.1351351351351256E-2"/>
  </r>
  <r>
    <x v="1"/>
    <x v="76"/>
    <x v="0"/>
    <x v="58"/>
    <m/>
    <m/>
    <s v="RECEIVER_DRIER_ALUMINUM, YK 2020-2 (ERTIGA)"/>
    <s v="CA-001081"/>
    <n v="1"/>
    <n v="600"/>
    <m/>
    <n v="600"/>
    <x v="0"/>
    <n v="662"/>
    <n v="280"/>
    <n v="280"/>
    <n v="294"/>
    <n v="306"/>
    <n v="0"/>
    <x v="27"/>
    <x v="2"/>
    <e v="#REF!"/>
    <e v="#REF!"/>
    <s v=""/>
    <n v="0.51"/>
  </r>
  <r>
    <x v="2"/>
    <x v="52"/>
    <x v="1"/>
    <x v="3"/>
    <m/>
    <m/>
    <s v="EXP. VALVE LT, STAL 9A63 MONTERO TRITON (STAL)"/>
    <s v="CA-001779"/>
    <n v="1"/>
    <n v="550"/>
    <m/>
    <n v="550"/>
    <x v="0"/>
    <n v="390"/>
    <n v="195"/>
    <n v="195"/>
    <n v="204.75"/>
    <n v="345.25"/>
    <n v="103.575"/>
    <x v="23"/>
    <x v="2"/>
    <e v="#REF!"/>
    <e v="#REF!"/>
    <s v=""/>
    <n v="0.62772727272727269"/>
  </r>
  <r>
    <x v="2"/>
    <x v="54"/>
    <x v="1"/>
    <x v="3"/>
    <m/>
    <m/>
    <s v="EXP. VALVE LT,  SH207-3 PATHFINDER"/>
    <s v="CA-000576"/>
    <n v="1"/>
    <n v="550"/>
    <m/>
    <n v="550"/>
    <x v="0"/>
    <n v="478"/>
    <n v="260"/>
    <n v="260"/>
    <n v="273"/>
    <n v="277"/>
    <n v="83.1"/>
    <x v="23"/>
    <x v="2"/>
    <e v="#REF!"/>
    <e v="#REF!"/>
    <s v=""/>
    <n v="0.50363636363636366"/>
  </r>
  <r>
    <x v="1"/>
    <x v="23"/>
    <x v="0"/>
    <x v="1"/>
    <m/>
    <m/>
    <s v="TAPE_FOAM, AEROTAPE 3MM X 50 MM X 9.1 MTR  04/02/25"/>
    <s v="IM-000332"/>
    <n v="1"/>
    <n v="370"/>
    <m/>
    <n v="370"/>
    <x v="0"/>
    <n v="510"/>
    <n v="330"/>
    <n v="330"/>
    <n v="339.90000000000003"/>
    <n v="30.099999999999966"/>
    <n v="0"/>
    <x v="25"/>
    <x v="0"/>
    <e v="#REF!"/>
    <e v="#REF!"/>
    <e v="#REF!"/>
    <n v="8.1351351351351256E-2"/>
  </r>
  <r>
    <x v="1"/>
    <x v="23"/>
    <x v="0"/>
    <x v="62"/>
    <m/>
    <m/>
    <s v="TAPE_FOAM, AEROTAPE 3MM X 50 MM X 9.1 MTR  04/02/25"/>
    <s v="IM-000332"/>
    <n v="1"/>
    <n v="370"/>
    <m/>
    <n v="370"/>
    <x v="0"/>
    <n v="510"/>
    <n v="330"/>
    <n v="330"/>
    <n v="339.90000000000003"/>
    <n v="30.099999999999966"/>
    <n v="0"/>
    <x v="25"/>
    <x v="0"/>
    <e v="#REF!"/>
    <e v="#REF!"/>
    <e v="#REF!"/>
    <n v="8.1351351351351256E-2"/>
  </r>
  <r>
    <x v="3"/>
    <x v="59"/>
    <x v="2"/>
    <x v="22"/>
    <m/>
    <n v="1820"/>
    <s v="EVAPORATOR, TOYOTA INNOVA OLD (R) JBE-0102X (STAL)"/>
    <s v="CA-001634"/>
    <n v="1"/>
    <n v="1625"/>
    <m/>
    <n v="1625"/>
    <x v="0"/>
    <n v="1470"/>
    <n v="800"/>
    <n v="800"/>
    <n v="840"/>
    <n v="785"/>
    <n v="235.5"/>
    <x v="10"/>
    <x v="2"/>
    <m/>
    <m/>
    <n v="1820.0000000000002"/>
    <n v="0.48307692307692307"/>
  </r>
  <r>
    <x v="1"/>
    <x v="32"/>
    <x v="0"/>
    <x v="58"/>
    <m/>
    <m/>
    <s v="RECEIVER_DRIER_ALUMINUM, YK 2020-2 (ERTIGA)"/>
    <s v="CA-001081"/>
    <n v="1"/>
    <n v="600"/>
    <m/>
    <n v="600"/>
    <x v="0"/>
    <n v="662"/>
    <n v="280"/>
    <n v="280"/>
    <n v="294"/>
    <n v="306"/>
    <n v="0"/>
    <x v="27"/>
    <x v="2"/>
    <e v="#REF!"/>
    <e v="#REF!"/>
    <e v="#REF!"/>
    <n v="0"/>
  </r>
  <r>
    <x v="2"/>
    <x v="35"/>
    <x v="0"/>
    <x v="30"/>
    <m/>
    <m/>
    <s v="HOSE, EUROFLEX FLEXIBLE ROLL 1/2 50 MTRS (WINTERPINE)"/>
    <s v="GE-000382"/>
    <n v="1"/>
    <n v="550"/>
    <m/>
    <n v="550"/>
    <x v="0"/>
    <n v="515"/>
    <n v="280"/>
    <n v="280"/>
    <n v="294"/>
    <n v="256"/>
    <n v="0"/>
    <x v="19"/>
    <x v="1"/>
    <e v="#REF!"/>
    <e v="#REF!"/>
    <s v=""/>
    <n v="0.46545454545454545"/>
  </r>
  <r>
    <x v="2"/>
    <x v="35"/>
    <x v="0"/>
    <x v="10"/>
    <m/>
    <m/>
    <s v="TAPE_FOAM, AEROTAPE 3MM X 50 MM X 9.1 MTR  04/02/25"/>
    <s v="IM-000332"/>
    <n v="1"/>
    <n v="370"/>
    <m/>
    <n v="370"/>
    <x v="0"/>
    <n v="510"/>
    <n v="330"/>
    <n v="330"/>
    <n v="339.90000000000003"/>
    <n v="30.099999999999966"/>
    <n v="0"/>
    <x v="25"/>
    <x v="0"/>
    <e v="#REF!"/>
    <e v="#REF!"/>
    <s v=""/>
    <n v="8.1351351351351256E-2"/>
  </r>
  <r>
    <x v="2"/>
    <x v="35"/>
    <x v="0"/>
    <x v="11"/>
    <m/>
    <m/>
    <s v="TAPE_FOAM, AEROTAPE 3MM X 50 MM X 9.1 MTR  04/02/25"/>
    <s v="IM-000332"/>
    <n v="1"/>
    <n v="370"/>
    <m/>
    <n v="370"/>
    <x v="0"/>
    <n v="510"/>
    <n v="330"/>
    <n v="330"/>
    <n v="339.90000000000003"/>
    <n v="30.099999999999966"/>
    <n v="0"/>
    <x v="25"/>
    <x v="0"/>
    <e v="#REF!"/>
    <e v="#REF!"/>
    <s v=""/>
    <n v="8.1351351351351256E-2"/>
  </r>
  <r>
    <x v="2"/>
    <x v="35"/>
    <x v="0"/>
    <x v="1"/>
    <m/>
    <n v="180"/>
    <s v="REFRIGERANT, FU RYDER R600A CAN, 220 GRAMS"/>
    <s v="GE-000032"/>
    <n v="4"/>
    <n v="165"/>
    <m/>
    <n v="660"/>
    <x v="0"/>
    <n v="177"/>
    <n v="70"/>
    <n v="280"/>
    <n v="294"/>
    <n v="366"/>
    <n v="0"/>
    <x v="5"/>
    <x v="1"/>
    <e v="#REF!"/>
    <e v="#REF!"/>
    <n v="184.8"/>
    <n v="0.55454545454545456"/>
  </r>
  <r>
    <x v="2"/>
    <x v="39"/>
    <x v="0"/>
    <x v="78"/>
    <m/>
    <m/>
    <s v="TAPE_FOAM, AEROTAPE 3MM X 50 MM X 9.1 MTR  04/02/25"/>
    <s v="IM-000332"/>
    <n v="1"/>
    <n v="370"/>
    <m/>
    <n v="370"/>
    <x v="0"/>
    <n v="510"/>
    <n v="330"/>
    <n v="330"/>
    <n v="339.90000000000003"/>
    <n v="30.099999999999966"/>
    <n v="0"/>
    <x v="25"/>
    <x v="0"/>
    <e v="#REF!"/>
    <e v="#REF!"/>
    <s v=""/>
    <n v="8.1351351351351256E-2"/>
  </r>
  <r>
    <x v="2"/>
    <x v="42"/>
    <x v="0"/>
    <x v="1"/>
    <m/>
    <m/>
    <s v="TAPE_FOAM, AEROTAPE 3MM X 50 MM X 9.1 MTR  04/02/25"/>
    <s v="IM-000332"/>
    <n v="1"/>
    <n v="370"/>
    <m/>
    <n v="370"/>
    <x v="0"/>
    <n v="510"/>
    <n v="330"/>
    <n v="330"/>
    <n v="339.90000000000003"/>
    <n v="30.099999999999966"/>
    <n v="0"/>
    <x v="25"/>
    <x v="0"/>
    <e v="#REF!"/>
    <e v="#REF!"/>
    <s v=""/>
    <n v="8.1351351351351256E-2"/>
  </r>
  <r>
    <x v="3"/>
    <x v="62"/>
    <x v="2"/>
    <x v="22"/>
    <m/>
    <n v="1900"/>
    <s v="EVAPORATOR, TOYOTA INNOVA OLD (R) JBE-0102X (STAL)"/>
    <s v="CA-001634"/>
    <n v="1"/>
    <n v="1696"/>
    <m/>
    <n v="1696"/>
    <x v="0"/>
    <n v="1470"/>
    <n v="800"/>
    <n v="800"/>
    <n v="840"/>
    <n v="856"/>
    <n v="256.8"/>
    <x v="10"/>
    <x v="2"/>
    <m/>
    <m/>
    <n v="1899.5200000000002"/>
    <n v="0.50471698113207553"/>
  </r>
  <r>
    <x v="3"/>
    <x v="115"/>
    <x v="2"/>
    <x v="7"/>
    <m/>
    <n v="2000"/>
    <s v="EVAPORATOR, TOYOTA INNOVA OLD (R) JBE-0102X (STAL)"/>
    <s v="CA-001634"/>
    <n v="1"/>
    <n v="1786"/>
    <m/>
    <n v="1786"/>
    <x v="0"/>
    <n v="1470"/>
    <n v="800"/>
    <n v="800"/>
    <n v="840"/>
    <n v="946"/>
    <n v="283.8"/>
    <x v="10"/>
    <x v="2"/>
    <m/>
    <m/>
    <n v="2000.3200000000002"/>
    <n v="0.52967525195968646"/>
  </r>
  <r>
    <x v="2"/>
    <x v="54"/>
    <x v="0"/>
    <x v="6"/>
    <m/>
    <m/>
    <s v="TAPE_FOAM, AEROTAPE 3MM X 50 MM X 9.1 MTR  04/02/25"/>
    <s v="IM-000332"/>
    <n v="1"/>
    <n v="370"/>
    <m/>
    <n v="370"/>
    <x v="0"/>
    <n v="510"/>
    <n v="330"/>
    <n v="330"/>
    <n v="339.90000000000003"/>
    <n v="30.099999999999966"/>
    <n v="0"/>
    <x v="25"/>
    <x v="0"/>
    <e v="#REF!"/>
    <e v="#REF!"/>
    <s v=""/>
    <n v="8.1351351351351256E-2"/>
  </r>
  <r>
    <x v="2"/>
    <x v="54"/>
    <x v="0"/>
    <x v="6"/>
    <m/>
    <m/>
    <s v="HOSE, EUROFLEX FLEXIBLE ROLL 1/2 50 MTRS (WINTERPINE)"/>
    <s v="GE-000382"/>
    <n v="1"/>
    <n v="550"/>
    <m/>
    <n v="550"/>
    <x v="0"/>
    <n v="515"/>
    <n v="280"/>
    <n v="280"/>
    <n v="294"/>
    <n v="256"/>
    <n v="0"/>
    <x v="19"/>
    <x v="1"/>
    <e v="#REF!"/>
    <e v="#REF!"/>
    <s v=""/>
    <n v="0.46545454545454545"/>
  </r>
  <r>
    <x v="2"/>
    <x v="57"/>
    <x v="0"/>
    <x v="1"/>
    <m/>
    <m/>
    <s v="TAPE_FOAM, AEROTAPE 3MM X 50 MM X 9.1 MTR  04/02/25"/>
    <s v="IM-000332"/>
    <n v="1"/>
    <n v="370"/>
    <m/>
    <n v="370"/>
    <x v="0"/>
    <n v="510"/>
    <n v="330"/>
    <n v="330"/>
    <n v="339.90000000000003"/>
    <n v="30.099999999999966"/>
    <n v="0"/>
    <x v="25"/>
    <x v="0"/>
    <e v="#REF!"/>
    <e v="#REF!"/>
    <s v=""/>
    <n v="8.1351351351351256E-2"/>
  </r>
  <r>
    <x v="2"/>
    <x v="111"/>
    <x v="0"/>
    <x v="88"/>
    <m/>
    <m/>
    <s v="RECEIVER_DRIER_STEEL , MAXX 5116 (L300 F/B)"/>
    <s v="CA-001134"/>
    <n v="1"/>
    <n v="800"/>
    <m/>
    <n v="800"/>
    <x v="0"/>
    <n v="686"/>
    <n v="290"/>
    <n v="290"/>
    <n v="304.5"/>
    <n v="495.5"/>
    <n v="0"/>
    <x v="17"/>
    <x v="2"/>
    <e v="#REF!"/>
    <e v="#REF!"/>
    <s v=""/>
    <n v="0.61937500000000001"/>
  </r>
  <r>
    <x v="3"/>
    <x v="61"/>
    <x v="2"/>
    <x v="9"/>
    <m/>
    <m/>
    <s v="RECEIVER_DRIER_ALUMINUM, YK 8015 (L) (Adventure)"/>
    <s v="CA-001085"/>
    <n v="2"/>
    <n v="550"/>
    <m/>
    <n v="1100"/>
    <x v="0"/>
    <n v="615"/>
    <n v="260"/>
    <n v="520"/>
    <n v="546"/>
    <n v="554"/>
    <n v="166.2"/>
    <x v="27"/>
    <x v="2"/>
    <m/>
    <m/>
    <s v=""/>
    <n v="0.50363636363636366"/>
  </r>
  <r>
    <x v="3"/>
    <x v="64"/>
    <x v="0"/>
    <x v="18"/>
    <m/>
    <n v="370"/>
    <s v="TAPE_FOAM, AEROTAPE 3MM X 50 MM X 9.1 MTR  04/02/25"/>
    <s v="IM-000332"/>
    <n v="1"/>
    <n v="330"/>
    <m/>
    <n v="330"/>
    <x v="0"/>
    <n v="510"/>
    <n v="330"/>
    <n v="330"/>
    <n v="339.90000000000003"/>
    <n v="-9.9000000000000341"/>
    <n v="0"/>
    <x v="25"/>
    <x v="0"/>
    <m/>
    <m/>
    <n v="369.6"/>
    <n v="-3.0000000000000103E-2"/>
  </r>
  <r>
    <x v="3"/>
    <x v="64"/>
    <x v="0"/>
    <x v="18"/>
    <m/>
    <n v="600"/>
    <s v="RECEIVER_DRIER_STEEL , MAXX 5116 (L300 F/B)"/>
    <s v="CA-001134"/>
    <n v="1"/>
    <n v="536"/>
    <m/>
    <n v="536"/>
    <x v="0"/>
    <n v="686"/>
    <n v="290"/>
    <n v="290"/>
    <n v="304.5"/>
    <n v="231.5"/>
    <n v="0"/>
    <x v="17"/>
    <x v="2"/>
    <m/>
    <m/>
    <n v="600.32000000000005"/>
    <n v="0.43190298507462688"/>
  </r>
  <r>
    <x v="3"/>
    <x v="65"/>
    <x v="0"/>
    <x v="10"/>
    <m/>
    <m/>
    <s v="TAPE_FOAM, AEROTAPE 3MM X 50 MM X 9.1 MTR  04/02/25"/>
    <s v="IM-000332"/>
    <n v="1"/>
    <n v="370"/>
    <m/>
    <n v="370"/>
    <x v="0"/>
    <n v="510"/>
    <n v="330"/>
    <n v="330"/>
    <n v="339.90000000000003"/>
    <n v="30.099999999999966"/>
    <n v="0"/>
    <x v="25"/>
    <x v="0"/>
    <m/>
    <m/>
    <s v=""/>
    <n v="8.1351351351351256E-2"/>
  </r>
  <r>
    <x v="3"/>
    <x v="65"/>
    <x v="0"/>
    <x v="30"/>
    <m/>
    <m/>
    <s v="HOSE, EUROFLEX FLEXIBLE ROLL 1/2 50 MTRS (WINTERPINE)"/>
    <s v="GE-000382"/>
    <n v="1"/>
    <n v="550"/>
    <m/>
    <n v="550"/>
    <x v="0"/>
    <n v="515"/>
    <n v="280"/>
    <n v="280"/>
    <n v="294"/>
    <n v="256"/>
    <n v="0"/>
    <x v="19"/>
    <x v="1"/>
    <m/>
    <m/>
    <s v=""/>
    <n v="0.46545454545454545"/>
  </r>
  <r>
    <x v="3"/>
    <x v="66"/>
    <x v="0"/>
    <x v="19"/>
    <m/>
    <m/>
    <s v="TAPE_FOAM, AEROTAPE 3MM X 50 MM X 9.1 MTR  04/02/25"/>
    <s v="IM-000332"/>
    <n v="1"/>
    <n v="370"/>
    <m/>
    <n v="370"/>
    <x v="0"/>
    <n v="510"/>
    <n v="330"/>
    <n v="330"/>
    <n v="339.90000000000003"/>
    <n v="30.099999999999966"/>
    <n v="0"/>
    <x v="25"/>
    <x v="0"/>
    <m/>
    <m/>
    <s v=""/>
    <n v="8.1351351351351256E-2"/>
  </r>
  <r>
    <x v="3"/>
    <x v="67"/>
    <x v="0"/>
    <x v="112"/>
    <m/>
    <m/>
    <s v="TAPE_FOAM, AEROTAPE 3MM X 50 MM X 9.1 MTR  04/02/25"/>
    <s v="IM-000332"/>
    <n v="1"/>
    <n v="370"/>
    <m/>
    <n v="370"/>
    <x v="0"/>
    <n v="510"/>
    <n v="330"/>
    <n v="330"/>
    <n v="339.90000000000003"/>
    <n v="30.099999999999966"/>
    <n v="0"/>
    <x v="25"/>
    <x v="0"/>
    <m/>
    <m/>
    <s v=""/>
    <n v="8.1351351351351256E-2"/>
  </r>
  <r>
    <x v="3"/>
    <x v="68"/>
    <x v="1"/>
    <x v="42"/>
    <m/>
    <m/>
    <s v="TAPE_FOAM, AEROTAPE 3MM X 50 MM X 9.1 MTR  04/02/25"/>
    <s v="IM-000332"/>
    <n v="1"/>
    <n v="335"/>
    <m/>
    <n v="335"/>
    <x v="0"/>
    <n v="510"/>
    <n v="330"/>
    <n v="330"/>
    <n v="339.90000000000003"/>
    <n v="-4.9000000000000341"/>
    <n v="-1.4700000000000102"/>
    <x v="25"/>
    <x v="0"/>
    <m/>
    <m/>
    <s v=""/>
    <n v="-1.4626865671641892E-2"/>
  </r>
  <r>
    <x v="3"/>
    <x v="71"/>
    <x v="0"/>
    <x v="26"/>
    <m/>
    <m/>
    <s v="TAPE_FOAM, AEROTAPE 3MM X 50 MM X 9.1 MTR  04/02/25"/>
    <s v="IM-000332"/>
    <n v="1"/>
    <n v="370"/>
    <m/>
    <n v="370"/>
    <x v="0"/>
    <n v="510"/>
    <n v="330"/>
    <n v="330"/>
    <n v="339.90000000000003"/>
    <n v="30.099999999999966"/>
    <n v="0"/>
    <x v="25"/>
    <x v="0"/>
    <m/>
    <m/>
    <s v=""/>
    <n v="8.1351351351351256E-2"/>
  </r>
  <r>
    <x v="3"/>
    <x v="65"/>
    <x v="2"/>
    <x v="9"/>
    <m/>
    <m/>
    <s v="RECEIVER_DRIER_ALUMINUM, YK 8733 L (URVAN, NV350)"/>
    <s v="CA-001115"/>
    <n v="2"/>
    <n v="550"/>
    <m/>
    <n v="1100"/>
    <x v="0"/>
    <n v="615"/>
    <n v="260"/>
    <n v="520"/>
    <n v="546"/>
    <n v="554"/>
    <n v="166.2"/>
    <x v="27"/>
    <x v="2"/>
    <m/>
    <m/>
    <s v=""/>
    <n v="0.50363636363636366"/>
  </r>
  <r>
    <x v="3"/>
    <x v="123"/>
    <x v="0"/>
    <x v="102"/>
    <m/>
    <m/>
    <s v="TAPE_FOAM, AEROTAPE 3MM X 50 MM X 9.1 MTR  04/02/25"/>
    <s v="IM-000332"/>
    <n v="1"/>
    <n v="370"/>
    <m/>
    <n v="370"/>
    <x v="0"/>
    <n v="510"/>
    <n v="330"/>
    <n v="330"/>
    <n v="339.90000000000003"/>
    <n v="30.099999999999966"/>
    <n v="0"/>
    <x v="25"/>
    <x v="0"/>
    <m/>
    <m/>
    <m/>
    <n v="8.1351351351351256E-2"/>
  </r>
  <r>
    <x v="3"/>
    <x v="123"/>
    <x v="0"/>
    <x v="49"/>
    <m/>
    <m/>
    <s v="TAPE_FOAM, AEROTAPE 3MM X 50 MM X 9.1 MTR  04/02/25"/>
    <s v="IM-000332"/>
    <n v="1"/>
    <n v="370"/>
    <m/>
    <n v="370"/>
    <x v="0"/>
    <n v="510"/>
    <n v="330"/>
    <n v="330"/>
    <n v="339.90000000000003"/>
    <n v="30.099999999999966"/>
    <n v="0"/>
    <x v="25"/>
    <x v="0"/>
    <m/>
    <m/>
    <m/>
    <n v="8.1351351351351256E-2"/>
  </r>
  <r>
    <x v="3"/>
    <x v="66"/>
    <x v="2"/>
    <x v="22"/>
    <m/>
    <m/>
    <s v="EXP. VALVE LT, POKKA 9A58 R-12"/>
    <s v="CA-000639"/>
    <n v="2"/>
    <n v="420"/>
    <m/>
    <n v="840"/>
    <x v="0"/>
    <n v="441"/>
    <n v="240"/>
    <n v="480"/>
    <n v="504"/>
    <n v="336"/>
    <n v="100.8"/>
    <x v="23"/>
    <x v="2"/>
    <m/>
    <m/>
    <s v=""/>
    <n v="0.4"/>
  </r>
  <r>
    <x v="4"/>
    <x v="102"/>
    <x v="0"/>
    <x v="1"/>
    <m/>
    <m/>
    <s v="TAPE_FOAM, AEROTAPE 3MM X 50 MM X 9.1 MTR  04/02/25"/>
    <s v="IM-000332"/>
    <n v="1"/>
    <n v="370"/>
    <m/>
    <n v="370"/>
    <x v="0"/>
    <n v="510"/>
    <n v="330"/>
    <n v="330"/>
    <n v="339.90000000000003"/>
    <n v="30.099999999999966"/>
    <n v="0"/>
    <x v="25"/>
    <x v="0"/>
    <m/>
    <m/>
    <m/>
    <n v="8.1351351351351256E-2"/>
  </r>
  <r>
    <x v="2"/>
    <x v="54"/>
    <x v="1"/>
    <x v="3"/>
    <m/>
    <m/>
    <s v="RECEIVER_DRIER_ALUMINUM, YK 8733 (EXALTA)"/>
    <s v="CA-001114"/>
    <n v="1"/>
    <n v="550"/>
    <m/>
    <n v="550"/>
    <x v="0"/>
    <n v="591"/>
    <n v="250"/>
    <n v="250"/>
    <n v="262.5"/>
    <n v="287.5"/>
    <n v="86.25"/>
    <x v="27"/>
    <x v="2"/>
    <e v="#REF!"/>
    <e v="#REF!"/>
    <s v=""/>
    <n v="0.52272727272727271"/>
  </r>
  <r>
    <x v="3"/>
    <x v="74"/>
    <x v="2"/>
    <x v="22"/>
    <m/>
    <m/>
    <s v="EXP. VALVE LT, POKKA 9A56 INNOVA F"/>
    <s v="CA-000637"/>
    <n v="2"/>
    <n v="420"/>
    <m/>
    <n v="840"/>
    <x v="0"/>
    <n v="460"/>
    <n v="250"/>
    <n v="500"/>
    <n v="525"/>
    <n v="315"/>
    <n v="94.5"/>
    <x v="23"/>
    <x v="2"/>
    <m/>
    <m/>
    <m/>
    <n v="0.375"/>
  </r>
  <r>
    <x v="4"/>
    <x v="108"/>
    <x v="0"/>
    <x v="1"/>
    <m/>
    <m/>
    <s v="TAPE_FOAM, AEROTAPE 3MM X 50 MM X 9.1 MTR  04/02/25"/>
    <s v="IM-000332"/>
    <n v="1"/>
    <n v="380"/>
    <m/>
    <n v="380"/>
    <x v="0"/>
    <n v="510"/>
    <n v="330"/>
    <n v="330"/>
    <n v="339.90000000000003"/>
    <n v="40.099999999999966"/>
    <n v="0"/>
    <x v="25"/>
    <x v="0"/>
    <m/>
    <m/>
    <m/>
    <n v="0.10552631578947359"/>
  </r>
  <r>
    <x v="4"/>
    <x v="113"/>
    <x v="0"/>
    <x v="11"/>
    <m/>
    <m/>
    <s v="TAPE_FOAM, AEROTAPE 3MM X 50 MM X 9.1 MTR  04/02/25"/>
    <s v="IM-000332"/>
    <n v="1"/>
    <n v="380"/>
    <m/>
    <n v="380"/>
    <x v="0"/>
    <n v="510"/>
    <n v="330"/>
    <n v="330"/>
    <n v="339.90000000000003"/>
    <n v="40.099999999999966"/>
    <n v="0"/>
    <x v="25"/>
    <x v="0"/>
    <m/>
    <m/>
    <m/>
    <n v="0.10552631578947359"/>
  </r>
  <r>
    <x v="4"/>
    <x v="90"/>
    <x v="0"/>
    <x v="19"/>
    <m/>
    <m/>
    <s v="ROYAL CORD, POWERFLEX 4-CORE, #16 1.2 MM, METER"/>
    <s v="GE-000485"/>
    <n v="4"/>
    <n v="125"/>
    <m/>
    <n v="500"/>
    <x v="0"/>
    <n v="90"/>
    <n v="72"/>
    <n v="288"/>
    <n v="302.40000000000003"/>
    <n v="197.59999999999997"/>
    <n v="0"/>
    <x v="48"/>
    <x v="1"/>
    <m/>
    <m/>
    <m/>
    <n v="0.39519999999999994"/>
  </r>
  <r>
    <x v="4"/>
    <x v="92"/>
    <x v="0"/>
    <x v="72"/>
    <m/>
    <m/>
    <s v="EXP. VALVE LT, POKKA 9A238 SUBARU FORESTER"/>
    <s v="CA-001728"/>
    <n v="1"/>
    <n v="550"/>
    <m/>
    <n v="550"/>
    <x v="0"/>
    <n v="533"/>
    <n v="290"/>
    <n v="290"/>
    <n v="304.5"/>
    <n v="245.5"/>
    <n v="0"/>
    <x v="23"/>
    <x v="2"/>
    <m/>
    <m/>
    <m/>
    <n v="0.44636363636363635"/>
  </r>
  <r>
    <x v="2"/>
    <x v="54"/>
    <x v="1"/>
    <x v="3"/>
    <m/>
    <m/>
    <s v="EXP. VALVE SC, NISSAN ORING TYPE W/STEP"/>
    <s v="CA-000568"/>
    <n v="1"/>
    <n v="500"/>
    <m/>
    <n v="500"/>
    <x v="0"/>
    <n v="386"/>
    <n v="210"/>
    <n v="210"/>
    <n v="220.5"/>
    <n v="279.5"/>
    <n v="83.85"/>
    <x v="34"/>
    <x v="2"/>
    <e v="#REF!"/>
    <e v="#REF!"/>
    <s v=""/>
    <n v="0.55900000000000005"/>
  </r>
  <r>
    <x v="4"/>
    <x v="110"/>
    <x v="0"/>
    <x v="19"/>
    <m/>
    <m/>
    <s v="ROYAL CORD, POWERFLEX 4-CORE, #16 1.2 MM, METER"/>
    <s v="GE-000485"/>
    <n v="4"/>
    <n v="125"/>
    <m/>
    <n v="500"/>
    <x v="0"/>
    <n v="90"/>
    <n v="72"/>
    <n v="288"/>
    <n v="302.40000000000003"/>
    <n v="197.59999999999997"/>
    <n v="0"/>
    <x v="48"/>
    <x v="1"/>
    <m/>
    <m/>
    <m/>
    <n v="0.39519999999999994"/>
  </r>
  <r>
    <x v="4"/>
    <x v="95"/>
    <x v="0"/>
    <x v="19"/>
    <m/>
    <m/>
    <s v="ROYAL CORD, POWERFLEX 4-CORE, #16 1.2 MM, METER"/>
    <s v="GE-000485"/>
    <n v="4"/>
    <n v="125"/>
    <m/>
    <n v="500"/>
    <x v="0"/>
    <n v="90"/>
    <n v="72"/>
    <n v="288"/>
    <n v="302.40000000000003"/>
    <n v="197.59999999999997"/>
    <n v="0"/>
    <x v="48"/>
    <x v="1"/>
    <m/>
    <m/>
    <m/>
    <n v="0.39519999999999994"/>
  </r>
  <r>
    <x v="3"/>
    <x v="74"/>
    <x v="2"/>
    <x v="22"/>
    <m/>
    <m/>
    <s v="PASTE_FLUX, HARRIS ALUMINUM BRAZE  (227G)"/>
    <s v="CA-000848"/>
    <n v="1"/>
    <n v="650"/>
    <m/>
    <n v="650"/>
    <x v="0"/>
    <n v="772"/>
    <n v="420"/>
    <n v="420"/>
    <n v="441"/>
    <n v="209"/>
    <n v="62.699999999999996"/>
    <x v="60"/>
    <x v="2"/>
    <m/>
    <m/>
    <m/>
    <n v="0.32153846153846155"/>
  </r>
  <r>
    <x v="2"/>
    <x v="54"/>
    <x v="1"/>
    <x v="3"/>
    <m/>
    <m/>
    <s v="SYSTEM_CLEANER, Cleanse GREEN 141B 500 ML"/>
    <s v="GE-000369"/>
    <n v="2"/>
    <n v="120"/>
    <m/>
    <n v="240"/>
    <x v="0"/>
    <n v="113"/>
    <n v="65"/>
    <n v="130"/>
    <n v="136.5"/>
    <n v="103.5"/>
    <n v="31.049999999999997"/>
    <x v="28"/>
    <x v="1"/>
    <e v="#REF!"/>
    <e v="#REF!"/>
    <s v=""/>
    <n v="0.43125000000000002"/>
  </r>
  <r>
    <x v="4"/>
    <x v="95"/>
    <x v="0"/>
    <x v="1"/>
    <m/>
    <m/>
    <s v="REFRIGERANT, SHENGFUYUAN  R290, 380G"/>
    <s v="GE-000155"/>
    <n v="1"/>
    <n v="600"/>
    <m/>
    <n v="600"/>
    <x v="0"/>
    <n v="647"/>
    <n v="280"/>
    <n v="280"/>
    <n v="294"/>
    <n v="306"/>
    <n v="0"/>
    <x v="5"/>
    <x v="1"/>
    <m/>
    <m/>
    <m/>
    <n v="0.51"/>
  </r>
  <r>
    <x v="4"/>
    <x v="95"/>
    <x v="0"/>
    <x v="117"/>
    <m/>
    <n v="426"/>
    <s v="TAPE_FOAM, AEROTAPE 3MM X 50 MM X 9.1 MTR  04/02/25"/>
    <s v="IM-000332"/>
    <n v="1"/>
    <n v="380"/>
    <m/>
    <n v="380"/>
    <x v="0"/>
    <n v="510"/>
    <n v="330"/>
    <n v="330"/>
    <n v="339.90000000000003"/>
    <n v="40.099999999999966"/>
    <n v="0"/>
    <x v="25"/>
    <x v="0"/>
    <m/>
    <m/>
    <m/>
    <n v="0.10552631578947359"/>
  </r>
  <r>
    <x v="4"/>
    <x v="95"/>
    <x v="0"/>
    <x v="58"/>
    <m/>
    <m/>
    <s v="RECEIVER_DRIER_ALUMINUM, YK 2020-2 (ERTIGA)"/>
    <s v="CA-001081"/>
    <n v="1"/>
    <n v="600"/>
    <m/>
    <n v="600"/>
    <x v="0"/>
    <n v="662"/>
    <n v="280"/>
    <n v="280"/>
    <n v="294"/>
    <n v="306"/>
    <n v="0"/>
    <x v="27"/>
    <x v="2"/>
    <m/>
    <m/>
    <m/>
    <n v="0.51"/>
  </r>
  <r>
    <x v="4"/>
    <x v="116"/>
    <x v="0"/>
    <x v="20"/>
    <m/>
    <m/>
    <s v="TAPE_FOAM, AEROTAPE 3MM X 50 MM X 9.1 MTR  04/02/25"/>
    <s v="IM-000332"/>
    <n v="1"/>
    <n v="380"/>
    <m/>
    <n v="380"/>
    <x v="0"/>
    <n v="510"/>
    <n v="330"/>
    <n v="330"/>
    <n v="339.90000000000003"/>
    <n v="40.099999999999966"/>
    <n v="0"/>
    <x v="25"/>
    <x v="0"/>
    <m/>
    <m/>
    <m/>
    <n v="0.10552631578947359"/>
  </r>
  <r>
    <x v="2"/>
    <x v="56"/>
    <x v="1"/>
    <x v="3"/>
    <m/>
    <m/>
    <s v="RECEIVER_DRIER_ALUMINUM, YK 9094 (Lancer)"/>
    <s v="CA-001127"/>
    <n v="1"/>
    <n v="550"/>
    <m/>
    <n v="550"/>
    <x v="0"/>
    <n v="662"/>
    <n v="280"/>
    <n v="280"/>
    <n v="294"/>
    <n v="256"/>
    <n v="76.8"/>
    <x v="27"/>
    <x v="2"/>
    <e v="#REF!"/>
    <e v="#REF!"/>
    <s v=""/>
    <n v="0.46545454545454545"/>
  </r>
  <r>
    <x v="4"/>
    <x v="78"/>
    <x v="0"/>
    <x v="49"/>
    <m/>
    <m/>
    <s v="RECEIVER_DRIER_STEEL , MAXX 5116 (L300 F/B)"/>
    <s v="CA-001134"/>
    <n v="1"/>
    <n v="600"/>
    <m/>
    <n v="600"/>
    <x v="0"/>
    <n v="686"/>
    <n v="290"/>
    <n v="290"/>
    <n v="304.5"/>
    <n v="295.5"/>
    <n v="0"/>
    <x v="17"/>
    <x v="2"/>
    <m/>
    <m/>
    <m/>
    <n v="0.49249999999999999"/>
  </r>
  <r>
    <x v="4"/>
    <x v="79"/>
    <x v="0"/>
    <x v="6"/>
    <m/>
    <m/>
    <s v="HOSE, EUROFLEX FLEXIBLE ROLL 1/2 50 MTRS (WINTERPINE)"/>
    <s v="GE-000382"/>
    <n v="1"/>
    <n v="600"/>
    <m/>
    <n v="600"/>
    <x v="0"/>
    <n v="515"/>
    <n v="280"/>
    <n v="280"/>
    <n v="294"/>
    <n v="306"/>
    <n v="0"/>
    <x v="19"/>
    <x v="1"/>
    <m/>
    <m/>
    <m/>
    <n v="0.51"/>
  </r>
  <r>
    <x v="4"/>
    <x v="80"/>
    <x v="0"/>
    <x v="104"/>
    <m/>
    <m/>
    <s v="TAPE_FOAM, AEROTAPE 3MM X 50 MM X 9.1 MTR  04/02/25"/>
    <s v="IM-000332"/>
    <n v="1"/>
    <n v="380"/>
    <m/>
    <n v="380"/>
    <x v="0"/>
    <n v="510"/>
    <n v="330"/>
    <n v="330"/>
    <n v="339.90000000000003"/>
    <n v="40.099999999999966"/>
    <n v="0"/>
    <x v="25"/>
    <x v="0"/>
    <m/>
    <m/>
    <m/>
    <n v="0.10552631578947359"/>
  </r>
  <r>
    <x v="4"/>
    <x v="80"/>
    <x v="0"/>
    <x v="8"/>
    <m/>
    <m/>
    <s v="RECEIVER_DRIER_STEEL , MAXX 5116 (L300 F/B)"/>
    <s v="CA-001134"/>
    <n v="1"/>
    <n v="600"/>
    <m/>
    <n v="600"/>
    <x v="0"/>
    <n v="686"/>
    <n v="290"/>
    <n v="290"/>
    <n v="304.5"/>
    <n v="295.5"/>
    <n v="0"/>
    <x v="17"/>
    <x v="2"/>
    <m/>
    <m/>
    <m/>
    <n v="0.49249999999999999"/>
  </r>
  <r>
    <x v="4"/>
    <x v="104"/>
    <x v="0"/>
    <x v="11"/>
    <m/>
    <m/>
    <s v="TAPE_FOAM, AEROTAPE 3MM X 50 MM X 9.1 MTR  04/02/25"/>
    <s v="IM-000332"/>
    <n v="1"/>
    <n v="380"/>
    <m/>
    <n v="380"/>
    <x v="0"/>
    <n v="510"/>
    <n v="330"/>
    <n v="330"/>
    <n v="339.90000000000003"/>
    <n v="40.099999999999966"/>
    <n v="0"/>
    <x v="25"/>
    <x v="0"/>
    <m/>
    <m/>
    <m/>
    <n v="0.10552631578947359"/>
  </r>
  <r>
    <x v="4"/>
    <x v="75"/>
    <x v="0"/>
    <x v="47"/>
    <m/>
    <m/>
    <s v="HOSE, EUROFLEX FLEXIBLE ROLL 1/2 50 MTRS (WINTERPINE)"/>
    <s v="GE-000382"/>
    <n v="1"/>
    <n v="600"/>
    <m/>
    <n v="600"/>
    <x v="0"/>
    <n v="515"/>
    <n v="280"/>
    <n v="280"/>
    <n v="294"/>
    <n v="306"/>
    <n v="0"/>
    <x v="19"/>
    <x v="1"/>
    <e v="#REF!"/>
    <e v="#REF!"/>
    <e v="#REF!"/>
    <n v="0"/>
  </r>
  <r>
    <x v="5"/>
    <x v="126"/>
    <x v="0"/>
    <x v="118"/>
    <m/>
    <m/>
    <s v="BLOWER_MOTOR, ISUZU D-MAX 2013 / MUX"/>
    <s v="CA-000171"/>
    <n v="1"/>
    <n v="1900"/>
    <m/>
    <n v="1900"/>
    <x v="0"/>
    <n v="2389"/>
    <n v="1300"/>
    <n v="1300"/>
    <n v="1365"/>
    <n v="535"/>
    <n v="0"/>
    <x v="15"/>
    <x v="2"/>
    <e v="#REF!"/>
    <e v="#REF!"/>
    <s v=""/>
    <n v="0.28157894736842104"/>
  </r>
  <r>
    <x v="5"/>
    <x v="126"/>
    <x v="0"/>
    <x v="119"/>
    <m/>
    <n v="134.4"/>
    <s v="SYSTEM_CLEANER, Cleanse GREEN 141B 500 ML"/>
    <s v="GE-000369"/>
    <n v="18"/>
    <n v="120"/>
    <m/>
    <n v="2160"/>
    <x v="0"/>
    <n v="113"/>
    <n v="65"/>
    <n v="1170"/>
    <n v="1228.5"/>
    <n v="931.5"/>
    <n v="0"/>
    <x v="28"/>
    <x v="1"/>
    <e v="#REF!"/>
    <e v="#REF!"/>
    <n v="134.4"/>
    <n v="0.43125000000000002"/>
  </r>
  <r>
    <x v="5"/>
    <x v="126"/>
    <x v="0"/>
    <x v="1"/>
    <m/>
    <m/>
    <s v="COPPER_TUBE_SOFTDRAWN, HAILIANG 0.028 X 3/8 x 15 mtr 06/02/26"/>
    <s v="IM-000327"/>
    <n v="0.4"/>
    <n v="3500"/>
    <m/>
    <n v="1400"/>
    <x v="0"/>
    <n v="4774"/>
    <n v="2648"/>
    <n v="1059.2"/>
    <n v="1090.9760000000001"/>
    <n v="309.02399999999989"/>
    <n v="0"/>
    <x v="0"/>
    <x v="0"/>
    <e v="#REF!"/>
    <e v="#REF!"/>
    <s v=""/>
    <n v="0.2207314285714285"/>
  </r>
  <r>
    <x v="5"/>
    <x v="126"/>
    <x v="0"/>
    <x v="32"/>
    <m/>
    <n v="680"/>
    <s v="REFRIGERANT, POKKA R32, 600 GRMS  05/09/26"/>
    <s v="GE-000509"/>
    <n v="2"/>
    <n v="608"/>
    <m/>
    <n v="1216"/>
    <x v="0"/>
    <n v="756"/>
    <n v="480"/>
    <n v="960"/>
    <n v="1008"/>
    <n v="208"/>
    <n v="0"/>
    <x v="5"/>
    <x v="1"/>
    <e v="#REF!"/>
    <e v="#REF!"/>
    <n v="680.96"/>
    <n v="0.17105263157894737"/>
  </r>
  <r>
    <x v="5"/>
    <x v="126"/>
    <x v="0"/>
    <x v="1"/>
    <m/>
    <n v="680"/>
    <s v="REFRIGERANT, POKKA R32, 600 GRMS  05/09/26"/>
    <s v="GE-000509"/>
    <n v="1"/>
    <n v="608"/>
    <m/>
    <n v="608"/>
    <x v="0"/>
    <n v="756"/>
    <n v="480"/>
    <n v="480"/>
    <n v="504"/>
    <n v="104"/>
    <n v="0"/>
    <x v="5"/>
    <x v="1"/>
    <e v="#REF!"/>
    <e v="#REF!"/>
    <n v="680.96"/>
    <n v="0.17105263157894737"/>
  </r>
  <r>
    <x v="2"/>
    <x v="57"/>
    <x v="1"/>
    <x v="3"/>
    <m/>
    <m/>
    <s v="EXP. VALVE DC, MITSUBISHI ORING TYPE 1/2 (ADVENTURE)"/>
    <s v="CA-000561"/>
    <n v="1"/>
    <n v="700"/>
    <m/>
    <n v="700"/>
    <x v="0"/>
    <n v="588"/>
    <n v="320"/>
    <n v="320"/>
    <n v="336"/>
    <n v="364"/>
    <n v="109.2"/>
    <x v="46"/>
    <x v="2"/>
    <e v="#REF!"/>
    <e v="#REF!"/>
    <s v=""/>
    <n v="0.52"/>
  </r>
  <r>
    <x v="2"/>
    <x v="58"/>
    <x v="1"/>
    <x v="3"/>
    <m/>
    <m/>
    <s v="EVAPORATOR, TOYOTA INNOVA OLD (R) JBE-0102X (STAL)"/>
    <s v="CA-001634"/>
    <n v="1"/>
    <n v="2000"/>
    <m/>
    <n v="2000"/>
    <x v="0"/>
    <n v="1470"/>
    <n v="800"/>
    <n v="800"/>
    <n v="840"/>
    <n v="1160"/>
    <n v="348"/>
    <x v="10"/>
    <x v="2"/>
    <e v="#REF!"/>
    <e v="#REF!"/>
    <s v=""/>
    <n v="0.57999999999999996"/>
  </r>
  <r>
    <x v="1"/>
    <x v="23"/>
    <x v="0"/>
    <x v="62"/>
    <m/>
    <m/>
    <s v="RUBBER_INSULATION, M-FLEX 1/2&quot; 1/2"/>
    <s v="IM-000227"/>
    <n v="6"/>
    <n v="65"/>
    <m/>
    <n v="390"/>
    <x v="0"/>
    <n v="65"/>
    <n v="46.4"/>
    <n v="278.39999999999998"/>
    <n v="286.75200000000001"/>
    <n v="103.24799999999999"/>
    <n v="0"/>
    <x v="22"/>
    <x v="0"/>
    <e v="#REF!"/>
    <e v="#REF!"/>
    <e v="#REF!"/>
    <n v="0.26473846153846153"/>
  </r>
  <r>
    <x v="4"/>
    <x v="104"/>
    <x v="0"/>
    <x v="27"/>
    <m/>
    <m/>
    <s v="RUBBER_INSULATION, M-FLEX 1/2&quot; 1/2"/>
    <s v="IM-000227"/>
    <n v="6"/>
    <n v="70"/>
    <m/>
    <n v="420"/>
    <x v="0"/>
    <n v="65"/>
    <n v="46.4"/>
    <n v="278.39999999999998"/>
    <n v="286.75200000000001"/>
    <n v="133.24799999999999"/>
    <n v="0"/>
    <x v="22"/>
    <x v="0"/>
    <m/>
    <m/>
    <m/>
    <n v="0.31725714285714285"/>
  </r>
  <r>
    <x v="2"/>
    <x v="57"/>
    <x v="0"/>
    <x v="1"/>
    <m/>
    <m/>
    <s v="RUBBER_INSULATION, M-FLEX 1/2&quot; 5/8"/>
    <s v="IM-000232"/>
    <n v="5"/>
    <n v="75"/>
    <m/>
    <n v="375"/>
    <x v="0"/>
    <n v="77"/>
    <n v="55.2"/>
    <n v="276"/>
    <n v="284.28000000000003"/>
    <n v="90.71999999999997"/>
    <n v="0"/>
    <x v="22"/>
    <x v="0"/>
    <e v="#REF!"/>
    <e v="#REF!"/>
    <s v=""/>
    <n v="0.24191999999999991"/>
  </r>
  <r>
    <x v="4"/>
    <x v="75"/>
    <x v="0"/>
    <x v="6"/>
    <m/>
    <m/>
    <s v="RUBBER_INSULATION, M-FLEX 1/2&quot; 5/8"/>
    <s v="IM-000232"/>
    <n v="5"/>
    <n v="80"/>
    <m/>
    <n v="400"/>
    <x v="0"/>
    <n v="77"/>
    <n v="55.2"/>
    <n v="276"/>
    <n v="284.28000000000003"/>
    <n v="115.71999999999997"/>
    <n v="0"/>
    <x v="22"/>
    <x v="0"/>
    <e v="#REF!"/>
    <e v="#REF!"/>
    <e v="#REF!"/>
    <n v="0"/>
  </r>
  <r>
    <x v="2"/>
    <x v="58"/>
    <x v="1"/>
    <x v="3"/>
    <m/>
    <m/>
    <s v="EXP. VALVE LT, POKKA 9A56 INNOVA F"/>
    <s v="CA-000637"/>
    <n v="1"/>
    <n v="550"/>
    <m/>
    <n v="550"/>
    <x v="0"/>
    <n v="460"/>
    <n v="250"/>
    <n v="250"/>
    <n v="262.5"/>
    <n v="287.5"/>
    <n v="86.25"/>
    <x v="23"/>
    <x v="2"/>
    <e v="#REF!"/>
    <e v="#REF!"/>
    <s v=""/>
    <n v="0.52272727272727271"/>
  </r>
  <r>
    <x v="3"/>
    <x v="62"/>
    <x v="0"/>
    <x v="29"/>
    <m/>
    <m/>
    <s v="ELECTRICAL_PANEL,  NEMA 3R, 2P"/>
    <s v="GE-000124"/>
    <n v="1"/>
    <n v="550"/>
    <m/>
    <n v="550"/>
    <x v="0"/>
    <n v="506"/>
    <n v="275"/>
    <n v="275"/>
    <n v="288.75"/>
    <n v="261.25"/>
    <n v="0"/>
    <x v="39"/>
    <x v="1"/>
    <m/>
    <m/>
    <s v=""/>
    <n v="0.47499999999999998"/>
  </r>
  <r>
    <x v="2"/>
    <x v="111"/>
    <x v="1"/>
    <x v="3"/>
    <m/>
    <m/>
    <s v="AUXFAN_MOTOR, SUZUKI ERTIGA 9480"/>
    <s v="CA-000073"/>
    <n v="1"/>
    <n v="1850"/>
    <m/>
    <n v="1850"/>
    <x v="0"/>
    <n v="2205"/>
    <n v="1200"/>
    <n v="1200"/>
    <n v="1260"/>
    <n v="590"/>
    <n v="177"/>
    <x v="14"/>
    <x v="2"/>
    <e v="#REF!"/>
    <e v="#REF!"/>
    <s v=""/>
    <n v="0.31891891891891894"/>
  </r>
  <r>
    <x v="0"/>
    <x v="0"/>
    <x v="0"/>
    <x v="1"/>
    <m/>
    <m/>
    <s v="CLEANER, AMBER AIRCON LIQUID LYE"/>
    <s v="GE-000251"/>
    <n v="1"/>
    <n v="550"/>
    <m/>
    <n v="550"/>
    <x v="0"/>
    <n v="596"/>
    <n v="270"/>
    <n v="270"/>
    <n v="283.5"/>
    <n v="266.5"/>
    <n v="0"/>
    <x v="35"/>
    <x v="1"/>
    <m/>
    <m/>
    <m/>
    <n v="0.48454545454545456"/>
  </r>
  <r>
    <x v="0"/>
    <x v="3"/>
    <x v="0"/>
    <x v="23"/>
    <m/>
    <m/>
    <s v="RECEIVER_DRIER_ALUMINUM, YK 40 X 290 (INNOVA)"/>
    <s v="CA-001083"/>
    <n v="1"/>
    <n v="550"/>
    <m/>
    <n v="550"/>
    <x v="0"/>
    <n v="638"/>
    <n v="270"/>
    <n v="270"/>
    <n v="283.5"/>
    <n v="266.5"/>
    <n v="0"/>
    <x v="27"/>
    <x v="2"/>
    <m/>
    <m/>
    <s v=""/>
    <n v="0.48454545454545456"/>
  </r>
  <r>
    <x v="0"/>
    <x v="2"/>
    <x v="0"/>
    <x v="11"/>
    <m/>
    <m/>
    <s v="RECEIVER_DRIER_ALUMINUM, YK 9094 (Lancer)"/>
    <s v="CA-001127"/>
    <n v="1"/>
    <n v="550"/>
    <m/>
    <n v="550"/>
    <x v="0"/>
    <n v="662"/>
    <n v="280"/>
    <n v="280"/>
    <n v="294"/>
    <n v="256"/>
    <n v="0"/>
    <x v="27"/>
    <x v="2"/>
    <e v="#REF!"/>
    <e v="#REF!"/>
    <s v=""/>
    <n v="0.46545454545454545"/>
  </r>
  <r>
    <x v="2"/>
    <x v="35"/>
    <x v="0"/>
    <x v="8"/>
    <m/>
    <m/>
    <s v="HUB, TOYOTA INNOVA DENSO"/>
    <s v="CA-000733"/>
    <n v="1"/>
    <n v="800"/>
    <m/>
    <n v="800"/>
    <x v="0"/>
    <n v="497"/>
    <n v="270"/>
    <n v="270"/>
    <n v="283.5"/>
    <n v="516.5"/>
    <n v="0"/>
    <x v="62"/>
    <x v="2"/>
    <e v="#REF!"/>
    <e v="#REF!"/>
    <s v=""/>
    <n v="0.645625"/>
  </r>
  <r>
    <x v="3"/>
    <x v="119"/>
    <x v="2"/>
    <x v="22"/>
    <m/>
    <m/>
    <s v="LUBRICANT, EMKARATE RL 68H, 1 LITER"/>
    <s v="GE-000135"/>
    <n v="2"/>
    <n v="380"/>
    <m/>
    <n v="760"/>
    <x v="0"/>
    <n v="331"/>
    <n v="180"/>
    <n v="360"/>
    <n v="378"/>
    <n v="382"/>
    <n v="114.6"/>
    <x v="9"/>
    <x v="1"/>
    <m/>
    <m/>
    <s v=""/>
    <n v="0.50263157894736843"/>
  </r>
  <r>
    <x v="2"/>
    <x v="112"/>
    <x v="0"/>
    <x v="11"/>
    <m/>
    <m/>
    <s v="RECEIVER_DRIER_ALUMINUM, YK 40 X 235 (DMAX)"/>
    <s v="CA-001082"/>
    <n v="1"/>
    <n v="550"/>
    <m/>
    <n v="550"/>
    <x v="0"/>
    <n v="662"/>
    <n v="280"/>
    <n v="280"/>
    <n v="294"/>
    <n v="256"/>
    <n v="0"/>
    <x v="27"/>
    <x v="2"/>
    <e v="#REF!"/>
    <e v="#REF!"/>
    <s v=""/>
    <n v="0.46545454545454545"/>
  </r>
  <r>
    <x v="2"/>
    <x v="112"/>
    <x v="0"/>
    <x v="1"/>
    <m/>
    <m/>
    <s v="CLEANER, AMBER AIRCON LIQUID LYE"/>
    <s v="GE-000251"/>
    <n v="1"/>
    <n v="550"/>
    <m/>
    <n v="550"/>
    <x v="0"/>
    <n v="596"/>
    <n v="270"/>
    <n v="270"/>
    <n v="283.5"/>
    <n v="266.5"/>
    <n v="0"/>
    <x v="35"/>
    <x v="1"/>
    <e v="#REF!"/>
    <e v="#REF!"/>
    <s v=""/>
    <n v="0.48454545454545456"/>
  </r>
  <r>
    <x v="3"/>
    <x v="59"/>
    <x v="1"/>
    <x v="3"/>
    <m/>
    <m/>
    <s v="EXP. VALVE DC,  OVERSIZE "/>
    <s v="CA-001293"/>
    <n v="1"/>
    <n v="700"/>
    <m/>
    <n v="700"/>
    <x v="0"/>
    <n v="588"/>
    <n v="320"/>
    <n v="320"/>
    <n v="336"/>
    <n v="364"/>
    <n v="109.2"/>
    <x v="46"/>
    <x v="2"/>
    <m/>
    <m/>
    <s v=""/>
    <n v="0.52"/>
  </r>
  <r>
    <x v="3"/>
    <x v="72"/>
    <x v="0"/>
    <x v="36"/>
    <m/>
    <n v="700"/>
    <s v="BLOWER_MOTOR, UNIVERSAL DOUBLE SHAFTING (ADVENTURE/REVO) 12V"/>
    <s v="CA-000238"/>
    <n v="1"/>
    <n v="625"/>
    <m/>
    <n v="625"/>
    <x v="0"/>
    <n v="840"/>
    <n v="400"/>
    <n v="400"/>
    <n v="420"/>
    <n v="205"/>
    <n v="0"/>
    <x v="15"/>
    <x v="2"/>
    <m/>
    <m/>
    <n v="700.00000000000011"/>
    <n v="0.32800000000000001"/>
  </r>
  <r>
    <x v="3"/>
    <x v="68"/>
    <x v="1"/>
    <x v="42"/>
    <m/>
    <m/>
    <s v="RECEIVER_DRIER_ALUMINUM, YK 40 X 290 (INNOVA)"/>
    <s v="CA-001083"/>
    <n v="1"/>
    <n v="380"/>
    <m/>
    <n v="380"/>
    <x v="0"/>
    <n v="638"/>
    <n v="270"/>
    <n v="270"/>
    <n v="283.5"/>
    <n v="96.5"/>
    <n v="28.95"/>
    <x v="27"/>
    <x v="2"/>
    <m/>
    <m/>
    <s v=""/>
    <n v="0.25394736842105264"/>
  </r>
  <r>
    <x v="3"/>
    <x v="69"/>
    <x v="0"/>
    <x v="1"/>
    <m/>
    <m/>
    <s v="ELECTRICAL WIRE_STRANDED, POWERFLEX THNN STRANDED   #12, MTR"/>
    <s v="GE-000120"/>
    <n v="10"/>
    <n v="45"/>
    <m/>
    <n v="450"/>
    <x v="0"/>
    <n v="50"/>
    <n v="27"/>
    <n v="270"/>
    <n v="283.5"/>
    <n v="166.5"/>
    <n v="0"/>
    <x v="2"/>
    <x v="1"/>
    <m/>
    <m/>
    <s v=""/>
    <n v="0.37"/>
  </r>
  <r>
    <x v="3"/>
    <x v="74"/>
    <x v="2"/>
    <x v="22"/>
    <m/>
    <m/>
    <s v="BLOWER_MOTOR, UNIVERSAL DOUBLE SHAFTING (ADVENTURE/REVO) 12V"/>
    <s v="CA-000238"/>
    <n v="1"/>
    <n v="550"/>
    <m/>
    <n v="550"/>
    <x v="0"/>
    <n v="840"/>
    <n v="400"/>
    <n v="400"/>
    <n v="420"/>
    <n v="130"/>
    <n v="39"/>
    <x v="15"/>
    <x v="2"/>
    <m/>
    <m/>
    <m/>
    <n v="0.23636363636363636"/>
  </r>
  <r>
    <x v="3"/>
    <x v="123"/>
    <x v="5"/>
    <x v="37"/>
    <m/>
    <m/>
    <s v="ELECTRICAL WIRE_STRANDED, POWERFLEX THNN STRANDED   #12, MTR"/>
    <s v="GE-000120"/>
    <n v="10"/>
    <n v="45"/>
    <m/>
    <n v="450"/>
    <x v="0"/>
    <n v="50"/>
    <n v="27"/>
    <n v="270"/>
    <n v="283.5"/>
    <n v="166.5"/>
    <n v="49.949999999999996"/>
    <x v="2"/>
    <x v="1"/>
    <m/>
    <m/>
    <m/>
    <n v="0.37"/>
  </r>
  <r>
    <x v="3"/>
    <x v="85"/>
    <x v="2"/>
    <x v="22"/>
    <m/>
    <m/>
    <s v="TEMPERATURE_RESISTANCE, HYUNDAI ACCENT 97143"/>
    <s v="CA-001825"/>
    <n v="1"/>
    <n v="700"/>
    <m/>
    <n v="700"/>
    <x v="0"/>
    <n v="699"/>
    <n v="350"/>
    <n v="350"/>
    <n v="367.5"/>
    <n v="332.5"/>
    <n v="99.75"/>
    <x v="32"/>
    <x v="2"/>
    <m/>
    <m/>
    <m/>
    <n v="0.47499999999999998"/>
  </r>
  <r>
    <x v="4"/>
    <x v="102"/>
    <x v="0"/>
    <x v="1"/>
    <m/>
    <m/>
    <s v="ELECTRICAL WIRE_STRANDED, POWERFLEX THNN STRANDED   #12, MTR"/>
    <s v="GE-000120"/>
    <n v="10"/>
    <n v="45"/>
    <m/>
    <n v="450"/>
    <x v="0"/>
    <n v="50"/>
    <n v="27"/>
    <n v="270"/>
    <n v="283.5"/>
    <n v="166.5"/>
    <n v="0"/>
    <x v="2"/>
    <x v="1"/>
    <m/>
    <m/>
    <m/>
    <n v="0.37"/>
  </r>
  <r>
    <x v="4"/>
    <x v="105"/>
    <x v="0"/>
    <x v="1"/>
    <m/>
    <m/>
    <s v="ELECTRICAL WIRE_STRANDED, POWERFLEX THNN STRANDED   #12, MTR"/>
    <s v="GE-000120"/>
    <n v="10"/>
    <n v="45"/>
    <m/>
    <n v="450"/>
    <x v="0"/>
    <n v="50"/>
    <n v="27"/>
    <n v="270"/>
    <n v="283.5"/>
    <n v="166.5"/>
    <n v="0"/>
    <x v="2"/>
    <x v="1"/>
    <m/>
    <m/>
    <m/>
    <n v="0.37"/>
  </r>
  <r>
    <x v="4"/>
    <x v="95"/>
    <x v="0"/>
    <x v="11"/>
    <m/>
    <m/>
    <s v="CLEANER, AMBER AIRCON LIQUID LYE"/>
    <s v="GE-000251"/>
    <n v="1"/>
    <n v="550"/>
    <m/>
    <n v="550"/>
    <x v="0"/>
    <n v="596"/>
    <n v="270"/>
    <n v="270"/>
    <n v="283.5"/>
    <n v="266.5"/>
    <n v="0"/>
    <x v="35"/>
    <x v="1"/>
    <m/>
    <m/>
    <m/>
    <n v="0.48454545454545456"/>
  </r>
  <r>
    <x v="4"/>
    <x v="79"/>
    <x v="1"/>
    <x v="51"/>
    <m/>
    <m/>
    <s v="RECEIVER_DRIER_ALUMINUM, YK 40 X 235 (DMAX)"/>
    <s v="CA-001082"/>
    <n v="1"/>
    <n v="550"/>
    <m/>
    <n v="550"/>
    <x v="0"/>
    <n v="662"/>
    <n v="280"/>
    <n v="280"/>
    <n v="294"/>
    <n v="256"/>
    <n v="76.8"/>
    <x v="27"/>
    <x v="2"/>
    <m/>
    <m/>
    <m/>
    <n v="0.46545454545454545"/>
  </r>
  <r>
    <x v="4"/>
    <x v="80"/>
    <x v="0"/>
    <x v="29"/>
    <m/>
    <m/>
    <s v="ELECTRICAL WIRE_STRANDED, POWERFLEX THNN STRANDED   #12, MTR"/>
    <s v="GE-000120"/>
    <n v="10"/>
    <n v="45"/>
    <m/>
    <n v="450"/>
    <x v="0"/>
    <n v="50"/>
    <n v="27"/>
    <n v="270"/>
    <n v="283.5"/>
    <n v="166.5"/>
    <n v="0"/>
    <x v="2"/>
    <x v="1"/>
    <m/>
    <m/>
    <m/>
    <n v="0.37"/>
  </r>
  <r>
    <x v="4"/>
    <x v="81"/>
    <x v="0"/>
    <x v="28"/>
    <m/>
    <m/>
    <s v="RECEIVER_DRIER_ALUMINUM, YK 40 X 290 (INNOVA)"/>
    <s v="CA-001083"/>
    <n v="1"/>
    <n v="550"/>
    <m/>
    <n v="550"/>
    <x v="0"/>
    <n v="638"/>
    <n v="270"/>
    <n v="270"/>
    <n v="283.5"/>
    <n v="266.5"/>
    <n v="0"/>
    <x v="27"/>
    <x v="2"/>
    <m/>
    <m/>
    <m/>
    <n v="0.48454545454545456"/>
  </r>
  <r>
    <x v="4"/>
    <x v="81"/>
    <x v="0"/>
    <x v="28"/>
    <m/>
    <m/>
    <s v="CLEANER, AMBER AIRCON LIQUID LYE"/>
    <s v="GE-000251"/>
    <n v="1"/>
    <n v="550"/>
    <m/>
    <n v="550"/>
    <x v="0"/>
    <n v="596"/>
    <n v="270"/>
    <n v="270"/>
    <n v="283.5"/>
    <n v="266.5"/>
    <n v="0"/>
    <x v="35"/>
    <x v="1"/>
    <m/>
    <m/>
    <m/>
    <n v="0.48454545454545456"/>
  </r>
  <r>
    <x v="3"/>
    <x v="66"/>
    <x v="0"/>
    <x v="36"/>
    <m/>
    <n v="600"/>
    <s v="EXP. VALVE LT, POKKA 9A129B ACCENT"/>
    <s v="CA-000629"/>
    <n v="1"/>
    <n v="536"/>
    <m/>
    <n v="536"/>
    <x v="0"/>
    <n v="625"/>
    <n v="340"/>
    <n v="340"/>
    <n v="357"/>
    <n v="179"/>
    <n v="0"/>
    <x v="23"/>
    <x v="2"/>
    <m/>
    <m/>
    <n v="600.32000000000005"/>
    <n v="0.33395522388059701"/>
  </r>
  <r>
    <x v="0"/>
    <x v="2"/>
    <x v="0"/>
    <x v="2"/>
    <m/>
    <m/>
    <s v="RUBBER_INSULATION, M-FLEX 3/4&quot; X 3/8"/>
    <s v="IM-000241"/>
    <n v="4"/>
    <n v="100"/>
    <m/>
    <n v="400"/>
    <x v="0"/>
    <n v="94"/>
    <n v="67.2"/>
    <n v="268.8"/>
    <n v="276.86400000000003"/>
    <n v="123.13599999999997"/>
    <n v="0"/>
    <x v="22"/>
    <x v="0"/>
    <m/>
    <m/>
    <s v=""/>
    <n v="0.30783999999999989"/>
  </r>
  <r>
    <x v="1"/>
    <x v="28"/>
    <x v="0"/>
    <x v="24"/>
    <m/>
    <m/>
    <s v="RUBBER_INSULATION, M-FLEX 1/2&quot; 1/4"/>
    <s v="IM-000229"/>
    <n v="8"/>
    <n v="45"/>
    <m/>
    <n v="360"/>
    <x v="0"/>
    <n v="47"/>
    <n v="33.6"/>
    <n v="268.8"/>
    <n v="276.86400000000003"/>
    <n v="83.135999999999967"/>
    <n v="0"/>
    <x v="22"/>
    <x v="0"/>
    <e v="#REF!"/>
    <e v="#REF!"/>
    <e v="#REF!"/>
    <n v="0.23093333333333324"/>
  </r>
  <r>
    <x v="2"/>
    <x v="35"/>
    <x v="0"/>
    <x v="30"/>
    <m/>
    <m/>
    <s v="RUBBER_INSULATION, M-FLEX 1/2&quot; 1/4"/>
    <s v="IM-000229"/>
    <n v="8"/>
    <n v="45"/>
    <m/>
    <n v="360"/>
    <x v="0"/>
    <n v="47"/>
    <n v="33.6"/>
    <n v="268.8"/>
    <n v="276.86400000000003"/>
    <n v="83.135999999999967"/>
    <n v="0"/>
    <x v="22"/>
    <x v="0"/>
    <e v="#REF!"/>
    <e v="#REF!"/>
    <s v=""/>
    <n v="0.23093333333333324"/>
  </r>
  <r>
    <x v="2"/>
    <x v="48"/>
    <x v="0"/>
    <x v="53"/>
    <m/>
    <m/>
    <s v="RUBBER_INSULATION, M-FLEX 1/2&quot; 1/4"/>
    <s v="IM-000229"/>
    <n v="8"/>
    <n v="45"/>
    <m/>
    <n v="360"/>
    <x v="0"/>
    <n v="47"/>
    <n v="33.6"/>
    <n v="268.8"/>
    <n v="276.86400000000003"/>
    <n v="83.135999999999967"/>
    <n v="0"/>
    <x v="22"/>
    <x v="0"/>
    <e v="#REF!"/>
    <e v="#REF!"/>
    <s v=""/>
    <n v="0.23093333333333324"/>
  </r>
  <r>
    <x v="4"/>
    <x v="88"/>
    <x v="0"/>
    <x v="63"/>
    <m/>
    <m/>
    <s v="RUBBER_INSULATION, M-FLEX 3/4&quot; X 3/8"/>
    <s v="IM-000241"/>
    <n v="4"/>
    <n v="100"/>
    <m/>
    <n v="400"/>
    <x v="0"/>
    <n v="94"/>
    <n v="67.2"/>
    <n v="268.8"/>
    <n v="276.86400000000003"/>
    <n v="123.13599999999997"/>
    <n v="0"/>
    <x v="22"/>
    <x v="0"/>
    <m/>
    <m/>
    <m/>
    <n v="0.30783999999999989"/>
  </r>
  <r>
    <x v="4"/>
    <x v="113"/>
    <x v="0"/>
    <x v="63"/>
    <m/>
    <m/>
    <s v="RUBBER_INSULATION, M-FLEX 1/2&quot; 1/4"/>
    <s v="IM-000229"/>
    <n v="8"/>
    <n v="50"/>
    <m/>
    <n v="400"/>
    <x v="0"/>
    <n v="47"/>
    <n v="33.6"/>
    <n v="268.8"/>
    <n v="276.86400000000003"/>
    <n v="123.13599999999997"/>
    <n v="0"/>
    <x v="22"/>
    <x v="0"/>
    <m/>
    <m/>
    <m/>
    <n v="0.30783999999999989"/>
  </r>
  <r>
    <x v="3"/>
    <x v="119"/>
    <x v="4"/>
    <x v="25"/>
    <m/>
    <n v="600"/>
    <s v="EXP. VALVE LT, POKKA 9A129B ACCENT"/>
    <s v="CA-000629"/>
    <n v="1"/>
    <n v="536"/>
    <m/>
    <n v="536"/>
    <x v="0"/>
    <n v="625"/>
    <n v="340"/>
    <n v="340"/>
    <n v="357"/>
    <n v="179"/>
    <n v="53.699999999999996"/>
    <x v="23"/>
    <x v="2"/>
    <m/>
    <m/>
    <n v="600.32000000000005"/>
    <n v="0.33395522388059701"/>
  </r>
  <r>
    <x v="2"/>
    <x v="49"/>
    <x v="0"/>
    <x v="33"/>
    <m/>
    <m/>
    <s v="RUBBER_INSULATION, M-FLEX 3/4&quot; 5/8"/>
    <s v="IM-000331"/>
    <n v="3"/>
    <n v="125"/>
    <m/>
    <n v="375"/>
    <x v="0"/>
    <n v="140"/>
    <n v="100"/>
    <n v="300"/>
    <n v="309"/>
    <n v="66"/>
    <n v="0"/>
    <x v="22"/>
    <x v="0"/>
    <e v="#REF!"/>
    <e v="#REF!"/>
    <s v=""/>
    <n v="0.17599999999999999"/>
  </r>
  <r>
    <x v="0"/>
    <x v="5"/>
    <x v="0"/>
    <x v="70"/>
    <m/>
    <m/>
    <s v="EXP. VALVE LT, POKKA 9A55 HONDA NEW"/>
    <s v="CA-000636"/>
    <n v="1"/>
    <n v="550"/>
    <m/>
    <n v="550"/>
    <x v="0"/>
    <n v="497"/>
    <n v="270"/>
    <n v="270"/>
    <n v="283.5"/>
    <n v="266.5"/>
    <n v="0"/>
    <x v="23"/>
    <x v="2"/>
    <m/>
    <m/>
    <s v=""/>
    <n v="0.48454545454545456"/>
  </r>
  <r>
    <x v="3"/>
    <x v="59"/>
    <x v="1"/>
    <x v="3"/>
    <m/>
    <m/>
    <s v="RECEIVER_DRIER_ALUMINUM, YK 8038 (Civic, CRV)"/>
    <s v="CA-001094"/>
    <n v="1"/>
    <n v="550"/>
    <m/>
    <n v="550"/>
    <x v="0"/>
    <n v="532"/>
    <n v="225"/>
    <n v="225"/>
    <n v="236.25"/>
    <n v="313.75"/>
    <n v="94.125"/>
    <x v="27"/>
    <x v="2"/>
    <m/>
    <m/>
    <s v=""/>
    <n v="0.57045454545454544"/>
  </r>
  <r>
    <x v="3"/>
    <x v="122"/>
    <x v="0"/>
    <x v="36"/>
    <m/>
    <n v="600"/>
    <s v="EXP. VALVE LT, POKKA 9A129B ACCENT"/>
    <s v="CA-000629"/>
    <n v="1"/>
    <n v="538"/>
    <m/>
    <n v="538"/>
    <x v="0"/>
    <n v="625"/>
    <n v="340"/>
    <n v="340"/>
    <n v="357"/>
    <n v="181"/>
    <n v="0"/>
    <x v="23"/>
    <x v="2"/>
    <m/>
    <m/>
    <n v="602.56000000000006"/>
    <n v="0.33643122676579923"/>
  </r>
  <r>
    <x v="3"/>
    <x v="85"/>
    <x v="0"/>
    <x v="36"/>
    <m/>
    <m/>
    <s v="EXP. VALVE LT, POKKA 9A129B ACCENT"/>
    <s v="CA-000629"/>
    <n v="1"/>
    <n v="600"/>
    <m/>
    <n v="600"/>
    <x v="0"/>
    <n v="625"/>
    <n v="340"/>
    <n v="340"/>
    <n v="357"/>
    <n v="243"/>
    <n v="0"/>
    <x v="23"/>
    <x v="2"/>
    <m/>
    <m/>
    <m/>
    <n v="0.40500000000000003"/>
  </r>
  <r>
    <x v="0"/>
    <x v="12"/>
    <x v="0"/>
    <x v="11"/>
    <m/>
    <m/>
    <s v="EXP. VALVE SC, HONDA OVERSIZE / FX R134A"/>
    <s v="CA-000569"/>
    <n v="1"/>
    <n v="500"/>
    <m/>
    <n v="500"/>
    <x v="0"/>
    <n v="478"/>
    <n v="260"/>
    <n v="260"/>
    <n v="273"/>
    <n v="227"/>
    <n v="0"/>
    <x v="34"/>
    <x v="2"/>
    <e v="#REF!"/>
    <e v="#REF!"/>
    <s v=""/>
    <n v="0.45400000000000001"/>
  </r>
  <r>
    <x v="3"/>
    <x v="66"/>
    <x v="2"/>
    <x v="22"/>
    <m/>
    <m/>
    <s v="SYSTEM_CLEANER, Cleanse GREEN 141B 500 ML"/>
    <s v="GE-000369"/>
    <n v="5"/>
    <n v="95"/>
    <m/>
    <n v="475"/>
    <x v="0"/>
    <n v="113"/>
    <n v="65"/>
    <n v="325"/>
    <n v="341.25"/>
    <n v="133.75"/>
    <n v="40.125"/>
    <x v="28"/>
    <x v="1"/>
    <m/>
    <m/>
    <s v=""/>
    <n v="0.28157894736842104"/>
  </r>
  <r>
    <x v="1"/>
    <x v="22"/>
    <x v="9"/>
    <x v="55"/>
    <m/>
    <m/>
    <s v="ELECTRICAL_PANEL, AMERICA NEMA 3R, 2P"/>
    <s v="GE-000418"/>
    <n v="1"/>
    <n v="450"/>
    <m/>
    <n v="450"/>
    <x v="0"/>
    <n v="478"/>
    <n v="260"/>
    <n v="260"/>
    <n v="273"/>
    <n v="177"/>
    <n v="53.1"/>
    <x v="39"/>
    <x v="1"/>
    <e v="#REF!"/>
    <e v="#REF!"/>
    <e v="#REF!"/>
    <n v="0.39333333333333331"/>
  </r>
  <r>
    <x v="1"/>
    <x v="26"/>
    <x v="0"/>
    <x v="72"/>
    <m/>
    <m/>
    <s v="EXP. VALVE SC, MITSUBISHI ORING TYPE 3/8"/>
    <s v="CA-000566"/>
    <n v="1"/>
    <n v="450"/>
    <m/>
    <n v="450"/>
    <x v="0"/>
    <n v="478"/>
    <n v="260"/>
    <n v="260"/>
    <n v="273"/>
    <n v="177"/>
    <n v="0"/>
    <x v="34"/>
    <x v="2"/>
    <e v="#REF!"/>
    <e v="#REF!"/>
    <e v="#REF!"/>
    <n v="0.39333333333333331"/>
  </r>
  <r>
    <x v="1"/>
    <x v="29"/>
    <x v="0"/>
    <x v="23"/>
    <m/>
    <m/>
    <s v="EXP. VALVE LT, POKKA 9A55 HONDA NEW"/>
    <s v="CA-000636"/>
    <n v="1"/>
    <n v="550"/>
    <m/>
    <n v="550"/>
    <x v="0"/>
    <n v="497"/>
    <n v="270"/>
    <n v="270"/>
    <n v="283.5"/>
    <n v="266.5"/>
    <n v="0"/>
    <x v="23"/>
    <x v="2"/>
    <e v="#REF!"/>
    <e v="#REF!"/>
    <e v="#REF!"/>
    <n v="0.48454545454545456"/>
  </r>
  <r>
    <x v="1"/>
    <x v="30"/>
    <x v="0"/>
    <x v="84"/>
    <m/>
    <m/>
    <s v="EXP. VALVE LT, POKKA 9A55 HONDA NEW"/>
    <s v="CA-000636"/>
    <n v="1"/>
    <n v="550"/>
    <m/>
    <n v="550"/>
    <x v="0"/>
    <n v="497"/>
    <n v="270"/>
    <n v="270"/>
    <n v="283.5"/>
    <n v="266.5"/>
    <n v="0"/>
    <x v="23"/>
    <x v="2"/>
    <e v="#REF!"/>
    <e v="#REF!"/>
    <e v="#REF!"/>
    <n v="0.48454545454545456"/>
  </r>
  <r>
    <x v="1"/>
    <x v="30"/>
    <x v="0"/>
    <x v="11"/>
    <m/>
    <m/>
    <s v="EXP. VALVE SC, HONDA OVERSIZE / FX R134A"/>
    <s v="CA-000569"/>
    <n v="1"/>
    <n v="500"/>
    <m/>
    <n v="500"/>
    <x v="0"/>
    <n v="478"/>
    <n v="260"/>
    <n v="260"/>
    <n v="273"/>
    <n v="227"/>
    <n v="0"/>
    <x v="34"/>
    <x v="2"/>
    <e v="#REF!"/>
    <e v="#REF!"/>
    <e v="#REF!"/>
    <n v="0.45400000000000001"/>
  </r>
  <r>
    <x v="1"/>
    <x v="30"/>
    <x v="0"/>
    <x v="11"/>
    <m/>
    <m/>
    <s v="EXP. VALVE LT, POKKA 9A55 HONDA NEW"/>
    <s v="CA-000636"/>
    <n v="1"/>
    <n v="550"/>
    <m/>
    <n v="550"/>
    <x v="0"/>
    <n v="497"/>
    <n v="270"/>
    <n v="270"/>
    <n v="283.5"/>
    <n v="266.5"/>
    <n v="0"/>
    <x v="23"/>
    <x v="2"/>
    <e v="#REF!"/>
    <e v="#REF!"/>
    <e v="#REF!"/>
    <n v="0.48454545454545456"/>
  </r>
  <r>
    <x v="1"/>
    <x v="32"/>
    <x v="0"/>
    <x v="10"/>
    <m/>
    <m/>
    <s v="EXP. VALVE LT, POKKA 9A224 / 9A219 NISSAN JUKE"/>
    <s v="CA-001831"/>
    <n v="1"/>
    <n v="550"/>
    <m/>
    <n v="550"/>
    <x v="0"/>
    <n v="478"/>
    <n v="260"/>
    <n v="260"/>
    <n v="273"/>
    <n v="277"/>
    <n v="0"/>
    <x v="23"/>
    <x v="2"/>
    <e v="#REF!"/>
    <e v="#REF!"/>
    <e v="#REF!"/>
    <n v="0.50363636363636366"/>
  </r>
  <r>
    <x v="2"/>
    <x v="35"/>
    <x v="0"/>
    <x v="11"/>
    <m/>
    <m/>
    <s v="EXP. VALVE LT, POKKA 9A55 HONDA NEW"/>
    <s v="CA-000636"/>
    <n v="1"/>
    <n v="550"/>
    <m/>
    <n v="550"/>
    <x v="0"/>
    <n v="497"/>
    <n v="270"/>
    <n v="270"/>
    <n v="283.5"/>
    <n v="266.5"/>
    <n v="0"/>
    <x v="23"/>
    <x v="2"/>
    <e v="#REF!"/>
    <e v="#REF!"/>
    <s v=""/>
    <n v="0.48454545454545456"/>
  </r>
  <r>
    <x v="2"/>
    <x v="35"/>
    <x v="0"/>
    <x v="70"/>
    <m/>
    <m/>
    <s v="EXP. VALVE LT, BOER 38302 DMAX 05, ALTERA, APV [15Q-15001]"/>
    <s v="CA-000591"/>
    <n v="1"/>
    <n v="650"/>
    <m/>
    <n v="650"/>
    <x v="0"/>
    <n v="478"/>
    <n v="260"/>
    <n v="260"/>
    <n v="273"/>
    <n v="377"/>
    <n v="0"/>
    <x v="23"/>
    <x v="2"/>
    <e v="#REF!"/>
    <e v="#REF!"/>
    <s v=""/>
    <n v="0.57999999999999996"/>
  </r>
  <r>
    <x v="2"/>
    <x v="117"/>
    <x v="5"/>
    <x v="37"/>
    <m/>
    <m/>
    <s v="EXP. VALVE LT, POKKA 9A55 HONDA NEW"/>
    <s v="CA-000636"/>
    <n v="1"/>
    <n v="550"/>
    <m/>
    <n v="550"/>
    <x v="0"/>
    <n v="497"/>
    <n v="270"/>
    <n v="270"/>
    <n v="283.5"/>
    <n v="266.5"/>
    <n v="79.95"/>
    <x v="23"/>
    <x v="2"/>
    <e v="#REF!"/>
    <e v="#REF!"/>
    <s v=""/>
    <n v="0.48454545454545456"/>
  </r>
  <r>
    <x v="3"/>
    <x v="61"/>
    <x v="1"/>
    <x v="3"/>
    <m/>
    <m/>
    <s v="AUXFAN_MOTOR, TOYOTA AVANZA 5251"/>
    <s v="CA-000082"/>
    <n v="1"/>
    <n v="1300"/>
    <m/>
    <n v="1300"/>
    <x v="0"/>
    <n v="1287"/>
    <n v="700"/>
    <n v="700"/>
    <n v="735"/>
    <n v="565"/>
    <n v="169.5"/>
    <x v="14"/>
    <x v="2"/>
    <m/>
    <m/>
    <s v=""/>
    <n v="0.43461538461538463"/>
  </r>
  <r>
    <x v="2"/>
    <x v="37"/>
    <x v="0"/>
    <x v="18"/>
    <m/>
    <m/>
    <s v="EXP. VALVE LT, POKKA 9A233 / 9A60 DMAX 03-11"/>
    <s v="CA-001832"/>
    <n v="1"/>
    <n v="550"/>
    <m/>
    <n v="550"/>
    <x v="0"/>
    <n v="478"/>
    <n v="260"/>
    <n v="260"/>
    <n v="273"/>
    <n v="277"/>
    <n v="0"/>
    <x v="23"/>
    <x v="2"/>
    <e v="#REF!"/>
    <e v="#REF!"/>
    <s v=""/>
    <n v="0.50363636363636366"/>
  </r>
  <r>
    <x v="3"/>
    <x v="66"/>
    <x v="2"/>
    <x v="9"/>
    <m/>
    <m/>
    <s v="EXP. VALVE LT, POKKA 9A172 FORD RANGER 12"/>
    <s v="CA-001385"/>
    <n v="1"/>
    <n v="550"/>
    <m/>
    <n v="550"/>
    <x v="0"/>
    <n v="588"/>
    <n v="320"/>
    <n v="320"/>
    <n v="336"/>
    <n v="214"/>
    <n v="64.2"/>
    <x v="23"/>
    <x v="2"/>
    <m/>
    <m/>
    <s v=""/>
    <n v="0.3890909090909091"/>
  </r>
  <r>
    <x v="2"/>
    <x v="44"/>
    <x v="0"/>
    <x v="8"/>
    <m/>
    <m/>
    <s v="RECEIVER_DRIER_ALUMINUM, YK 3/8 * 3/8 OR"/>
    <s v="CA-001401"/>
    <n v="1"/>
    <n v="450"/>
    <m/>
    <n v="450"/>
    <x v="0"/>
    <n v="615"/>
    <n v="260"/>
    <n v="260"/>
    <n v="273"/>
    <n v="177"/>
    <n v="0"/>
    <x v="27"/>
    <x v="2"/>
    <e v="#REF!"/>
    <e v="#REF!"/>
    <s v=""/>
    <n v="0.39333333333333331"/>
  </r>
  <r>
    <x v="2"/>
    <x v="45"/>
    <x v="0"/>
    <x v="8"/>
    <m/>
    <m/>
    <s v="RECEIVER_DRIER_ALUMINUM, YK 3/8 * 3/8 OR"/>
    <s v="CA-001401"/>
    <n v="1"/>
    <n v="450"/>
    <m/>
    <n v="450"/>
    <x v="0"/>
    <n v="615"/>
    <n v="260"/>
    <n v="260"/>
    <n v="273"/>
    <n v="177"/>
    <n v="0"/>
    <x v="27"/>
    <x v="2"/>
    <e v="#REF!"/>
    <e v="#REF!"/>
    <s v=""/>
    <n v="0.39333333333333331"/>
  </r>
  <r>
    <x v="2"/>
    <x v="45"/>
    <x v="0"/>
    <x v="8"/>
    <m/>
    <m/>
    <s v="EXP. VALVE SC, MITSUBISHI ORING TYPE 3/8"/>
    <s v="CA-000566"/>
    <n v="1"/>
    <n v="450"/>
    <m/>
    <n v="450"/>
    <x v="0"/>
    <n v="478"/>
    <n v="260"/>
    <n v="260"/>
    <n v="273"/>
    <n v="177"/>
    <n v="0"/>
    <x v="34"/>
    <x v="2"/>
    <e v="#REF!"/>
    <e v="#REF!"/>
    <s v=""/>
    <n v="0.39333333333333331"/>
  </r>
  <r>
    <x v="3"/>
    <x v="61"/>
    <x v="1"/>
    <x v="3"/>
    <m/>
    <m/>
    <s v="ROD, NIHONWELD ALUMINUM "/>
    <s v="IM-000100"/>
    <n v="10"/>
    <n v="15"/>
    <m/>
    <n v="150"/>
    <x v="0"/>
    <n v="11"/>
    <n v="7"/>
    <n v="70"/>
    <n v="72.100000000000009"/>
    <n v="77.899999999999991"/>
    <n v="23.369999999999997"/>
    <x v="56"/>
    <x v="0"/>
    <m/>
    <m/>
    <s v=""/>
    <n v="0.51933333333333331"/>
  </r>
  <r>
    <x v="3"/>
    <x v="59"/>
    <x v="2"/>
    <x v="22"/>
    <m/>
    <m/>
    <s v="TAPE_FOAM, AEROTAPE 3MM X 50 MM X 9.1 MTR  04/02/25"/>
    <s v="IM-000332"/>
    <n v="1"/>
    <n v="360"/>
    <m/>
    <n v="360"/>
    <x v="0"/>
    <n v="510"/>
    <n v="330"/>
    <n v="330"/>
    <n v="339.90000000000003"/>
    <n v="20.099999999999966"/>
    <n v="6.0299999999999896"/>
    <x v="25"/>
    <x v="0"/>
    <m/>
    <m/>
    <s v=""/>
    <n v="5.5833333333333242E-2"/>
  </r>
  <r>
    <x v="3"/>
    <x v="61"/>
    <x v="1"/>
    <x v="3"/>
    <m/>
    <m/>
    <s v="FITTINGS, STRAIGHT ORING TYPE 5/16"/>
    <s v="CA-000676"/>
    <n v="1"/>
    <n v="45"/>
    <m/>
    <n v="45"/>
    <x v="0"/>
    <n v="30"/>
    <n v="16"/>
    <n v="16"/>
    <n v="16.8"/>
    <n v="28.2"/>
    <n v="8.4599999999999991"/>
    <x v="33"/>
    <x v="2"/>
    <m/>
    <m/>
    <s v=""/>
    <n v="0.62666666666666671"/>
  </r>
  <r>
    <x v="2"/>
    <x v="54"/>
    <x v="0"/>
    <x v="8"/>
    <m/>
    <m/>
    <s v="EXP. VALVE LT, POKKA 9A60 / 9A233 EXTRAIL"/>
    <s v="CA-001829"/>
    <n v="1"/>
    <n v="550"/>
    <m/>
    <n v="550"/>
    <x v="0"/>
    <n v="478"/>
    <n v="260"/>
    <n v="260"/>
    <n v="273"/>
    <n v="277"/>
    <n v="0"/>
    <x v="23"/>
    <x v="2"/>
    <e v="#REF!"/>
    <e v="#REF!"/>
    <s v=""/>
    <n v="0.50363636363636366"/>
  </r>
  <r>
    <x v="3"/>
    <x v="62"/>
    <x v="1"/>
    <x v="3"/>
    <m/>
    <m/>
    <s v="REFRIGERANT, ENTALPIA EUROPE R134A 13.6   2/7/26"/>
    <s v="GE-000517"/>
    <n v="1"/>
    <n v="8200"/>
    <m/>
    <n v="8200"/>
    <x v="0"/>
    <n v="10489"/>
    <n v="7684"/>
    <n v="7684"/>
    <n v="8068.2000000000007"/>
    <n v="131.79999999999927"/>
    <n v="39.539999999999779"/>
    <x v="5"/>
    <x v="1"/>
    <m/>
    <m/>
    <s v=""/>
    <n v="1.6073170731707227E-2"/>
  </r>
  <r>
    <x v="2"/>
    <x v="55"/>
    <x v="0"/>
    <x v="11"/>
    <m/>
    <m/>
    <s v="EXP. VALVE LT, POKKA 9A55 HONDA NEW"/>
    <s v="CA-000636"/>
    <n v="1"/>
    <n v="550"/>
    <m/>
    <n v="550"/>
    <x v="0"/>
    <n v="497"/>
    <n v="270"/>
    <n v="270"/>
    <n v="283.5"/>
    <n v="266.5"/>
    <n v="0"/>
    <x v="23"/>
    <x v="2"/>
    <e v="#REF!"/>
    <e v="#REF!"/>
    <s v=""/>
    <n v="0.48454545454545456"/>
  </r>
  <r>
    <x v="3"/>
    <x v="101"/>
    <x v="2"/>
    <x v="7"/>
    <m/>
    <n v="550"/>
    <s v="EXP. VALVE LT, POKKA 9A238 SUBARU FORESTER"/>
    <s v="CA-001728"/>
    <n v="1"/>
    <n v="491"/>
    <m/>
    <n v="491"/>
    <x v="0"/>
    <n v="533"/>
    <n v="290"/>
    <n v="290"/>
    <n v="304.5"/>
    <n v="186.5"/>
    <n v="55.949999999999996"/>
    <x v="23"/>
    <x v="2"/>
    <m/>
    <m/>
    <n v="549.92000000000007"/>
    <n v="0.37983706720977595"/>
  </r>
  <r>
    <x v="3"/>
    <x v="62"/>
    <x v="0"/>
    <x v="1"/>
    <m/>
    <m/>
    <s v="EXP. VALVE LT, POKKA 9A60 / 9A233 EXTRAIL"/>
    <s v="CA-001829"/>
    <n v="1"/>
    <n v="550"/>
    <m/>
    <n v="550"/>
    <x v="0"/>
    <n v="478"/>
    <n v="260"/>
    <n v="260"/>
    <n v="273"/>
    <n v="277"/>
    <n v="0"/>
    <x v="23"/>
    <x v="2"/>
    <m/>
    <m/>
    <s v=""/>
    <n v="0.50363636363636366"/>
  </r>
  <r>
    <x v="3"/>
    <x v="64"/>
    <x v="0"/>
    <x v="19"/>
    <m/>
    <m/>
    <s v="ELECTRICAL_PANEL, AMERICA NEMA 3R, 2P"/>
    <s v="GE-000418"/>
    <n v="1"/>
    <n v="450"/>
    <m/>
    <n v="450"/>
    <x v="0"/>
    <n v="478"/>
    <n v="260"/>
    <n v="260"/>
    <n v="273"/>
    <n v="177"/>
    <n v="0"/>
    <x v="39"/>
    <x v="1"/>
    <m/>
    <m/>
    <s v=""/>
    <n v="0.39333333333333331"/>
  </r>
  <r>
    <x v="3"/>
    <x v="64"/>
    <x v="0"/>
    <x v="18"/>
    <m/>
    <n v="120"/>
    <s v="SYSTEM_CLEANER, Cleanse GREEN 141B 500 ML"/>
    <s v="GE-000369"/>
    <n v="4"/>
    <n v="107"/>
    <m/>
    <n v="428"/>
    <x v="0"/>
    <n v="113"/>
    <n v="65"/>
    <n v="260"/>
    <n v="273"/>
    <n v="155"/>
    <n v="0"/>
    <x v="28"/>
    <x v="1"/>
    <m/>
    <m/>
    <n v="119.84000000000002"/>
    <n v="0.36214953271028039"/>
  </r>
  <r>
    <x v="3"/>
    <x v="64"/>
    <x v="0"/>
    <x v="38"/>
    <m/>
    <n v="550"/>
    <s v="EXP. VALVE LT, POKKA 9A224 / 9A219 NISSAN JUKE"/>
    <s v="CA-001831"/>
    <n v="1"/>
    <n v="492"/>
    <m/>
    <n v="492"/>
    <x v="0"/>
    <n v="478"/>
    <n v="260"/>
    <n v="260"/>
    <n v="273"/>
    <n v="219"/>
    <n v="0"/>
    <x v="23"/>
    <x v="2"/>
    <m/>
    <m/>
    <n v="551.04000000000008"/>
    <n v="0.4451219512195122"/>
  </r>
  <r>
    <x v="3"/>
    <x v="85"/>
    <x v="0"/>
    <x v="36"/>
    <m/>
    <m/>
    <s v="RECEIVER_DRIER_ALUMINUM, YK 2020-2 (ERTIGA)"/>
    <s v="CA-001081"/>
    <n v="1"/>
    <n v="550"/>
    <m/>
    <n v="550"/>
    <x v="0"/>
    <n v="662"/>
    <n v="280"/>
    <n v="280"/>
    <n v="294"/>
    <n v="256"/>
    <n v="0"/>
    <x v="27"/>
    <x v="2"/>
    <m/>
    <m/>
    <m/>
    <n v="0.46545454545454545"/>
  </r>
  <r>
    <x v="3"/>
    <x v="66"/>
    <x v="0"/>
    <x v="17"/>
    <m/>
    <m/>
    <s v="EXP. VALVE SC, MITSUBISHI ORING TYPE 3/8"/>
    <s v="CA-000566"/>
    <n v="1"/>
    <n v="450"/>
    <m/>
    <n v="450"/>
    <x v="0"/>
    <n v="478"/>
    <n v="260"/>
    <n v="260"/>
    <n v="273"/>
    <n v="177"/>
    <n v="0"/>
    <x v="34"/>
    <x v="2"/>
    <m/>
    <m/>
    <s v=""/>
    <n v="0.39333333333333331"/>
  </r>
  <r>
    <x v="3"/>
    <x v="66"/>
    <x v="0"/>
    <x v="17"/>
    <m/>
    <m/>
    <s v="EXP. VALVE SC, HONDA OVERSIZE / FX R134A"/>
    <s v="CA-000569"/>
    <n v="1"/>
    <n v="500"/>
    <m/>
    <n v="500"/>
    <x v="0"/>
    <n v="478"/>
    <n v="260"/>
    <n v="260"/>
    <n v="273"/>
    <n v="227"/>
    <n v="0"/>
    <x v="34"/>
    <x v="2"/>
    <m/>
    <m/>
    <s v=""/>
    <n v="0.45400000000000001"/>
  </r>
  <r>
    <x v="3"/>
    <x v="71"/>
    <x v="2"/>
    <x v="7"/>
    <m/>
    <m/>
    <s v="RECEIVER_DRIER_ALUMINUM, YK 40 X 235 (DMAX)"/>
    <s v="CA-001082"/>
    <n v="1"/>
    <n v="550"/>
    <m/>
    <n v="550"/>
    <x v="0"/>
    <n v="662"/>
    <n v="280"/>
    <n v="280"/>
    <n v="294"/>
    <n v="256"/>
    <n v="76.8"/>
    <x v="27"/>
    <x v="2"/>
    <m/>
    <m/>
    <s v=""/>
    <n v="0.46545454545454545"/>
  </r>
  <r>
    <x v="3"/>
    <x v="62"/>
    <x v="1"/>
    <x v="3"/>
    <m/>
    <m/>
    <s v="SYSTEM_CLEANER, Cleanse GREEN 141B 500 ML"/>
    <s v="GE-000369"/>
    <n v="2"/>
    <n v="120"/>
    <m/>
    <n v="240"/>
    <x v="0"/>
    <n v="113"/>
    <n v="65"/>
    <n v="130"/>
    <n v="136.5"/>
    <n v="103.5"/>
    <n v="31.049999999999997"/>
    <x v="28"/>
    <x v="1"/>
    <m/>
    <m/>
    <s v=""/>
    <n v="0.43125000000000002"/>
  </r>
  <r>
    <x v="3"/>
    <x v="66"/>
    <x v="4"/>
    <x v="25"/>
    <m/>
    <n v="550"/>
    <s v="EXP. VALVE LT, POKKA 9A55 HONDA NEW"/>
    <s v="CA-000636"/>
    <n v="1"/>
    <n v="491"/>
    <m/>
    <n v="491"/>
    <x v="0"/>
    <n v="497"/>
    <n v="270"/>
    <n v="270"/>
    <n v="283.5"/>
    <n v="207.5"/>
    <n v="62.25"/>
    <x v="23"/>
    <x v="2"/>
    <m/>
    <m/>
    <n v="549.92000000000007"/>
    <n v="0.42260692464358451"/>
  </r>
  <r>
    <x v="3"/>
    <x v="66"/>
    <x v="0"/>
    <x v="36"/>
    <m/>
    <n v="500"/>
    <s v="RECEIVER_DRIER_ALUMINUM, YK 8742 (CITY 03)"/>
    <s v="CA-001119"/>
    <n v="1"/>
    <n v="446"/>
    <m/>
    <n v="446"/>
    <x v="0"/>
    <n v="615"/>
    <n v="260"/>
    <n v="260"/>
    <n v="273"/>
    <n v="173"/>
    <n v="0"/>
    <x v="27"/>
    <x v="2"/>
    <m/>
    <m/>
    <n v="499.52000000000004"/>
    <n v="0.38789237668161436"/>
  </r>
  <r>
    <x v="3"/>
    <x v="71"/>
    <x v="2"/>
    <x v="7"/>
    <m/>
    <m/>
    <s v="EXP. VALVE LT, POKKA 9A60 / 9A233 EXTRAIL"/>
    <s v="CA-001829"/>
    <n v="1"/>
    <n v="550"/>
    <m/>
    <n v="550"/>
    <x v="0"/>
    <n v="478"/>
    <n v="260"/>
    <n v="260"/>
    <n v="273"/>
    <n v="277"/>
    <n v="83.1"/>
    <x v="23"/>
    <x v="2"/>
    <m/>
    <m/>
    <s v=""/>
    <n v="0"/>
  </r>
  <r>
    <x v="3"/>
    <x v="72"/>
    <x v="0"/>
    <x v="49"/>
    <m/>
    <m/>
    <s v="EXP. VALVE LT, POKKA 9A55 HONDA NEW"/>
    <s v="CA-000636"/>
    <n v="1"/>
    <n v="550"/>
    <m/>
    <n v="550"/>
    <x v="0"/>
    <n v="497"/>
    <n v="270"/>
    <n v="270"/>
    <n v="283.5"/>
    <n v="266.5"/>
    <n v="0"/>
    <x v="23"/>
    <x v="2"/>
    <m/>
    <m/>
    <s v=""/>
    <n v="0.48454545454545456"/>
  </r>
  <r>
    <x v="3"/>
    <x v="72"/>
    <x v="0"/>
    <x v="49"/>
    <m/>
    <m/>
    <s v="SYSTEM_CLEANER, Cleanse GREEN 141B 500 ML"/>
    <s v="GE-000369"/>
    <n v="4"/>
    <n v="120"/>
    <m/>
    <n v="480"/>
    <x v="0"/>
    <n v="113"/>
    <n v="65"/>
    <n v="260"/>
    <n v="273"/>
    <n v="207"/>
    <n v="0"/>
    <x v="28"/>
    <x v="1"/>
    <m/>
    <m/>
    <s v=""/>
    <n v="0.43125000000000002"/>
  </r>
  <r>
    <x v="3"/>
    <x v="64"/>
    <x v="1"/>
    <x v="3"/>
    <m/>
    <n v="900"/>
    <s v="PRESSURE_SWITCH, NISSAN 42CP8-11 (XTRAIL)"/>
    <s v="CA-000857"/>
    <n v="1"/>
    <n v="804"/>
    <m/>
    <n v="804"/>
    <x v="0"/>
    <n v="1050"/>
    <n v="400"/>
    <n v="400"/>
    <n v="420"/>
    <n v="384"/>
    <n v="115.19999999999999"/>
    <x v="47"/>
    <x v="2"/>
    <m/>
    <m/>
    <n v="900.48000000000013"/>
    <n v="0.47761194029850745"/>
  </r>
  <r>
    <x v="3"/>
    <x v="65"/>
    <x v="1"/>
    <x v="3"/>
    <m/>
    <m/>
    <s v="BLOWER_MOTOR, ISUZU GIGA / TRUCK"/>
    <s v="CA-000172"/>
    <n v="1"/>
    <n v="2000"/>
    <m/>
    <n v="2000"/>
    <x v="0"/>
    <n v="2481"/>
    <n v="1350"/>
    <n v="1350"/>
    <n v="1417.5"/>
    <n v="582.5"/>
    <n v="174.75"/>
    <x v="15"/>
    <x v="2"/>
    <m/>
    <m/>
    <s v=""/>
    <n v="0.29125000000000001"/>
  </r>
  <r>
    <x v="3"/>
    <x v="85"/>
    <x v="0"/>
    <x v="11"/>
    <m/>
    <m/>
    <s v="EXP. VALVE LT, POKKA 9A55 HONDA NEW"/>
    <s v="CA-000636"/>
    <n v="1"/>
    <n v="550"/>
    <m/>
    <n v="550"/>
    <x v="0"/>
    <n v="497"/>
    <n v="270"/>
    <n v="270"/>
    <n v="283.5"/>
    <n v="266.5"/>
    <n v="0"/>
    <x v="23"/>
    <x v="2"/>
    <m/>
    <m/>
    <m/>
    <n v="0.48454545454545456"/>
  </r>
  <r>
    <x v="3"/>
    <x v="65"/>
    <x v="1"/>
    <x v="3"/>
    <m/>
    <m/>
    <s v="EXP. VALVE LT, POKKA 9A56 INNOVA F"/>
    <s v="CA-000637"/>
    <n v="1"/>
    <n v="550"/>
    <m/>
    <n v="550"/>
    <x v="0"/>
    <n v="460"/>
    <n v="250"/>
    <n v="250"/>
    <n v="262.5"/>
    <n v="287.5"/>
    <n v="86.25"/>
    <x v="23"/>
    <x v="2"/>
    <m/>
    <m/>
    <s v=""/>
    <n v="0.52272727272727271"/>
  </r>
  <r>
    <x v="3"/>
    <x v="71"/>
    <x v="2"/>
    <x v="7"/>
    <m/>
    <m/>
    <s v="EXP. VALVE LT, POKKA 9A233 / 9A60 DMAX 03-11"/>
    <s v="CA-001832"/>
    <n v="1"/>
    <n v="550"/>
    <m/>
    <n v="550"/>
    <x v="0"/>
    <n v="478"/>
    <n v="260"/>
    <n v="260"/>
    <n v="273"/>
    <n v="277"/>
    <n v="83.1"/>
    <x v="23"/>
    <x v="2"/>
    <m/>
    <m/>
    <s v=""/>
    <n v="0.50363636363636366"/>
  </r>
  <r>
    <x v="4"/>
    <x v="88"/>
    <x v="0"/>
    <x v="8"/>
    <m/>
    <m/>
    <s v="SYSTEM_CLEANER, Cleanse GREEN 141B 500 ML"/>
    <s v="GE-000369"/>
    <n v="4"/>
    <n v="120"/>
    <m/>
    <n v="480"/>
    <x v="0"/>
    <n v="113"/>
    <n v="65"/>
    <n v="260"/>
    <n v="273"/>
    <n v="207"/>
    <n v="0"/>
    <x v="28"/>
    <x v="1"/>
    <m/>
    <m/>
    <m/>
    <n v="0.43125000000000002"/>
  </r>
  <r>
    <x v="4"/>
    <x v="113"/>
    <x v="0"/>
    <x v="83"/>
    <m/>
    <m/>
    <s v="EXP. VALVE LT, POKKA 9A224 / 9A219 NISSAN JUKE"/>
    <s v="CA-001831"/>
    <n v="1"/>
    <n v="550"/>
    <m/>
    <n v="550"/>
    <x v="0"/>
    <n v="478"/>
    <n v="260"/>
    <n v="260"/>
    <n v="273"/>
    <n v="277"/>
    <n v="0"/>
    <x v="23"/>
    <x v="2"/>
    <m/>
    <m/>
    <m/>
    <n v="0.50363636363636366"/>
  </r>
  <r>
    <x v="3"/>
    <x v="66"/>
    <x v="1"/>
    <x v="3"/>
    <m/>
    <m/>
    <s v="LUBRICANT, ND-OIL 8  250 CC (134A),OIL COMPRESSOR"/>
    <s v="GE-000197"/>
    <n v="1"/>
    <n v="200"/>
    <m/>
    <n v="200"/>
    <x v="0"/>
    <n v="188"/>
    <n v="85"/>
    <n v="85"/>
    <n v="89.25"/>
    <n v="110.75"/>
    <n v="33.225000000000001"/>
    <x v="9"/>
    <x v="1"/>
    <m/>
    <m/>
    <s v=""/>
    <n v="0.55374999999999996"/>
  </r>
  <r>
    <x v="3"/>
    <x v="72"/>
    <x v="2"/>
    <x v="7"/>
    <m/>
    <m/>
    <s v="EXP. VALVE SC, MITSUBISHI ORING TYPE 3/8"/>
    <s v="CA-000566"/>
    <n v="1"/>
    <n v="450"/>
    <m/>
    <n v="450"/>
    <x v="0"/>
    <n v="478"/>
    <n v="260"/>
    <n v="260"/>
    <n v="273"/>
    <n v="177"/>
    <n v="53.1"/>
    <x v="34"/>
    <x v="2"/>
    <m/>
    <m/>
    <s v=""/>
    <n v="0.39333333333333331"/>
  </r>
  <r>
    <x v="3"/>
    <x v="74"/>
    <x v="2"/>
    <x v="22"/>
    <m/>
    <m/>
    <s v="PRESSURE_SWITCH, FUJIKOKI UNIVERSAL  R12 BLACK "/>
    <s v="CA-001819"/>
    <n v="3"/>
    <n v="250"/>
    <m/>
    <n v="750"/>
    <x v="0"/>
    <n v="268"/>
    <n v="85"/>
    <n v="255"/>
    <n v="267.75"/>
    <n v="482.25"/>
    <n v="144.67499999999998"/>
    <x v="47"/>
    <x v="2"/>
    <m/>
    <m/>
    <m/>
    <n v="0.64300000000000002"/>
  </r>
  <r>
    <x v="4"/>
    <x v="89"/>
    <x v="0"/>
    <x v="17"/>
    <m/>
    <m/>
    <s v="EXP. VALVE SC, HONDA OVERSIZE / FX R134A"/>
    <s v="CA-000569"/>
    <n v="1"/>
    <n v="500"/>
    <m/>
    <n v="500"/>
    <x v="0"/>
    <n v="478"/>
    <n v="260"/>
    <n v="260"/>
    <n v="273"/>
    <n v="227"/>
    <n v="0"/>
    <x v="34"/>
    <x v="2"/>
    <m/>
    <m/>
    <m/>
    <n v="0.45400000000000001"/>
  </r>
  <r>
    <x v="4"/>
    <x v="92"/>
    <x v="0"/>
    <x v="10"/>
    <m/>
    <m/>
    <s v="RECEIVER_DRIER_ALUMINUM, YK 9091 (Starex)"/>
    <s v="CA-001124"/>
    <n v="1"/>
    <n v="550"/>
    <m/>
    <n v="550"/>
    <x v="0"/>
    <n v="615"/>
    <n v="260"/>
    <n v="260"/>
    <n v="273"/>
    <n v="277"/>
    <n v="0"/>
    <x v="27"/>
    <x v="2"/>
    <m/>
    <m/>
    <m/>
    <n v="0.50363636363636366"/>
  </r>
  <r>
    <x v="4"/>
    <x v="92"/>
    <x v="0"/>
    <x v="10"/>
    <m/>
    <m/>
    <s v="SYSTEM_CLEANER, Cleanse GREEN 141B 500 ML"/>
    <s v="GE-000369"/>
    <n v="4"/>
    <n v="120"/>
    <m/>
    <n v="480"/>
    <x v="0"/>
    <n v="113"/>
    <n v="65"/>
    <n v="260"/>
    <n v="273"/>
    <n v="207"/>
    <n v="0"/>
    <x v="28"/>
    <x v="1"/>
    <m/>
    <m/>
    <m/>
    <n v="0.43125000000000002"/>
  </r>
  <r>
    <x v="3"/>
    <x v="115"/>
    <x v="1"/>
    <x v="3"/>
    <m/>
    <m/>
    <s v="EXP. VALVE DC, MITSUBISHI ORING TYPE 1/2 (ADVENTURE)"/>
    <s v="CA-000561"/>
    <n v="1"/>
    <n v="700"/>
    <m/>
    <n v="700"/>
    <x v="0"/>
    <n v="588"/>
    <n v="320"/>
    <n v="320"/>
    <n v="336"/>
    <n v="364"/>
    <n v="109.2"/>
    <x v="46"/>
    <x v="2"/>
    <m/>
    <m/>
    <s v=""/>
    <n v="0.52"/>
  </r>
  <r>
    <x v="3"/>
    <x v="115"/>
    <x v="1"/>
    <x v="3"/>
    <m/>
    <m/>
    <s v="RECEIVER_DRIER_ALUMINUM, YK 8015 (S) (Lancer)"/>
    <s v="CA-001086"/>
    <n v="1"/>
    <n v="550"/>
    <m/>
    <n v="550"/>
    <x v="0"/>
    <n v="532"/>
    <n v="225"/>
    <n v="225"/>
    <n v="236.25"/>
    <n v="313.75"/>
    <n v="94.125"/>
    <x v="27"/>
    <x v="2"/>
    <m/>
    <m/>
    <s v=""/>
    <n v="0.57045454545454544"/>
  </r>
  <r>
    <x v="4"/>
    <x v="95"/>
    <x v="0"/>
    <x v="11"/>
    <m/>
    <m/>
    <s v="EXP. VALVE LT, POKKA 9A55 HONDA NEW"/>
    <s v="CA-000636"/>
    <n v="1"/>
    <n v="550"/>
    <m/>
    <n v="550"/>
    <x v="0"/>
    <n v="497"/>
    <n v="270"/>
    <n v="270"/>
    <n v="283.5"/>
    <n v="266.5"/>
    <n v="0"/>
    <x v="23"/>
    <x v="2"/>
    <m/>
    <m/>
    <m/>
    <n v="0.48454545454545456"/>
  </r>
  <r>
    <x v="4"/>
    <x v="95"/>
    <x v="0"/>
    <x v="23"/>
    <m/>
    <m/>
    <s v="EXP. VALVE LT, POKKA 9A224 / 9A219 NISSAN JUKE"/>
    <s v="CA-001831"/>
    <n v="1"/>
    <n v="550"/>
    <m/>
    <n v="550"/>
    <x v="0"/>
    <n v="478"/>
    <n v="260"/>
    <n v="260"/>
    <n v="273"/>
    <n v="277"/>
    <n v="0"/>
    <x v="23"/>
    <x v="2"/>
    <m/>
    <m/>
    <m/>
    <n v="0.50363636363636366"/>
  </r>
  <r>
    <x v="3"/>
    <x v="115"/>
    <x v="1"/>
    <x v="3"/>
    <m/>
    <m/>
    <s v="RECEIVER_DRIER_STEEL , MAXX 5/16 (O) 4-HOLES"/>
    <s v="CA-001133"/>
    <n v="1"/>
    <n v="450"/>
    <m/>
    <n v="450"/>
    <x v="0"/>
    <n v="399"/>
    <n v="185"/>
    <n v="185"/>
    <n v="194.25"/>
    <n v="255.75"/>
    <n v="76.724999999999994"/>
    <x v="17"/>
    <x v="2"/>
    <m/>
    <m/>
    <s v=""/>
    <n v="0.56833333333333336"/>
  </r>
  <r>
    <x v="3"/>
    <x v="115"/>
    <x v="1"/>
    <x v="3"/>
    <m/>
    <m/>
    <s v="FITTINGS, STRAIGHT ORING TYPE 5/16"/>
    <s v="CA-000676"/>
    <n v="1"/>
    <n v="45"/>
    <m/>
    <n v="45"/>
    <x v="0"/>
    <n v="30"/>
    <n v="16"/>
    <n v="16"/>
    <n v="16.8"/>
    <n v="28.2"/>
    <n v="8.4599999999999991"/>
    <x v="33"/>
    <x v="2"/>
    <m/>
    <m/>
    <s v=""/>
    <n v="0.62666666666666671"/>
  </r>
  <r>
    <x v="4"/>
    <x v="116"/>
    <x v="0"/>
    <x v="20"/>
    <m/>
    <m/>
    <s v="ELECTRICAL_PANEL, AMERICA NEMA 3R, 2P"/>
    <s v="GE-000418"/>
    <n v="1"/>
    <n v="450"/>
    <m/>
    <n v="450"/>
    <x v="0"/>
    <n v="478"/>
    <n v="260"/>
    <n v="260"/>
    <n v="273"/>
    <n v="177"/>
    <n v="0"/>
    <x v="39"/>
    <x v="1"/>
    <m/>
    <m/>
    <m/>
    <n v="0.39333333333333331"/>
  </r>
  <r>
    <x v="3"/>
    <x v="115"/>
    <x v="1"/>
    <x v="3"/>
    <m/>
    <m/>
    <s v="FITTINGS, STRAIGHT ORING TYPE 5/16"/>
    <s v="CA-000676"/>
    <n v="1"/>
    <n v="45"/>
    <m/>
    <n v="45"/>
    <x v="0"/>
    <n v="30"/>
    <n v="16"/>
    <n v="16"/>
    <n v="16.8"/>
    <n v="28.2"/>
    <n v="8.4599999999999991"/>
    <x v="33"/>
    <x v="2"/>
    <m/>
    <m/>
    <s v=""/>
    <n v="0.62666666666666671"/>
  </r>
  <r>
    <x v="3"/>
    <x v="115"/>
    <x v="1"/>
    <x v="3"/>
    <m/>
    <m/>
    <s v="FITTINGS, STRAIGHT ORING TYPE 5/16"/>
    <s v="CA-000676"/>
    <n v="1"/>
    <n v="40"/>
    <m/>
    <n v="40"/>
    <x v="0"/>
    <n v="30"/>
    <n v="16"/>
    <n v="16"/>
    <n v="16.8"/>
    <n v="23.2"/>
    <n v="6.96"/>
    <x v="33"/>
    <x v="2"/>
    <m/>
    <m/>
    <s v=""/>
    <n v="0.57999999999999996"/>
  </r>
  <r>
    <x v="3"/>
    <x v="118"/>
    <x v="1"/>
    <x v="3"/>
    <m/>
    <m/>
    <s v="RECEIVER_DRIER_ALUMINUM, YK 9096 (EXTRAIL)"/>
    <s v="CA-001128"/>
    <n v="1"/>
    <n v="550"/>
    <m/>
    <n v="550"/>
    <x v="0"/>
    <n v="615"/>
    <n v="260"/>
    <n v="260"/>
    <n v="273"/>
    <n v="277"/>
    <n v="83.1"/>
    <x v="27"/>
    <x v="2"/>
    <m/>
    <m/>
    <s v=""/>
    <n v="0.50363636363636366"/>
  </r>
  <r>
    <x v="4"/>
    <x v="78"/>
    <x v="0"/>
    <x v="11"/>
    <m/>
    <m/>
    <s v="EXP. VALVE SC, HONDA OVERSIZE / FX R134A"/>
    <s v="CA-000569"/>
    <n v="1"/>
    <n v="450"/>
    <m/>
    <n v="450"/>
    <x v="0"/>
    <n v="478"/>
    <n v="260"/>
    <n v="260"/>
    <n v="273"/>
    <n v="177"/>
    <n v="0"/>
    <x v="34"/>
    <x v="2"/>
    <m/>
    <m/>
    <m/>
    <n v="0.39333333333333331"/>
  </r>
  <r>
    <x v="4"/>
    <x v="80"/>
    <x v="0"/>
    <x v="8"/>
    <m/>
    <m/>
    <s v="RECEIVER_DRIER_ALUMINUM, YK 8742 (CITY 03)"/>
    <s v="CA-001119"/>
    <n v="1"/>
    <n v="550"/>
    <m/>
    <n v="550"/>
    <x v="0"/>
    <n v="615"/>
    <n v="260"/>
    <n v="260"/>
    <n v="273"/>
    <n v="277"/>
    <n v="0"/>
    <x v="27"/>
    <x v="2"/>
    <m/>
    <m/>
    <m/>
    <n v="0.50363636363636366"/>
  </r>
  <r>
    <x v="4"/>
    <x v="80"/>
    <x v="0"/>
    <x v="8"/>
    <m/>
    <m/>
    <s v="SYSTEM_CLEANER, Cleanse GREEN 141B 500 ML"/>
    <s v="GE-000369"/>
    <n v="4"/>
    <n v="120"/>
    <m/>
    <n v="480"/>
    <x v="0"/>
    <n v="113"/>
    <n v="65"/>
    <n v="260"/>
    <n v="273"/>
    <n v="207"/>
    <n v="0"/>
    <x v="28"/>
    <x v="1"/>
    <m/>
    <m/>
    <m/>
    <n v="0.43125000000000002"/>
  </r>
  <r>
    <x v="4"/>
    <x v="80"/>
    <x v="0"/>
    <x v="8"/>
    <m/>
    <m/>
    <s v="EXP. VALVE SC, MITSUBISHI ORING TYPE 3/8"/>
    <s v="CA-000566"/>
    <n v="1"/>
    <n v="450"/>
    <m/>
    <n v="450"/>
    <x v="0"/>
    <n v="478"/>
    <n v="260"/>
    <n v="260"/>
    <n v="273"/>
    <n v="177"/>
    <n v="0"/>
    <x v="34"/>
    <x v="2"/>
    <m/>
    <m/>
    <m/>
    <n v="0.39333333333333331"/>
  </r>
  <r>
    <x v="3"/>
    <x v="61"/>
    <x v="2"/>
    <x v="96"/>
    <m/>
    <n v="550"/>
    <s v="EXP. VALVE LT, POKKA 9A56 INNOVA F"/>
    <s v="CA-000637"/>
    <n v="1"/>
    <n v="491"/>
    <m/>
    <n v="491"/>
    <x v="0"/>
    <n v="460"/>
    <n v="250"/>
    <n v="250"/>
    <n v="262.5"/>
    <n v="228.5"/>
    <n v="68.55"/>
    <x v="23"/>
    <x v="2"/>
    <m/>
    <m/>
    <n v="549.92000000000007"/>
    <n v="0.46537678207739308"/>
  </r>
  <r>
    <x v="4"/>
    <x v="104"/>
    <x v="0"/>
    <x v="11"/>
    <m/>
    <m/>
    <s v="EXP. VALVE LT, POKKA 9A55 HONDA NEW"/>
    <s v="CA-000636"/>
    <n v="1"/>
    <n v="550"/>
    <m/>
    <n v="550"/>
    <x v="0"/>
    <n v="497"/>
    <n v="270"/>
    <n v="270"/>
    <n v="283.5"/>
    <n v="266.5"/>
    <n v="0"/>
    <x v="23"/>
    <x v="2"/>
    <m/>
    <m/>
    <m/>
    <n v="0.48454545454545456"/>
  </r>
  <r>
    <x v="4"/>
    <x v="104"/>
    <x v="0"/>
    <x v="1"/>
    <m/>
    <m/>
    <s v="ELECTRICAL_PANEL, AMERICA NEMA 3R, 2P"/>
    <s v="GE-000418"/>
    <n v="1"/>
    <n v="500"/>
    <m/>
    <n v="500"/>
    <x v="0"/>
    <n v="478"/>
    <n v="260"/>
    <n v="260"/>
    <n v="273"/>
    <n v="227"/>
    <n v="0"/>
    <x v="39"/>
    <x v="1"/>
    <m/>
    <m/>
    <m/>
    <n v="0.45400000000000001"/>
  </r>
  <r>
    <x v="4"/>
    <x v="82"/>
    <x v="0"/>
    <x v="83"/>
    <m/>
    <m/>
    <s v="EXP. VALVE LT, POKKA 9A60 / 9A233 EXTRAIL"/>
    <s v="CA-001829"/>
    <n v="1"/>
    <n v="550"/>
    <m/>
    <n v="550"/>
    <x v="0"/>
    <n v="478"/>
    <n v="260"/>
    <n v="260"/>
    <n v="273"/>
    <n v="277"/>
    <n v="0"/>
    <x v="23"/>
    <x v="2"/>
    <e v="#REF!"/>
    <e v="#REF!"/>
    <e v="#REF!"/>
    <n v="0"/>
  </r>
  <r>
    <x v="5"/>
    <x v="126"/>
    <x v="0"/>
    <x v="120"/>
    <m/>
    <m/>
    <s v="RECEIVER_DRIER_STEEL , MAXX 5116 (L300 F/B)"/>
    <s v="CA-001134"/>
    <n v="1"/>
    <n v="600"/>
    <m/>
    <n v="600"/>
    <x v="0"/>
    <n v="686"/>
    <n v="290"/>
    <n v="290"/>
    <n v="304.5"/>
    <n v="295.5"/>
    <n v="0"/>
    <x v="17"/>
    <x v="2"/>
    <e v="#REF!"/>
    <e v="#REF!"/>
    <s v=""/>
    <n v="0.49249999999999999"/>
  </r>
  <r>
    <x v="5"/>
    <x v="126"/>
    <x v="0"/>
    <x v="17"/>
    <m/>
    <m/>
    <s v="TAPE_FOAM, AEROTAPE 3MM X 50 MM X 9.1 MTR  04/02/25"/>
    <s v="IM-000332"/>
    <n v="1"/>
    <n v="380"/>
    <m/>
    <n v="380"/>
    <x v="0"/>
    <n v="510"/>
    <n v="330"/>
    <n v="330"/>
    <n v="339.90000000000003"/>
    <n v="40.099999999999966"/>
    <n v="0"/>
    <x v="25"/>
    <x v="0"/>
    <e v="#REF!"/>
    <e v="#REF!"/>
    <s v=""/>
    <n v="0.10552631578947359"/>
  </r>
  <r>
    <x v="5"/>
    <x v="126"/>
    <x v="0"/>
    <x v="1"/>
    <m/>
    <m/>
    <s v="MAPP_GAS, COOLIB (ISHABELLA) TORCH GAS"/>
    <s v="IM-000317"/>
    <n v="1"/>
    <n v="380"/>
    <m/>
    <n v="380"/>
    <x v="0"/>
    <n v="451"/>
    <n v="250"/>
    <n v="250"/>
    <n v="257.5"/>
    <n v="122.5"/>
    <n v="0"/>
    <x v="45"/>
    <x v="0"/>
    <e v="#REF!"/>
    <e v="#REF!"/>
    <s v=""/>
    <n v="0.32236842105263158"/>
  </r>
  <r>
    <x v="0"/>
    <x v="98"/>
    <x v="0"/>
    <x v="70"/>
    <m/>
    <m/>
    <s v="RECEIVER_DRIER_ALUMINUM, YK 8021 (ALTIS)"/>
    <s v="CA-001090"/>
    <n v="1"/>
    <n v="550"/>
    <m/>
    <n v="550"/>
    <x v="0"/>
    <n v="603"/>
    <n v="255"/>
    <n v="255"/>
    <n v="267.75"/>
    <n v="282.25"/>
    <n v="0"/>
    <x v="27"/>
    <x v="2"/>
    <m/>
    <m/>
    <s v=""/>
    <n v="0.51318181818181818"/>
  </r>
  <r>
    <x v="1"/>
    <x v="24"/>
    <x v="0"/>
    <x v="70"/>
    <m/>
    <m/>
    <s v="RECEIVER_DRIER_ALUMINUM, YK 8021 (ALTIS)"/>
    <s v="CA-001090"/>
    <n v="1"/>
    <n v="550"/>
    <m/>
    <n v="550"/>
    <x v="0"/>
    <n v="603"/>
    <n v="255"/>
    <n v="255"/>
    <n v="267.75"/>
    <n v="282.25"/>
    <n v="0"/>
    <x v="27"/>
    <x v="2"/>
    <e v="#REF!"/>
    <e v="#REF!"/>
    <e v="#REF!"/>
    <n v="0.51318181818181818"/>
  </r>
  <r>
    <x v="3"/>
    <x v="61"/>
    <x v="2"/>
    <x v="96"/>
    <m/>
    <n v="550"/>
    <s v="EXP. VALVE LT, POKKA 9A57 INNOVA R"/>
    <s v="CA-000638"/>
    <n v="1"/>
    <n v="491"/>
    <m/>
    <n v="491"/>
    <x v="0"/>
    <n v="460"/>
    <n v="250"/>
    <n v="250"/>
    <n v="262.5"/>
    <n v="228.5"/>
    <n v="68.55"/>
    <x v="23"/>
    <x v="2"/>
    <m/>
    <m/>
    <n v="549.92000000000007"/>
    <n v="0.46537678207739308"/>
  </r>
  <r>
    <x v="2"/>
    <x v="36"/>
    <x v="0"/>
    <x v="121"/>
    <m/>
    <n v="17500"/>
    <s v="COMPRESSOR, TOYOTA ALTIS 11 1.8 DENSO ORIG"/>
    <s v="CA-001822"/>
    <n v="1"/>
    <n v="17230"/>
    <m/>
    <n v="17230"/>
    <x v="0"/>
    <n v="26644"/>
    <n v="14500"/>
    <n v="14500"/>
    <n v="15225"/>
    <n v="2005"/>
    <n v="0"/>
    <x v="7"/>
    <x v="2"/>
    <e v="#REF!"/>
    <e v="#REF!"/>
    <n v="19297.600000000002"/>
    <n v="0.116366802089379"/>
  </r>
  <r>
    <x v="0"/>
    <x v="1"/>
    <x v="0"/>
    <x v="1"/>
    <m/>
    <m/>
    <s v="ELECTRICAL WIRE_STRANDED, POWERFLEX THNN STRANDED   #14, MTR"/>
    <s v="GE-000122"/>
    <n v="12"/>
    <n v="28"/>
    <m/>
    <n v="336"/>
    <x v="0"/>
    <n v="39"/>
    <n v="21"/>
    <n v="252"/>
    <n v="264.60000000000002"/>
    <n v="71.399999999999977"/>
    <n v="0"/>
    <x v="2"/>
    <x v="1"/>
    <m/>
    <m/>
    <s v=""/>
    <n v="0.21249999999999994"/>
  </r>
  <r>
    <x v="0"/>
    <x v="0"/>
    <x v="0"/>
    <x v="62"/>
    <m/>
    <m/>
    <s v="MAPP_GAS, TURBO GAS (Winterpine) TORCH GAS"/>
    <s v="IM-000311"/>
    <n v="1"/>
    <n v="380"/>
    <m/>
    <n v="380"/>
    <x v="0"/>
    <n v="451"/>
    <n v="250"/>
    <n v="250"/>
    <n v="257.5"/>
    <n v="122.5"/>
    <n v="0"/>
    <x v="45"/>
    <x v="0"/>
    <m/>
    <m/>
    <m/>
    <n v="0.32236842105263158"/>
  </r>
  <r>
    <x v="0"/>
    <x v="47"/>
    <x v="0"/>
    <x v="35"/>
    <m/>
    <m/>
    <s v="MAPP_GAS, TURBO GAS (Winterpine) TORCH GAS"/>
    <s v="IM-000311"/>
    <n v="1"/>
    <n v="380"/>
    <m/>
    <n v="380"/>
    <x v="0"/>
    <n v="451"/>
    <n v="250"/>
    <n v="250"/>
    <n v="257.5"/>
    <n v="122.5"/>
    <n v="0"/>
    <x v="45"/>
    <x v="0"/>
    <m/>
    <m/>
    <s v=""/>
    <n v="0.32236842105263158"/>
  </r>
  <r>
    <x v="0"/>
    <x v="9"/>
    <x v="0"/>
    <x v="1"/>
    <m/>
    <m/>
    <s v="MAPP_GAS, TURBO GAS (Winterpine) TORCH GAS"/>
    <s v="IM-000311"/>
    <n v="1"/>
    <n v="380"/>
    <m/>
    <n v="380"/>
    <x v="0"/>
    <n v="451"/>
    <n v="250"/>
    <n v="250"/>
    <n v="257.5"/>
    <n v="122.5"/>
    <n v="0"/>
    <x v="45"/>
    <x v="0"/>
    <e v="#REF!"/>
    <e v="#REF!"/>
    <s v=""/>
    <n v="0.32236842105263158"/>
  </r>
  <r>
    <x v="3"/>
    <x v="66"/>
    <x v="0"/>
    <x v="36"/>
    <m/>
    <n v="550"/>
    <s v="EXP. VALVE LT, POKKA 9A56 INNOVA F"/>
    <s v="CA-000637"/>
    <n v="1"/>
    <n v="491"/>
    <m/>
    <n v="491"/>
    <x v="0"/>
    <n v="460"/>
    <n v="250"/>
    <n v="250"/>
    <n v="262.5"/>
    <n v="228.5"/>
    <n v="0"/>
    <x v="23"/>
    <x v="2"/>
    <m/>
    <m/>
    <n v="549.92000000000007"/>
    <n v="0.46537678207739308"/>
  </r>
  <r>
    <x v="1"/>
    <x v="17"/>
    <x v="0"/>
    <x v="15"/>
    <m/>
    <m/>
    <s v="MAPP_GAS, TURBO GAS (Winterpine) TORCH GAS"/>
    <s v="IM-000311"/>
    <n v="1"/>
    <n v="370"/>
    <m/>
    <n v="370"/>
    <x v="0"/>
    <n v="451"/>
    <n v="250"/>
    <n v="250"/>
    <n v="257.5"/>
    <n v="112.5"/>
    <n v="0"/>
    <x v="45"/>
    <x v="0"/>
    <e v="#REF!"/>
    <e v="#REF!"/>
    <s v=""/>
    <n v="0.30405405405405406"/>
  </r>
  <r>
    <x v="1"/>
    <x v="21"/>
    <x v="0"/>
    <x v="6"/>
    <m/>
    <m/>
    <s v="MAPP_GAS, TURBO GAS (Winterpine) TORCH GAS"/>
    <s v="IM-000311"/>
    <n v="1"/>
    <n v="370"/>
    <m/>
    <n v="370"/>
    <x v="0"/>
    <n v="451"/>
    <n v="250"/>
    <n v="250"/>
    <n v="257.5"/>
    <n v="112.5"/>
    <n v="0"/>
    <x v="45"/>
    <x v="0"/>
    <e v="#REF!"/>
    <e v="#REF!"/>
    <e v="#REF!"/>
    <n v="0.30405405405405406"/>
  </r>
  <r>
    <x v="1"/>
    <x v="22"/>
    <x v="0"/>
    <x v="1"/>
    <m/>
    <m/>
    <s v="MAPP_GAS, TURBO GAS (Winterpine) TORCH GAS"/>
    <s v="IM-000311"/>
    <n v="1"/>
    <n v="370"/>
    <m/>
    <n v="370"/>
    <x v="0"/>
    <n v="451"/>
    <n v="250"/>
    <n v="250"/>
    <n v="257.5"/>
    <n v="112.5"/>
    <n v="0"/>
    <x v="45"/>
    <x v="0"/>
    <e v="#REF!"/>
    <e v="#REF!"/>
    <e v="#REF!"/>
    <n v="0.30405405405405406"/>
  </r>
  <r>
    <x v="3"/>
    <x v="74"/>
    <x v="2"/>
    <x v="22"/>
    <m/>
    <m/>
    <s v="EXP. VALVE LT, POKKA 9A57 INNOVA R"/>
    <s v="CA-000638"/>
    <n v="1"/>
    <n v="420"/>
    <m/>
    <n v="420"/>
    <x v="0"/>
    <n v="460"/>
    <n v="250"/>
    <n v="250"/>
    <n v="262.5"/>
    <n v="157.5"/>
    <n v="47.25"/>
    <x v="23"/>
    <x v="2"/>
    <m/>
    <m/>
    <m/>
    <n v="0.375"/>
  </r>
  <r>
    <x v="1"/>
    <x v="25"/>
    <x v="0"/>
    <x v="20"/>
    <m/>
    <m/>
    <s v="MAPP_GAS, TURBO GAS (Winterpine) TORCH GAS"/>
    <s v="IM-000311"/>
    <n v="1"/>
    <n v="380"/>
    <m/>
    <n v="380"/>
    <x v="0"/>
    <n v="451"/>
    <n v="250"/>
    <n v="250"/>
    <n v="257.5"/>
    <n v="122.5"/>
    <n v="0"/>
    <x v="45"/>
    <x v="0"/>
    <e v="#REF!"/>
    <e v="#REF!"/>
    <e v="#REF!"/>
    <n v="0.32236842105263158"/>
  </r>
  <r>
    <x v="1"/>
    <x v="26"/>
    <x v="0"/>
    <x v="2"/>
    <m/>
    <m/>
    <s v="MAPP_GAS, TURBO GAS (Winterpine) TORCH GAS"/>
    <s v="IM-000311"/>
    <n v="1"/>
    <n v="380"/>
    <m/>
    <n v="380"/>
    <x v="0"/>
    <n v="451"/>
    <n v="250"/>
    <n v="250"/>
    <n v="257.5"/>
    <n v="122.5"/>
    <n v="0"/>
    <x v="45"/>
    <x v="0"/>
    <e v="#REF!"/>
    <e v="#REF!"/>
    <e v="#REF!"/>
    <n v="0.32236842105263158"/>
  </r>
  <r>
    <x v="3"/>
    <x v="66"/>
    <x v="2"/>
    <x v="22"/>
    <m/>
    <n v="180"/>
    <s v="SILICA_GEL, STAL LONG"/>
    <s v="CA-001637"/>
    <n v="10"/>
    <n v="165"/>
    <m/>
    <n v="1650"/>
    <x v="0"/>
    <n v="50"/>
    <n v="25"/>
    <n v="250"/>
    <n v="262.5"/>
    <n v="1387.5"/>
    <n v="416.25"/>
    <x v="37"/>
    <x v="2"/>
    <m/>
    <m/>
    <n v="184.8"/>
    <n v="0.84090909090909094"/>
  </r>
  <r>
    <x v="3"/>
    <x v="119"/>
    <x v="1"/>
    <x v="3"/>
    <m/>
    <n v="2100"/>
    <s v="EVAPORATOR, NISSAN NAVARRA 2015 /TERRA/ CALIBRE 16  (STAL)"/>
    <s v="CA-001659"/>
    <n v="1"/>
    <n v="1875"/>
    <m/>
    <n v="1875"/>
    <x v="0"/>
    <n v="2205"/>
    <n v="1200"/>
    <n v="1200"/>
    <n v="1260"/>
    <n v="615"/>
    <n v="184.5"/>
    <x v="10"/>
    <x v="2"/>
    <m/>
    <m/>
    <n v="2100"/>
    <n v="0.32800000000000001"/>
  </r>
  <r>
    <x v="1"/>
    <x v="32"/>
    <x v="0"/>
    <x v="23"/>
    <m/>
    <m/>
    <s v="EXP. VALVE LT,  6E19 XTRAIL CELERIO, TRAILBLAZER"/>
    <s v="CA-000570"/>
    <n v="1"/>
    <n v="550"/>
    <m/>
    <n v="550"/>
    <x v="0"/>
    <n v="460"/>
    <n v="250"/>
    <n v="250"/>
    <n v="262.5"/>
    <n v="287.5"/>
    <n v="0"/>
    <x v="23"/>
    <x v="2"/>
    <e v="#REF!"/>
    <e v="#REF!"/>
    <e v="#REF!"/>
    <n v="0.52272727272727271"/>
  </r>
  <r>
    <x v="3"/>
    <x v="71"/>
    <x v="2"/>
    <x v="7"/>
    <m/>
    <m/>
    <s v="EXP. VALVE SC, MITSUBISHI ORING TYPE 5/16"/>
    <s v="CA-000567"/>
    <n v="1"/>
    <n v="450"/>
    <m/>
    <n v="450"/>
    <x v="0"/>
    <n v="386"/>
    <n v="210"/>
    <n v="210"/>
    <n v="220.5"/>
    <n v="229.5"/>
    <n v="68.849999999999994"/>
    <x v="34"/>
    <x v="2"/>
    <m/>
    <m/>
    <s v=""/>
    <n v="0"/>
  </r>
  <r>
    <x v="3"/>
    <x v="59"/>
    <x v="2"/>
    <x v="22"/>
    <m/>
    <n v="220"/>
    <s v="CABIN_FILTER, TOYOTA VIOS"/>
    <s v="CA-001295"/>
    <n v="2"/>
    <n v="200"/>
    <m/>
    <n v="400"/>
    <x v="0"/>
    <n v="315"/>
    <n v="100"/>
    <n v="200"/>
    <n v="210"/>
    <n v="190"/>
    <n v="57"/>
    <x v="12"/>
    <x v="2"/>
    <m/>
    <m/>
    <n v="224.00000000000003"/>
    <n v="0.47499999999999998"/>
  </r>
  <r>
    <x v="2"/>
    <x v="37"/>
    <x v="0"/>
    <x v="11"/>
    <m/>
    <m/>
    <s v="RECEIVER_DRIER_ALUMINUM, YK 8015 (L) (Adventure)"/>
    <s v="CA-001085"/>
    <n v="1"/>
    <n v="550"/>
    <m/>
    <n v="550"/>
    <x v="0"/>
    <n v="615"/>
    <n v="260"/>
    <n v="260"/>
    <n v="273"/>
    <n v="277"/>
    <n v="0"/>
    <x v="27"/>
    <x v="2"/>
    <e v="#REF!"/>
    <e v="#REF!"/>
    <s v=""/>
    <n v="0.50363636363636366"/>
  </r>
  <r>
    <x v="2"/>
    <x v="38"/>
    <x v="0"/>
    <x v="49"/>
    <m/>
    <m/>
    <s v="EXP. VALVE LT, DENSO 1650 6D25 FUSION, LANCER, URVAN [B-38234]"/>
    <s v="CA-000612"/>
    <n v="1"/>
    <n v="550"/>
    <m/>
    <n v="550"/>
    <x v="0"/>
    <n v="460"/>
    <n v="250"/>
    <n v="250"/>
    <n v="262.5"/>
    <n v="287.5"/>
    <n v="0"/>
    <x v="23"/>
    <x v="2"/>
    <e v="#REF!"/>
    <e v="#REF!"/>
    <s v=""/>
    <n v="0.52272727272727271"/>
  </r>
  <r>
    <x v="3"/>
    <x v="119"/>
    <x v="1"/>
    <x v="3"/>
    <m/>
    <n v="1900"/>
    <s v="EVAPORATOR, MITSUBISHI MONTERO 2008 (F) (STAL)"/>
    <s v="CA-001744"/>
    <n v="1"/>
    <n v="1696"/>
    <m/>
    <n v="1696"/>
    <x v="0"/>
    <n v="1930"/>
    <n v="1050"/>
    <n v="1050"/>
    <n v="1102.5"/>
    <n v="593.5"/>
    <n v="178.04999999999998"/>
    <x v="10"/>
    <x v="2"/>
    <m/>
    <m/>
    <n v="1899.5200000000002"/>
    <n v="0.34994103773584906"/>
  </r>
  <r>
    <x v="3"/>
    <x v="119"/>
    <x v="2"/>
    <x v="22"/>
    <m/>
    <n v="220"/>
    <s v="CABIN_FILTER, HYUNDAI ACCENT 2013"/>
    <s v="CA-001681"/>
    <n v="2"/>
    <n v="200"/>
    <m/>
    <n v="400"/>
    <x v="0"/>
    <n v="315"/>
    <n v="100"/>
    <n v="200"/>
    <n v="210"/>
    <n v="190"/>
    <n v="57"/>
    <x v="12"/>
    <x v="2"/>
    <m/>
    <m/>
    <n v="224.00000000000003"/>
    <n v="0.47499999999999998"/>
  </r>
  <r>
    <x v="2"/>
    <x v="48"/>
    <x v="0"/>
    <x v="1"/>
    <m/>
    <m/>
    <s v="EXP. VALVE LT, POKKA 9A67 KIA MAGENTIS, OPTIMA"/>
    <s v="CA-001473"/>
    <n v="1"/>
    <n v="550"/>
    <m/>
    <n v="550"/>
    <x v="0"/>
    <n v="460"/>
    <n v="250"/>
    <n v="250"/>
    <n v="262.5"/>
    <n v="287.5"/>
    <n v="0"/>
    <x v="23"/>
    <x v="2"/>
    <e v="#REF!"/>
    <e v="#REF!"/>
    <s v=""/>
    <n v="0.52272727272727271"/>
  </r>
  <r>
    <x v="2"/>
    <x v="49"/>
    <x v="0"/>
    <x v="122"/>
    <m/>
    <m/>
    <s v="MAPP_GAS, COOLIB (ISHABELLA) TORCH GAS"/>
    <s v="IM-000317"/>
    <n v="1"/>
    <n v="380"/>
    <m/>
    <n v="380"/>
    <x v="0"/>
    <n v="451"/>
    <n v="250"/>
    <n v="250"/>
    <n v="257.5"/>
    <n v="122.5"/>
    <n v="0"/>
    <x v="45"/>
    <x v="0"/>
    <e v="#REF!"/>
    <e v="#REF!"/>
    <s v=""/>
    <n v="0.32236842105263158"/>
  </r>
  <r>
    <x v="2"/>
    <x v="50"/>
    <x v="0"/>
    <x v="49"/>
    <m/>
    <m/>
    <s v="EXP. VALVE LT, POKKA 9A67 KIA MAGENTIS, OPTIMA"/>
    <s v="CA-001473"/>
    <n v="1"/>
    <n v="550"/>
    <m/>
    <n v="550"/>
    <x v="0"/>
    <n v="460"/>
    <n v="250"/>
    <n v="250"/>
    <n v="262.5"/>
    <n v="287.5"/>
    <n v="0"/>
    <x v="23"/>
    <x v="2"/>
    <e v="#REF!"/>
    <e v="#REF!"/>
    <s v=""/>
    <n v="0.52272727272727271"/>
  </r>
  <r>
    <x v="3"/>
    <x v="87"/>
    <x v="0"/>
    <x v="36"/>
    <m/>
    <m/>
    <s v="CABIN_FILTER, HYUNDAI TUCSON 2008"/>
    <s v="CA-001686"/>
    <n v="2"/>
    <n v="300"/>
    <m/>
    <n v="600"/>
    <x v="0"/>
    <n v="315"/>
    <n v="100"/>
    <n v="200"/>
    <n v="210"/>
    <n v="390"/>
    <n v="0"/>
    <x v="12"/>
    <x v="2"/>
    <m/>
    <m/>
    <m/>
    <n v="0.65"/>
  </r>
  <r>
    <x v="2"/>
    <x v="54"/>
    <x v="0"/>
    <x v="10"/>
    <m/>
    <m/>
    <s v="EXP. VALVE LT, POKKA 9A67 KIA MAGENTIS, OPTIMA"/>
    <s v="CA-001473"/>
    <n v="1"/>
    <n v="550"/>
    <m/>
    <n v="550"/>
    <x v="0"/>
    <n v="460"/>
    <n v="250"/>
    <n v="250"/>
    <n v="262.5"/>
    <n v="287.5"/>
    <n v="0"/>
    <x v="23"/>
    <x v="2"/>
    <e v="#REF!"/>
    <e v="#REF!"/>
    <s v=""/>
    <n v="0.52272727272727271"/>
  </r>
  <r>
    <x v="3"/>
    <x v="70"/>
    <x v="1"/>
    <x v="3"/>
    <m/>
    <m/>
    <s v="SYSTEM_CLEANER, Cleanse GREEN 141B 500 ML"/>
    <s v="GE-000369"/>
    <n v="4"/>
    <n v="120"/>
    <m/>
    <n v="480"/>
    <x v="0"/>
    <n v="113"/>
    <n v="65"/>
    <n v="260"/>
    <n v="273"/>
    <n v="207"/>
    <n v="62.099999999999994"/>
    <x v="28"/>
    <x v="1"/>
    <m/>
    <m/>
    <s v=""/>
    <n v="0.43125000000000002"/>
  </r>
  <r>
    <x v="3"/>
    <x v="60"/>
    <x v="0"/>
    <x v="1"/>
    <m/>
    <m/>
    <s v="MAPP_GAS, COOLIB (ISHABELLA) TORCH GAS"/>
    <s v="IM-000317"/>
    <n v="1"/>
    <n v="380"/>
    <m/>
    <n v="380"/>
    <x v="0"/>
    <n v="451"/>
    <n v="250"/>
    <n v="250"/>
    <n v="257.5"/>
    <n v="122.5"/>
    <n v="0"/>
    <x v="45"/>
    <x v="0"/>
    <m/>
    <m/>
    <s v=""/>
    <n v="0.32236842105263158"/>
  </r>
  <r>
    <x v="3"/>
    <x v="115"/>
    <x v="0"/>
    <x v="1"/>
    <m/>
    <m/>
    <s v="MAPP_GAS, MAP PRO TORCH GAS"/>
    <s v="IM-000218"/>
    <n v="1"/>
    <n v="380"/>
    <m/>
    <n v="380"/>
    <x v="0"/>
    <n v="451"/>
    <n v="250"/>
    <n v="250"/>
    <n v="257.5"/>
    <n v="122.5"/>
    <n v="0"/>
    <x v="45"/>
    <x v="0"/>
    <m/>
    <m/>
    <s v=""/>
    <n v="0.32236842105263158"/>
  </r>
  <r>
    <x v="3"/>
    <x v="72"/>
    <x v="1"/>
    <x v="3"/>
    <m/>
    <m/>
    <s v="EVAPORATOR, SUZUKI APV"/>
    <s v="CA-000527"/>
    <n v="1"/>
    <n v="2200"/>
    <m/>
    <n v="2200"/>
    <x v="0"/>
    <n v="2481"/>
    <n v="1350"/>
    <n v="1350"/>
    <n v="1417.5"/>
    <n v="782.5"/>
    <n v="234.75"/>
    <x v="10"/>
    <x v="2"/>
    <m/>
    <m/>
    <s v=""/>
    <n v="0.35568181818181815"/>
  </r>
  <r>
    <x v="3"/>
    <x v="87"/>
    <x v="0"/>
    <x v="49"/>
    <m/>
    <m/>
    <s v="MAPP_GAS, MAP PRO TORCH GAS"/>
    <s v="IM-000218"/>
    <n v="1"/>
    <n v="380"/>
    <m/>
    <n v="380"/>
    <x v="0"/>
    <n v="451"/>
    <n v="250"/>
    <n v="250"/>
    <n v="257.5"/>
    <n v="122.5"/>
    <n v="0"/>
    <x v="45"/>
    <x v="0"/>
    <m/>
    <m/>
    <m/>
    <n v="0.32236842105263158"/>
  </r>
  <r>
    <x v="3"/>
    <x v="66"/>
    <x v="4"/>
    <x v="25"/>
    <m/>
    <n v="120"/>
    <s v="SYSTEM_CLEANER, Cleanse GREEN 141B 500 ML"/>
    <s v="GE-000369"/>
    <n v="3"/>
    <n v="107"/>
    <m/>
    <n v="321"/>
    <x v="0"/>
    <n v="113"/>
    <n v="65"/>
    <n v="195"/>
    <n v="204.75"/>
    <n v="116.25"/>
    <n v="34.875"/>
    <x v="28"/>
    <x v="1"/>
    <m/>
    <m/>
    <n v="119.84000000000002"/>
    <n v="0.36214953271028039"/>
  </r>
  <r>
    <x v="4"/>
    <x v="108"/>
    <x v="0"/>
    <x v="35"/>
    <m/>
    <m/>
    <s v="MAPP_GAS, COOLIB (ISHABELLA) TORCH GAS"/>
    <s v="IM-000317"/>
    <n v="1"/>
    <n v="380"/>
    <m/>
    <n v="380"/>
    <x v="0"/>
    <n v="451"/>
    <n v="250"/>
    <n v="250"/>
    <n v="257.5"/>
    <n v="122.5"/>
    <n v="0"/>
    <x v="45"/>
    <x v="0"/>
    <m/>
    <m/>
    <m/>
    <n v="0.32236842105263158"/>
  </r>
  <r>
    <x v="4"/>
    <x v="89"/>
    <x v="0"/>
    <x v="123"/>
    <m/>
    <m/>
    <s v="MAPP_GAS, MAP PRO TORCH GAS"/>
    <s v="IM-000218"/>
    <n v="1"/>
    <n v="380"/>
    <m/>
    <n v="380"/>
    <x v="0"/>
    <n v="451"/>
    <n v="250"/>
    <n v="250"/>
    <n v="257.5"/>
    <n v="122.5"/>
    <n v="0"/>
    <x v="45"/>
    <x v="0"/>
    <m/>
    <m/>
    <m/>
    <n v="0.32236842105263158"/>
  </r>
  <r>
    <x v="4"/>
    <x v="89"/>
    <x v="0"/>
    <x v="17"/>
    <m/>
    <m/>
    <s v="MAPP_GAS, MAP PRO TORCH GAS"/>
    <s v="IM-000218"/>
    <n v="1"/>
    <n v="380"/>
    <m/>
    <n v="380"/>
    <x v="0"/>
    <n v="451"/>
    <n v="250"/>
    <n v="250"/>
    <n v="257.5"/>
    <n v="122.5"/>
    <n v="0"/>
    <x v="45"/>
    <x v="0"/>
    <m/>
    <m/>
    <m/>
    <n v="0.32236842105263158"/>
  </r>
  <r>
    <x v="3"/>
    <x v="72"/>
    <x v="2"/>
    <x v="7"/>
    <m/>
    <m/>
    <s v="RECEIVER_DRIER_STEEL , MAXX 3/8 (O) 4-HOLES"/>
    <s v="CA-001132"/>
    <n v="1"/>
    <n v="450"/>
    <m/>
    <n v="450"/>
    <x v="0"/>
    <n v="399"/>
    <n v="185"/>
    <n v="185"/>
    <n v="194.25"/>
    <n v="255.75"/>
    <n v="76.724999999999994"/>
    <x v="17"/>
    <x v="2"/>
    <m/>
    <m/>
    <s v=""/>
    <n v="0.56833333333333336"/>
  </r>
  <r>
    <x v="4"/>
    <x v="90"/>
    <x v="0"/>
    <x v="58"/>
    <m/>
    <m/>
    <s v="RECEIVER_DRIER_STEEL , MAXX 880048 (H100)"/>
    <s v="CA-001289"/>
    <n v="1"/>
    <n v="400"/>
    <m/>
    <n v="400"/>
    <x v="0"/>
    <n v="591"/>
    <n v="250"/>
    <n v="250"/>
    <n v="262.5"/>
    <n v="137.5"/>
    <n v="0"/>
    <x v="17"/>
    <x v="2"/>
    <m/>
    <m/>
    <m/>
    <n v="0.34375"/>
  </r>
  <r>
    <x v="4"/>
    <x v="110"/>
    <x v="0"/>
    <x v="72"/>
    <m/>
    <m/>
    <s v="EXP. VALVE LT, POKKA 9A214 MAZDA 3"/>
    <s v="CA-000633"/>
    <n v="1"/>
    <n v="550"/>
    <m/>
    <n v="550"/>
    <x v="0"/>
    <n v="460"/>
    <n v="250"/>
    <n v="250"/>
    <n v="262.5"/>
    <n v="287.5"/>
    <n v="0"/>
    <x v="23"/>
    <x v="2"/>
    <m/>
    <m/>
    <m/>
    <n v="0.52272727272727271"/>
  </r>
  <r>
    <x v="4"/>
    <x v="110"/>
    <x v="0"/>
    <x v="103"/>
    <m/>
    <m/>
    <s v="BRACKET , GB 1HP, STAINLESS STEEL FLOOR"/>
    <s v="IM-000009"/>
    <n v="1"/>
    <n v="460"/>
    <m/>
    <n v="460"/>
    <x v="0"/>
    <n v="451"/>
    <n v="250"/>
    <n v="250"/>
    <n v="257.5"/>
    <n v="202.5"/>
    <n v="0"/>
    <x v="1"/>
    <x v="0"/>
    <m/>
    <m/>
    <m/>
    <n v="0.44021739130434784"/>
  </r>
  <r>
    <x v="4"/>
    <x v="116"/>
    <x v="0"/>
    <x v="63"/>
    <m/>
    <m/>
    <s v="MAPP_GAS, MAP PRO TORCH GAS"/>
    <s v="IM-000218"/>
    <n v="1"/>
    <n v="380"/>
    <m/>
    <n v="380"/>
    <x v="0"/>
    <n v="451"/>
    <n v="250"/>
    <n v="250"/>
    <n v="257.5"/>
    <n v="122.5"/>
    <n v="0"/>
    <x v="45"/>
    <x v="0"/>
    <m/>
    <m/>
    <m/>
    <n v="0.32236842105263158"/>
  </r>
  <r>
    <x v="4"/>
    <x v="103"/>
    <x v="0"/>
    <x v="11"/>
    <m/>
    <m/>
    <s v="RECEIVER_DRIER_ALUMINUM, YK 8739 (L) (MONTERO BIG)"/>
    <s v="CA-001117"/>
    <n v="1"/>
    <n v="550"/>
    <m/>
    <n v="550"/>
    <x v="0"/>
    <n v="591"/>
    <n v="250"/>
    <n v="250"/>
    <n v="262.5"/>
    <n v="287.5"/>
    <n v="0"/>
    <x v="27"/>
    <x v="2"/>
    <m/>
    <m/>
    <m/>
    <n v="0.52272727272727271"/>
  </r>
  <r>
    <x v="3"/>
    <x v="66"/>
    <x v="2"/>
    <x v="22"/>
    <m/>
    <m/>
    <s v="LUBRICANT, EMKARATE RL 68H, 1 LITER"/>
    <s v="GE-000135"/>
    <n v="1"/>
    <n v="380"/>
    <m/>
    <n v="380"/>
    <x v="0"/>
    <n v="331"/>
    <n v="180"/>
    <n v="180"/>
    <n v="189"/>
    <n v="191"/>
    <n v="57.3"/>
    <x v="9"/>
    <x v="1"/>
    <m/>
    <m/>
    <s v=""/>
    <n v="0.50263157894736843"/>
  </r>
  <r>
    <x v="3"/>
    <x v="59"/>
    <x v="2"/>
    <x v="22"/>
    <m/>
    <n v="300"/>
    <s v="CABIN_FILTER, NISSAN NAVARRA 2011"/>
    <s v="CA-001710"/>
    <n v="1"/>
    <n v="270"/>
    <m/>
    <n v="270"/>
    <x v="0"/>
    <n v="473"/>
    <n v="150"/>
    <n v="150"/>
    <n v="157.5"/>
    <n v="112.5"/>
    <n v="33.75"/>
    <x v="12"/>
    <x v="2"/>
    <m/>
    <m/>
    <n v="302.40000000000003"/>
    <n v="0.41666666666666669"/>
  </r>
  <r>
    <x v="4"/>
    <x v="82"/>
    <x v="0"/>
    <x v="83"/>
    <m/>
    <m/>
    <s v="RECEIVER_DRIER_ALUMINUM, YK 9096 (EXTRAIL)"/>
    <s v="CA-001128"/>
    <n v="1"/>
    <n v="550"/>
    <m/>
    <n v="550"/>
    <x v="0"/>
    <n v="615"/>
    <n v="260"/>
    <n v="260"/>
    <n v="273"/>
    <n v="277"/>
    <n v="0"/>
    <x v="27"/>
    <x v="2"/>
    <e v="#REF!"/>
    <e v="#REF!"/>
    <e v="#REF!"/>
    <n v="0"/>
  </r>
  <r>
    <x v="3"/>
    <x v="72"/>
    <x v="1"/>
    <x v="3"/>
    <m/>
    <m/>
    <s v="EXP. VALVE LT, POKKA 9A55 HONDA NEW"/>
    <s v="CA-000636"/>
    <n v="1"/>
    <n v="550"/>
    <m/>
    <n v="550"/>
    <x v="0"/>
    <n v="497"/>
    <n v="270"/>
    <n v="270"/>
    <n v="283.5"/>
    <n v="266.5"/>
    <n v="79.95"/>
    <x v="23"/>
    <x v="2"/>
    <m/>
    <m/>
    <s v=""/>
    <n v="0.48454545454545456"/>
  </r>
  <r>
    <x v="3"/>
    <x v="72"/>
    <x v="1"/>
    <x v="3"/>
    <m/>
    <m/>
    <s v="EXP. VALVE SC, HONDA OVERSIZE / FX R134A"/>
    <s v="CA-000569"/>
    <n v="1"/>
    <n v="500"/>
    <m/>
    <n v="500"/>
    <x v="0"/>
    <n v="478"/>
    <n v="260"/>
    <n v="260"/>
    <n v="273"/>
    <n v="227"/>
    <n v="68.099999999999994"/>
    <x v="34"/>
    <x v="2"/>
    <m/>
    <m/>
    <s v=""/>
    <n v="0.45400000000000001"/>
  </r>
  <r>
    <x v="5"/>
    <x v="126"/>
    <x v="0"/>
    <x v="1"/>
    <m/>
    <m/>
    <s v="RUBBER_INSULATION, M-FLEX 1/2&quot; 1/2"/>
    <s v="IM-000227"/>
    <n v="5"/>
    <n v="50"/>
    <m/>
    <n v="250"/>
    <x v="0"/>
    <n v="65"/>
    <n v="46.4"/>
    <n v="232"/>
    <n v="238.96"/>
    <n v="11.039999999999992"/>
    <n v="0"/>
    <x v="22"/>
    <x v="0"/>
    <e v="#REF!"/>
    <e v="#REF!"/>
    <s v=""/>
    <n v="4.415999999999997E-2"/>
  </r>
  <r>
    <x v="3"/>
    <x v="74"/>
    <x v="1"/>
    <x v="3"/>
    <m/>
    <m/>
    <s v="REFRIGERANT, ENTALPIA EUROPE R134A 13.6   4/8/26 NBO"/>
    <s v="GE-000510"/>
    <n v="1"/>
    <n v="8300"/>
    <m/>
    <n v="8300"/>
    <x v="0"/>
    <n v="0"/>
    <n v="0"/>
    <n v="0"/>
    <n v="0"/>
    <n v="8300"/>
    <n v="2490"/>
    <x v="13"/>
    <x v="3"/>
    <m/>
    <m/>
    <m/>
    <n v="1"/>
  </r>
  <r>
    <x v="3"/>
    <x v="64"/>
    <x v="2"/>
    <x v="7"/>
    <m/>
    <m/>
    <s v="FITTINGS, STRAIGHT FLARE TYPE 1/2"/>
    <s v="CA-000671"/>
    <n v="10"/>
    <n v="40"/>
    <m/>
    <n v="400"/>
    <x v="0"/>
    <n v="30"/>
    <n v="16"/>
    <n v="160"/>
    <n v="168"/>
    <n v="232"/>
    <n v="69.599999999999994"/>
    <x v="33"/>
    <x v="2"/>
    <m/>
    <m/>
    <s v=""/>
    <n v="0.57999999999999996"/>
  </r>
  <r>
    <x v="4"/>
    <x v="77"/>
    <x v="0"/>
    <x v="8"/>
    <m/>
    <m/>
    <s v="HOSE, COOLMATE 5/8 SUNCTION PER FT"/>
    <s v="GE-000181"/>
    <n v="6"/>
    <n v="95"/>
    <m/>
    <n v="570"/>
    <x v="0"/>
    <n v="83"/>
    <n v="45"/>
    <n v="270"/>
    <n v="283.5"/>
    <n v="286.5"/>
    <n v="0"/>
    <x v="19"/>
    <x v="1"/>
    <e v="#REF!"/>
    <e v="#REF!"/>
    <e v="#REF!"/>
    <n v="0"/>
  </r>
  <r>
    <x v="1"/>
    <x v="76"/>
    <x v="0"/>
    <x v="58"/>
    <m/>
    <m/>
    <s v="RECEIVER_DRIER_ALUMINUM, YK 8748 (SENTRA)"/>
    <s v="CA-001120"/>
    <n v="1"/>
    <n v="500"/>
    <m/>
    <n v="500"/>
    <x v="0"/>
    <n v="579"/>
    <n v="245"/>
    <n v="245"/>
    <n v="257.25"/>
    <n v="242.75"/>
    <n v="0"/>
    <x v="27"/>
    <x v="2"/>
    <e v="#REF!"/>
    <e v="#REF!"/>
    <s v=""/>
    <n v="0.48549999999999999"/>
  </r>
  <r>
    <x v="3"/>
    <x v="64"/>
    <x v="2"/>
    <x v="7"/>
    <m/>
    <m/>
    <s v="FITTINGS, STRAIGHT ORING TYPE 1/2"/>
    <s v="CA-000674"/>
    <n v="10"/>
    <n v="40"/>
    <m/>
    <n v="400"/>
    <x v="0"/>
    <n v="30"/>
    <n v="16"/>
    <n v="160"/>
    <n v="168"/>
    <n v="232"/>
    <n v="69.599999999999994"/>
    <x v="33"/>
    <x v="2"/>
    <m/>
    <m/>
    <s v=""/>
    <n v="0.57999999999999996"/>
  </r>
  <r>
    <x v="3"/>
    <x v="119"/>
    <x v="1"/>
    <x v="60"/>
    <m/>
    <m/>
    <s v="ELECTRICAL WIRE_STRANDED, POWERFLEX THNN STRANDED   #12, MTR"/>
    <s v="GE-000120"/>
    <n v="9"/>
    <n v="45"/>
    <m/>
    <n v="405"/>
    <x v="0"/>
    <n v="50"/>
    <n v="27"/>
    <n v="243"/>
    <n v="255.15"/>
    <n v="149.85"/>
    <n v="44.954999999999998"/>
    <x v="2"/>
    <x v="1"/>
    <m/>
    <m/>
    <s v=""/>
    <n v="0.37"/>
  </r>
  <r>
    <x v="3"/>
    <x v="59"/>
    <x v="2"/>
    <x v="22"/>
    <m/>
    <m/>
    <s v="TAPE, EVER SEAL CORK TAPE"/>
    <s v="GE-000344"/>
    <n v="1"/>
    <n v="250"/>
    <m/>
    <n v="250"/>
    <x v="0"/>
    <n v="226"/>
    <n v="130"/>
    <n v="130"/>
    <n v="136.5"/>
    <n v="113.5"/>
    <n v="34.049999999999997"/>
    <x v="41"/>
    <x v="1"/>
    <m/>
    <m/>
    <s v=""/>
    <n v="0.45400000000000001"/>
  </r>
  <r>
    <x v="0"/>
    <x v="2"/>
    <x v="0"/>
    <x v="11"/>
    <m/>
    <m/>
    <s v="EXP. VALVE LT,  EX-10142 KIA CARNIVAL, H100, EVEREST [B-38218]"/>
    <s v="CA-000572"/>
    <n v="1"/>
    <n v="550"/>
    <m/>
    <n v="550"/>
    <x v="0"/>
    <n v="441"/>
    <n v="240"/>
    <n v="240"/>
    <n v="252"/>
    <n v="298"/>
    <n v="0"/>
    <x v="23"/>
    <x v="2"/>
    <m/>
    <m/>
    <s v=""/>
    <n v="0.54181818181818187"/>
  </r>
  <r>
    <x v="0"/>
    <x v="3"/>
    <x v="0"/>
    <x v="23"/>
    <m/>
    <m/>
    <s v="EXP. VALVE LT, POKKA 9A56 INNOVA F"/>
    <s v="CA-000637"/>
    <n v="1"/>
    <n v="550"/>
    <m/>
    <n v="550"/>
    <x v="0"/>
    <n v="460"/>
    <n v="250"/>
    <n v="250"/>
    <n v="262.5"/>
    <n v="287.5"/>
    <n v="0"/>
    <x v="23"/>
    <x v="2"/>
    <m/>
    <m/>
    <s v=""/>
    <n v="0.52272727272727271"/>
  </r>
  <r>
    <x v="0"/>
    <x v="3"/>
    <x v="0"/>
    <x v="23"/>
    <m/>
    <m/>
    <s v="EXP. VALVE LT, POKKA 9A57 INNOVA R"/>
    <s v="CA-000638"/>
    <n v="1"/>
    <n v="550"/>
    <m/>
    <n v="550"/>
    <x v="0"/>
    <n v="460"/>
    <n v="250"/>
    <n v="250"/>
    <n v="262.5"/>
    <n v="287.5"/>
    <n v="0"/>
    <x v="23"/>
    <x v="2"/>
    <m/>
    <m/>
    <s v=""/>
    <n v="0.52272727272727271"/>
  </r>
  <r>
    <x v="3"/>
    <x v="62"/>
    <x v="2"/>
    <x v="7"/>
    <m/>
    <n v="260"/>
    <s v="TAPE, EVER SEAL CORK TAPE"/>
    <s v="GE-000344"/>
    <n v="1"/>
    <n v="232"/>
    <m/>
    <n v="232"/>
    <x v="0"/>
    <n v="226"/>
    <n v="130"/>
    <n v="130"/>
    <n v="136.5"/>
    <n v="95.5"/>
    <n v="28.65"/>
    <x v="41"/>
    <x v="1"/>
    <m/>
    <m/>
    <n v="259.84000000000003"/>
    <n v="0.41163793103448276"/>
  </r>
  <r>
    <x v="3"/>
    <x v="62"/>
    <x v="2"/>
    <x v="9"/>
    <m/>
    <m/>
    <s v="FERULLE,  1/2&quot;"/>
    <s v="CA-000644"/>
    <n v="20"/>
    <n v="15"/>
    <m/>
    <n v="300"/>
    <x v="0"/>
    <n v="13"/>
    <n v="7"/>
    <n v="140"/>
    <n v="147"/>
    <n v="153"/>
    <n v="45.9"/>
    <x v="42"/>
    <x v="2"/>
    <m/>
    <m/>
    <s v=""/>
    <n v="0.51"/>
  </r>
  <r>
    <x v="3"/>
    <x v="62"/>
    <x v="2"/>
    <x v="9"/>
    <m/>
    <m/>
    <s v="FERULLE,  5/8&quot;"/>
    <s v="CA-000646"/>
    <n v="20"/>
    <n v="15"/>
    <m/>
    <n v="300"/>
    <x v="0"/>
    <n v="13"/>
    <n v="7"/>
    <n v="140"/>
    <n v="147"/>
    <n v="153"/>
    <n v="45.9"/>
    <x v="42"/>
    <x v="2"/>
    <m/>
    <m/>
    <s v=""/>
    <n v="0.51"/>
  </r>
  <r>
    <x v="0"/>
    <x v="9"/>
    <x v="0"/>
    <x v="17"/>
    <m/>
    <m/>
    <s v="EXP. VALVE LT, POKKA 9A56 INNOVA F"/>
    <s v="CA-000637"/>
    <n v="1"/>
    <n v="550"/>
    <m/>
    <n v="550"/>
    <x v="0"/>
    <n v="460"/>
    <n v="250"/>
    <n v="250"/>
    <n v="262.5"/>
    <n v="287.5"/>
    <n v="0"/>
    <x v="23"/>
    <x v="2"/>
    <e v="#REF!"/>
    <e v="#REF!"/>
    <s v=""/>
    <n v="0.52272727272727271"/>
  </r>
  <r>
    <x v="0"/>
    <x v="9"/>
    <x v="0"/>
    <x v="17"/>
    <m/>
    <m/>
    <s v="EXP. VALVE LT, POKKA 9A57 INNOVA R"/>
    <s v="CA-000638"/>
    <n v="1"/>
    <n v="550"/>
    <m/>
    <n v="550"/>
    <x v="0"/>
    <n v="460"/>
    <n v="250"/>
    <n v="250"/>
    <n v="262.5"/>
    <n v="287.5"/>
    <n v="0"/>
    <x v="23"/>
    <x v="2"/>
    <e v="#REF!"/>
    <e v="#REF!"/>
    <s v=""/>
    <n v="0.52272727272727271"/>
  </r>
  <r>
    <x v="0"/>
    <x v="10"/>
    <x v="0"/>
    <x v="11"/>
    <m/>
    <m/>
    <s v="EXP. VALVE LT, POKKA 9A56 INNOVA F"/>
    <s v="CA-000637"/>
    <n v="1"/>
    <n v="550"/>
    <m/>
    <n v="550"/>
    <x v="0"/>
    <n v="460"/>
    <n v="250"/>
    <n v="250"/>
    <n v="262.5"/>
    <n v="287.5"/>
    <n v="0"/>
    <x v="23"/>
    <x v="2"/>
    <e v="#REF!"/>
    <e v="#REF!"/>
    <s v=""/>
    <n v="0.52272727272727271"/>
  </r>
  <r>
    <x v="1"/>
    <x v="124"/>
    <x v="0"/>
    <x v="1"/>
    <m/>
    <m/>
    <s v="ROYAL CORD, BOSTON 4-CORE, #14 1.25 MM, PER METER"/>
    <s v="GE-000463"/>
    <n v="3"/>
    <n v="160"/>
    <m/>
    <n v="480"/>
    <x v="0"/>
    <n v="160"/>
    <n v="80"/>
    <n v="240"/>
    <n v="252"/>
    <n v="228"/>
    <n v="0"/>
    <x v="48"/>
    <x v="1"/>
    <e v="#REF!"/>
    <e v="#REF!"/>
    <s v=""/>
    <n v="0.47499999999999998"/>
  </r>
  <r>
    <x v="3"/>
    <x v="64"/>
    <x v="2"/>
    <x v="7"/>
    <m/>
    <m/>
    <s v="FERULLE,  1/2&quot;"/>
    <s v="CA-000644"/>
    <n v="20"/>
    <n v="15"/>
    <m/>
    <n v="300"/>
    <x v="0"/>
    <n v="13"/>
    <n v="7"/>
    <n v="140"/>
    <n v="147"/>
    <n v="153"/>
    <n v="45.9"/>
    <x v="42"/>
    <x v="2"/>
    <m/>
    <m/>
    <s v=""/>
    <n v="0.51"/>
  </r>
  <r>
    <x v="1"/>
    <x v="21"/>
    <x v="0"/>
    <x v="8"/>
    <m/>
    <m/>
    <s v="EXP. VALVE LT, POKKA 9A56 INNOVA F"/>
    <s v="CA-000637"/>
    <n v="1"/>
    <n v="550"/>
    <m/>
    <n v="550"/>
    <x v="0"/>
    <n v="460"/>
    <n v="250"/>
    <n v="250"/>
    <n v="262.5"/>
    <n v="287.5"/>
    <n v="0"/>
    <x v="23"/>
    <x v="2"/>
    <e v="#REF!"/>
    <e v="#REF!"/>
    <e v="#REF!"/>
    <n v="0.52272727272727271"/>
  </r>
  <r>
    <x v="3"/>
    <x v="74"/>
    <x v="1"/>
    <x v="3"/>
    <m/>
    <n v="2000"/>
    <s v="EVAPORATOR, TOYOTA INNOVA OLD (R) JBE-0102X (STAL)"/>
    <s v="CA-001634"/>
    <n v="1"/>
    <n v="1786"/>
    <m/>
    <n v="1786"/>
    <x v="0"/>
    <n v="1470"/>
    <n v="800"/>
    <n v="800"/>
    <n v="840"/>
    <n v="946"/>
    <n v="283.8"/>
    <x v="10"/>
    <x v="2"/>
    <m/>
    <m/>
    <m/>
    <n v="0.52967525195968646"/>
  </r>
  <r>
    <x v="1"/>
    <x v="109"/>
    <x v="0"/>
    <x v="124"/>
    <m/>
    <m/>
    <s v="GAUGE, BOX  CT-466G LO"/>
    <s v="TL-000063"/>
    <n v="1"/>
    <n v="500"/>
    <m/>
    <n v="500"/>
    <x v="0"/>
    <n v="441"/>
    <n v="240"/>
    <n v="240"/>
    <n v="252"/>
    <n v="248"/>
    <n v="0"/>
    <x v="63"/>
    <x v="4"/>
    <e v="#REF!"/>
    <e v="#REF!"/>
    <e v="#REF!"/>
    <n v="0.496"/>
  </r>
  <r>
    <x v="1"/>
    <x v="25"/>
    <x v="0"/>
    <x v="11"/>
    <m/>
    <m/>
    <s v="EXP. VALVE LT, POKKA 9A57 INNOVA R"/>
    <s v="CA-000638"/>
    <n v="1"/>
    <n v="550"/>
    <m/>
    <n v="550"/>
    <x v="0"/>
    <n v="460"/>
    <n v="250"/>
    <n v="250"/>
    <n v="262.5"/>
    <n v="287.5"/>
    <n v="0"/>
    <x v="23"/>
    <x v="2"/>
    <e v="#REF!"/>
    <e v="#REF!"/>
    <e v="#REF!"/>
    <n v="0.52272727272727271"/>
  </r>
  <r>
    <x v="1"/>
    <x v="26"/>
    <x v="0"/>
    <x v="72"/>
    <m/>
    <m/>
    <s v="EXP. VALVE LT, POKKA 9A33 H100 STAREX"/>
    <s v="CA-001339"/>
    <n v="1"/>
    <n v="500"/>
    <m/>
    <n v="500"/>
    <x v="0"/>
    <n v="441"/>
    <n v="240"/>
    <n v="240"/>
    <n v="252"/>
    <n v="248"/>
    <n v="0"/>
    <x v="23"/>
    <x v="2"/>
    <e v="#REF!"/>
    <e v="#REF!"/>
    <e v="#REF!"/>
    <n v="0.496"/>
  </r>
  <r>
    <x v="1"/>
    <x v="26"/>
    <x v="0"/>
    <x v="72"/>
    <m/>
    <m/>
    <s v="RECEIVER_DRIER_ALUMINUM, YK 8228 (H100)"/>
    <s v="CA-001110"/>
    <n v="1"/>
    <n v="500"/>
    <m/>
    <n v="500"/>
    <x v="0"/>
    <n v="615"/>
    <n v="260"/>
    <n v="260"/>
    <n v="273"/>
    <n v="227"/>
    <n v="0"/>
    <x v="27"/>
    <x v="2"/>
    <e v="#REF!"/>
    <e v="#REF!"/>
    <e v="#REF!"/>
    <n v="0.45400000000000001"/>
  </r>
  <r>
    <x v="2"/>
    <x v="35"/>
    <x v="0"/>
    <x v="8"/>
    <m/>
    <m/>
    <s v="EXP. VALVE LT, POKKA 9A56 INNOVA F"/>
    <s v="CA-000637"/>
    <n v="1"/>
    <n v="550"/>
    <m/>
    <n v="550"/>
    <x v="0"/>
    <n v="460"/>
    <n v="250"/>
    <n v="250"/>
    <n v="262.5"/>
    <n v="287.5"/>
    <n v="0"/>
    <x v="23"/>
    <x v="2"/>
    <e v="#REF!"/>
    <e v="#REF!"/>
    <s v=""/>
    <n v="0.52272727272727271"/>
  </r>
  <r>
    <x v="2"/>
    <x v="35"/>
    <x v="0"/>
    <x v="11"/>
    <m/>
    <m/>
    <s v="EXP. VALVE LT, POKKA 9A56 INNOVA F"/>
    <s v="CA-000637"/>
    <n v="1"/>
    <n v="550"/>
    <m/>
    <n v="550"/>
    <x v="0"/>
    <n v="460"/>
    <n v="250"/>
    <n v="250"/>
    <n v="262.5"/>
    <n v="287.5"/>
    <n v="0"/>
    <x v="23"/>
    <x v="2"/>
    <e v="#REF!"/>
    <e v="#REF!"/>
    <s v=""/>
    <n v="0.52272727272727271"/>
  </r>
  <r>
    <x v="2"/>
    <x v="35"/>
    <x v="0"/>
    <x v="10"/>
    <m/>
    <m/>
    <s v="EXP. VALVE LT, POKKA 9A57 INNOVA R"/>
    <s v="CA-000638"/>
    <n v="1"/>
    <n v="550"/>
    <m/>
    <n v="550"/>
    <x v="0"/>
    <n v="460"/>
    <n v="250"/>
    <n v="250"/>
    <n v="262.5"/>
    <n v="287.5"/>
    <n v="0"/>
    <x v="23"/>
    <x v="2"/>
    <e v="#REF!"/>
    <e v="#REF!"/>
    <s v=""/>
    <n v="0.52272727272727271"/>
  </r>
  <r>
    <x v="2"/>
    <x v="37"/>
    <x v="0"/>
    <x v="11"/>
    <m/>
    <m/>
    <s v="EXP. VALVE LT, POKKA 9A62 ADVENTURE"/>
    <s v="CA-001413"/>
    <n v="1"/>
    <n v="550"/>
    <m/>
    <n v="550"/>
    <x v="0"/>
    <n v="478"/>
    <n v="260"/>
    <n v="260"/>
    <n v="273"/>
    <n v="277"/>
    <n v="0"/>
    <x v="23"/>
    <x v="2"/>
    <e v="#REF!"/>
    <e v="#REF!"/>
    <s v=""/>
    <n v="0.50363636363636366"/>
  </r>
  <r>
    <x v="2"/>
    <x v="40"/>
    <x v="0"/>
    <x v="89"/>
    <m/>
    <m/>
    <s v="EXP. VALVE LT, POKKA 9A57 INNOVA R"/>
    <s v="CA-000638"/>
    <n v="1"/>
    <n v="550"/>
    <m/>
    <n v="550"/>
    <x v="0"/>
    <n v="460"/>
    <n v="250"/>
    <n v="250"/>
    <n v="262.5"/>
    <n v="287.5"/>
    <n v="0"/>
    <x v="23"/>
    <x v="2"/>
    <e v="#REF!"/>
    <e v="#REF!"/>
    <s v=""/>
    <n v="0.52272727272727271"/>
  </r>
  <r>
    <x v="2"/>
    <x v="125"/>
    <x v="0"/>
    <x v="17"/>
    <m/>
    <m/>
    <s v="EXP. VALVE LT, POKKA 9A56 INNOVA F"/>
    <s v="CA-000637"/>
    <n v="1"/>
    <n v="550"/>
    <m/>
    <n v="550"/>
    <x v="0"/>
    <n v="460"/>
    <n v="250"/>
    <n v="250"/>
    <n v="262.5"/>
    <n v="287.5"/>
    <n v="0"/>
    <x v="23"/>
    <x v="2"/>
    <e v="#REF!"/>
    <e v="#REF!"/>
    <s v=""/>
    <n v="0.52272727272727271"/>
  </r>
  <r>
    <x v="2"/>
    <x v="125"/>
    <x v="0"/>
    <x v="1"/>
    <m/>
    <m/>
    <s v="EXP. VALVE LT, POKKA 9A56 INNOVA F"/>
    <s v="CA-000637"/>
    <n v="1"/>
    <n v="550"/>
    <m/>
    <n v="550"/>
    <x v="0"/>
    <n v="460"/>
    <n v="250"/>
    <n v="250"/>
    <n v="262.5"/>
    <n v="287.5"/>
    <n v="0"/>
    <x v="23"/>
    <x v="2"/>
    <e v="#REF!"/>
    <e v="#REF!"/>
    <s v=""/>
    <n v="0.52272727272727271"/>
  </r>
  <r>
    <x v="2"/>
    <x v="46"/>
    <x v="0"/>
    <x v="97"/>
    <m/>
    <m/>
    <s v="EXP. VALVE LT, POKKA 9A128 VIOS '14"/>
    <s v="CA-000628"/>
    <n v="1"/>
    <n v="550"/>
    <m/>
    <n v="550"/>
    <x v="0"/>
    <n v="497"/>
    <n v="270"/>
    <n v="270"/>
    <n v="283.5"/>
    <n v="266.5"/>
    <n v="0"/>
    <x v="23"/>
    <x v="2"/>
    <e v="#REF!"/>
    <e v="#REF!"/>
    <s v=""/>
    <n v="0.48454545454545456"/>
  </r>
  <r>
    <x v="2"/>
    <x v="51"/>
    <x v="0"/>
    <x v="97"/>
    <m/>
    <m/>
    <s v="EXP. VALVE LT, POKKA 9A128 VIOS '14"/>
    <s v="CA-000628"/>
    <n v="1"/>
    <n v="550"/>
    <m/>
    <n v="550"/>
    <x v="0"/>
    <n v="497"/>
    <n v="270"/>
    <n v="270"/>
    <n v="283.5"/>
    <n v="266.5"/>
    <n v="0"/>
    <x v="23"/>
    <x v="2"/>
    <e v="#REF!"/>
    <e v="#REF!"/>
    <s v=""/>
    <n v="0.48454545454545456"/>
  </r>
  <r>
    <x v="2"/>
    <x v="57"/>
    <x v="0"/>
    <x v="11"/>
    <m/>
    <m/>
    <s v="EXP. VALVE LT, POKKA 9A50 134A, PAJERO"/>
    <s v="CA-001826"/>
    <n v="1"/>
    <n v="550"/>
    <m/>
    <n v="550"/>
    <x v="0"/>
    <n v="441"/>
    <n v="240"/>
    <n v="240"/>
    <n v="252"/>
    <n v="298"/>
    <n v="0"/>
    <x v="23"/>
    <x v="2"/>
    <e v="#REF!"/>
    <e v="#REF!"/>
    <s v=""/>
    <n v="0.54181818181818187"/>
  </r>
  <r>
    <x v="3"/>
    <x v="119"/>
    <x v="4"/>
    <x v="25"/>
    <m/>
    <n v="120"/>
    <s v="SYSTEM_CLEANER, Cleanse GREEN 141B 500 ML"/>
    <s v="GE-000369"/>
    <n v="2"/>
    <n v="107"/>
    <m/>
    <n v="214"/>
    <x v="0"/>
    <n v="113"/>
    <n v="65"/>
    <n v="130"/>
    <n v="136.5"/>
    <n v="77.5"/>
    <n v="23.25"/>
    <x v="28"/>
    <x v="1"/>
    <m/>
    <m/>
    <n v="119.84000000000002"/>
    <n v="0.36214953271028039"/>
  </r>
  <r>
    <x v="3"/>
    <x v="87"/>
    <x v="2"/>
    <x v="9"/>
    <m/>
    <m/>
    <s v="TAPE, EVER SEAL CORK TAPE"/>
    <s v="GE-000344"/>
    <n v="1"/>
    <n v="260"/>
    <m/>
    <n v="260"/>
    <x v="0"/>
    <n v="226"/>
    <n v="130"/>
    <n v="130"/>
    <n v="136.5"/>
    <n v="123.5"/>
    <n v="37.049999999999997"/>
    <x v="41"/>
    <x v="1"/>
    <m/>
    <m/>
    <m/>
    <n v="0.47499999999999998"/>
  </r>
  <r>
    <x v="3"/>
    <x v="123"/>
    <x v="1"/>
    <x v="3"/>
    <m/>
    <m/>
    <s v="EVAPORATOR, HYUNDAI EON"/>
    <s v="CA-000485"/>
    <n v="1"/>
    <n v="2000"/>
    <m/>
    <n v="2000"/>
    <x v="0"/>
    <n v="2573"/>
    <n v="1400"/>
    <n v="1400"/>
    <n v="1470"/>
    <n v="530"/>
    <n v="159"/>
    <x v="10"/>
    <x v="2"/>
    <m/>
    <m/>
    <m/>
    <n v="0.26500000000000001"/>
  </r>
  <r>
    <x v="2"/>
    <x v="111"/>
    <x v="0"/>
    <x v="49"/>
    <m/>
    <m/>
    <s v="EXP. VALVE LT, POKKA 9A56 INNOVA F"/>
    <s v="CA-000637"/>
    <n v="1"/>
    <n v="550"/>
    <m/>
    <n v="550"/>
    <x v="0"/>
    <n v="460"/>
    <n v="250"/>
    <n v="250"/>
    <n v="262.5"/>
    <n v="287.5"/>
    <n v="0"/>
    <x v="23"/>
    <x v="2"/>
    <e v="#REF!"/>
    <e v="#REF!"/>
    <s v=""/>
    <n v="0.52272727272727271"/>
  </r>
  <r>
    <x v="2"/>
    <x v="111"/>
    <x v="0"/>
    <x v="49"/>
    <m/>
    <m/>
    <s v="EXP. VALVE LT, POKKA 9A57 INNOVA R"/>
    <s v="CA-000638"/>
    <n v="1"/>
    <n v="550"/>
    <m/>
    <n v="550"/>
    <x v="0"/>
    <n v="460"/>
    <n v="250"/>
    <n v="250"/>
    <n v="262.5"/>
    <n v="287.5"/>
    <n v="0"/>
    <x v="23"/>
    <x v="2"/>
    <e v="#REF!"/>
    <e v="#REF!"/>
    <s v=""/>
    <n v="0.52272727272727271"/>
  </r>
  <r>
    <x v="3"/>
    <x v="59"/>
    <x v="2"/>
    <x v="22"/>
    <m/>
    <n v="220"/>
    <s v="CABIN_FILTER, TOYOTA HI-ACE"/>
    <s v="CA-001292"/>
    <n v="1"/>
    <n v="200"/>
    <m/>
    <n v="200"/>
    <x v="0"/>
    <n v="331"/>
    <n v="105"/>
    <n v="105"/>
    <n v="110.25"/>
    <n v="89.75"/>
    <n v="26.925000000000001"/>
    <x v="12"/>
    <x v="2"/>
    <m/>
    <m/>
    <n v="224.00000000000003"/>
    <n v="0.44874999999999998"/>
  </r>
  <r>
    <x v="3"/>
    <x v="66"/>
    <x v="2"/>
    <x v="22"/>
    <m/>
    <n v="220"/>
    <s v="CABIN_FILTER, TOYOTA HI-ACE"/>
    <s v="CA-001292"/>
    <n v="1"/>
    <n v="200"/>
    <m/>
    <n v="200"/>
    <x v="0"/>
    <n v="331"/>
    <n v="105"/>
    <n v="105"/>
    <n v="110.25"/>
    <n v="89.75"/>
    <n v="26.925000000000001"/>
    <x v="12"/>
    <x v="2"/>
    <m/>
    <m/>
    <n v="224.00000000000003"/>
    <n v="0.44874999999999998"/>
  </r>
  <r>
    <x v="3"/>
    <x v="62"/>
    <x v="0"/>
    <x v="18"/>
    <m/>
    <m/>
    <s v="EXP. VALVE LT, POKKA 9A56 INNOVA F"/>
    <s v="CA-000637"/>
    <n v="1"/>
    <n v="550"/>
    <m/>
    <n v="550"/>
    <x v="0"/>
    <n v="460"/>
    <n v="250"/>
    <n v="250"/>
    <n v="262.5"/>
    <n v="287.5"/>
    <n v="0"/>
    <x v="23"/>
    <x v="2"/>
    <m/>
    <m/>
    <s v=""/>
    <n v="0.52272727272727271"/>
  </r>
  <r>
    <x v="3"/>
    <x v="63"/>
    <x v="0"/>
    <x v="49"/>
    <m/>
    <m/>
    <s v="EXP. VALVE LT, POKKA 9A56 INNOVA F"/>
    <s v="CA-000637"/>
    <n v="1"/>
    <n v="550"/>
    <m/>
    <n v="550"/>
    <x v="0"/>
    <n v="460"/>
    <n v="250"/>
    <n v="250"/>
    <n v="262.5"/>
    <n v="287.5"/>
    <n v="0"/>
    <x v="23"/>
    <x v="2"/>
    <m/>
    <m/>
    <s v=""/>
    <n v="0.52272727272727271"/>
  </r>
  <r>
    <x v="3"/>
    <x v="123"/>
    <x v="1"/>
    <x v="3"/>
    <m/>
    <m/>
    <s v="EXP. VALVE LT, POKKA 9A129B ACCENT"/>
    <s v="CA-000629"/>
    <n v="1"/>
    <n v="600"/>
    <m/>
    <n v="600"/>
    <x v="0"/>
    <n v="625"/>
    <n v="340"/>
    <n v="340"/>
    <n v="357"/>
    <n v="243"/>
    <n v="72.899999999999991"/>
    <x v="23"/>
    <x v="2"/>
    <m/>
    <m/>
    <m/>
    <n v="0.40500000000000003"/>
  </r>
  <r>
    <x v="3"/>
    <x v="119"/>
    <x v="2"/>
    <x v="22"/>
    <m/>
    <n v="220"/>
    <s v="CABIN_FILTER, TOYOTA HI-ACE"/>
    <s v="CA-001292"/>
    <n v="1"/>
    <n v="200"/>
    <m/>
    <n v="200"/>
    <x v="0"/>
    <n v="331"/>
    <n v="105"/>
    <n v="105"/>
    <n v="110.25"/>
    <n v="89.75"/>
    <n v="26.925000000000001"/>
    <x v="12"/>
    <x v="2"/>
    <m/>
    <m/>
    <n v="224.00000000000003"/>
    <n v="0.44874999999999998"/>
  </r>
  <r>
    <x v="3"/>
    <x v="115"/>
    <x v="0"/>
    <x v="57"/>
    <m/>
    <m/>
    <s v="TAPE_FOAM, POKKA 5MM X 50 MM X 9.1 MTR"/>
    <s v="IM-000106"/>
    <n v="2"/>
    <n v="260"/>
    <m/>
    <n v="520"/>
    <x v="0"/>
    <n v="194"/>
    <n v="125"/>
    <n v="250"/>
    <n v="257.5"/>
    <n v="262.5"/>
    <n v="0"/>
    <x v="25"/>
    <x v="0"/>
    <m/>
    <m/>
    <s v=""/>
    <n v="0.50480769230769229"/>
  </r>
  <r>
    <x v="3"/>
    <x v="118"/>
    <x v="0"/>
    <x v="18"/>
    <m/>
    <m/>
    <s v="RECEIVER_DRIER_ALUMINUM, YK 8228 (H100)"/>
    <s v="CA-001110"/>
    <n v="1"/>
    <n v="550"/>
    <m/>
    <n v="550"/>
    <x v="0"/>
    <n v="615"/>
    <n v="260"/>
    <n v="260"/>
    <n v="273"/>
    <n v="277"/>
    <n v="0"/>
    <x v="27"/>
    <x v="2"/>
    <m/>
    <m/>
    <s v=""/>
    <n v="0.50363636363636366"/>
  </r>
  <r>
    <x v="3"/>
    <x v="118"/>
    <x v="0"/>
    <x v="18"/>
    <m/>
    <m/>
    <s v="EXP. VALVE LT, POKKA 9A33 H100 STAREX"/>
    <s v="CA-001339"/>
    <n v="1"/>
    <n v="550"/>
    <m/>
    <n v="550"/>
    <x v="0"/>
    <n v="441"/>
    <n v="240"/>
    <n v="240"/>
    <n v="252"/>
    <n v="298"/>
    <n v="0"/>
    <x v="23"/>
    <x v="2"/>
    <m/>
    <m/>
    <s v=""/>
    <n v="0.54181818181818187"/>
  </r>
  <r>
    <x v="3"/>
    <x v="119"/>
    <x v="0"/>
    <x v="59"/>
    <m/>
    <n v="291.2"/>
    <s v="TAPE_FOAM, POKKA 5MM X 50 MM X 9.1 MTR"/>
    <s v="IM-000106"/>
    <n v="2"/>
    <n v="260"/>
    <m/>
    <n v="520"/>
    <x v="0"/>
    <n v="194"/>
    <n v="125"/>
    <n v="250"/>
    <n v="257.5"/>
    <n v="262.5"/>
    <n v="0"/>
    <x v="25"/>
    <x v="0"/>
    <m/>
    <m/>
    <n v="291.20000000000005"/>
    <n v="0.50480769230769229"/>
  </r>
  <r>
    <x v="3"/>
    <x v="101"/>
    <x v="0"/>
    <x v="18"/>
    <m/>
    <n v="550"/>
    <s v="EXP. VALVE LT, POKKA 9A57 INNOVA R"/>
    <s v="CA-000638"/>
    <n v="1"/>
    <n v="491"/>
    <m/>
    <n v="491"/>
    <x v="0"/>
    <n v="460"/>
    <n v="250"/>
    <n v="250"/>
    <n v="262.5"/>
    <n v="228.5"/>
    <n v="0"/>
    <x v="23"/>
    <x v="2"/>
    <m/>
    <m/>
    <n v="549.92000000000007"/>
    <n v="0.46537678207739308"/>
  </r>
  <r>
    <x v="3"/>
    <x v="62"/>
    <x v="2"/>
    <x v="7"/>
    <m/>
    <n v="300"/>
    <s v="CABIN_FILTER, FORD RANGER 2014"/>
    <s v="CA-001673"/>
    <n v="1"/>
    <n v="270"/>
    <m/>
    <n v="270"/>
    <x v="0"/>
    <n v="315"/>
    <n v="100"/>
    <n v="100"/>
    <n v="105"/>
    <n v="165"/>
    <n v="49.5"/>
    <x v="12"/>
    <x v="2"/>
    <m/>
    <m/>
    <n v="302.40000000000003"/>
    <n v="0.61111111111111116"/>
  </r>
  <r>
    <x v="3"/>
    <x v="86"/>
    <x v="0"/>
    <x v="49"/>
    <m/>
    <m/>
    <s v="EXP. VALVE LT, POKKA 9A128 VIOS '14"/>
    <s v="CA-000628"/>
    <n v="1"/>
    <n v="550"/>
    <m/>
    <n v="550"/>
    <x v="0"/>
    <n v="497"/>
    <n v="270"/>
    <n v="270"/>
    <n v="283.5"/>
    <n v="266.5"/>
    <n v="0"/>
    <x v="23"/>
    <x v="2"/>
    <m/>
    <m/>
    <m/>
    <n v="0.48454545454545456"/>
  </r>
  <r>
    <x v="3"/>
    <x v="86"/>
    <x v="0"/>
    <x v="11"/>
    <m/>
    <m/>
    <s v="EXP. VALVE LT, POKKA 9A128 VIOS '14"/>
    <s v="CA-000628"/>
    <n v="1"/>
    <n v="550"/>
    <m/>
    <n v="550"/>
    <x v="0"/>
    <n v="497"/>
    <n v="270"/>
    <n v="270"/>
    <n v="283.5"/>
    <n v="266.5"/>
    <n v="0"/>
    <x v="23"/>
    <x v="2"/>
    <m/>
    <m/>
    <m/>
    <n v="0.48454545454545456"/>
  </r>
  <r>
    <x v="3"/>
    <x v="85"/>
    <x v="1"/>
    <x v="3"/>
    <m/>
    <m/>
    <s v="EVAPORATOR, NISSAN NV350 (STAL)"/>
    <s v="CA-001660"/>
    <n v="1"/>
    <n v="2100"/>
    <m/>
    <n v="2100"/>
    <x v="0"/>
    <n v="2022"/>
    <n v="1100"/>
    <n v="1100"/>
    <n v="1155"/>
    <n v="945"/>
    <n v="283.5"/>
    <x v="10"/>
    <x v="2"/>
    <m/>
    <m/>
    <m/>
    <n v="0.45"/>
  </r>
  <r>
    <x v="3"/>
    <x v="86"/>
    <x v="1"/>
    <x v="3"/>
    <m/>
    <m/>
    <s v="EVAPORATOR, HYUNDAI ACCENT 2013"/>
    <s v="CA-000484"/>
    <n v="1"/>
    <n v="2000"/>
    <m/>
    <n v="2000"/>
    <x v="0"/>
    <n v="0"/>
    <n v="0"/>
    <n v="0"/>
    <n v="0"/>
    <n v="2000"/>
    <n v="600"/>
    <x v="10"/>
    <x v="2"/>
    <m/>
    <m/>
    <m/>
    <n v="1"/>
  </r>
  <r>
    <x v="4"/>
    <x v="88"/>
    <x v="0"/>
    <x v="10"/>
    <m/>
    <m/>
    <s v="EXP. VALVE LT, POKKA 9A50 134A, PAJERO"/>
    <s v="CA-001826"/>
    <n v="1"/>
    <n v="550"/>
    <m/>
    <n v="550"/>
    <x v="0"/>
    <n v="441"/>
    <n v="240"/>
    <n v="240"/>
    <n v="252"/>
    <n v="298"/>
    <n v="0"/>
    <x v="23"/>
    <x v="2"/>
    <m/>
    <m/>
    <m/>
    <n v="0.54181818181818187"/>
  </r>
  <r>
    <x v="4"/>
    <x v="88"/>
    <x v="0"/>
    <x v="8"/>
    <m/>
    <m/>
    <s v="EXP. VALVE LT, POKKA 9A56 INNOVA F"/>
    <s v="CA-000637"/>
    <n v="1"/>
    <n v="550"/>
    <m/>
    <n v="550"/>
    <x v="0"/>
    <n v="460"/>
    <n v="250"/>
    <n v="250"/>
    <n v="262.5"/>
    <n v="287.5"/>
    <n v="0"/>
    <x v="23"/>
    <x v="2"/>
    <m/>
    <m/>
    <m/>
    <n v="0.52272727272727271"/>
  </r>
  <r>
    <x v="4"/>
    <x v="88"/>
    <x v="0"/>
    <x v="8"/>
    <m/>
    <m/>
    <s v="EXP. VALVE LT, POKKA 9A57 INNOVA R"/>
    <s v="CA-000638"/>
    <n v="1"/>
    <n v="550"/>
    <m/>
    <n v="550"/>
    <x v="0"/>
    <n v="460"/>
    <n v="250"/>
    <n v="250"/>
    <n v="262.5"/>
    <n v="287.5"/>
    <n v="0"/>
    <x v="23"/>
    <x v="2"/>
    <m/>
    <m/>
    <m/>
    <n v="0.52272727272727271"/>
  </r>
  <r>
    <x v="4"/>
    <x v="90"/>
    <x v="0"/>
    <x v="8"/>
    <m/>
    <m/>
    <s v="EXP. VALVE LT, POKKA 9A57 INNOVA R"/>
    <s v="CA-000638"/>
    <n v="1"/>
    <n v="550"/>
    <m/>
    <n v="550"/>
    <x v="0"/>
    <n v="460"/>
    <n v="250"/>
    <n v="250"/>
    <n v="262.5"/>
    <n v="287.5"/>
    <n v="0"/>
    <x v="23"/>
    <x v="2"/>
    <m/>
    <m/>
    <m/>
    <n v="0.52272727272727271"/>
  </r>
  <r>
    <x v="4"/>
    <x v="110"/>
    <x v="0"/>
    <x v="72"/>
    <m/>
    <m/>
    <s v="RECEIVER_DRIER_ALUMINUM, YK 8793 (MAZDA 3)"/>
    <s v="CA-001122"/>
    <n v="1"/>
    <n v="550"/>
    <m/>
    <n v="550"/>
    <x v="0"/>
    <n v="567"/>
    <n v="240"/>
    <n v="240"/>
    <n v="252"/>
    <n v="298"/>
    <n v="0"/>
    <x v="27"/>
    <x v="2"/>
    <m/>
    <m/>
    <m/>
    <n v="0.54181818181818187"/>
  </r>
  <r>
    <x v="4"/>
    <x v="107"/>
    <x v="1"/>
    <x v="3"/>
    <m/>
    <m/>
    <s v="EXP. VALVE SC, MITSUBISHI ORING TYPE 3/8"/>
    <s v="CA-000566"/>
    <n v="2"/>
    <n v="500"/>
    <m/>
    <n v="1000"/>
    <x v="0"/>
    <n v="478"/>
    <n v="260"/>
    <n v="520"/>
    <n v="546"/>
    <n v="454"/>
    <n v="136.19999999999999"/>
    <x v="34"/>
    <x v="2"/>
    <m/>
    <m/>
    <m/>
    <n v="0.45400000000000001"/>
  </r>
  <r>
    <x v="4"/>
    <x v="95"/>
    <x v="0"/>
    <x v="23"/>
    <m/>
    <m/>
    <s v="EXP. VALVE LT, POKKA 9A50 134A, PAJERO"/>
    <s v="CA-001826"/>
    <n v="1"/>
    <n v="550"/>
    <m/>
    <n v="550"/>
    <x v="0"/>
    <n v="441"/>
    <n v="240"/>
    <n v="240"/>
    <n v="252"/>
    <n v="298"/>
    <n v="0"/>
    <x v="23"/>
    <x v="2"/>
    <m/>
    <m/>
    <m/>
    <n v="0.54181818181818187"/>
  </r>
  <r>
    <x v="3"/>
    <x v="66"/>
    <x v="2"/>
    <x v="22"/>
    <m/>
    <n v="220"/>
    <s v="CABIN_FILTER, TOYOTA INNOVA"/>
    <s v="CA-001294"/>
    <n v="1"/>
    <n v="200"/>
    <m/>
    <n v="200"/>
    <x v="0"/>
    <n v="315"/>
    <n v="100"/>
    <n v="100"/>
    <n v="105"/>
    <n v="95"/>
    <n v="28.5"/>
    <x v="12"/>
    <x v="2"/>
    <m/>
    <m/>
    <n v="224.00000000000003"/>
    <n v="0.47499999999999998"/>
  </r>
  <r>
    <x v="4"/>
    <x v="95"/>
    <x v="0"/>
    <x v="11"/>
    <m/>
    <m/>
    <s v="EXP. VALVE LT, POKKA 9A63 MONTERO"/>
    <s v="CA-000641"/>
    <n v="1"/>
    <n v="550"/>
    <m/>
    <n v="550"/>
    <x v="0"/>
    <n v="441"/>
    <n v="240"/>
    <n v="240"/>
    <n v="252"/>
    <n v="298"/>
    <n v="0"/>
    <x v="23"/>
    <x v="2"/>
    <m/>
    <m/>
    <m/>
    <n v="0.54181818181818187"/>
  </r>
  <r>
    <x v="4"/>
    <x v="116"/>
    <x v="0"/>
    <x v="95"/>
    <m/>
    <m/>
    <s v="EXP. VALVE LT, POKKA 9A56 INNOVA F"/>
    <s v="CA-000637"/>
    <n v="1"/>
    <n v="550"/>
    <m/>
    <n v="550"/>
    <x v="0"/>
    <n v="460"/>
    <n v="250"/>
    <n v="250"/>
    <n v="262.5"/>
    <n v="287.5"/>
    <n v="0"/>
    <x v="23"/>
    <x v="2"/>
    <m/>
    <m/>
    <m/>
    <n v="0.52272727272727271"/>
  </r>
  <r>
    <x v="4"/>
    <x v="116"/>
    <x v="0"/>
    <x v="95"/>
    <m/>
    <m/>
    <s v="EXP. VALVE LT, POKKA 9A57 INNOVA R"/>
    <s v="CA-000638"/>
    <n v="1"/>
    <n v="550"/>
    <m/>
    <n v="550"/>
    <x v="0"/>
    <n v="460"/>
    <n v="250"/>
    <n v="250"/>
    <n v="262.5"/>
    <n v="287.5"/>
    <n v="0"/>
    <x v="23"/>
    <x v="2"/>
    <m/>
    <m/>
    <m/>
    <n v="0.52272727272727271"/>
  </r>
  <r>
    <x v="4"/>
    <x v="116"/>
    <x v="0"/>
    <x v="97"/>
    <m/>
    <n v="550"/>
    <s v="EXP. VALVE LT, POKKA 9A128 VIOS '14"/>
    <s v="CA-000628"/>
    <n v="1"/>
    <n v="492"/>
    <m/>
    <n v="492"/>
    <x v="0"/>
    <n v="497"/>
    <n v="270"/>
    <n v="270"/>
    <n v="283.5"/>
    <n v="208.5"/>
    <n v="0"/>
    <x v="23"/>
    <x v="2"/>
    <m/>
    <m/>
    <m/>
    <n v="0.42378048780487804"/>
  </r>
  <r>
    <x v="4"/>
    <x v="96"/>
    <x v="0"/>
    <x v="18"/>
    <m/>
    <m/>
    <s v="EXP. VALVE LT, POKKA 9A56 INNOVA F"/>
    <s v="CA-000637"/>
    <n v="1"/>
    <n v="550"/>
    <m/>
    <n v="550"/>
    <x v="0"/>
    <n v="460"/>
    <n v="250"/>
    <n v="250"/>
    <n v="262.5"/>
    <n v="287.5"/>
    <n v="0"/>
    <x v="23"/>
    <x v="2"/>
    <m/>
    <m/>
    <m/>
    <n v="0.52272727272727271"/>
  </r>
  <r>
    <x v="4"/>
    <x v="78"/>
    <x v="0"/>
    <x v="18"/>
    <m/>
    <m/>
    <s v="EXP. VALVE LT, POKKA 9A56 INNOVA F"/>
    <s v="CA-000637"/>
    <n v="1"/>
    <n v="550"/>
    <m/>
    <n v="550"/>
    <x v="0"/>
    <n v="460"/>
    <n v="250"/>
    <n v="250"/>
    <n v="262.5"/>
    <n v="287.5"/>
    <n v="0"/>
    <x v="23"/>
    <x v="2"/>
    <m/>
    <m/>
    <m/>
    <n v="0.52272727272727271"/>
  </r>
  <r>
    <x v="3"/>
    <x v="118"/>
    <x v="0"/>
    <x v="36"/>
    <m/>
    <n v="350"/>
    <s v="CABIN_FILTER, NISSAN ALMERA"/>
    <s v="CA-001707"/>
    <n v="1"/>
    <n v="315"/>
    <m/>
    <n v="315"/>
    <x v="0"/>
    <n v="315"/>
    <n v="100"/>
    <n v="100"/>
    <n v="105"/>
    <n v="210"/>
    <n v="0"/>
    <x v="12"/>
    <x v="2"/>
    <m/>
    <m/>
    <n v="352.8"/>
    <n v="0.66666666666666663"/>
  </r>
  <r>
    <x v="4"/>
    <x v="80"/>
    <x v="0"/>
    <x v="8"/>
    <m/>
    <m/>
    <s v="EXP. VALVE LT, POKKA 9A56 INNOVA F"/>
    <s v="CA-000637"/>
    <n v="1"/>
    <n v="550"/>
    <m/>
    <n v="550"/>
    <x v="0"/>
    <n v="460"/>
    <n v="250"/>
    <n v="250"/>
    <n v="262.5"/>
    <n v="287.5"/>
    <n v="0"/>
    <x v="23"/>
    <x v="2"/>
    <m/>
    <m/>
    <m/>
    <n v="0.52272727272727271"/>
  </r>
  <r>
    <x v="4"/>
    <x v="80"/>
    <x v="0"/>
    <x v="49"/>
    <m/>
    <m/>
    <s v="EXP. VALVE LT, POKKA 9A56 INNOVA F"/>
    <s v="CA-000637"/>
    <n v="1"/>
    <n v="750"/>
    <m/>
    <n v="750"/>
    <x v="0"/>
    <n v="460"/>
    <n v="250"/>
    <n v="250"/>
    <n v="262.5"/>
    <n v="487.5"/>
    <n v="0"/>
    <x v="23"/>
    <x v="2"/>
    <m/>
    <m/>
    <m/>
    <n v="0.65"/>
  </r>
  <r>
    <x v="3"/>
    <x v="119"/>
    <x v="2"/>
    <x v="22"/>
    <m/>
    <n v="220"/>
    <s v="CABIN_FILTER, TOYOTA INNOVA"/>
    <s v="CA-001294"/>
    <n v="1"/>
    <n v="200"/>
    <m/>
    <n v="200"/>
    <x v="0"/>
    <n v="315"/>
    <n v="100"/>
    <n v="100"/>
    <n v="105"/>
    <n v="95"/>
    <n v="28.5"/>
    <x v="12"/>
    <x v="2"/>
    <m/>
    <m/>
    <n v="224.00000000000003"/>
    <n v="0.47499999999999998"/>
  </r>
  <r>
    <x v="4"/>
    <x v="107"/>
    <x v="1"/>
    <x v="3"/>
    <m/>
    <m/>
    <s v="RECEIVER_DRIER_ALUMINUM, YK 3/8 * 3/8 OR"/>
    <s v="CA-001401"/>
    <n v="1"/>
    <n v="450"/>
    <m/>
    <n v="450"/>
    <x v="0"/>
    <n v="615"/>
    <n v="260"/>
    <n v="260"/>
    <n v="273"/>
    <n v="177"/>
    <n v="53.1"/>
    <x v="27"/>
    <x v="2"/>
    <m/>
    <m/>
    <m/>
    <n v="0.39333333333333331"/>
  </r>
  <r>
    <x v="4"/>
    <x v="82"/>
    <x v="0"/>
    <x v="18"/>
    <m/>
    <m/>
    <s v="EXP. VALVE LT, POKKA 9A56 INNOVA F"/>
    <s v="CA-000637"/>
    <n v="1"/>
    <n v="550"/>
    <m/>
    <n v="550"/>
    <x v="0"/>
    <n v="460"/>
    <n v="250"/>
    <n v="250"/>
    <n v="262.5"/>
    <n v="287.5"/>
    <n v="0"/>
    <x v="23"/>
    <x v="2"/>
    <e v="#REF!"/>
    <e v="#REF!"/>
    <e v="#REF!"/>
    <n v="0"/>
  </r>
  <r>
    <x v="4"/>
    <x v="82"/>
    <x v="0"/>
    <x v="72"/>
    <m/>
    <m/>
    <s v="RECEIVER_DRIER_ALUMINUM, YK 8228 (H100)"/>
    <s v="CA-001110"/>
    <n v="1"/>
    <n v="550"/>
    <m/>
    <n v="550"/>
    <x v="0"/>
    <n v="615"/>
    <n v="260"/>
    <n v="260"/>
    <n v="273"/>
    <n v="277"/>
    <n v="0"/>
    <x v="27"/>
    <x v="2"/>
    <e v="#REF!"/>
    <e v="#REF!"/>
    <e v="#REF!"/>
    <n v="0"/>
  </r>
  <r>
    <x v="4"/>
    <x v="82"/>
    <x v="0"/>
    <x v="72"/>
    <m/>
    <m/>
    <s v="EXP. VALVE LT, POKKA 9A33 H100 STAREX"/>
    <s v="CA-001339"/>
    <n v="1"/>
    <n v="550"/>
    <m/>
    <n v="550"/>
    <x v="0"/>
    <n v="441"/>
    <n v="240"/>
    <n v="240"/>
    <n v="252"/>
    <n v="298"/>
    <n v="0"/>
    <x v="23"/>
    <x v="2"/>
    <e v="#REF!"/>
    <e v="#REF!"/>
    <e v="#REF!"/>
    <n v="0"/>
  </r>
  <r>
    <x v="5"/>
    <x v="126"/>
    <x v="0"/>
    <x v="1"/>
    <m/>
    <m/>
    <s v="RUBBER_INSULATION, M-FLEX 1/2&quot; 3/8"/>
    <s v="IM-000231"/>
    <n v="5"/>
    <n v="60"/>
    <m/>
    <n v="300"/>
    <x v="0"/>
    <n v="53"/>
    <n v="37.6"/>
    <n v="188"/>
    <n v="193.64000000000001"/>
    <n v="106.35999999999999"/>
    <n v="0"/>
    <x v="22"/>
    <x v="0"/>
    <e v="#REF!"/>
    <e v="#REF!"/>
    <s v=""/>
    <n v="0.35453333333333331"/>
  </r>
  <r>
    <x v="5"/>
    <x v="126"/>
    <x v="0"/>
    <x v="27"/>
    <m/>
    <m/>
    <s v="BRACKET , GB 1HP, COATED"/>
    <s v="IM-000008"/>
    <n v="1"/>
    <n v="360"/>
    <m/>
    <n v="360"/>
    <x v="0"/>
    <n v="334"/>
    <n v="185"/>
    <n v="185"/>
    <n v="190.55"/>
    <n v="169.45"/>
    <n v="0"/>
    <x v="1"/>
    <x v="0"/>
    <e v="#REF!"/>
    <e v="#REF!"/>
    <s v=""/>
    <n v="0.47069444444444442"/>
  </r>
  <r>
    <x v="1"/>
    <x v="124"/>
    <x v="0"/>
    <x v="1"/>
    <m/>
    <m/>
    <s v="COUPLER_QUICK,  LOW"/>
    <s v="TL-000016"/>
    <n v="1"/>
    <n v="450"/>
    <m/>
    <n v="450"/>
    <x v="0"/>
    <n v="432"/>
    <n v="235"/>
    <n v="235"/>
    <n v="246.75"/>
    <n v="203.25"/>
    <n v="0"/>
    <x v="64"/>
    <x v="4"/>
    <e v="#REF!"/>
    <e v="#REF!"/>
    <s v=""/>
    <n v="0.45166666666666666"/>
  </r>
  <r>
    <x v="1"/>
    <x v="28"/>
    <x v="0"/>
    <x v="58"/>
    <m/>
    <m/>
    <s v="RECEIVER_DRIER_ALUMINUM, YK 8769 (NISSAN LIVINA)"/>
    <s v="CA-001121"/>
    <n v="1"/>
    <n v="550"/>
    <m/>
    <n v="550"/>
    <x v="0"/>
    <n v="556"/>
    <n v="235"/>
    <n v="235"/>
    <n v="246.75"/>
    <n v="303.25"/>
    <n v="0"/>
    <x v="27"/>
    <x v="2"/>
    <e v="#REF!"/>
    <e v="#REF!"/>
    <e v="#REF!"/>
    <n v="0.55136363636363639"/>
  </r>
  <r>
    <x v="4"/>
    <x v="107"/>
    <x v="1"/>
    <x v="3"/>
    <m/>
    <m/>
    <s v="EXP. VALVE LT, STAL 9A63 MONTERO TRITON (STAL)"/>
    <s v="CA-001779"/>
    <n v="1"/>
    <n v="550"/>
    <m/>
    <n v="550"/>
    <x v="0"/>
    <n v="390"/>
    <n v="195"/>
    <n v="195"/>
    <n v="204.75"/>
    <n v="345.25"/>
    <n v="103.575"/>
    <x v="23"/>
    <x v="2"/>
    <m/>
    <m/>
    <m/>
    <n v="0.62772727272727269"/>
  </r>
  <r>
    <x v="2"/>
    <x v="50"/>
    <x v="0"/>
    <x v="1"/>
    <m/>
    <m/>
    <s v="COUPLER_QUICK,  LOW"/>
    <s v="TL-000016"/>
    <n v="1"/>
    <n v="450"/>
    <m/>
    <n v="450"/>
    <x v="0"/>
    <n v="432"/>
    <n v="235"/>
    <n v="235"/>
    <n v="246.75"/>
    <n v="203.25"/>
    <n v="0"/>
    <x v="64"/>
    <x v="4"/>
    <e v="#REF!"/>
    <e v="#REF!"/>
    <s v=""/>
    <n v="0.45166666666666666"/>
  </r>
  <r>
    <x v="2"/>
    <x v="58"/>
    <x v="0"/>
    <x v="16"/>
    <m/>
    <m/>
    <s v="RECEIVER_DRIER_ALUMINUM, YK 8227A (Montero)"/>
    <s v="CA-001109"/>
    <n v="1"/>
    <n v="550"/>
    <m/>
    <n v="550"/>
    <x v="0"/>
    <n v="579"/>
    <n v="245"/>
    <n v="245"/>
    <n v="257.25"/>
    <n v="292.75"/>
    <n v="0"/>
    <x v="27"/>
    <x v="2"/>
    <e v="#REF!"/>
    <e v="#REF!"/>
    <s v=""/>
    <n v="0.53227272727272723"/>
  </r>
  <r>
    <x v="4"/>
    <x v="107"/>
    <x v="1"/>
    <x v="3"/>
    <m/>
    <m/>
    <s v="CABIN_FILTER, MITSUBISHI MONTERO OLD"/>
    <s v="CA-001704"/>
    <n v="1"/>
    <n v="370"/>
    <m/>
    <n v="370"/>
    <x v="0"/>
    <n v="567"/>
    <n v="180"/>
    <n v="180"/>
    <n v="189"/>
    <n v="181"/>
    <n v="54.3"/>
    <x v="12"/>
    <x v="2"/>
    <m/>
    <m/>
    <m/>
    <n v="0.48918918918918919"/>
  </r>
  <r>
    <x v="4"/>
    <x v="104"/>
    <x v="0"/>
    <x v="8"/>
    <m/>
    <m/>
    <s v="RECEIVER_DRIER_ALUMINUM, YK 8227A (Montero)"/>
    <s v="CA-001109"/>
    <n v="1"/>
    <n v="550"/>
    <m/>
    <n v="550"/>
    <x v="0"/>
    <n v="579"/>
    <n v="245"/>
    <n v="245"/>
    <n v="257.25"/>
    <n v="292.75"/>
    <n v="0"/>
    <x v="27"/>
    <x v="2"/>
    <e v="#REF!"/>
    <e v="#REF!"/>
    <e v="#REF!"/>
    <n v="0"/>
  </r>
  <r>
    <x v="4"/>
    <x v="81"/>
    <x v="0"/>
    <x v="8"/>
    <m/>
    <m/>
    <s v="RECEIVER_DRIER_ALUMINUM, YK 8227A (Montero)"/>
    <s v="CA-001109"/>
    <n v="1"/>
    <n v="550"/>
    <m/>
    <n v="550"/>
    <x v="0"/>
    <n v="579"/>
    <n v="245"/>
    <n v="245"/>
    <n v="257.25"/>
    <n v="292.75"/>
    <n v="0"/>
    <x v="27"/>
    <x v="2"/>
    <m/>
    <m/>
    <m/>
    <n v="0.53227272727272723"/>
  </r>
  <r>
    <x v="3"/>
    <x v="71"/>
    <x v="0"/>
    <x v="34"/>
    <m/>
    <m/>
    <s v="RUBBER_INSULATION, M-FLEX 1/2&quot; 1/2"/>
    <s v="IM-000227"/>
    <n v="5"/>
    <n v="65"/>
    <m/>
    <n v="325"/>
    <x v="0"/>
    <n v="65"/>
    <n v="46.4"/>
    <n v="232"/>
    <n v="238.96"/>
    <n v="86.039999999999992"/>
    <n v="0"/>
    <x v="22"/>
    <x v="0"/>
    <m/>
    <m/>
    <s v=""/>
    <n v="0.26473846153846153"/>
  </r>
  <r>
    <x v="4"/>
    <x v="75"/>
    <x v="0"/>
    <x v="6"/>
    <m/>
    <m/>
    <s v="RUBBER_INSULATION, M-FLEX 1/2&quot; 1/2"/>
    <s v="IM-000227"/>
    <n v="5"/>
    <n v="50"/>
    <m/>
    <n v="250"/>
    <x v="0"/>
    <n v="65"/>
    <n v="46.4"/>
    <n v="232"/>
    <n v="238.96"/>
    <n v="11.039999999999992"/>
    <n v="0"/>
    <x v="22"/>
    <x v="0"/>
    <e v="#REF!"/>
    <e v="#REF!"/>
    <e v="#REF!"/>
    <n v="0"/>
  </r>
  <r>
    <x v="4"/>
    <x v="75"/>
    <x v="0"/>
    <x v="112"/>
    <m/>
    <m/>
    <s v="RUBBER_INSULATION, M-FLEX 1/2&quot; 1/2"/>
    <s v="IM-000227"/>
    <n v="5"/>
    <n v="70"/>
    <m/>
    <n v="350"/>
    <x v="0"/>
    <n v="65"/>
    <n v="46.4"/>
    <n v="232"/>
    <n v="238.96"/>
    <n v="111.03999999999999"/>
    <n v="0"/>
    <x v="22"/>
    <x v="0"/>
    <e v="#REF!"/>
    <e v="#REF!"/>
    <e v="#REF!"/>
    <n v="0"/>
  </r>
  <r>
    <x v="5"/>
    <x v="126"/>
    <x v="0"/>
    <x v="1"/>
    <m/>
    <m/>
    <s v="TAPE_PE, PICUS Polythelene Tape (White)X 4&quot;"/>
    <s v="IM-000247"/>
    <n v="2"/>
    <n v="125"/>
    <m/>
    <n v="250"/>
    <x v="0"/>
    <n v="147"/>
    <n v="75"/>
    <n v="150"/>
    <n v="154.5"/>
    <n v="95.5"/>
    <n v="0"/>
    <x v="29"/>
    <x v="0"/>
    <e v="#REF!"/>
    <e v="#REF!"/>
    <s v=""/>
    <n v="0.38200000000000001"/>
  </r>
  <r>
    <x v="3"/>
    <x v="101"/>
    <x v="4"/>
    <x v="25"/>
    <m/>
    <n v="350"/>
    <s v="CABIN_FILTER, ISUZU MUX/DMAX 2013"/>
    <s v="CA-001689"/>
    <n v="1"/>
    <n v="312"/>
    <m/>
    <n v="312"/>
    <x v="0"/>
    <n v="315"/>
    <n v="100"/>
    <n v="100"/>
    <n v="105"/>
    <n v="207"/>
    <n v="62.099999999999994"/>
    <x v="12"/>
    <x v="2"/>
    <m/>
    <m/>
    <n v="349.44000000000005"/>
    <n v="0.66346153846153844"/>
  </r>
  <r>
    <x v="3"/>
    <x v="74"/>
    <x v="2"/>
    <x v="22"/>
    <m/>
    <m/>
    <s v="CABIN_FILTER, FORD ECOSPORT"/>
    <s v="CA-001668"/>
    <n v="1"/>
    <n v="220"/>
    <m/>
    <n v="220"/>
    <x v="0"/>
    <n v="315"/>
    <n v="100"/>
    <n v="100"/>
    <n v="105"/>
    <n v="115"/>
    <n v="34.5"/>
    <x v="12"/>
    <x v="2"/>
    <m/>
    <m/>
    <m/>
    <n v="0.52272727272727271"/>
  </r>
  <r>
    <x v="0"/>
    <x v="2"/>
    <x v="0"/>
    <x v="2"/>
    <m/>
    <m/>
    <s v="RUBBER_INSULATION, M-FLEX 3/4&quot; 1/4"/>
    <s v="IM-000235"/>
    <n v="4"/>
    <n v="95"/>
    <m/>
    <n v="380"/>
    <x v="0"/>
    <n v="79"/>
    <n v="56.7"/>
    <n v="226.8"/>
    <n v="233.60400000000001"/>
    <n v="146.39599999999999"/>
    <n v="0"/>
    <x v="22"/>
    <x v="0"/>
    <m/>
    <m/>
    <s v=""/>
    <n v="0.38525263157894735"/>
  </r>
  <r>
    <x v="0"/>
    <x v="97"/>
    <x v="0"/>
    <x v="0"/>
    <m/>
    <m/>
    <s v="RUBBER_INSULATION, M-FLEX 1/2&quot; 3/8"/>
    <s v="IM-000231"/>
    <n v="6"/>
    <n v="55"/>
    <m/>
    <n v="330"/>
    <x v="0"/>
    <n v="53"/>
    <n v="37.6"/>
    <n v="225.60000000000002"/>
    <n v="232.36800000000002"/>
    <n v="97.631999999999977"/>
    <n v="0"/>
    <x v="22"/>
    <x v="0"/>
    <m/>
    <m/>
    <s v=""/>
    <n v="0.29585454545454537"/>
  </r>
  <r>
    <x v="0"/>
    <x v="5"/>
    <x v="0"/>
    <x v="1"/>
    <m/>
    <m/>
    <s v="RUBBER_INSULATION, M-FLEX 1/2&quot; 3/8"/>
    <s v="IM-000231"/>
    <n v="6"/>
    <n v="55"/>
    <m/>
    <n v="330"/>
    <x v="0"/>
    <n v="53"/>
    <n v="37.6"/>
    <n v="225.60000000000002"/>
    <n v="232.36800000000002"/>
    <n v="97.631999999999977"/>
    <n v="0"/>
    <x v="22"/>
    <x v="0"/>
    <m/>
    <m/>
    <s v=""/>
    <n v="0.29585454545454537"/>
  </r>
  <r>
    <x v="1"/>
    <x v="21"/>
    <x v="0"/>
    <x v="6"/>
    <m/>
    <m/>
    <s v="RUBBER_INSULATION, M-FLEX 1/2&quot; 3/8"/>
    <s v="IM-000231"/>
    <n v="6"/>
    <n v="55"/>
    <m/>
    <n v="330"/>
    <x v="0"/>
    <n v="53"/>
    <n v="37.6"/>
    <n v="225.60000000000002"/>
    <n v="232.36800000000002"/>
    <n v="97.631999999999977"/>
    <n v="0"/>
    <x v="22"/>
    <x v="0"/>
    <e v="#REF!"/>
    <e v="#REF!"/>
    <e v="#REF!"/>
    <n v="0.29585454545454537"/>
  </r>
  <r>
    <x v="3"/>
    <x v="60"/>
    <x v="0"/>
    <x v="1"/>
    <m/>
    <m/>
    <s v="RUBBER_INSULATION, M-FLEX 1/2&quot; 3/8"/>
    <s v="IM-000231"/>
    <n v="6"/>
    <n v="55"/>
    <m/>
    <n v="330"/>
    <x v="0"/>
    <n v="53"/>
    <n v="37.6"/>
    <n v="225.60000000000002"/>
    <n v="232.36800000000002"/>
    <n v="97.631999999999977"/>
    <n v="0"/>
    <x v="22"/>
    <x v="0"/>
    <m/>
    <m/>
    <s v=""/>
    <n v="0.29585454545454537"/>
  </r>
  <r>
    <x v="3"/>
    <x v="71"/>
    <x v="0"/>
    <x v="6"/>
    <m/>
    <m/>
    <s v="RUBBER_INSULATION, M-FLEX 1/2&quot; 3/8"/>
    <s v="IM-000231"/>
    <n v="6"/>
    <n v="55"/>
    <m/>
    <n v="330"/>
    <x v="0"/>
    <n v="53"/>
    <n v="37.6"/>
    <n v="225.60000000000002"/>
    <n v="232.36800000000002"/>
    <n v="97.631999999999977"/>
    <n v="0"/>
    <x v="22"/>
    <x v="0"/>
    <m/>
    <m/>
    <s v=""/>
    <n v="0.29585454545454537"/>
  </r>
  <r>
    <x v="3"/>
    <x v="72"/>
    <x v="9"/>
    <x v="55"/>
    <m/>
    <m/>
    <s v="RUBBER_INSULATION, M-FLEX 1/2&quot; 3/8"/>
    <s v="IM-000231"/>
    <n v="6"/>
    <n v="55"/>
    <m/>
    <n v="330"/>
    <x v="0"/>
    <n v="53"/>
    <n v="37.6"/>
    <n v="225.60000000000002"/>
    <n v="232.36800000000002"/>
    <n v="97.631999999999977"/>
    <n v="29.289599999999993"/>
    <x v="22"/>
    <x v="0"/>
    <m/>
    <m/>
    <s v=""/>
    <n v="0.29585454545454537"/>
  </r>
  <r>
    <x v="4"/>
    <x v="107"/>
    <x v="1"/>
    <x v="3"/>
    <m/>
    <m/>
    <s v="LUBRICANT, SYNXPA 100 ML (134A), OIL COMPRESSOR"/>
    <s v="GE-000139"/>
    <n v="1"/>
    <n v="120"/>
    <m/>
    <n v="120"/>
    <x v="0"/>
    <n v="111"/>
    <n v="60"/>
    <n v="60"/>
    <n v="63"/>
    <n v="57"/>
    <n v="17.099999999999998"/>
    <x v="9"/>
    <x v="1"/>
    <m/>
    <m/>
    <m/>
    <n v="0.47499999999999998"/>
  </r>
  <r>
    <x v="0"/>
    <x v="4"/>
    <x v="0"/>
    <x v="17"/>
    <m/>
    <m/>
    <s v="RECEIVER_DRIER_ALUMINUM, YK 8227  (Montero)"/>
    <s v="CA-001108"/>
    <n v="1"/>
    <n v="550"/>
    <m/>
    <n v="550"/>
    <x v="0"/>
    <n v="532"/>
    <n v="225"/>
    <n v="225"/>
    <n v="236.25"/>
    <n v="313.75"/>
    <n v="0"/>
    <x v="27"/>
    <x v="2"/>
    <m/>
    <m/>
    <s v=""/>
    <n v="0.57045454545454544"/>
  </r>
  <r>
    <x v="0"/>
    <x v="43"/>
    <x v="0"/>
    <x v="1"/>
    <m/>
    <m/>
    <s v="TAPE_PE, PICUS Polythelene Tape (White)X 4&quot;"/>
    <s v="IM-000247"/>
    <n v="3"/>
    <n v="125"/>
    <m/>
    <n v="375"/>
    <x v="0"/>
    <n v="147"/>
    <n v="75"/>
    <n v="225"/>
    <n v="231.75"/>
    <n v="143.25"/>
    <n v="0"/>
    <x v="29"/>
    <x v="0"/>
    <e v="#REF!"/>
    <e v="#REF!"/>
    <s v=""/>
    <n v="0.38200000000000001"/>
  </r>
  <r>
    <x v="0"/>
    <x v="12"/>
    <x v="0"/>
    <x v="6"/>
    <m/>
    <m/>
    <s v="TAPE_PE, PICUS Polythelene Tape (White)X 4&quot;"/>
    <s v="IM-000247"/>
    <n v="3"/>
    <n v="125"/>
    <m/>
    <n v="375"/>
    <x v="0"/>
    <n v="147"/>
    <n v="75"/>
    <n v="225"/>
    <n v="231.75"/>
    <n v="143.25"/>
    <n v="0"/>
    <x v="29"/>
    <x v="0"/>
    <e v="#REF!"/>
    <e v="#REF!"/>
    <s v=""/>
    <n v="0.38200000000000001"/>
  </r>
  <r>
    <x v="0"/>
    <x v="12"/>
    <x v="0"/>
    <x v="58"/>
    <m/>
    <m/>
    <s v="RECEIVER_DRIER_ALUMINUM, YK ESCAPE"/>
    <s v="CA-001129"/>
    <n v="1"/>
    <n v="550"/>
    <m/>
    <n v="550"/>
    <x v="0"/>
    <n v="532"/>
    <n v="225"/>
    <n v="225"/>
    <n v="236.25"/>
    <n v="313.75"/>
    <n v="0"/>
    <x v="27"/>
    <x v="2"/>
    <e v="#REF!"/>
    <e v="#REF!"/>
    <e v="#REF!"/>
    <n v="0"/>
  </r>
  <r>
    <x v="1"/>
    <x v="100"/>
    <x v="0"/>
    <x v="8"/>
    <m/>
    <m/>
    <s v="RECEIVER_DRIER_ALUMINUM, YK 8227  (Montero)"/>
    <s v="CA-001108"/>
    <n v="1"/>
    <n v="550"/>
    <m/>
    <n v="550"/>
    <x v="0"/>
    <n v="532"/>
    <n v="225"/>
    <n v="225"/>
    <n v="236.25"/>
    <n v="313.75"/>
    <n v="0"/>
    <x v="27"/>
    <x v="2"/>
    <e v="#REF!"/>
    <e v="#REF!"/>
    <s v=""/>
    <n v="0.57045454545454544"/>
  </r>
  <r>
    <x v="1"/>
    <x v="21"/>
    <x v="0"/>
    <x v="6"/>
    <m/>
    <m/>
    <s v="TAPE_PE, PICUS Polythelene Tape (White)X 4&quot;"/>
    <s v="IM-000247"/>
    <n v="3"/>
    <n v="125"/>
    <m/>
    <n v="375"/>
    <x v="0"/>
    <n v="147"/>
    <n v="75"/>
    <n v="225"/>
    <n v="231.75"/>
    <n v="143.25"/>
    <n v="0"/>
    <x v="29"/>
    <x v="0"/>
    <e v="#REF!"/>
    <e v="#REF!"/>
    <e v="#REF!"/>
    <n v="0.38200000000000001"/>
  </r>
  <r>
    <x v="1"/>
    <x v="23"/>
    <x v="0"/>
    <x v="62"/>
    <m/>
    <m/>
    <s v="TAPE_PE, PICUS Polythelene Tape (White)X 4&quot;"/>
    <s v="IM-000247"/>
    <n v="3"/>
    <n v="125"/>
    <m/>
    <n v="375"/>
    <x v="0"/>
    <n v="147"/>
    <n v="75"/>
    <n v="225"/>
    <n v="231.75"/>
    <n v="143.25"/>
    <n v="0"/>
    <x v="29"/>
    <x v="0"/>
    <e v="#REF!"/>
    <e v="#REF!"/>
    <e v="#REF!"/>
    <n v="0.38200000000000001"/>
  </r>
  <r>
    <x v="1"/>
    <x v="28"/>
    <x v="0"/>
    <x v="58"/>
    <m/>
    <m/>
    <s v="RECEIVER_DRIER_ALUMINUM, YK 8016 (MAZDA 323)"/>
    <s v="CA-001087"/>
    <n v="1"/>
    <n v="550"/>
    <m/>
    <n v="550"/>
    <x v="0"/>
    <n v="532"/>
    <n v="225"/>
    <n v="225"/>
    <n v="236.25"/>
    <n v="313.75"/>
    <n v="0"/>
    <x v="27"/>
    <x v="2"/>
    <e v="#REF!"/>
    <e v="#REF!"/>
    <e v="#REF!"/>
    <n v="0.57045454545454544"/>
  </r>
  <r>
    <x v="2"/>
    <x v="54"/>
    <x v="0"/>
    <x v="6"/>
    <m/>
    <m/>
    <s v="TAPE_PE, PICUS Polythelene Tape (White)X 4&quot;"/>
    <s v="IM-000247"/>
    <n v="3"/>
    <n v="125"/>
    <m/>
    <n v="375"/>
    <x v="0"/>
    <n v="147"/>
    <n v="75"/>
    <n v="225"/>
    <n v="231.75"/>
    <n v="143.25"/>
    <n v="0"/>
    <x v="29"/>
    <x v="0"/>
    <e v="#REF!"/>
    <e v="#REF!"/>
    <s v=""/>
    <n v="0.38200000000000001"/>
  </r>
  <r>
    <x v="4"/>
    <x v="105"/>
    <x v="1"/>
    <x v="3"/>
    <m/>
    <m/>
    <s v="EXP. VALVE LT, POKKA 9A56 INNOVA F"/>
    <s v="CA-000637"/>
    <n v="1"/>
    <n v="550"/>
    <m/>
    <n v="550"/>
    <x v="0"/>
    <n v="460"/>
    <n v="250"/>
    <n v="250"/>
    <n v="262.5"/>
    <n v="287.5"/>
    <n v="86.25"/>
    <x v="23"/>
    <x v="2"/>
    <m/>
    <m/>
    <m/>
    <n v="0.52272727272727271"/>
  </r>
  <r>
    <x v="3"/>
    <x v="59"/>
    <x v="0"/>
    <x v="6"/>
    <m/>
    <m/>
    <s v="TAPE_PE, PICUS Polythelene Tape (White)X 4&quot;"/>
    <s v="IM-000247"/>
    <n v="3"/>
    <n v="125"/>
    <m/>
    <n v="375"/>
    <x v="0"/>
    <n v="147"/>
    <n v="75"/>
    <n v="225"/>
    <n v="231.75"/>
    <n v="143.25"/>
    <n v="0"/>
    <x v="29"/>
    <x v="0"/>
    <m/>
    <m/>
    <s v=""/>
    <n v="0.38200000000000001"/>
  </r>
  <r>
    <x v="4"/>
    <x v="105"/>
    <x v="1"/>
    <x v="3"/>
    <m/>
    <m/>
    <s v="EXP. VALVE LT, POKKA 9A57 INNOVA R"/>
    <s v="CA-000638"/>
    <n v="1"/>
    <n v="550"/>
    <m/>
    <n v="550"/>
    <x v="0"/>
    <n v="460"/>
    <n v="250"/>
    <n v="250"/>
    <n v="262.5"/>
    <n v="287.5"/>
    <n v="86.25"/>
    <x v="23"/>
    <x v="2"/>
    <m/>
    <m/>
    <m/>
    <n v="0.52272727272727271"/>
  </r>
  <r>
    <x v="4"/>
    <x v="93"/>
    <x v="0"/>
    <x v="72"/>
    <m/>
    <m/>
    <s v="RECEIVER_DRIER_ALUMINUM, YK 8038 (Civic, CRV)"/>
    <s v="CA-001094"/>
    <n v="1"/>
    <n v="550"/>
    <m/>
    <n v="550"/>
    <x v="0"/>
    <n v="532"/>
    <n v="225"/>
    <n v="225"/>
    <n v="236.25"/>
    <n v="313.75"/>
    <n v="0"/>
    <x v="27"/>
    <x v="2"/>
    <m/>
    <m/>
    <m/>
    <n v="0.57045454545454544"/>
  </r>
  <r>
    <x v="4"/>
    <x v="95"/>
    <x v="0"/>
    <x v="11"/>
    <m/>
    <m/>
    <s v="RECEIVER_DRIER_ALUMINUM, YK 8227  (Montero)"/>
    <s v="CA-001108"/>
    <n v="1"/>
    <n v="550"/>
    <m/>
    <n v="550"/>
    <x v="0"/>
    <n v="532"/>
    <n v="225"/>
    <n v="225"/>
    <n v="236.25"/>
    <n v="313.75"/>
    <n v="0"/>
    <x v="27"/>
    <x v="2"/>
    <m/>
    <m/>
    <m/>
    <n v="0.57045454545454544"/>
  </r>
  <r>
    <x v="4"/>
    <x v="81"/>
    <x v="0"/>
    <x v="49"/>
    <m/>
    <m/>
    <s v="RECEIVER_DRIER_ALUMINUM, YK 8038 (Civic, CRV)"/>
    <s v="CA-001094"/>
    <n v="1"/>
    <n v="550"/>
    <m/>
    <n v="550"/>
    <x v="0"/>
    <n v="532"/>
    <n v="225"/>
    <n v="225"/>
    <n v="236.25"/>
    <n v="313.75"/>
    <n v="0"/>
    <x v="27"/>
    <x v="2"/>
    <m/>
    <m/>
    <m/>
    <n v="0.57045454545454544"/>
  </r>
  <r>
    <x v="4"/>
    <x v="77"/>
    <x v="0"/>
    <x v="17"/>
    <m/>
    <m/>
    <s v="RECEIVER_DRIER_ALUMINUM, YK 8049"/>
    <s v="CA-001096"/>
    <n v="1"/>
    <n v="500"/>
    <m/>
    <n v="500"/>
    <x v="0"/>
    <n v="532"/>
    <n v="225"/>
    <n v="225"/>
    <n v="236.25"/>
    <n v="263.75"/>
    <n v="0"/>
    <x v="27"/>
    <x v="2"/>
    <e v="#REF!"/>
    <e v="#REF!"/>
    <e v="#REF!"/>
    <n v="0"/>
  </r>
  <r>
    <x v="0"/>
    <x v="97"/>
    <x v="0"/>
    <x v="0"/>
    <m/>
    <m/>
    <s v="BOLT &amp; NUT, DYNABOLT 3/8&quot;"/>
    <s v="GE-000396"/>
    <n v="25"/>
    <n v="25"/>
    <m/>
    <n v="625"/>
    <x v="0"/>
    <n v="19"/>
    <n v="8.9"/>
    <n v="222.5"/>
    <n v="233.625"/>
    <n v="391.375"/>
    <n v="0"/>
    <x v="57"/>
    <x v="1"/>
    <m/>
    <m/>
    <s v=""/>
    <n v="0.62619999999999998"/>
  </r>
  <r>
    <x v="2"/>
    <x v="36"/>
    <x v="0"/>
    <x v="4"/>
    <m/>
    <m/>
    <s v="RUBBER_INSULATION, M-FLEX 1/2&quot; 5/8"/>
    <s v="IM-000232"/>
    <n v="4"/>
    <n v="75"/>
    <m/>
    <n v="300"/>
    <x v="0"/>
    <n v="77"/>
    <n v="55.2"/>
    <n v="220.8"/>
    <n v="227.42400000000001"/>
    <n v="72.575999999999993"/>
    <n v="0"/>
    <x v="22"/>
    <x v="0"/>
    <e v="#REF!"/>
    <e v="#REF!"/>
    <s v=""/>
    <n v="0.24191999999999997"/>
  </r>
  <r>
    <x v="5"/>
    <x v="126"/>
    <x v="0"/>
    <x v="17"/>
    <m/>
    <n v="200"/>
    <s v="O_RING, NEK MAKAPAL 3/8"/>
    <s v="CA-000841"/>
    <n v="1"/>
    <n v="180"/>
    <m/>
    <n v="180"/>
    <x v="0"/>
    <n v="111"/>
    <n v="60"/>
    <n v="60"/>
    <n v="63"/>
    <n v="117"/>
    <n v="0"/>
    <x v="44"/>
    <x v="2"/>
    <e v="#REF!"/>
    <e v="#REF!"/>
    <n v="201.60000000000002"/>
    <n v="0.65"/>
  </r>
  <r>
    <x v="0"/>
    <x v="98"/>
    <x v="0"/>
    <x v="35"/>
    <m/>
    <m/>
    <s v="ROYAL CORD, BOSTON 4-CORE, #16 1.25 MM, PER METER"/>
    <s v="GE-000453"/>
    <n v="4"/>
    <n v="125"/>
    <m/>
    <n v="500"/>
    <x v="0"/>
    <n v="122"/>
    <n v="55"/>
    <n v="220"/>
    <n v="231"/>
    <n v="269"/>
    <n v="0"/>
    <x v="48"/>
    <x v="1"/>
    <m/>
    <m/>
    <s v=""/>
    <n v="0.53800000000000003"/>
  </r>
  <r>
    <x v="0"/>
    <x v="120"/>
    <x v="0"/>
    <x v="58"/>
    <m/>
    <m/>
    <s v="RECEIVER_DRIER_ALUMINUM, YK 8739 (S) (MONTERO)"/>
    <s v="CA-001118"/>
    <n v="1"/>
    <n v="550"/>
    <m/>
    <n v="550"/>
    <x v="0"/>
    <n v="520"/>
    <n v="220"/>
    <n v="220"/>
    <n v="231"/>
    <n v="319"/>
    <n v="0"/>
    <x v="27"/>
    <x v="2"/>
    <m/>
    <m/>
    <s v=""/>
    <n v="0.57999999999999996"/>
  </r>
  <r>
    <x v="3"/>
    <x v="62"/>
    <x v="0"/>
    <x v="125"/>
    <m/>
    <n v="550"/>
    <s v="CAPACITOR_DOUBLE, PS CBB65 40 + 6 UF"/>
    <s v="GE-000293"/>
    <n v="1"/>
    <n v="491"/>
    <m/>
    <n v="491"/>
    <x v="0"/>
    <n v="405"/>
    <n v="220"/>
    <n v="220"/>
    <n v="231"/>
    <n v="260"/>
    <n v="0"/>
    <x v="65"/>
    <x v="1"/>
    <m/>
    <m/>
    <n v="549.92000000000007"/>
    <n v="0.52953156822810588"/>
  </r>
  <r>
    <x v="3"/>
    <x v="66"/>
    <x v="0"/>
    <x v="19"/>
    <m/>
    <m/>
    <s v="ROYAL CORD, BOSTON 4-CORE, #16 1.25 MM, PER METER"/>
    <s v="GE-000453"/>
    <n v="4"/>
    <n v="125"/>
    <m/>
    <n v="500"/>
    <x v="0"/>
    <n v="122"/>
    <n v="55"/>
    <n v="220"/>
    <n v="231"/>
    <n v="269"/>
    <n v="0"/>
    <x v="48"/>
    <x v="1"/>
    <m/>
    <m/>
    <s v=""/>
    <n v="0.53800000000000003"/>
  </r>
  <r>
    <x v="3"/>
    <x v="85"/>
    <x v="3"/>
    <x v="12"/>
    <m/>
    <m/>
    <s v="FITTINGS, STRAIGHT FLARE TYPE 1/2"/>
    <s v="CA-000671"/>
    <n v="6"/>
    <n v="40"/>
    <m/>
    <n v="240"/>
    <x v="0"/>
    <n v="30"/>
    <n v="16"/>
    <n v="96"/>
    <n v="100.80000000000001"/>
    <n v="139.19999999999999"/>
    <n v="41.76"/>
    <x v="33"/>
    <x v="2"/>
    <m/>
    <m/>
    <m/>
    <n v="0.57999999999999996"/>
  </r>
  <r>
    <x v="3"/>
    <x v="61"/>
    <x v="2"/>
    <x v="22"/>
    <m/>
    <m/>
    <s v="FERULLE,  5/8&quot;"/>
    <s v="CA-000646"/>
    <n v="10"/>
    <n v="12"/>
    <m/>
    <n v="120"/>
    <x v="0"/>
    <n v="13"/>
    <n v="7"/>
    <n v="70"/>
    <n v="73.5"/>
    <n v="46.5"/>
    <n v="13.95"/>
    <x v="42"/>
    <x v="2"/>
    <m/>
    <m/>
    <s v=""/>
    <n v="0.38750000000000001"/>
  </r>
  <r>
    <x v="3"/>
    <x v="61"/>
    <x v="2"/>
    <x v="22"/>
    <m/>
    <n v="200"/>
    <s v="O_RING, NEK MAKAPAL 1/2"/>
    <s v="CA-000840"/>
    <n v="1"/>
    <n v="179"/>
    <m/>
    <n v="179"/>
    <x v="0"/>
    <n v="111"/>
    <n v="60"/>
    <n v="60"/>
    <n v="63"/>
    <n v="116"/>
    <n v="34.799999999999997"/>
    <x v="44"/>
    <x v="2"/>
    <m/>
    <m/>
    <n v="200.48000000000002"/>
    <n v="0.64804469273743015"/>
  </r>
  <r>
    <x v="3"/>
    <x v="61"/>
    <x v="2"/>
    <x v="22"/>
    <m/>
    <n v="200"/>
    <s v="O_RING, NEK MAKAPAL 5/8"/>
    <s v="CA-000843"/>
    <n v="1"/>
    <n v="179"/>
    <m/>
    <n v="179"/>
    <x v="0"/>
    <n v="111"/>
    <n v="60"/>
    <n v="60"/>
    <n v="63"/>
    <n v="116"/>
    <n v="34.799999999999997"/>
    <x v="44"/>
    <x v="2"/>
    <m/>
    <m/>
    <n v="200.48000000000002"/>
    <n v="0.64804469273743015"/>
  </r>
  <r>
    <x v="3"/>
    <x v="115"/>
    <x v="2"/>
    <x v="22"/>
    <m/>
    <n v="200"/>
    <s v="O_RING, NEK MAKAPAL 3/8"/>
    <s v="CA-000841"/>
    <n v="1"/>
    <n v="178"/>
    <m/>
    <n v="178"/>
    <x v="0"/>
    <n v="111"/>
    <n v="60"/>
    <n v="60"/>
    <n v="63"/>
    <n v="115"/>
    <n v="34.5"/>
    <x v="44"/>
    <x v="2"/>
    <m/>
    <m/>
    <n v="199.36"/>
    <n v="0.6460674157303371"/>
  </r>
  <r>
    <x v="3"/>
    <x v="85"/>
    <x v="3"/>
    <x v="12"/>
    <m/>
    <m/>
    <s v="FERULLE,  1/2&quot;"/>
    <s v="CA-000644"/>
    <n v="6"/>
    <n v="15"/>
    <m/>
    <n v="90"/>
    <x v="0"/>
    <n v="13"/>
    <n v="7"/>
    <n v="42"/>
    <n v="44.1"/>
    <n v="45.9"/>
    <n v="13.77"/>
    <x v="42"/>
    <x v="2"/>
    <m/>
    <m/>
    <m/>
    <n v="0.51"/>
  </r>
  <r>
    <x v="4"/>
    <x v="110"/>
    <x v="0"/>
    <x v="41"/>
    <m/>
    <m/>
    <s v="ELECTRICAL WIRE_STRANDED, POWERFLEX THNN STRANDED   #12, MTR"/>
    <s v="GE-000120"/>
    <n v="8"/>
    <n v="45"/>
    <m/>
    <n v="360"/>
    <x v="0"/>
    <n v="50"/>
    <n v="27"/>
    <n v="216"/>
    <n v="226.8"/>
    <n v="133.19999999999999"/>
    <n v="0"/>
    <x v="2"/>
    <x v="1"/>
    <m/>
    <m/>
    <m/>
    <n v="0.37"/>
  </r>
  <r>
    <x v="3"/>
    <x v="85"/>
    <x v="3"/>
    <x v="12"/>
    <m/>
    <m/>
    <s v="ROD, NIHONWELD ALUMINUM "/>
    <s v="IM-000100"/>
    <n v="5"/>
    <n v="15"/>
    <m/>
    <n v="75"/>
    <x v="0"/>
    <n v="11"/>
    <n v="7"/>
    <n v="35"/>
    <n v="36.050000000000004"/>
    <n v="38.949999999999996"/>
    <n v="11.684999999999999"/>
    <x v="56"/>
    <x v="0"/>
    <m/>
    <m/>
    <m/>
    <n v="0.51933333333333331"/>
  </r>
  <r>
    <x v="4"/>
    <x v="82"/>
    <x v="2"/>
    <x v="7"/>
    <m/>
    <m/>
    <s v="REFRIGERANT, ENTALPIA EUROPE R134A 13.6   5/19/26 NBO"/>
    <s v=""/>
    <n v="1"/>
    <n v="8700"/>
    <m/>
    <n v="8700"/>
    <x v="0"/>
    <n v="0"/>
    <n v="0"/>
    <n v="0"/>
    <n v="0"/>
    <n v="8700"/>
    <n v="2610"/>
    <x v="13"/>
    <x v="3"/>
    <e v="#REF!"/>
    <e v="#REF!"/>
    <e v="#REF!"/>
    <n v="0"/>
  </r>
  <r>
    <x v="4"/>
    <x v="102"/>
    <x v="2"/>
    <x v="7"/>
    <m/>
    <m/>
    <s v="REFRIGERANT, ENTALPIA EUROPE R134A 13.6   4/8/26 NBO"/>
    <s v="GE-000510"/>
    <n v="1"/>
    <n v="8500"/>
    <m/>
    <n v="8500"/>
    <x v="0"/>
    <n v="0"/>
    <n v="0"/>
    <n v="0"/>
    <n v="0"/>
    <n v="8500"/>
    <n v="2550"/>
    <x v="13"/>
    <x v="3"/>
    <m/>
    <m/>
    <m/>
    <n v="1"/>
  </r>
  <r>
    <x v="4"/>
    <x v="88"/>
    <x v="1"/>
    <x v="3"/>
    <m/>
    <m/>
    <s v="PRESSURE_SWITCH, NISSAN 42CP8-11 (XTRAIL)"/>
    <s v="CA-000857"/>
    <n v="1"/>
    <n v="900"/>
    <m/>
    <n v="900"/>
    <x v="0"/>
    <n v="1050"/>
    <n v="400"/>
    <n v="400"/>
    <n v="420"/>
    <n v="480"/>
    <n v="144"/>
    <x v="47"/>
    <x v="2"/>
    <m/>
    <m/>
    <m/>
    <n v="0.53333333333333333"/>
  </r>
  <r>
    <x v="4"/>
    <x v="90"/>
    <x v="3"/>
    <x v="12"/>
    <m/>
    <m/>
    <s v="REFRIGERANT, ENTALPIA EUROPE R134A 13.6   4/8/26 NBO"/>
    <s v="GE-000510"/>
    <n v="1"/>
    <n v="8500"/>
    <m/>
    <n v="8500"/>
    <x v="0"/>
    <n v="0"/>
    <n v="0"/>
    <n v="0"/>
    <n v="0"/>
    <n v="8500"/>
    <n v="2550"/>
    <x v="13"/>
    <x v="3"/>
    <m/>
    <m/>
    <m/>
    <n v="1"/>
  </r>
  <r>
    <x v="4"/>
    <x v="90"/>
    <x v="2"/>
    <x v="7"/>
    <m/>
    <s v=" "/>
    <s v="REFRIGERANT, ENTALPIA EUROPE R134A 13.6   4/8/26 NBO"/>
    <s v="GE-000510"/>
    <n v="1"/>
    <n v="8500"/>
    <m/>
    <n v="8500"/>
    <x v="0"/>
    <n v="0"/>
    <n v="0"/>
    <n v="0"/>
    <n v="0"/>
    <n v="8500"/>
    <n v="2550"/>
    <x v="13"/>
    <x v="3"/>
    <m/>
    <m/>
    <m/>
    <n v="1"/>
  </r>
  <r>
    <x v="1"/>
    <x v="25"/>
    <x v="0"/>
    <x v="20"/>
    <m/>
    <m/>
    <s v="ELECTRICAL WIRE_STRANDED, POWERFLEX THNN STRANDED   #14, MTR"/>
    <s v="GE-000122"/>
    <n v="10"/>
    <n v="28"/>
    <m/>
    <n v="280"/>
    <x v="0"/>
    <n v="39"/>
    <n v="21"/>
    <n v="210"/>
    <n v="220.5"/>
    <n v="59.5"/>
    <n v="0"/>
    <x v="2"/>
    <x v="1"/>
    <e v="#REF!"/>
    <e v="#REF!"/>
    <e v="#REF!"/>
    <n v="0.21249999999999999"/>
  </r>
  <r>
    <x v="4"/>
    <x v="103"/>
    <x v="2"/>
    <x v="7"/>
    <m/>
    <m/>
    <s v="REFRIGERANT, ENTALPIA EUROPE R134A 13.6   4/8/26 NBO"/>
    <s v="GE-000510"/>
    <n v="1"/>
    <n v="8700"/>
    <m/>
    <n v="8700"/>
    <x v="0"/>
    <n v="0"/>
    <n v="0"/>
    <n v="0"/>
    <n v="0"/>
    <n v="8700"/>
    <n v="2610"/>
    <x v="13"/>
    <x v="3"/>
    <m/>
    <m/>
    <m/>
    <n v="1"/>
  </r>
  <r>
    <x v="2"/>
    <x v="39"/>
    <x v="1"/>
    <x v="5"/>
    <m/>
    <n v="650"/>
    <s v="AC FILTER DRIER , GENESSO 5/8 FLARE TYPE 165FT"/>
    <s v="GE-000010"/>
    <n v="1"/>
    <n v="580"/>
    <m/>
    <n v="580"/>
    <x v="0"/>
    <n v="621"/>
    <n v="215"/>
    <n v="215"/>
    <n v="225.75"/>
    <n v="354.25"/>
    <n v="106.27499999999999"/>
    <x v="66"/>
    <x v="1"/>
    <e v="#REF!"/>
    <e v="#REF!"/>
    <n v="649.6"/>
    <n v="0.6107758620689655"/>
  </r>
  <r>
    <x v="4"/>
    <x v="88"/>
    <x v="0"/>
    <x v="36"/>
    <m/>
    <n v="3900"/>
    <s v="EVAPORATOR, UNIVERSAL FORMULA 408 LAMINATED 12V"/>
    <s v="CA-000559"/>
    <n v="1"/>
    <n v="3482"/>
    <m/>
    <n v="3482"/>
    <x v="0"/>
    <n v="4870"/>
    <n v="2650"/>
    <n v="2650"/>
    <n v="2782.5"/>
    <n v="699.5"/>
    <n v="0"/>
    <x v="10"/>
    <x v="2"/>
    <m/>
    <m/>
    <m/>
    <n v="0.20089029293509478"/>
  </r>
  <r>
    <x v="2"/>
    <x v="54"/>
    <x v="0"/>
    <x v="10"/>
    <m/>
    <m/>
    <s v="RECEIVER_DRIER_ALUMINUM, YK 8117 (TUCSON)"/>
    <s v="CA-001101"/>
    <n v="1"/>
    <n v="550"/>
    <m/>
    <n v="550"/>
    <x v="0"/>
    <n v="497"/>
    <n v="210"/>
    <n v="210"/>
    <n v="220.5"/>
    <n v="329.5"/>
    <n v="0"/>
    <x v="27"/>
    <x v="2"/>
    <e v="#REF!"/>
    <e v="#REF!"/>
    <s v=""/>
    <n v="0.59909090909090912"/>
  </r>
  <r>
    <x v="4"/>
    <x v="108"/>
    <x v="1"/>
    <x v="3"/>
    <m/>
    <n v="550"/>
    <s v="RECEIVER_DRIER_ALUMINUM, YK 2020-2 (ERTIGA)"/>
    <s v="CA-001081"/>
    <n v="1"/>
    <n v="491"/>
    <m/>
    <n v="491"/>
    <x v="0"/>
    <n v="662"/>
    <n v="280"/>
    <n v="280"/>
    <n v="294"/>
    <n v="197"/>
    <n v="59.099999999999994"/>
    <x v="27"/>
    <x v="2"/>
    <m/>
    <m/>
    <m/>
    <n v="0.40122199592668023"/>
  </r>
  <r>
    <x v="3"/>
    <x v="66"/>
    <x v="0"/>
    <x v="17"/>
    <m/>
    <m/>
    <s v="EXP. VALVE SC, MITSUBISHI ORING TYPE 5/16"/>
    <s v="CA-000567"/>
    <n v="1"/>
    <n v="450"/>
    <m/>
    <n v="450"/>
    <x v="0"/>
    <n v="386"/>
    <n v="210"/>
    <n v="210"/>
    <n v="220.5"/>
    <n v="229.5"/>
    <n v="0"/>
    <x v="34"/>
    <x v="2"/>
    <m/>
    <m/>
    <s v=""/>
    <n v="0.51"/>
  </r>
  <r>
    <x v="3"/>
    <x v="68"/>
    <x v="0"/>
    <x v="2"/>
    <m/>
    <m/>
    <s v="ELECTRICAL WIRE_STRANDED, POWERFLEX THNN STRANDED   #14, MTR"/>
    <s v="GE-000122"/>
    <n v="10"/>
    <n v="35"/>
    <m/>
    <n v="350"/>
    <x v="0"/>
    <n v="39"/>
    <n v="21"/>
    <n v="210"/>
    <n v="220.5"/>
    <n v="129.5"/>
    <n v="0"/>
    <x v="2"/>
    <x v="1"/>
    <m/>
    <m/>
    <s v=""/>
    <n v="0.37"/>
  </r>
  <r>
    <x v="4"/>
    <x v="89"/>
    <x v="4"/>
    <x v="25"/>
    <m/>
    <m/>
    <s v="EVAPORATOR, SUZUKI SPRESSO JY4594"/>
    <s v="CA-001820"/>
    <n v="1"/>
    <n v="2200"/>
    <m/>
    <n v="2200"/>
    <x v="0"/>
    <n v="3032"/>
    <n v="1650"/>
    <n v="1650"/>
    <n v="1732.5"/>
    <n v="467.5"/>
    <n v="140.25"/>
    <x v="10"/>
    <x v="2"/>
    <m/>
    <m/>
    <m/>
    <n v="0.21249999999999999"/>
  </r>
  <r>
    <x v="4"/>
    <x v="105"/>
    <x v="0"/>
    <x v="1"/>
    <m/>
    <m/>
    <s v="ELECTRICAL WIRE_STRANDED, POWERFLEX THNN STRANDED   #14, MTR"/>
    <s v="GE-000122"/>
    <n v="10"/>
    <n v="35"/>
    <m/>
    <n v="350"/>
    <x v="0"/>
    <n v="39"/>
    <n v="21"/>
    <n v="210"/>
    <n v="220.5"/>
    <n v="129.5"/>
    <n v="0"/>
    <x v="2"/>
    <x v="1"/>
    <m/>
    <m/>
    <m/>
    <n v="0.37"/>
  </r>
  <r>
    <x v="4"/>
    <x v="108"/>
    <x v="0"/>
    <x v="1"/>
    <m/>
    <n v="470"/>
    <s v="CAPACITOR_SINGLE, PS CBB65 60 UF"/>
    <s v="GE-000079"/>
    <n v="1"/>
    <n v="420"/>
    <m/>
    <n v="420"/>
    <x v="0"/>
    <n v="386"/>
    <n v="210"/>
    <n v="210"/>
    <n v="220.5"/>
    <n v="199.5"/>
    <n v="0"/>
    <x v="38"/>
    <x v="1"/>
    <m/>
    <m/>
    <m/>
    <n v="0.47499999999999998"/>
  </r>
  <r>
    <x v="4"/>
    <x v="90"/>
    <x v="2"/>
    <x v="9"/>
    <m/>
    <n v="2200"/>
    <s v="PULLEY_ASSEMBLY, MITSUBISHI MONTERO 3.2"/>
    <s v="CA-001039"/>
    <n v="1"/>
    <n v="2200"/>
    <m/>
    <n v="2200"/>
    <x v="0"/>
    <n v="2520"/>
    <n v="1500"/>
    <n v="1500"/>
    <n v="1575"/>
    <n v="625"/>
    <n v="187.5"/>
    <x v="11"/>
    <x v="2"/>
    <m/>
    <m/>
    <m/>
    <n v="0.28409090909090912"/>
  </r>
  <r>
    <x v="4"/>
    <x v="113"/>
    <x v="0"/>
    <x v="35"/>
    <m/>
    <m/>
    <s v="ROYAL CORD, POWERFLEX 4-CORE, #16 1.2 MM, METER"/>
    <s v="GE-000485"/>
    <n v="3"/>
    <n v="125"/>
    <m/>
    <n v="375"/>
    <x v="0"/>
    <n v="90"/>
    <n v="72"/>
    <n v="216"/>
    <n v="226.8"/>
    <n v="148.19999999999999"/>
    <n v="0"/>
    <x v="48"/>
    <x v="1"/>
    <m/>
    <m/>
    <m/>
    <n v="0.3952"/>
  </r>
  <r>
    <x v="4"/>
    <x v="90"/>
    <x v="0"/>
    <x v="126"/>
    <m/>
    <m/>
    <s v="ACCESS_VALVE, OMNI WELDED TYPE "/>
    <s v="GE-000253"/>
    <n v="10"/>
    <n v="50"/>
    <m/>
    <n v="500"/>
    <x v="0"/>
    <n v="47"/>
    <n v="21"/>
    <n v="210"/>
    <n v="220.5"/>
    <n v="279.5"/>
    <n v="0"/>
    <x v="67"/>
    <x v="1"/>
    <m/>
    <m/>
    <m/>
    <n v="0.55900000000000005"/>
  </r>
  <r>
    <x v="4"/>
    <x v="81"/>
    <x v="4"/>
    <x v="25"/>
    <m/>
    <n v="2100"/>
    <s v="EVAPORATOR, MITSUBISHI LANCER 2010-2014"/>
    <s v="CA-001258"/>
    <n v="1"/>
    <n v="1875"/>
    <m/>
    <n v="1875"/>
    <x v="0"/>
    <n v="2757"/>
    <n v="1500"/>
    <n v="1500"/>
    <n v="1575"/>
    <n v="300"/>
    <n v="90"/>
    <x v="10"/>
    <x v="2"/>
    <m/>
    <m/>
    <m/>
    <n v="0.16"/>
  </r>
  <r>
    <x v="4"/>
    <x v="103"/>
    <x v="0"/>
    <x v="26"/>
    <m/>
    <m/>
    <s v="TAPE ELECTRICAL, ARMAK 0.16 MM X 19 MM X 16 M 04/25/26"/>
    <s v="GE-000491"/>
    <n v="5"/>
    <n v="55"/>
    <m/>
    <n v="275"/>
    <x v="0"/>
    <n v="73"/>
    <n v="42"/>
    <n v="210"/>
    <n v="220.5"/>
    <n v="54.5"/>
    <n v="0"/>
    <x v="50"/>
    <x v="1"/>
    <m/>
    <m/>
    <m/>
    <n v="0.19818181818181818"/>
  </r>
  <r>
    <x v="4"/>
    <x v="104"/>
    <x v="0"/>
    <x v="11"/>
    <m/>
    <m/>
    <s v="EXP. VALVE SC, NISSAN ORING TYPE W/STEP"/>
    <s v="CA-000568"/>
    <n v="1"/>
    <n v="450"/>
    <m/>
    <n v="450"/>
    <x v="0"/>
    <n v="386"/>
    <n v="210"/>
    <n v="210"/>
    <n v="220.5"/>
    <n v="229.5"/>
    <n v="0"/>
    <x v="34"/>
    <x v="2"/>
    <m/>
    <m/>
    <m/>
    <n v="0.51"/>
  </r>
  <r>
    <x v="5"/>
    <x v="126"/>
    <x v="0"/>
    <x v="17"/>
    <m/>
    <n v="200"/>
    <s v="O_RING, NEK MAKAPAL 1/2"/>
    <s v="CA-000840"/>
    <n v="1"/>
    <n v="180"/>
    <m/>
    <n v="180"/>
    <x v="0"/>
    <n v="111"/>
    <n v="60"/>
    <n v="60"/>
    <n v="63"/>
    <n v="117"/>
    <n v="0"/>
    <x v="44"/>
    <x v="2"/>
    <e v="#REF!"/>
    <e v="#REF!"/>
    <n v="201.60000000000002"/>
    <n v="0.65"/>
  </r>
  <r>
    <x v="1"/>
    <x v="23"/>
    <x v="0"/>
    <x v="1"/>
    <m/>
    <m/>
    <s v="RUBBER_INSULATION, M-FLEX 1/2&quot; 3/4"/>
    <s v="IM-000230"/>
    <n v="4"/>
    <n v="110"/>
    <m/>
    <n v="440"/>
    <x v="0"/>
    <n v="67"/>
    <n v="51.8"/>
    <n v="207.2"/>
    <n v="213.416"/>
    <n v="226.584"/>
    <n v="0"/>
    <x v="22"/>
    <x v="0"/>
    <e v="#REF!"/>
    <e v="#REF!"/>
    <e v="#REF!"/>
    <n v="0.5149636363636364"/>
  </r>
  <r>
    <x v="4"/>
    <x v="113"/>
    <x v="0"/>
    <x v="63"/>
    <m/>
    <m/>
    <s v="RUBBER_INSULATION, M-FLEX 1/2&quot; 3/4"/>
    <s v="IM-000230"/>
    <n v="4"/>
    <n v="90"/>
    <m/>
    <n v="360"/>
    <x v="0"/>
    <n v="67"/>
    <n v="51.8"/>
    <n v="207.2"/>
    <n v="213.416"/>
    <n v="146.584"/>
    <n v="0"/>
    <x v="22"/>
    <x v="0"/>
    <m/>
    <m/>
    <m/>
    <n v="0.40717777777777781"/>
  </r>
  <r>
    <x v="0"/>
    <x v="98"/>
    <x v="0"/>
    <x v="35"/>
    <m/>
    <m/>
    <s v="BRACKET , ATLAS 1HP, COATED"/>
    <s v="IM-000242"/>
    <n v="1"/>
    <n v="350"/>
    <m/>
    <n v="350"/>
    <x v="0"/>
    <n v="370"/>
    <n v="205"/>
    <n v="205"/>
    <n v="211.15"/>
    <n v="138.85"/>
    <n v="0"/>
    <x v="1"/>
    <x v="0"/>
    <m/>
    <m/>
    <s v=""/>
    <n v="0.39671428571428569"/>
  </r>
  <r>
    <x v="0"/>
    <x v="27"/>
    <x v="0"/>
    <x v="1"/>
    <m/>
    <m/>
    <s v="BRACKET , ATLAS 1HP, COATED"/>
    <s v="IM-000242"/>
    <n v="1"/>
    <n v="350"/>
    <m/>
    <n v="350"/>
    <x v="0"/>
    <n v="370"/>
    <n v="205"/>
    <n v="205"/>
    <n v="211.15"/>
    <n v="138.85"/>
    <n v="0"/>
    <x v="1"/>
    <x v="0"/>
    <m/>
    <m/>
    <s v=""/>
    <n v="0.39671428571428569"/>
  </r>
  <r>
    <x v="0"/>
    <x v="6"/>
    <x v="0"/>
    <x v="8"/>
    <m/>
    <m/>
    <s v="HOSE, COOLMATE 5/8 SUNCTION PER FT"/>
    <s v="GE-000181"/>
    <n v="5"/>
    <n v="95"/>
    <m/>
    <n v="475"/>
    <x v="0"/>
    <n v="83"/>
    <n v="45"/>
    <n v="225"/>
    <n v="236.25"/>
    <n v="238.75"/>
    <n v="0"/>
    <x v="19"/>
    <x v="1"/>
    <m/>
    <m/>
    <s v=""/>
    <n v="0.50263157894736843"/>
  </r>
  <r>
    <x v="0"/>
    <x v="16"/>
    <x v="0"/>
    <x v="1"/>
    <m/>
    <m/>
    <s v="BRACKET , ATLAS 1HP, COATED"/>
    <s v="IM-000242"/>
    <n v="1"/>
    <n v="350"/>
    <m/>
    <n v="350"/>
    <x v="0"/>
    <n v="370"/>
    <n v="205"/>
    <n v="205"/>
    <n v="211.15"/>
    <n v="138.85"/>
    <n v="0"/>
    <x v="1"/>
    <x v="0"/>
    <m/>
    <m/>
    <s v=""/>
    <n v="0.39671428571428569"/>
  </r>
  <r>
    <x v="0"/>
    <x v="10"/>
    <x v="0"/>
    <x v="62"/>
    <m/>
    <m/>
    <s v="BRACKET , ATLAS 1HP, COATED"/>
    <s v="IM-000242"/>
    <n v="1"/>
    <n v="350"/>
    <m/>
    <n v="350"/>
    <x v="0"/>
    <n v="370"/>
    <n v="205"/>
    <n v="205"/>
    <n v="211.15"/>
    <n v="138.85"/>
    <n v="0"/>
    <x v="1"/>
    <x v="0"/>
    <e v="#REF!"/>
    <e v="#REF!"/>
    <s v=""/>
    <n v="0.39671428571428569"/>
  </r>
  <r>
    <x v="1"/>
    <x v="124"/>
    <x v="0"/>
    <x v="1"/>
    <m/>
    <m/>
    <s v="BRACKET , ATLAS 1HP, COATED"/>
    <s v="IM-000242"/>
    <n v="1"/>
    <n v="350"/>
    <m/>
    <n v="350"/>
    <x v="0"/>
    <n v="370"/>
    <n v="205"/>
    <n v="205"/>
    <n v="211.15"/>
    <n v="138.85"/>
    <n v="0"/>
    <x v="1"/>
    <x v="0"/>
    <e v="#REF!"/>
    <e v="#REF!"/>
    <s v=""/>
    <n v="0.39671428571428569"/>
  </r>
  <r>
    <x v="1"/>
    <x v="23"/>
    <x v="6"/>
    <x v="54"/>
    <m/>
    <m/>
    <s v="BRACKET , ATLAS 1HP, COATED"/>
    <s v="IM-000242"/>
    <n v="1"/>
    <n v="350"/>
    <m/>
    <n v="350"/>
    <x v="0"/>
    <n v="370"/>
    <n v="205"/>
    <n v="205"/>
    <n v="211.15"/>
    <n v="138.85"/>
    <n v="41.654999999999994"/>
    <x v="1"/>
    <x v="0"/>
    <e v="#REF!"/>
    <e v="#REF!"/>
    <e v="#REF!"/>
    <n v="0.39671428571428569"/>
  </r>
  <r>
    <x v="1"/>
    <x v="28"/>
    <x v="0"/>
    <x v="1"/>
    <m/>
    <m/>
    <s v="BRACKET , ATLAS 1HP, COATED"/>
    <s v="IM-000242"/>
    <n v="1"/>
    <n v="350"/>
    <m/>
    <n v="350"/>
    <x v="0"/>
    <n v="370"/>
    <n v="205"/>
    <n v="205"/>
    <n v="211.15"/>
    <n v="138.85"/>
    <n v="0"/>
    <x v="1"/>
    <x v="0"/>
    <e v="#REF!"/>
    <e v="#REF!"/>
    <e v="#REF!"/>
    <n v="0.39671428571428569"/>
  </r>
  <r>
    <x v="1"/>
    <x v="33"/>
    <x v="0"/>
    <x v="19"/>
    <m/>
    <m/>
    <s v="BRACKET , ATLAS 1HP, COATED"/>
    <s v="IM-000242"/>
    <n v="1"/>
    <n v="350"/>
    <m/>
    <n v="350"/>
    <x v="0"/>
    <n v="370"/>
    <n v="205"/>
    <n v="205"/>
    <n v="211.15"/>
    <n v="138.85"/>
    <n v="0"/>
    <x v="1"/>
    <x v="0"/>
    <e v="#REF!"/>
    <e v="#REF!"/>
    <e v="#REF!"/>
    <n v="0"/>
  </r>
  <r>
    <x v="1"/>
    <x v="34"/>
    <x v="0"/>
    <x v="10"/>
    <m/>
    <m/>
    <s v="EXP. VALVE LT, STAL 9A238 SUBARU FORESTER (STAL)"/>
    <s v="CA-001778"/>
    <n v="1"/>
    <n v="550"/>
    <m/>
    <n v="550"/>
    <x v="0"/>
    <n v="409"/>
    <n v="205"/>
    <n v="205"/>
    <n v="215.25"/>
    <n v="334.75"/>
    <n v="0"/>
    <x v="23"/>
    <x v="2"/>
    <e v="#REF!"/>
    <e v="#REF!"/>
    <e v="#REF!"/>
    <n v="0"/>
  </r>
  <r>
    <x v="2"/>
    <x v="44"/>
    <x v="0"/>
    <x v="32"/>
    <m/>
    <m/>
    <s v="BRACKET , ATLAS 1HP, COATED"/>
    <s v="IM-000242"/>
    <n v="1"/>
    <n v="350"/>
    <m/>
    <n v="350"/>
    <x v="0"/>
    <n v="370"/>
    <n v="205"/>
    <n v="205"/>
    <n v="211.15"/>
    <n v="138.85"/>
    <n v="0"/>
    <x v="1"/>
    <x v="0"/>
    <e v="#REF!"/>
    <e v="#REF!"/>
    <s v=""/>
    <n v="0.39671428571428569"/>
  </r>
  <r>
    <x v="2"/>
    <x v="44"/>
    <x v="0"/>
    <x v="24"/>
    <m/>
    <m/>
    <s v="BRACKET , ATLAS 1HP, COATED"/>
    <s v="IM-000242"/>
    <n v="1"/>
    <n v="350"/>
    <m/>
    <n v="350"/>
    <x v="0"/>
    <n v="370"/>
    <n v="205"/>
    <n v="205"/>
    <n v="211.15"/>
    <n v="138.85"/>
    <n v="0"/>
    <x v="1"/>
    <x v="0"/>
    <e v="#REF!"/>
    <e v="#REF!"/>
    <s v=""/>
    <n v="0.39671428571428569"/>
  </r>
  <r>
    <x v="2"/>
    <x v="44"/>
    <x v="0"/>
    <x v="27"/>
    <m/>
    <m/>
    <s v="BRACKET , ATLAS 1HP, COATED"/>
    <s v="IM-000242"/>
    <n v="1"/>
    <n v="350"/>
    <m/>
    <n v="350"/>
    <x v="0"/>
    <n v="370"/>
    <n v="205"/>
    <n v="205"/>
    <n v="211.15"/>
    <n v="138.85"/>
    <n v="0"/>
    <x v="1"/>
    <x v="0"/>
    <e v="#REF!"/>
    <e v="#REF!"/>
    <s v=""/>
    <n v="0.39671428571428569"/>
  </r>
  <r>
    <x v="3"/>
    <x v="59"/>
    <x v="0"/>
    <x v="27"/>
    <m/>
    <m/>
    <s v="BRACKET , ATLAS 1HP, COATED"/>
    <s v="IM-000242"/>
    <n v="1"/>
    <n v="350"/>
    <m/>
    <n v="350"/>
    <x v="0"/>
    <n v="370"/>
    <n v="205"/>
    <n v="205"/>
    <n v="211.15"/>
    <n v="138.85"/>
    <n v="0"/>
    <x v="1"/>
    <x v="0"/>
    <m/>
    <m/>
    <s v=""/>
    <n v="0.39671428571428569"/>
  </r>
  <r>
    <x v="3"/>
    <x v="60"/>
    <x v="0"/>
    <x v="1"/>
    <m/>
    <n v="360"/>
    <s v="BRACKET , ATLAS 1HP, COATED"/>
    <s v="IM-000242"/>
    <n v="1"/>
    <n v="321"/>
    <m/>
    <n v="321"/>
    <x v="0"/>
    <n v="370"/>
    <n v="205"/>
    <n v="205"/>
    <n v="211.15"/>
    <n v="109.85"/>
    <n v="0"/>
    <x v="1"/>
    <x v="0"/>
    <m/>
    <m/>
    <n v="359.52000000000004"/>
    <n v="0.34221183800623051"/>
  </r>
  <r>
    <x v="3"/>
    <x v="60"/>
    <x v="0"/>
    <x v="2"/>
    <m/>
    <m/>
    <s v="BRACKET , ATLAS 1HP, COATED"/>
    <s v="IM-000242"/>
    <n v="1"/>
    <n v="360"/>
    <m/>
    <n v="360"/>
    <x v="0"/>
    <n v="370"/>
    <n v="205"/>
    <n v="205"/>
    <n v="211.15"/>
    <n v="148.85"/>
    <n v="0"/>
    <x v="1"/>
    <x v="0"/>
    <m/>
    <m/>
    <s v=""/>
    <n v="0.41347222222222219"/>
  </r>
  <r>
    <x v="4"/>
    <x v="77"/>
    <x v="0"/>
    <x v="48"/>
    <m/>
    <m/>
    <s v="EXP. VALVE LT, STAL 9A238 SUBARU FORESTER (STAL)"/>
    <s v="CA-001778"/>
    <n v="1"/>
    <n v="550"/>
    <m/>
    <n v="550"/>
    <x v="0"/>
    <n v="409"/>
    <n v="205"/>
    <n v="205"/>
    <n v="215.25"/>
    <n v="334.75"/>
    <n v="0"/>
    <x v="23"/>
    <x v="2"/>
    <e v="#REF!"/>
    <e v="#REF!"/>
    <e v="#REF!"/>
    <n v="0"/>
  </r>
  <r>
    <x v="0"/>
    <x v="97"/>
    <x v="0"/>
    <x v="0"/>
    <m/>
    <m/>
    <s v="RUBBER_INSULATION, M-FLEX 1/2&quot; 1/4"/>
    <s v="IM-000229"/>
    <n v="6"/>
    <n v="45"/>
    <m/>
    <n v="270"/>
    <x v="0"/>
    <n v="47"/>
    <n v="33.6"/>
    <n v="201.60000000000002"/>
    <n v="207.64800000000002"/>
    <n v="62.351999999999975"/>
    <n v="0"/>
    <x v="22"/>
    <x v="0"/>
    <m/>
    <m/>
    <s v=""/>
    <n v="0.23093333333333324"/>
  </r>
  <r>
    <x v="0"/>
    <x v="5"/>
    <x v="0"/>
    <x v="1"/>
    <m/>
    <m/>
    <s v="RUBBER_INSULATION, M-FLEX 1/2&quot; 1/4"/>
    <s v="IM-000229"/>
    <n v="6"/>
    <n v="45"/>
    <m/>
    <n v="270"/>
    <x v="0"/>
    <n v="47"/>
    <n v="33.6"/>
    <n v="201.60000000000002"/>
    <n v="207.64800000000002"/>
    <n v="62.351999999999975"/>
    <n v="0"/>
    <x v="22"/>
    <x v="0"/>
    <m/>
    <m/>
    <s v=""/>
    <n v="0.23093333333333324"/>
  </r>
  <r>
    <x v="1"/>
    <x v="21"/>
    <x v="0"/>
    <x v="6"/>
    <m/>
    <m/>
    <s v="RUBBER_INSULATION, M-FLEX 1/2&quot; 1/4"/>
    <s v="IM-000229"/>
    <n v="6"/>
    <n v="45"/>
    <m/>
    <n v="270"/>
    <x v="0"/>
    <n v="47"/>
    <n v="33.6"/>
    <n v="201.60000000000002"/>
    <n v="207.64800000000002"/>
    <n v="62.351999999999975"/>
    <n v="0"/>
    <x v="22"/>
    <x v="0"/>
    <e v="#REF!"/>
    <e v="#REF!"/>
    <e v="#REF!"/>
    <n v="0.23093333333333324"/>
  </r>
  <r>
    <x v="1"/>
    <x v="23"/>
    <x v="0"/>
    <x v="62"/>
    <m/>
    <m/>
    <s v="RUBBER_INSULATION, M-FLEX 1/2&quot; 1/4"/>
    <s v="IM-000229"/>
    <n v="6"/>
    <n v="45"/>
    <m/>
    <n v="270"/>
    <x v="0"/>
    <n v="47"/>
    <n v="33.6"/>
    <n v="201.60000000000002"/>
    <n v="207.64800000000002"/>
    <n v="62.351999999999975"/>
    <n v="0"/>
    <x v="22"/>
    <x v="0"/>
    <e v="#REF!"/>
    <e v="#REF!"/>
    <e v="#REF!"/>
    <n v="0.23093333333333324"/>
  </r>
  <r>
    <x v="3"/>
    <x v="60"/>
    <x v="0"/>
    <x v="1"/>
    <m/>
    <m/>
    <s v="RUBBER_INSULATION, M-FLEX 1/2&quot; 1/4"/>
    <s v="IM-000229"/>
    <n v="6"/>
    <n v="45"/>
    <m/>
    <n v="270"/>
    <x v="0"/>
    <n v="47"/>
    <n v="33.6"/>
    <n v="201.60000000000002"/>
    <n v="207.64800000000002"/>
    <n v="62.351999999999975"/>
    <n v="0"/>
    <x v="22"/>
    <x v="0"/>
    <m/>
    <m/>
    <s v=""/>
    <n v="0.23093333333333324"/>
  </r>
  <r>
    <x v="3"/>
    <x v="64"/>
    <x v="0"/>
    <x v="19"/>
    <m/>
    <m/>
    <s v="RUBBER_INSULATION, M-FLEX 1/2&quot; 1/4"/>
    <s v="IM-000229"/>
    <n v="6"/>
    <n v="45"/>
    <m/>
    <n v="270"/>
    <x v="0"/>
    <n v="47"/>
    <n v="33.6"/>
    <n v="201.60000000000002"/>
    <n v="207.64800000000002"/>
    <n v="62.351999999999975"/>
    <n v="0"/>
    <x v="22"/>
    <x v="0"/>
    <m/>
    <m/>
    <s v=""/>
    <n v="0.23093333333333324"/>
  </r>
  <r>
    <x v="3"/>
    <x v="71"/>
    <x v="0"/>
    <x v="6"/>
    <m/>
    <m/>
    <s v="RUBBER_INSULATION, M-FLEX 1/2&quot; 1/4"/>
    <s v="IM-000229"/>
    <n v="6"/>
    <n v="45"/>
    <m/>
    <n v="270"/>
    <x v="0"/>
    <n v="47"/>
    <n v="33.6"/>
    <n v="201.60000000000002"/>
    <n v="207.64800000000002"/>
    <n v="62.351999999999975"/>
    <n v="0"/>
    <x v="22"/>
    <x v="0"/>
    <m/>
    <m/>
    <s v=""/>
    <n v="0.23093333333333324"/>
  </r>
  <r>
    <x v="3"/>
    <x v="72"/>
    <x v="9"/>
    <x v="55"/>
    <m/>
    <m/>
    <s v="RUBBER_INSULATION, M-FLEX 1/2&quot; 1/4"/>
    <s v="IM-000229"/>
    <n v="6"/>
    <n v="45"/>
    <m/>
    <n v="270"/>
    <x v="0"/>
    <n v="47"/>
    <n v="33.6"/>
    <n v="201.60000000000002"/>
    <n v="207.64800000000002"/>
    <n v="62.351999999999975"/>
    <n v="18.705599999999993"/>
    <x v="22"/>
    <x v="0"/>
    <m/>
    <m/>
    <s v=""/>
    <n v="0.23093333333333324"/>
  </r>
  <r>
    <x v="4"/>
    <x v="104"/>
    <x v="0"/>
    <x v="27"/>
    <m/>
    <m/>
    <s v="RUBBER_INSULATION, M-FLEX 1/2&quot; 1/4"/>
    <s v="IM-000229"/>
    <n v="6"/>
    <n v="50"/>
    <m/>
    <n v="300"/>
    <x v="0"/>
    <n v="47"/>
    <n v="33.6"/>
    <n v="201.60000000000002"/>
    <n v="207.64800000000002"/>
    <n v="92.351999999999975"/>
    <n v="0"/>
    <x v="22"/>
    <x v="0"/>
    <m/>
    <m/>
    <m/>
    <n v="0.30783999999999989"/>
  </r>
  <r>
    <x v="5"/>
    <x v="126"/>
    <x v="0"/>
    <x v="17"/>
    <m/>
    <n v="200"/>
    <s v="O_RING, NEK MAKAPAL 5/8"/>
    <s v="CA-000843"/>
    <n v="1"/>
    <n v="180"/>
    <m/>
    <n v="180"/>
    <x v="0"/>
    <n v="111"/>
    <n v="60"/>
    <n v="60"/>
    <n v="63"/>
    <n v="117"/>
    <n v="0"/>
    <x v="44"/>
    <x v="2"/>
    <e v="#REF!"/>
    <e v="#REF!"/>
    <n v="201.60000000000002"/>
    <n v="0.65"/>
  </r>
  <r>
    <x v="1"/>
    <x v="15"/>
    <x v="0"/>
    <x v="13"/>
    <m/>
    <m/>
    <s v="HOSE, ELECTRICAL FLEXIBLE ROLL PER METER"/>
    <s v="G-E000235"/>
    <n v="25"/>
    <n v="15"/>
    <m/>
    <n v="375"/>
    <x v="0"/>
    <n v="15"/>
    <n v="8"/>
    <n v="200"/>
    <n v="210"/>
    <n v="165"/>
    <n v="0"/>
    <x v="19"/>
    <x v="1"/>
    <e v="#REF!"/>
    <e v="#REF!"/>
    <s v=""/>
    <n v="0.44"/>
  </r>
  <r>
    <x v="4"/>
    <x v="93"/>
    <x v="0"/>
    <x v="36"/>
    <m/>
    <m/>
    <s v="EVAPORATOR, MITSUBISHI ADVENTURE HS-40A157"/>
    <s v="CA-000510"/>
    <n v="1"/>
    <n v="2100"/>
    <m/>
    <n v="2100"/>
    <x v="0"/>
    <n v="2665"/>
    <n v="1450"/>
    <n v="1450"/>
    <n v="1522.5"/>
    <n v="577.5"/>
    <n v="0"/>
    <x v="10"/>
    <x v="2"/>
    <m/>
    <m/>
    <m/>
    <n v="0.27500000000000002"/>
  </r>
  <r>
    <x v="1"/>
    <x v="100"/>
    <x v="0"/>
    <x v="8"/>
    <m/>
    <m/>
    <s v="HOSE, COOLMATE 1/2 DISCHARGE PER FT"/>
    <s v="GE-000179"/>
    <n v="5"/>
    <n v="90"/>
    <m/>
    <n v="450"/>
    <x v="0"/>
    <n v="80"/>
    <n v="43"/>
    <n v="215"/>
    <n v="225.75"/>
    <n v="224.25"/>
    <n v="0"/>
    <x v="19"/>
    <x v="1"/>
    <e v="#REF!"/>
    <e v="#REF!"/>
    <s v=""/>
    <n v="0.49833333333333335"/>
  </r>
  <r>
    <x v="4"/>
    <x v="113"/>
    <x v="1"/>
    <x v="3"/>
    <m/>
    <m/>
    <s v="REFRIGERANT, ENTALPIA EUROPE R134A 13.6   4/8/26 NBO"/>
    <s v="GE-000510"/>
    <n v="1"/>
    <n v="8500"/>
    <m/>
    <n v="8500"/>
    <x v="0"/>
    <n v="0"/>
    <n v="0"/>
    <n v="0"/>
    <n v="0"/>
    <n v="8500"/>
    <n v="2550"/>
    <x v="13"/>
    <x v="3"/>
    <m/>
    <m/>
    <m/>
    <n v="1"/>
  </r>
  <r>
    <x v="4"/>
    <x v="94"/>
    <x v="4"/>
    <x v="25"/>
    <m/>
    <n v="2100"/>
    <s v="EVAPORATOR, SUZUKI SWIFT 2019"/>
    <s v="CA-001849"/>
    <n v="1"/>
    <n v="1875"/>
    <m/>
    <n v="1875"/>
    <x v="0"/>
    <n v="2665"/>
    <n v="1450"/>
    <n v="1450"/>
    <n v="1522.5"/>
    <n v="352.5"/>
    <n v="105.75"/>
    <x v="10"/>
    <x v="2"/>
    <m/>
    <m/>
    <m/>
    <n v="0.188"/>
  </r>
  <r>
    <x v="4"/>
    <x v="79"/>
    <x v="2"/>
    <x v="22"/>
    <m/>
    <m/>
    <s v="EVAPORATOR, MITSUBISHI ADVENTURE HS-40A157"/>
    <s v="CA-000510"/>
    <n v="1"/>
    <n v="1900"/>
    <m/>
    <n v="1900"/>
    <x v="0"/>
    <n v="2665"/>
    <n v="1450"/>
    <n v="1450"/>
    <n v="1522.5"/>
    <n v="377.5"/>
    <n v="113.25"/>
    <x v="10"/>
    <x v="2"/>
    <e v="#REF!"/>
    <e v="#REF!"/>
    <e v="#REF!"/>
    <n v="0.1986842105263158"/>
  </r>
  <r>
    <x v="4"/>
    <x v="75"/>
    <x v="4"/>
    <x v="25"/>
    <m/>
    <n v="2100"/>
    <s v="EVAPORATOR, CHEVROLET TRAILBLAZER REAR"/>
    <s v="CA-001379"/>
    <n v="1"/>
    <n v="1875"/>
    <m/>
    <n v="1875"/>
    <x v="0"/>
    <n v="2665"/>
    <n v="1450"/>
    <n v="1450"/>
    <n v="1522.5"/>
    <n v="352.5"/>
    <n v="105.75"/>
    <x v="10"/>
    <x v="2"/>
    <e v="#REF!"/>
    <e v="#REF!"/>
    <e v="#REF!"/>
    <n v="0"/>
  </r>
  <r>
    <x v="1"/>
    <x v="34"/>
    <x v="0"/>
    <x v="28"/>
    <m/>
    <m/>
    <s v="HOSE, COOLMATE 1/2 DISCHARGE PER FT"/>
    <s v="GE-000179"/>
    <n v="5"/>
    <n v="90"/>
    <m/>
    <n v="450"/>
    <x v="0"/>
    <n v="80"/>
    <n v="43"/>
    <n v="215"/>
    <n v="225.75"/>
    <n v="224.25"/>
    <n v="0"/>
    <x v="19"/>
    <x v="1"/>
    <e v="#REF!"/>
    <e v="#REF!"/>
    <e v="#REF!"/>
    <n v="0"/>
  </r>
  <r>
    <x v="4"/>
    <x v="103"/>
    <x v="2"/>
    <x v="7"/>
    <m/>
    <m/>
    <s v="EVAPORATOR, ISUZU TRAVIS / NHR LT HS -40A506"/>
    <s v="CA-001835"/>
    <n v="1"/>
    <n v="2000"/>
    <m/>
    <n v="2000"/>
    <x v="0"/>
    <n v="2481"/>
    <n v="1350"/>
    <n v="1350"/>
    <n v="1417.5"/>
    <n v="582.5"/>
    <n v="174.75"/>
    <x v="10"/>
    <x v="2"/>
    <m/>
    <m/>
    <m/>
    <n v="0.29125000000000001"/>
  </r>
  <r>
    <x v="4"/>
    <x v="104"/>
    <x v="2"/>
    <x v="7"/>
    <m/>
    <m/>
    <s v="BLOWER_MOTOR, NISSAN NV350"/>
    <s v="CA-001715"/>
    <n v="1"/>
    <n v="1900"/>
    <m/>
    <n v="1900"/>
    <x v="0"/>
    <n v="2481"/>
    <n v="1350"/>
    <n v="1350"/>
    <n v="1417.5"/>
    <n v="482.5"/>
    <n v="144.75"/>
    <x v="15"/>
    <x v="2"/>
    <m/>
    <m/>
    <m/>
    <n v="0.25394736842105264"/>
  </r>
  <r>
    <x v="4"/>
    <x v="81"/>
    <x v="2"/>
    <x v="9"/>
    <m/>
    <m/>
    <s v="BLOWER_MOTOR, NISSAN NV350"/>
    <s v="CA-001715"/>
    <n v="1"/>
    <n v="1900"/>
    <m/>
    <n v="1900"/>
    <x v="0"/>
    <n v="2481"/>
    <n v="1350"/>
    <n v="1350"/>
    <n v="1417.5"/>
    <n v="482.5"/>
    <n v="144.75"/>
    <x v="15"/>
    <x v="2"/>
    <m/>
    <m/>
    <m/>
    <n v="0.25394736842105264"/>
  </r>
  <r>
    <x v="3"/>
    <x v="68"/>
    <x v="1"/>
    <x v="42"/>
    <m/>
    <m/>
    <s v="CABIN_FILTER, ISUZU MUX/DMAX 2013"/>
    <s v="CA-001689"/>
    <n v="2"/>
    <n v="150"/>
    <m/>
    <n v="300"/>
    <x v="0"/>
    <n v="315"/>
    <n v="100"/>
    <n v="200"/>
    <n v="210"/>
    <n v="90"/>
    <n v="27"/>
    <x v="12"/>
    <x v="2"/>
    <m/>
    <m/>
    <s v=""/>
    <n v="0.3"/>
  </r>
  <r>
    <x v="4"/>
    <x v="82"/>
    <x v="2"/>
    <x v="7"/>
    <m/>
    <m/>
    <s v="EVAPORATOR, ISUZU TRAVIS / NHR LT HS -40A506"/>
    <s v="CA-001835"/>
    <n v="1"/>
    <n v="2000"/>
    <m/>
    <n v="2000"/>
    <x v="0"/>
    <n v="2481"/>
    <n v="1350"/>
    <n v="1350"/>
    <n v="1417.5"/>
    <n v="582.5"/>
    <n v="174.75"/>
    <x v="10"/>
    <x v="2"/>
    <e v="#REF!"/>
    <e v="#REF!"/>
    <e v="#REF!"/>
    <n v="0"/>
  </r>
  <r>
    <x v="3"/>
    <x v="101"/>
    <x v="0"/>
    <x v="127"/>
    <m/>
    <n v="415"/>
    <s v="GAUGE,  HI 500PSI"/>
    <s v="TL-000067"/>
    <n v="1"/>
    <n v="360"/>
    <m/>
    <n v="360"/>
    <x v="0"/>
    <n v="368"/>
    <n v="200"/>
    <n v="200"/>
    <n v="210"/>
    <n v="150"/>
    <n v="0"/>
    <x v="63"/>
    <x v="4"/>
    <m/>
    <m/>
    <n v="403.20000000000005"/>
    <n v="0.41666666666666669"/>
  </r>
  <r>
    <x v="4"/>
    <x v="107"/>
    <x v="0"/>
    <x v="36"/>
    <m/>
    <n v="2100"/>
    <s v="EVAPORATOR, MITSUBISHI ADVENTURE LAM  (STAL)"/>
    <s v="CA-001719"/>
    <n v="1"/>
    <n v="1875"/>
    <m/>
    <n v="1875"/>
    <x v="0"/>
    <n v="2536"/>
    <n v="1380"/>
    <n v="1380"/>
    <n v="1449"/>
    <n v="426"/>
    <n v="0"/>
    <x v="10"/>
    <x v="2"/>
    <m/>
    <m/>
    <m/>
    <n v="0.22720000000000001"/>
  </r>
  <r>
    <x v="3"/>
    <x v="87"/>
    <x v="0"/>
    <x v="2"/>
    <m/>
    <m/>
    <s v="CAPACITOR_SINGLE, PS CBB65 55 UF"/>
    <s v="GE-000077"/>
    <n v="1"/>
    <n v="470"/>
    <m/>
    <n v="470"/>
    <x v="0"/>
    <n v="368"/>
    <n v="200"/>
    <n v="200"/>
    <n v="210"/>
    <n v="260"/>
    <n v="0"/>
    <x v="38"/>
    <x v="1"/>
    <m/>
    <m/>
    <m/>
    <n v="0.55319148936170215"/>
  </r>
  <r>
    <x v="4"/>
    <x v="88"/>
    <x v="4"/>
    <x v="25"/>
    <m/>
    <n v="2000"/>
    <s v="BLOWER_MOTOR, TOYOTA INNOVA OLD F"/>
    <s v="CA-000227"/>
    <n v="1"/>
    <n v="1786"/>
    <m/>
    <n v="1786"/>
    <x v="0"/>
    <n v="2389"/>
    <n v="1300"/>
    <n v="1300"/>
    <n v="1365"/>
    <n v="421"/>
    <n v="126.3"/>
    <x v="15"/>
    <x v="2"/>
    <m/>
    <m/>
    <m/>
    <n v="0.23572228443449048"/>
  </r>
  <r>
    <x v="4"/>
    <x v="88"/>
    <x v="2"/>
    <x v="22"/>
    <m/>
    <n v="1800"/>
    <s v="BLOWER_MOTOR, TOYOTA VIOS ROBIN"/>
    <s v="CA-000231"/>
    <n v="1"/>
    <n v="1607"/>
    <m/>
    <n v="1607"/>
    <x v="0"/>
    <n v="2205"/>
    <n v="1200"/>
    <n v="1200"/>
    <n v="1260"/>
    <n v="347"/>
    <n v="104.1"/>
    <x v="15"/>
    <x v="2"/>
    <m/>
    <m/>
    <m/>
    <n v="0.21593030491599252"/>
  </r>
  <r>
    <x v="4"/>
    <x v="108"/>
    <x v="4"/>
    <x v="25"/>
    <m/>
    <n v="2000"/>
    <s v="EVAPORATOR, ISUZU TRAVIS /NHR DC 40A492"/>
    <s v="CA-001836"/>
    <n v="1"/>
    <n v="1786"/>
    <m/>
    <n v="1786"/>
    <x v="0"/>
    <n v="2389"/>
    <n v="1300"/>
    <n v="1300"/>
    <n v="1365"/>
    <n v="421"/>
    <n v="126.3"/>
    <x v="10"/>
    <x v="2"/>
    <m/>
    <m/>
    <m/>
    <n v="0.23572228443449048"/>
  </r>
  <r>
    <x v="4"/>
    <x v="116"/>
    <x v="0"/>
    <x v="20"/>
    <m/>
    <m/>
    <s v="ELECTRICAL WIRE_STRANDED, POWERFLEX THNN STRANDED   #10, MTR 04/06/26"/>
    <s v="GE-000113"/>
    <n v="5"/>
    <n v="65"/>
    <m/>
    <n v="325"/>
    <x v="0"/>
    <n v="74"/>
    <n v="40"/>
    <n v="200"/>
    <n v="210"/>
    <n v="115"/>
    <n v="0"/>
    <x v="2"/>
    <x v="1"/>
    <m/>
    <m/>
    <m/>
    <n v="0.35384615384615387"/>
  </r>
  <r>
    <x v="4"/>
    <x v="90"/>
    <x v="0"/>
    <x v="36"/>
    <m/>
    <m/>
    <s v="BLOWER_MOTOR, TOYOTA INNOVA OLD R"/>
    <s v="CA-000228"/>
    <n v="1"/>
    <n v="1900"/>
    <m/>
    <n v="1900"/>
    <x v="0"/>
    <n v="2389"/>
    <n v="1300"/>
    <n v="1300"/>
    <n v="1365"/>
    <n v="535"/>
    <n v="0"/>
    <x v="15"/>
    <x v="2"/>
    <m/>
    <m/>
    <m/>
    <n v="0.28157894736842104"/>
  </r>
  <r>
    <x v="4"/>
    <x v="89"/>
    <x v="1"/>
    <x v="3"/>
    <m/>
    <m/>
    <s v="EVAPORATOR, MITSUBISHI MIRAGE (STAL)"/>
    <s v="CA-000142"/>
    <n v="1"/>
    <n v="2100"/>
    <m/>
    <n v="2100"/>
    <x v="0"/>
    <n v="1976"/>
    <n v="1075"/>
    <n v="1075"/>
    <n v="1128.75"/>
    <n v="971.25"/>
    <n v="291.375"/>
    <x v="10"/>
    <x v="2"/>
    <m/>
    <m/>
    <m/>
    <n v="0.46250000000000002"/>
  </r>
  <r>
    <x v="0"/>
    <x v="12"/>
    <x v="0"/>
    <x v="6"/>
    <m/>
    <m/>
    <s v="RUBBER_INSULATION, M-FLEX 3/8&quot; X 7/8"/>
    <s v="IM-000245"/>
    <n v="5"/>
    <n v="65"/>
    <m/>
    <n v="325"/>
    <x v="0"/>
    <n v="55"/>
    <n v="39.200000000000003"/>
    <n v="196"/>
    <n v="201.88"/>
    <n v="123.12"/>
    <n v="0"/>
    <x v="22"/>
    <x v="0"/>
    <e v="#REF!"/>
    <e v="#REF!"/>
    <s v=""/>
    <n v="0.37883076923076925"/>
  </r>
  <r>
    <x v="0"/>
    <x v="4"/>
    <x v="0"/>
    <x v="17"/>
    <m/>
    <m/>
    <s v="EXP. VALVE LT, STAL 9A63 MONTERO TRITON (STAL)"/>
    <s v="CA-001779"/>
    <n v="1"/>
    <n v="550"/>
    <m/>
    <n v="550"/>
    <x v="0"/>
    <n v="390"/>
    <n v="195"/>
    <n v="195"/>
    <n v="204.75"/>
    <n v="345.25"/>
    <n v="0"/>
    <x v="23"/>
    <x v="2"/>
    <m/>
    <m/>
    <s v=""/>
    <n v="0.62772727272727269"/>
  </r>
  <r>
    <x v="4"/>
    <x v="89"/>
    <x v="1"/>
    <x v="3"/>
    <m/>
    <m/>
    <s v="EXP. VALVE LT, POKKA 9A55 HONDA NEW"/>
    <s v="CA-000636"/>
    <n v="1"/>
    <n v="550"/>
    <m/>
    <n v="550"/>
    <x v="0"/>
    <n v="497"/>
    <n v="270"/>
    <n v="270"/>
    <n v="283.5"/>
    <n v="266.5"/>
    <n v="79.95"/>
    <x v="23"/>
    <x v="2"/>
    <m/>
    <m/>
    <m/>
    <n v="0.48454545454545456"/>
  </r>
  <r>
    <x v="0"/>
    <x v="43"/>
    <x v="0"/>
    <x v="11"/>
    <m/>
    <m/>
    <s v="EXP. VALVE LT, STAL 9A63 MONTERO TRITON (STAL)"/>
    <s v="CA-001779"/>
    <n v="1"/>
    <n v="550"/>
    <m/>
    <n v="550"/>
    <x v="0"/>
    <n v="390"/>
    <n v="195"/>
    <n v="195"/>
    <n v="204.75"/>
    <n v="345.25"/>
    <n v="0"/>
    <x v="23"/>
    <x v="2"/>
    <e v="#REF!"/>
    <e v="#REF!"/>
    <s v=""/>
    <n v="0.62772727272727269"/>
  </r>
  <r>
    <x v="1"/>
    <x v="100"/>
    <x v="0"/>
    <x v="18"/>
    <m/>
    <m/>
    <s v="RECEIVER_DRIER_ALUMINUM, YK 8106 (CROSSWIND, PAJERO, DENSO 134A M)"/>
    <s v="CA-001100"/>
    <n v="1"/>
    <n v="550"/>
    <m/>
    <n v="550"/>
    <x v="0"/>
    <n v="485"/>
    <n v="205"/>
    <n v="205"/>
    <n v="215.25"/>
    <n v="334.75"/>
    <n v="0"/>
    <x v="27"/>
    <x v="2"/>
    <e v="#REF!"/>
    <e v="#REF!"/>
    <s v=""/>
    <n v="0.60863636363636364"/>
  </r>
  <r>
    <x v="1"/>
    <x v="100"/>
    <x v="0"/>
    <x v="8"/>
    <m/>
    <m/>
    <s v="SYSTEM_CLEANER, Cleanse GREEN 141B 500 ML"/>
    <s v="GE-000369"/>
    <n v="3"/>
    <n v="120"/>
    <m/>
    <n v="360"/>
    <x v="0"/>
    <n v="113"/>
    <n v="65"/>
    <n v="195"/>
    <n v="204.75"/>
    <n v="155.25"/>
    <n v="0"/>
    <x v="28"/>
    <x v="1"/>
    <e v="#REF!"/>
    <e v="#REF!"/>
    <s v=""/>
    <n v="0.43125000000000002"/>
  </r>
  <r>
    <x v="4"/>
    <x v="89"/>
    <x v="1"/>
    <x v="3"/>
    <m/>
    <m/>
    <s v="LUBRICANT, EMKARATE RL 68H, 1 LITER"/>
    <s v="GE-000135"/>
    <n v="1"/>
    <n v="450"/>
    <m/>
    <n v="450"/>
    <x v="0"/>
    <n v="331"/>
    <n v="180"/>
    <n v="180"/>
    <n v="189"/>
    <n v="261"/>
    <n v="78.3"/>
    <x v="9"/>
    <x v="1"/>
    <m/>
    <m/>
    <m/>
    <n v="0.57999999999999996"/>
  </r>
  <r>
    <x v="1"/>
    <x v="29"/>
    <x v="0"/>
    <x v="11"/>
    <m/>
    <m/>
    <s v="SYSTEM_CLEANER, Cleanse GREEN 141B 500 ML"/>
    <s v="GE-000369"/>
    <n v="3"/>
    <n v="120"/>
    <m/>
    <n v="360"/>
    <x v="0"/>
    <n v="113"/>
    <n v="65"/>
    <n v="195"/>
    <n v="204.75"/>
    <n v="155.25"/>
    <n v="0"/>
    <x v="28"/>
    <x v="1"/>
    <e v="#REF!"/>
    <e v="#REF!"/>
    <e v="#REF!"/>
    <n v="0.43125000000000002"/>
  </r>
  <r>
    <x v="2"/>
    <x v="38"/>
    <x v="0"/>
    <x v="28"/>
    <m/>
    <n v="550"/>
    <s v="EXP. VALVE LT, STAL 9A63 MONTERO TRITON (STAL)"/>
    <s v="CA-001779"/>
    <n v="1"/>
    <n v="491"/>
    <m/>
    <n v="491"/>
    <x v="0"/>
    <n v="390"/>
    <n v="195"/>
    <n v="195"/>
    <n v="204.75"/>
    <n v="286.25"/>
    <n v="0"/>
    <x v="23"/>
    <x v="2"/>
    <e v="#REF!"/>
    <e v="#REF!"/>
    <n v="549.92000000000007"/>
    <n v="0.58299389002036661"/>
  </r>
  <r>
    <x v="4"/>
    <x v="93"/>
    <x v="2"/>
    <x v="9"/>
    <m/>
    <n v="2100"/>
    <s v="EVAPORATOR, TOYOTA AVANZA 14 HS-40A523"/>
    <s v="CA-000536"/>
    <n v="1"/>
    <n v="1875"/>
    <m/>
    <n v="1875"/>
    <x v="0"/>
    <n v="2389"/>
    <n v="1300"/>
    <n v="1300"/>
    <n v="1365"/>
    <n v="510"/>
    <n v="153"/>
    <x v="10"/>
    <x v="2"/>
    <m/>
    <m/>
    <m/>
    <n v="0.27200000000000002"/>
  </r>
  <r>
    <x v="4"/>
    <x v="89"/>
    <x v="1"/>
    <x v="3"/>
    <m/>
    <m/>
    <s v="SYSTEM_CLEANER, Cleanse GREEN 141B 500 ML"/>
    <s v="GE-000369"/>
    <n v="2"/>
    <n v="120"/>
    <m/>
    <n v="240"/>
    <x v="0"/>
    <n v="113"/>
    <n v="65"/>
    <n v="130"/>
    <n v="136.5"/>
    <n v="103.5"/>
    <n v="31.049999999999997"/>
    <x v="28"/>
    <x v="1"/>
    <m/>
    <m/>
    <m/>
    <n v="0.43125000000000002"/>
  </r>
  <r>
    <x v="2"/>
    <x v="57"/>
    <x v="0"/>
    <x v="49"/>
    <m/>
    <m/>
    <s v="EXP. VALVE LT, STAL 9A63 MONTERO TRITON (STAL)"/>
    <s v="CA-001779"/>
    <n v="1"/>
    <n v="550"/>
    <m/>
    <n v="550"/>
    <x v="0"/>
    <n v="390"/>
    <n v="195"/>
    <n v="195"/>
    <n v="204.75"/>
    <n v="345.25"/>
    <n v="0"/>
    <x v="23"/>
    <x v="2"/>
    <e v="#REF!"/>
    <e v="#REF!"/>
    <s v=""/>
    <n v="0.62772727272727269"/>
  </r>
  <r>
    <x v="4"/>
    <x v="96"/>
    <x v="0"/>
    <x v="36"/>
    <m/>
    <n v="2000"/>
    <s v="EVAPORATOR, TOYOTA AVANZA 14 HS-40A523"/>
    <s v="CA-000536"/>
    <n v="1"/>
    <n v="1786"/>
    <m/>
    <n v="1786"/>
    <x v="0"/>
    <n v="2389"/>
    <n v="1300"/>
    <n v="1300"/>
    <n v="1365"/>
    <n v="421"/>
    <n v="0"/>
    <x v="10"/>
    <x v="2"/>
    <m/>
    <m/>
    <m/>
    <n v="0.23572228443449048"/>
  </r>
  <r>
    <x v="3"/>
    <x v="119"/>
    <x v="0"/>
    <x v="49"/>
    <m/>
    <n v="550"/>
    <s v="EXP. VALVE LT, STAL 9A63 MONTERO TRITON (STAL)"/>
    <s v="CA-001779"/>
    <n v="1"/>
    <n v="492"/>
    <m/>
    <n v="492"/>
    <x v="0"/>
    <n v="390"/>
    <n v="195"/>
    <n v="195"/>
    <n v="204.75"/>
    <n v="287.25"/>
    <n v="0"/>
    <x v="23"/>
    <x v="2"/>
    <m/>
    <m/>
    <n v="551.04000000000008"/>
    <n v="0.58384146341463417"/>
  </r>
  <r>
    <x v="4"/>
    <x v="90"/>
    <x v="1"/>
    <x v="3"/>
    <m/>
    <m/>
    <s v="RECEIVER_DRIER_ALUMINUM, YK 8234 (CX7)"/>
    <s v="CA-001111"/>
    <n v="1"/>
    <n v="550"/>
    <m/>
    <n v="550"/>
    <x v="0"/>
    <n v="650"/>
    <n v="275"/>
    <n v="275"/>
    <n v="288.75"/>
    <n v="261.25"/>
    <n v="78.375"/>
    <x v="27"/>
    <x v="2"/>
    <m/>
    <m/>
    <m/>
    <n v="0.47499999999999998"/>
  </r>
  <r>
    <x v="4"/>
    <x v="92"/>
    <x v="0"/>
    <x v="8"/>
    <m/>
    <m/>
    <s v="RECEIVER_DRIER_ALUMINUM, YK 8106 (CROSSWIND, PAJERO, DENSO 134A M)"/>
    <s v="CA-001100"/>
    <n v="1"/>
    <n v="550"/>
    <m/>
    <n v="550"/>
    <x v="0"/>
    <n v="485"/>
    <n v="205"/>
    <n v="205"/>
    <n v="215.25"/>
    <n v="334.75"/>
    <n v="0"/>
    <x v="27"/>
    <x v="2"/>
    <m/>
    <m/>
    <m/>
    <n v="0.60863636363636364"/>
  </r>
  <r>
    <x v="4"/>
    <x v="96"/>
    <x v="2"/>
    <x v="9"/>
    <m/>
    <n v="1900"/>
    <s v="BLOWER_MOTOR, TOYOTA VIOS BATMAN/ AVANZA"/>
    <s v="CA-000230"/>
    <n v="1"/>
    <n v="1696"/>
    <m/>
    <n v="1696"/>
    <x v="0"/>
    <n v="2389"/>
    <n v="1300"/>
    <n v="1300"/>
    <n v="1365"/>
    <n v="331"/>
    <n v="99.3"/>
    <x v="15"/>
    <x v="2"/>
    <m/>
    <m/>
    <m/>
    <n v="0.19516509433962265"/>
  </r>
  <r>
    <x v="4"/>
    <x v="116"/>
    <x v="0"/>
    <x v="10"/>
    <m/>
    <m/>
    <s v="RECEIVER_DRIER_ALUMINUM, YK 8106 (CROSSWIND, PAJERO, DENSO 134A M)"/>
    <s v="CA-001100"/>
    <n v="1"/>
    <n v="550"/>
    <m/>
    <n v="550"/>
    <x v="0"/>
    <n v="485"/>
    <n v="205"/>
    <n v="205"/>
    <n v="215.25"/>
    <n v="334.75"/>
    <n v="0"/>
    <x v="27"/>
    <x v="2"/>
    <m/>
    <m/>
    <m/>
    <n v="0.60863636363636364"/>
  </r>
  <r>
    <x v="4"/>
    <x v="92"/>
    <x v="1"/>
    <x v="3"/>
    <m/>
    <m/>
    <s v="EVAPORATOR, NISSAN ALMERA 40A521"/>
    <s v="CA-000518"/>
    <n v="1"/>
    <n v="2100"/>
    <m/>
    <n v="2100"/>
    <x v="0"/>
    <n v="2205"/>
    <n v="1200"/>
    <n v="1200"/>
    <n v="1260"/>
    <n v="840"/>
    <n v="252"/>
    <x v="10"/>
    <x v="2"/>
    <m/>
    <m/>
    <m/>
    <n v="0.4"/>
  </r>
  <r>
    <x v="4"/>
    <x v="79"/>
    <x v="0"/>
    <x v="8"/>
    <m/>
    <m/>
    <s v="RECEIVER_DRIER_ALUMINUM, YK 8106 (CROSSWIND, PAJERO, DENSO 134A M)"/>
    <s v="CA-001100"/>
    <n v="1"/>
    <n v="550"/>
    <m/>
    <n v="550"/>
    <x v="0"/>
    <n v="485"/>
    <n v="205"/>
    <n v="205"/>
    <n v="215.25"/>
    <n v="334.75"/>
    <n v="0"/>
    <x v="27"/>
    <x v="2"/>
    <m/>
    <m/>
    <m/>
    <n v="0.60863636363636364"/>
  </r>
  <r>
    <x v="4"/>
    <x v="77"/>
    <x v="0"/>
    <x v="18"/>
    <m/>
    <m/>
    <s v="RECEIVER_DRIER_ALUMINUM, YK 8106 (CROSSWIND, PAJERO, DENSO 134A M)"/>
    <s v="CA-001100"/>
    <n v="1"/>
    <n v="550"/>
    <m/>
    <n v="550"/>
    <x v="0"/>
    <n v="485"/>
    <n v="205"/>
    <n v="205"/>
    <n v="215.25"/>
    <n v="334.75"/>
    <n v="0"/>
    <x v="27"/>
    <x v="2"/>
    <e v="#REF!"/>
    <e v="#REF!"/>
    <e v="#REF!"/>
    <n v="0"/>
  </r>
  <r>
    <x v="5"/>
    <x v="126"/>
    <x v="0"/>
    <x v="1"/>
    <m/>
    <m/>
    <s v="ACCESS_VALVE, OMNI WELDED TYPE "/>
    <s v="GE-000253"/>
    <n v="2"/>
    <n v="50"/>
    <m/>
    <n v="100"/>
    <x v="0"/>
    <n v="47"/>
    <n v="21"/>
    <n v="42"/>
    <n v="44.1"/>
    <n v="55.9"/>
    <n v="0"/>
    <x v="67"/>
    <x v="1"/>
    <e v="#REF!"/>
    <e v="#REF!"/>
    <s v=""/>
    <n v="0.55899999999999994"/>
  </r>
  <r>
    <x v="4"/>
    <x v="79"/>
    <x v="4"/>
    <x v="25"/>
    <m/>
    <n v="1900"/>
    <s v="BLOWER_MOTOR, TOYOTA VIOS ROBIN"/>
    <s v="CA-000231"/>
    <n v="1"/>
    <n v="1696"/>
    <m/>
    <n v="1696"/>
    <x v="0"/>
    <n v="2205"/>
    <n v="1200"/>
    <n v="1200"/>
    <n v="1260"/>
    <n v="436"/>
    <n v="130.79999999999998"/>
    <x v="15"/>
    <x v="2"/>
    <m/>
    <m/>
    <m/>
    <n v="0.25707547169811323"/>
  </r>
  <r>
    <x v="1"/>
    <x v="28"/>
    <x v="0"/>
    <x v="1"/>
    <m/>
    <m/>
    <s v="CAPACITOR_DOUBLE, PS CBB65 30 + 4 UF"/>
    <s v="GE-000279"/>
    <n v="1"/>
    <n v="510"/>
    <m/>
    <n v="510"/>
    <x v="0"/>
    <n v="350"/>
    <n v="190"/>
    <n v="190"/>
    <n v="199.5"/>
    <n v="310.5"/>
    <n v="0"/>
    <x v="65"/>
    <x v="1"/>
    <e v="#REF!"/>
    <e v="#REF!"/>
    <e v="#REF!"/>
    <n v="0.60882352941176465"/>
  </r>
  <r>
    <x v="2"/>
    <x v="48"/>
    <x v="0"/>
    <x v="53"/>
    <m/>
    <m/>
    <s v="ELECTRICAL CIRCUIT_BREAKER, AMERICA 30 AMP, 2P"/>
    <s v="GE-000470"/>
    <n v="1"/>
    <n v="500"/>
    <m/>
    <n v="500"/>
    <x v="0"/>
    <n v="380"/>
    <n v="190"/>
    <n v="190"/>
    <n v="199.5"/>
    <n v="300.5"/>
    <n v="0"/>
    <x v="59"/>
    <x v="1"/>
    <e v="#REF!"/>
    <e v="#REF!"/>
    <s v=""/>
    <n v="0.60099999999999998"/>
  </r>
  <r>
    <x v="3"/>
    <x v="62"/>
    <x v="0"/>
    <x v="29"/>
    <m/>
    <m/>
    <s v="ELECTRICAL CIRCUIT_BREAKER, AMERICA 30 AMP, 2P"/>
    <s v="GE-000470"/>
    <n v="1"/>
    <n v="400"/>
    <m/>
    <n v="400"/>
    <x v="0"/>
    <n v="380"/>
    <n v="190"/>
    <n v="190"/>
    <n v="199.5"/>
    <n v="200.5"/>
    <n v="0"/>
    <x v="59"/>
    <x v="1"/>
    <m/>
    <m/>
    <s v=""/>
    <n v="0.50124999999999997"/>
  </r>
  <r>
    <x v="4"/>
    <x v="116"/>
    <x v="0"/>
    <x v="20"/>
    <m/>
    <m/>
    <s v="ELECTRICAL CIRCUIT_BREAKER, AMERICA 20 AMP, 2P"/>
    <s v="GE-000469"/>
    <n v="1"/>
    <n v="500"/>
    <m/>
    <n v="500"/>
    <x v="0"/>
    <n v="380"/>
    <n v="190"/>
    <n v="190"/>
    <n v="199.5"/>
    <n v="300.5"/>
    <n v="0"/>
    <x v="59"/>
    <x v="1"/>
    <m/>
    <m/>
    <m/>
    <n v="0.60099999999999998"/>
  </r>
  <r>
    <x v="4"/>
    <x v="80"/>
    <x v="0"/>
    <x v="1"/>
    <m/>
    <n v="510"/>
    <s v="CAPACITOR_DOUBLE, PS CBB65 30 + 4 UF"/>
    <s v="GE-000279"/>
    <n v="1"/>
    <n v="456"/>
    <m/>
    <n v="456"/>
    <x v="0"/>
    <n v="350"/>
    <n v="190"/>
    <n v="190"/>
    <n v="199.5"/>
    <n v="256.5"/>
    <n v="0"/>
    <x v="65"/>
    <x v="1"/>
    <m/>
    <m/>
    <m/>
    <n v="0.5625"/>
  </r>
  <r>
    <x v="4"/>
    <x v="77"/>
    <x v="0"/>
    <x v="1"/>
    <m/>
    <m/>
    <s v="CAPACITOR_SINGLE, PS CBB65 50 UF"/>
    <s v="GE-000076"/>
    <n v="1"/>
    <n v="470"/>
    <m/>
    <n v="470"/>
    <x v="0"/>
    <n v="350"/>
    <n v="190"/>
    <n v="190"/>
    <n v="199.5"/>
    <n v="270.5"/>
    <n v="0"/>
    <x v="38"/>
    <x v="1"/>
    <e v="#REF!"/>
    <e v="#REF!"/>
    <e v="#REF!"/>
    <n v="0"/>
  </r>
  <r>
    <x v="5"/>
    <x v="126"/>
    <x v="0"/>
    <x v="17"/>
    <m/>
    <m/>
    <s v="ROD, HARRIS BRONZE"/>
    <s v="IM-000286"/>
    <n v="2"/>
    <n v="35"/>
    <m/>
    <n v="70"/>
    <x v="0"/>
    <n v="33"/>
    <n v="21"/>
    <n v="42"/>
    <n v="43.26"/>
    <n v="26.740000000000002"/>
    <n v="0"/>
    <x v="56"/>
    <x v="0"/>
    <e v="#REF!"/>
    <e v="#REF!"/>
    <s v=""/>
    <n v="0.38200000000000001"/>
  </r>
  <r>
    <x v="2"/>
    <x v="57"/>
    <x v="0"/>
    <x v="1"/>
    <m/>
    <m/>
    <s v="RUBBER_INSULATION, M-FLEX 1/2&quot; 3/8"/>
    <s v="IM-000231"/>
    <n v="5"/>
    <n v="55"/>
    <m/>
    <n v="275"/>
    <x v="0"/>
    <n v="53"/>
    <n v="37.6"/>
    <n v="188"/>
    <n v="193.64000000000001"/>
    <n v="81.359999999999985"/>
    <n v="0"/>
    <x v="22"/>
    <x v="0"/>
    <e v="#REF!"/>
    <e v="#REF!"/>
    <s v=""/>
    <n v="0.29585454545454543"/>
  </r>
  <r>
    <x v="4"/>
    <x v="107"/>
    <x v="0"/>
    <x v="62"/>
    <m/>
    <m/>
    <s v="RUBBER_INSULATION, M-FLEX 1/2&quot; 3/8"/>
    <s v="IM-000231"/>
    <n v="5"/>
    <n v="55"/>
    <m/>
    <n v="275"/>
    <x v="0"/>
    <n v="53"/>
    <n v="37.6"/>
    <n v="188"/>
    <n v="193.64000000000001"/>
    <n v="81.359999999999985"/>
    <n v="0"/>
    <x v="22"/>
    <x v="0"/>
    <m/>
    <m/>
    <m/>
    <n v="0.29585454545454543"/>
  </r>
  <r>
    <x v="4"/>
    <x v="89"/>
    <x v="0"/>
    <x v="29"/>
    <m/>
    <m/>
    <s v="RUBBER_INSULATION, M-FLEX 1/2&quot; 3/8"/>
    <s v="IM-000231"/>
    <n v="5"/>
    <n v="70"/>
    <m/>
    <n v="350"/>
    <x v="0"/>
    <n v="53"/>
    <n v="37.6"/>
    <n v="188"/>
    <n v="193.64000000000001"/>
    <n v="156.35999999999999"/>
    <n v="0"/>
    <x v="22"/>
    <x v="0"/>
    <m/>
    <m/>
    <m/>
    <n v="0.44674285714285711"/>
  </r>
  <r>
    <x v="4"/>
    <x v="75"/>
    <x v="0"/>
    <x v="63"/>
    <m/>
    <m/>
    <s v="RUBBER_INSULATION, M-FLEX 1/2&quot; 3/8"/>
    <s v="IM-000231"/>
    <n v="5"/>
    <n v="60"/>
    <m/>
    <n v="300"/>
    <x v="0"/>
    <n v="53"/>
    <n v="37.6"/>
    <n v="188"/>
    <n v="193.64000000000001"/>
    <n v="106.35999999999999"/>
    <n v="0"/>
    <x v="22"/>
    <x v="0"/>
    <m/>
    <m/>
    <m/>
    <n v="0.35453333333333331"/>
  </r>
  <r>
    <x v="5"/>
    <x v="126"/>
    <x v="0"/>
    <x v="27"/>
    <m/>
    <m/>
    <s v="RUBBER_INSULATION, M-FLEX 1/2&quot; 3/8"/>
    <s v="IM-000231"/>
    <n v="1"/>
    <n v="60"/>
    <m/>
    <n v="60"/>
    <x v="0"/>
    <n v="53"/>
    <n v="37.6"/>
    <n v="37.6"/>
    <n v="38.728000000000002"/>
    <n v="21.271999999999998"/>
    <n v="0"/>
    <x v="22"/>
    <x v="0"/>
    <e v="#REF!"/>
    <e v="#REF!"/>
    <s v=""/>
    <n v="0.35453333333333331"/>
  </r>
  <r>
    <x v="0"/>
    <x v="0"/>
    <x v="0"/>
    <x v="0"/>
    <m/>
    <m/>
    <s v="RUBBER_INSULATION, M-FLEX 1/2&quot; 1/2"/>
    <s v="IM-000227"/>
    <n v="4"/>
    <n v="65"/>
    <m/>
    <n v="260"/>
    <x v="0"/>
    <n v="65"/>
    <n v="46.4"/>
    <n v="185.6"/>
    <n v="191.16800000000001"/>
    <n v="68.831999999999994"/>
    <n v="0"/>
    <x v="22"/>
    <x v="0"/>
    <m/>
    <m/>
    <m/>
    <n v="0.26473846153846153"/>
  </r>
  <r>
    <x v="0"/>
    <x v="3"/>
    <x v="0"/>
    <x v="1"/>
    <m/>
    <m/>
    <s v="RUBBER_INSULATION, M-FLEX 1/2&quot; 1/2"/>
    <s v="IM-000227"/>
    <n v="4"/>
    <n v="65"/>
    <m/>
    <n v="260"/>
    <x v="0"/>
    <n v="65"/>
    <n v="46.4"/>
    <n v="185.6"/>
    <n v="191.16800000000001"/>
    <n v="68.831999999999994"/>
    <n v="0"/>
    <x v="22"/>
    <x v="0"/>
    <m/>
    <m/>
    <s v=""/>
    <n v="0.26473846153846153"/>
  </r>
  <r>
    <x v="1"/>
    <x v="76"/>
    <x v="0"/>
    <x v="122"/>
    <m/>
    <m/>
    <s v="RUBBER_INSULATION, M-FLEX 1/2&quot; 1/2"/>
    <s v="IM-000227"/>
    <n v="4"/>
    <n v="65"/>
    <m/>
    <n v="260"/>
    <x v="0"/>
    <n v="65"/>
    <n v="46.4"/>
    <n v="185.6"/>
    <n v="191.16800000000001"/>
    <n v="68.831999999999994"/>
    <n v="0"/>
    <x v="22"/>
    <x v="0"/>
    <e v="#REF!"/>
    <e v="#REF!"/>
    <s v=""/>
    <n v="0.26473846153846153"/>
  </r>
  <r>
    <x v="1"/>
    <x v="30"/>
    <x v="0"/>
    <x v="24"/>
    <m/>
    <m/>
    <s v="RUBBER_INSULATION, M-FLEX 1/2&quot; 1/2"/>
    <s v="IM-000227"/>
    <n v="4"/>
    <n v="65"/>
    <m/>
    <n v="260"/>
    <x v="0"/>
    <n v="65"/>
    <n v="46.4"/>
    <n v="185.6"/>
    <n v="191.16800000000001"/>
    <n v="68.831999999999994"/>
    <n v="0"/>
    <x v="22"/>
    <x v="0"/>
    <e v="#REF!"/>
    <e v="#REF!"/>
    <e v="#REF!"/>
    <n v="0.26473846153846153"/>
  </r>
  <r>
    <x v="4"/>
    <x v="116"/>
    <x v="0"/>
    <x v="63"/>
    <m/>
    <m/>
    <s v="RUBBER_INSULATION, M-FLEX 1/2&quot; 1/2"/>
    <s v="IM-000227"/>
    <n v="4"/>
    <n v="70"/>
    <m/>
    <n v="280"/>
    <x v="0"/>
    <n v="65"/>
    <n v="46.4"/>
    <n v="185.6"/>
    <n v="191.16800000000001"/>
    <n v="88.831999999999994"/>
    <n v="0"/>
    <x v="22"/>
    <x v="0"/>
    <m/>
    <m/>
    <m/>
    <n v="0.31725714285714285"/>
  </r>
  <r>
    <x v="0"/>
    <x v="6"/>
    <x v="0"/>
    <x v="1"/>
    <m/>
    <m/>
    <s v="RECEIVER_DRIER_STEEL , MAXX 3/8 (F) 2-HOLES"/>
    <s v="CA-001131"/>
    <n v="1"/>
    <n v="450"/>
    <m/>
    <n v="450"/>
    <x v="0"/>
    <n v="438"/>
    <n v="185"/>
    <n v="185"/>
    <n v="194.25"/>
    <n v="255.75"/>
    <n v="0"/>
    <x v="17"/>
    <x v="2"/>
    <e v="#REF!"/>
    <e v="#REF!"/>
    <s v=""/>
    <n v="0.56833333333333336"/>
  </r>
  <r>
    <x v="4"/>
    <x v="92"/>
    <x v="1"/>
    <x v="3"/>
    <m/>
    <m/>
    <s v="PRESSURE_SWITCH, NISSAN 42CP8-11 (XTRAIL)"/>
    <s v="CA-000857"/>
    <n v="1"/>
    <n v="900"/>
    <m/>
    <n v="900"/>
    <x v="0"/>
    <n v="1050"/>
    <n v="400"/>
    <n v="400"/>
    <n v="420"/>
    <n v="480"/>
    <n v="144"/>
    <x v="47"/>
    <x v="2"/>
    <m/>
    <m/>
    <m/>
    <n v="0.53333333333333333"/>
  </r>
  <r>
    <x v="1"/>
    <x v="34"/>
    <x v="0"/>
    <x v="1"/>
    <m/>
    <m/>
    <s v="HOSE, HONGSEN GAUGE 410A 1M PIECE"/>
    <s v="TL-000102"/>
    <n v="1"/>
    <n v="360"/>
    <m/>
    <n v="360"/>
    <x v="0"/>
    <n v="360"/>
    <n v="185"/>
    <n v="185"/>
    <n v="194.25"/>
    <n v="165.75"/>
    <n v="0"/>
    <x v="19"/>
    <x v="4"/>
    <e v="#REF!"/>
    <e v="#REF!"/>
    <e v="#REF!"/>
    <n v="0"/>
  </r>
  <r>
    <x v="3"/>
    <x v="62"/>
    <x v="0"/>
    <x v="32"/>
    <m/>
    <m/>
    <s v="BRACKET , GB 1HP, COATED"/>
    <s v="IM-000008"/>
    <n v="1"/>
    <n v="360"/>
    <m/>
    <n v="360"/>
    <x v="0"/>
    <n v="334"/>
    <n v="185"/>
    <n v="185"/>
    <n v="190.55"/>
    <n v="169.45"/>
    <n v="0"/>
    <x v="1"/>
    <x v="0"/>
    <m/>
    <m/>
    <s v=""/>
    <n v="0.47069444444444442"/>
  </r>
  <r>
    <x v="3"/>
    <x v="66"/>
    <x v="0"/>
    <x v="41"/>
    <m/>
    <m/>
    <s v="BRACKET , GB 1HP, COATED"/>
    <s v="IM-000008"/>
    <n v="1"/>
    <n v="360"/>
    <m/>
    <n v="360"/>
    <x v="0"/>
    <n v="334"/>
    <n v="185"/>
    <n v="185"/>
    <n v="190.55"/>
    <n v="169.45"/>
    <n v="0"/>
    <x v="1"/>
    <x v="0"/>
    <m/>
    <m/>
    <s v=""/>
    <n v="0.47069444444444442"/>
  </r>
  <r>
    <x v="3"/>
    <x v="66"/>
    <x v="0"/>
    <x v="19"/>
    <m/>
    <m/>
    <s v="BRACKET , GB 1HP, COATED"/>
    <s v="IM-000008"/>
    <n v="1"/>
    <n v="360"/>
    <m/>
    <n v="360"/>
    <x v="0"/>
    <n v="334"/>
    <n v="185"/>
    <n v="185"/>
    <n v="190.55"/>
    <n v="169.45"/>
    <n v="0"/>
    <x v="1"/>
    <x v="0"/>
    <m/>
    <m/>
    <s v=""/>
    <n v="0.47069444444444442"/>
  </r>
  <r>
    <x v="3"/>
    <x v="67"/>
    <x v="0"/>
    <x v="1"/>
    <m/>
    <m/>
    <s v="BRACKET , GB 1HP, COATED"/>
    <s v="IM-000008"/>
    <n v="1"/>
    <n v="360"/>
    <m/>
    <n v="360"/>
    <x v="0"/>
    <n v="334"/>
    <n v="185"/>
    <n v="185"/>
    <n v="190.55"/>
    <n v="169.45"/>
    <n v="0"/>
    <x v="1"/>
    <x v="0"/>
    <m/>
    <m/>
    <s v=""/>
    <n v="0.47069444444444442"/>
  </r>
  <r>
    <x v="4"/>
    <x v="92"/>
    <x v="1"/>
    <x v="3"/>
    <m/>
    <m/>
    <s v="EXP. VALVE LT, POKKA 9A244 NISSAN NV350"/>
    <s v="CA-001471"/>
    <n v="1"/>
    <n v="550"/>
    <m/>
    <n v="550"/>
    <x v="0"/>
    <n v="515"/>
    <n v="280"/>
    <n v="280"/>
    <n v="294"/>
    <n v="256"/>
    <n v="76.8"/>
    <x v="23"/>
    <x v="2"/>
    <m/>
    <m/>
    <m/>
    <n v="0.46545454545454545"/>
  </r>
  <r>
    <x v="3"/>
    <x v="71"/>
    <x v="0"/>
    <x v="45"/>
    <m/>
    <m/>
    <s v="TUBE_CUTTER, MEDUIM CT-274, 1/8&quot; - 1 1/8&quot;"/>
    <s v="TL-000052"/>
    <n v="1"/>
    <n v="450"/>
    <m/>
    <n v="450"/>
    <x v="0"/>
    <n v="370"/>
    <n v="185"/>
    <n v="185"/>
    <n v="194.25"/>
    <n v="255.75"/>
    <n v="0"/>
    <x v="68"/>
    <x v="4"/>
    <m/>
    <m/>
    <s v=""/>
    <n v="0.56833333333333336"/>
  </r>
  <r>
    <x v="4"/>
    <x v="79"/>
    <x v="4"/>
    <x v="25"/>
    <m/>
    <n v="2000"/>
    <s v="EVAPORATOR, MITSUBISHI LANCER 04 40A85"/>
    <s v="CA-001605"/>
    <n v="1"/>
    <n v="1786"/>
    <m/>
    <n v="1786"/>
    <x v="0"/>
    <n v="2389"/>
    <n v="1300"/>
    <n v="1300"/>
    <n v="1365"/>
    <n v="421"/>
    <n v="126.3"/>
    <x v="10"/>
    <x v="2"/>
    <m/>
    <m/>
    <m/>
    <n v="0.23572228443449048"/>
  </r>
  <r>
    <x v="3"/>
    <x v="72"/>
    <x v="0"/>
    <x v="1"/>
    <m/>
    <n v="360"/>
    <s v="BRACKET , GB 1HP, COATED"/>
    <s v="IM-000008"/>
    <n v="1"/>
    <n v="321"/>
    <m/>
    <n v="321"/>
    <x v="0"/>
    <n v="334"/>
    <n v="185"/>
    <n v="185"/>
    <n v="190.55"/>
    <n v="130.44999999999999"/>
    <n v="0"/>
    <x v="1"/>
    <x v="0"/>
    <m/>
    <m/>
    <n v="359.52000000000004"/>
    <n v="0.40638629283489092"/>
  </r>
  <r>
    <x v="3"/>
    <x v="123"/>
    <x v="0"/>
    <x v="102"/>
    <m/>
    <m/>
    <s v="BRACKET , GB 1HP, COATED"/>
    <s v="IM-000008"/>
    <n v="1"/>
    <n v="360"/>
    <m/>
    <n v="360"/>
    <x v="0"/>
    <n v="334"/>
    <n v="185"/>
    <n v="185"/>
    <n v="190.55"/>
    <n v="169.45"/>
    <n v="0"/>
    <x v="1"/>
    <x v="0"/>
    <m/>
    <m/>
    <m/>
    <n v="0.47069444444444442"/>
  </r>
  <r>
    <x v="3"/>
    <x v="123"/>
    <x v="0"/>
    <x v="19"/>
    <m/>
    <m/>
    <s v="BRACKET , GB 1HP, COATED"/>
    <s v="IM-000008"/>
    <n v="1"/>
    <n v="360"/>
    <m/>
    <n v="360"/>
    <x v="0"/>
    <n v="334"/>
    <n v="185"/>
    <n v="185"/>
    <n v="190.55"/>
    <n v="169.45"/>
    <n v="0"/>
    <x v="1"/>
    <x v="0"/>
    <m/>
    <m/>
    <m/>
    <n v="0.47069444444444442"/>
  </r>
  <r>
    <x v="3"/>
    <x v="123"/>
    <x v="0"/>
    <x v="1"/>
    <m/>
    <m/>
    <s v="BRACKET , GB 1HP, COATED"/>
    <s v="IM-000008"/>
    <n v="1"/>
    <n v="360"/>
    <m/>
    <n v="360"/>
    <x v="0"/>
    <n v="334"/>
    <n v="185"/>
    <n v="185"/>
    <n v="190.55"/>
    <n v="169.45"/>
    <n v="0"/>
    <x v="1"/>
    <x v="0"/>
    <m/>
    <m/>
    <m/>
    <n v="0.47069444444444442"/>
  </r>
  <r>
    <x v="3"/>
    <x v="85"/>
    <x v="0"/>
    <x v="1"/>
    <m/>
    <m/>
    <s v="BRACKET , GB 1HP, COATED"/>
    <s v="IM-000008"/>
    <n v="1"/>
    <n v="360"/>
    <m/>
    <n v="360"/>
    <x v="0"/>
    <n v="334"/>
    <n v="185"/>
    <n v="185"/>
    <n v="190.55"/>
    <n v="169.45"/>
    <n v="0"/>
    <x v="1"/>
    <x v="0"/>
    <m/>
    <m/>
    <m/>
    <n v="0.47069444444444442"/>
  </r>
  <r>
    <x v="4"/>
    <x v="105"/>
    <x v="0"/>
    <x v="1"/>
    <m/>
    <m/>
    <s v="BRACKET , GB 1HP, COATED"/>
    <s v="IM-000008"/>
    <n v="1"/>
    <n v="360"/>
    <m/>
    <n v="360"/>
    <x v="0"/>
    <n v="334"/>
    <n v="185"/>
    <n v="185"/>
    <n v="190.55"/>
    <n v="169.45"/>
    <n v="0"/>
    <x v="1"/>
    <x v="0"/>
    <m/>
    <m/>
    <m/>
    <n v="0.47069444444444442"/>
  </r>
  <r>
    <x v="4"/>
    <x v="88"/>
    <x v="0"/>
    <x v="1"/>
    <m/>
    <m/>
    <s v="BRACKET , GB 1HP, COATED"/>
    <s v="IM-000008"/>
    <n v="1"/>
    <n v="360"/>
    <m/>
    <n v="360"/>
    <x v="0"/>
    <n v="334"/>
    <n v="185"/>
    <n v="185"/>
    <n v="190.55"/>
    <n v="169.45"/>
    <n v="0"/>
    <x v="1"/>
    <x v="0"/>
    <m/>
    <m/>
    <m/>
    <n v="0.47069444444444442"/>
  </r>
  <r>
    <x v="4"/>
    <x v="88"/>
    <x v="0"/>
    <x v="102"/>
    <m/>
    <m/>
    <s v="BRACKET , GB 1HP, COATED"/>
    <s v="IM-000008"/>
    <n v="1"/>
    <n v="360"/>
    <m/>
    <n v="360"/>
    <x v="0"/>
    <n v="334"/>
    <n v="185"/>
    <n v="185"/>
    <n v="190.55"/>
    <n v="169.45"/>
    <n v="0"/>
    <x v="1"/>
    <x v="0"/>
    <m/>
    <m/>
    <m/>
    <n v="0.47069444444444442"/>
  </r>
  <r>
    <x v="4"/>
    <x v="88"/>
    <x v="0"/>
    <x v="100"/>
    <m/>
    <m/>
    <s v="BRACKET , GB 1HP, COATED"/>
    <s v="IM-000008"/>
    <n v="1"/>
    <n v="360"/>
    <m/>
    <n v="360"/>
    <x v="0"/>
    <n v="334"/>
    <n v="185"/>
    <n v="185"/>
    <n v="190.55"/>
    <n v="169.45"/>
    <n v="0"/>
    <x v="1"/>
    <x v="0"/>
    <m/>
    <m/>
    <m/>
    <n v="0.47069444444444442"/>
  </r>
  <r>
    <x v="4"/>
    <x v="89"/>
    <x v="0"/>
    <x v="61"/>
    <m/>
    <m/>
    <s v="RECEIVER_DRIER_STEEL , MAXX 5/16 (O) 4-HOLES"/>
    <s v="CA-001133"/>
    <n v="1"/>
    <n v="450"/>
    <m/>
    <n v="450"/>
    <x v="0"/>
    <n v="399"/>
    <n v="185"/>
    <n v="185"/>
    <n v="194.25"/>
    <n v="255.75"/>
    <n v="0"/>
    <x v="17"/>
    <x v="2"/>
    <m/>
    <m/>
    <m/>
    <n v="0.56833333333333336"/>
  </r>
  <r>
    <x v="4"/>
    <x v="89"/>
    <x v="0"/>
    <x v="1"/>
    <m/>
    <m/>
    <s v="BRACKET , GB 1HP, COATED"/>
    <s v="IM-000008"/>
    <n v="1"/>
    <n v="360"/>
    <m/>
    <n v="360"/>
    <x v="0"/>
    <n v="334"/>
    <n v="185"/>
    <n v="185"/>
    <n v="190.55"/>
    <n v="169.45"/>
    <n v="0"/>
    <x v="1"/>
    <x v="0"/>
    <m/>
    <m/>
    <m/>
    <n v="0.47069444444444442"/>
  </r>
  <r>
    <x v="4"/>
    <x v="90"/>
    <x v="0"/>
    <x v="19"/>
    <m/>
    <m/>
    <s v="BRACKET , GB 1HP, COATED"/>
    <s v="IM-000008"/>
    <n v="1"/>
    <n v="360"/>
    <m/>
    <n v="360"/>
    <x v="0"/>
    <n v="334"/>
    <n v="185"/>
    <n v="185"/>
    <n v="190.55"/>
    <n v="169.45"/>
    <n v="0"/>
    <x v="1"/>
    <x v="0"/>
    <m/>
    <m/>
    <m/>
    <n v="0.47069444444444442"/>
  </r>
  <r>
    <x v="4"/>
    <x v="93"/>
    <x v="0"/>
    <x v="32"/>
    <m/>
    <m/>
    <s v="TUBE_CUTTER, MEDUIM CT-274, 1/8&quot; - 1 1/8&quot;"/>
    <s v="TL-000052"/>
    <n v="1"/>
    <n v="450"/>
    <m/>
    <n v="450"/>
    <x v="0"/>
    <n v="370"/>
    <n v="185"/>
    <n v="185"/>
    <n v="194.25"/>
    <n v="255.75"/>
    <n v="0"/>
    <x v="68"/>
    <x v="4"/>
    <m/>
    <m/>
    <m/>
    <n v="0.56833333333333336"/>
  </r>
  <r>
    <x v="4"/>
    <x v="92"/>
    <x v="1"/>
    <x v="3"/>
    <m/>
    <m/>
    <s v="EXP. VALVE LT, POKKA 9A224 / 9A219 NISSAN JUKE"/>
    <s v="CA-001831"/>
    <n v="1"/>
    <n v="550"/>
    <m/>
    <n v="550"/>
    <x v="0"/>
    <n v="478"/>
    <n v="260"/>
    <n v="260"/>
    <n v="273"/>
    <n v="277"/>
    <n v="83.1"/>
    <x v="23"/>
    <x v="2"/>
    <m/>
    <m/>
    <m/>
    <n v="0.50363636363636366"/>
  </r>
  <r>
    <x v="4"/>
    <x v="116"/>
    <x v="0"/>
    <x v="20"/>
    <m/>
    <m/>
    <s v="BRACKET , GB 1HP, COATED"/>
    <s v="IM-000008"/>
    <n v="1"/>
    <n v="360"/>
    <m/>
    <n v="360"/>
    <x v="0"/>
    <n v="334"/>
    <n v="185"/>
    <n v="185"/>
    <n v="190.55"/>
    <n v="169.45"/>
    <n v="0"/>
    <x v="1"/>
    <x v="0"/>
    <m/>
    <m/>
    <m/>
    <n v="0.47069444444444442"/>
  </r>
  <r>
    <x v="4"/>
    <x v="79"/>
    <x v="2"/>
    <x v="22"/>
    <m/>
    <m/>
    <s v="BLOWER_MOTOR, TOYOTA INNOVA OLD R"/>
    <s v="CA-000228"/>
    <n v="1"/>
    <n v="1800"/>
    <m/>
    <n v="1800"/>
    <x v="0"/>
    <n v="2389"/>
    <n v="1300"/>
    <n v="1300"/>
    <n v="1365"/>
    <n v="435"/>
    <n v="130.5"/>
    <x v="15"/>
    <x v="2"/>
    <m/>
    <m/>
    <m/>
    <n v="0.24166666666666667"/>
  </r>
  <r>
    <x v="4"/>
    <x v="80"/>
    <x v="0"/>
    <x v="104"/>
    <m/>
    <m/>
    <s v="BRACKET , GB 1HP, COATED"/>
    <s v="IM-000008"/>
    <n v="1"/>
    <n v="360"/>
    <m/>
    <n v="360"/>
    <x v="0"/>
    <n v="334"/>
    <n v="185"/>
    <n v="185"/>
    <n v="190.55"/>
    <n v="169.45"/>
    <n v="0"/>
    <x v="1"/>
    <x v="0"/>
    <m/>
    <m/>
    <m/>
    <n v="0.47069444444444442"/>
  </r>
  <r>
    <x v="4"/>
    <x v="81"/>
    <x v="0"/>
    <x v="1"/>
    <m/>
    <m/>
    <s v="BRACKET , GB 1HP, COATED"/>
    <s v="IM-000008"/>
    <n v="1"/>
    <n v="360"/>
    <m/>
    <n v="360"/>
    <x v="0"/>
    <n v="334"/>
    <n v="185"/>
    <n v="185"/>
    <n v="190.55"/>
    <n v="169.45"/>
    <n v="0"/>
    <x v="1"/>
    <x v="0"/>
    <m/>
    <m/>
    <m/>
    <n v="0.47069444444444442"/>
  </r>
  <r>
    <x v="4"/>
    <x v="75"/>
    <x v="0"/>
    <x v="1"/>
    <m/>
    <m/>
    <s v="BRACKET , GB 1HP, COATED"/>
    <s v="IM-000008"/>
    <n v="1"/>
    <n v="360"/>
    <m/>
    <n v="360"/>
    <x v="0"/>
    <n v="334"/>
    <n v="185"/>
    <n v="185"/>
    <n v="190.55"/>
    <n v="169.45"/>
    <n v="0"/>
    <x v="1"/>
    <x v="0"/>
    <e v="#REF!"/>
    <e v="#REF!"/>
    <e v="#REF!"/>
    <n v="0"/>
  </r>
  <r>
    <x v="4"/>
    <x v="75"/>
    <x v="0"/>
    <x v="112"/>
    <m/>
    <m/>
    <s v="BRACKET , GB 1HP, COATED"/>
    <s v="IM-000008"/>
    <n v="1"/>
    <n v="360"/>
    <m/>
    <n v="360"/>
    <x v="0"/>
    <n v="334"/>
    <n v="185"/>
    <n v="185"/>
    <n v="190.55"/>
    <n v="169.45"/>
    <n v="0"/>
    <x v="1"/>
    <x v="0"/>
    <e v="#REF!"/>
    <e v="#REF!"/>
    <e v="#REF!"/>
    <n v="0"/>
  </r>
  <r>
    <x v="4"/>
    <x v="75"/>
    <x v="0"/>
    <x v="105"/>
    <m/>
    <m/>
    <s v="BRACKET , GB 1HP, COATED"/>
    <s v="IM-000008"/>
    <n v="1"/>
    <n v="360"/>
    <m/>
    <n v="360"/>
    <x v="0"/>
    <n v="334"/>
    <n v="185"/>
    <n v="185"/>
    <n v="190.55"/>
    <n v="169.45"/>
    <n v="0"/>
    <x v="1"/>
    <x v="0"/>
    <e v="#REF!"/>
    <e v="#REF!"/>
    <e v="#REF!"/>
    <n v="0"/>
  </r>
  <r>
    <x v="4"/>
    <x v="77"/>
    <x v="0"/>
    <x v="35"/>
    <m/>
    <m/>
    <s v="BRACKET , GB 1HP, COATED"/>
    <s v="IM-000008"/>
    <n v="1"/>
    <n v="360"/>
    <m/>
    <n v="360"/>
    <x v="0"/>
    <n v="334"/>
    <n v="185"/>
    <n v="185"/>
    <n v="190.55"/>
    <n v="169.45"/>
    <n v="0"/>
    <x v="1"/>
    <x v="0"/>
    <e v="#REF!"/>
    <e v="#REF!"/>
    <e v="#REF!"/>
    <n v="0"/>
  </r>
  <r>
    <x v="5"/>
    <x v="126"/>
    <x v="0"/>
    <x v="27"/>
    <m/>
    <m/>
    <s v="RUBBER_INSULATION, M-FLEX 1/2&quot; 1/4"/>
    <s v="IM-000229"/>
    <n v="1"/>
    <n v="50"/>
    <m/>
    <n v="50"/>
    <x v="0"/>
    <n v="47"/>
    <n v="33.6"/>
    <n v="33.6"/>
    <n v="34.608000000000004"/>
    <n v="15.391999999999996"/>
    <n v="0"/>
    <x v="22"/>
    <x v="0"/>
    <e v="#REF!"/>
    <e v="#REF!"/>
    <s v=""/>
    <n v="0.30783999999999989"/>
  </r>
  <r>
    <x v="5"/>
    <x v="126"/>
    <x v="0"/>
    <x v="1"/>
    <m/>
    <m/>
    <s v="ROD, HARRIS SILVER "/>
    <s v="IM-000098"/>
    <n v="1"/>
    <n v="28"/>
    <m/>
    <n v="28"/>
    <x v="0"/>
    <n v="30"/>
    <n v="19"/>
    <n v="19"/>
    <n v="19.57"/>
    <n v="8.43"/>
    <n v="0"/>
    <x v="56"/>
    <x v="0"/>
    <e v="#REF!"/>
    <e v="#REF!"/>
    <s v=""/>
    <n v="0.30107142857142855"/>
  </r>
  <r>
    <x v="5"/>
    <x v="127"/>
    <x v="1"/>
    <x v="5"/>
    <m/>
    <m/>
    <s v="REFRIGERANT, ENTALPIA EUROPE R134A 13.6   5/19/26 NBO"/>
    <s v=""/>
    <n v="1"/>
    <n v="8700"/>
    <m/>
    <n v="8700"/>
    <x v="0"/>
    <n v="0"/>
    <n v="0"/>
    <n v="0"/>
    <n v="0"/>
    <n v="8700"/>
    <n v="2610"/>
    <x v="13"/>
    <x v="3"/>
    <e v="#REF!"/>
    <e v="#REF!"/>
    <s v=""/>
    <n v="1"/>
  </r>
  <r>
    <x v="5"/>
    <x v="127"/>
    <x v="0"/>
    <x v="30"/>
    <m/>
    <m/>
    <s v="ELECTRICAL WIRE_STRANDED, POWERFLEX THNN STRANDED   #12,  04/24/26"/>
    <s v="GE-000516"/>
    <n v="1"/>
    <n v="4200"/>
    <m/>
    <n v="4200"/>
    <x v="0"/>
    <n v="6149"/>
    <n v="3346"/>
    <n v="3346"/>
    <n v="3513.3"/>
    <n v="686.69999999999982"/>
    <n v="0"/>
    <x v="2"/>
    <x v="1"/>
    <e v="#REF!"/>
    <e v="#REF!"/>
    <s v=""/>
    <n v="0.16349999999999995"/>
  </r>
  <r>
    <x v="2"/>
    <x v="51"/>
    <x v="0"/>
    <x v="26"/>
    <m/>
    <m/>
    <s v="TAPE ELECTRICAL, ARMAK 0.16 MM X 19 MM X 16 M"/>
    <s v="GE-000491"/>
    <n v="5"/>
    <n v="50"/>
    <m/>
    <n v="250"/>
    <x v="0"/>
    <n v="73"/>
    <n v="42"/>
    <n v="210"/>
    <n v="220.5"/>
    <n v="29.5"/>
    <n v="0"/>
    <x v="50"/>
    <x v="1"/>
    <e v="#REF!"/>
    <e v="#REF!"/>
    <s v=""/>
    <n v="0.11799999999999999"/>
  </r>
  <r>
    <x v="3"/>
    <x v="71"/>
    <x v="0"/>
    <x v="26"/>
    <m/>
    <m/>
    <s v="TAPE ELECTRICAL, ARMAK 0.16 MM X 19 MM X 16 M"/>
    <s v="GE-000491"/>
    <n v="5"/>
    <n v="50"/>
    <m/>
    <n v="250"/>
    <x v="0"/>
    <n v="73"/>
    <n v="42"/>
    <n v="210"/>
    <n v="220.5"/>
    <n v="29.5"/>
    <n v="0"/>
    <x v="50"/>
    <x v="1"/>
    <m/>
    <m/>
    <s v=""/>
    <n v="0.11799999999999999"/>
  </r>
  <r>
    <x v="4"/>
    <x v="107"/>
    <x v="0"/>
    <x v="26"/>
    <m/>
    <m/>
    <s v="TAPE ELECTRICAL, ARMAK 0.16 MM X 19 MM X 16 M"/>
    <s v="GE-000491"/>
    <n v="5"/>
    <n v="55"/>
    <m/>
    <n v="275"/>
    <x v="0"/>
    <n v="73"/>
    <n v="42"/>
    <n v="210"/>
    <n v="220.5"/>
    <n v="54.5"/>
    <n v="0"/>
    <x v="50"/>
    <x v="1"/>
    <m/>
    <m/>
    <m/>
    <n v="0.19818181818181818"/>
  </r>
  <r>
    <x v="4"/>
    <x v="80"/>
    <x v="0"/>
    <x v="36"/>
    <m/>
    <m/>
    <s v="EVAPORATOR, TOYOTA AVANZA 14 HS-40A523"/>
    <s v="CA-000536"/>
    <n v="1"/>
    <n v="2000"/>
    <m/>
    <n v="2000"/>
    <x v="0"/>
    <n v="2389"/>
    <n v="1300"/>
    <n v="1300"/>
    <n v="1365"/>
    <n v="635"/>
    <n v="0"/>
    <x v="10"/>
    <x v="2"/>
    <m/>
    <m/>
    <m/>
    <n v="0.3175"/>
  </r>
  <r>
    <x v="4"/>
    <x v="80"/>
    <x v="2"/>
    <x v="9"/>
    <m/>
    <m/>
    <s v="EVAPORATOR, HONDA CRV 2003"/>
    <s v="CA-000481"/>
    <n v="1"/>
    <n v="2100"/>
    <m/>
    <n v="2100"/>
    <x v="0"/>
    <n v="2389"/>
    <n v="1300"/>
    <n v="1300"/>
    <n v="1365"/>
    <n v="735"/>
    <n v="220.5"/>
    <x v="10"/>
    <x v="2"/>
    <m/>
    <m/>
    <m/>
    <n v="0.35"/>
  </r>
  <r>
    <x v="0"/>
    <x v="2"/>
    <x v="0"/>
    <x v="11"/>
    <m/>
    <n v="350"/>
    <s v="CABIN_FILTER, MITSUBISHI MONTERO 2016"/>
    <s v="CA-001703"/>
    <n v="1"/>
    <n v="315"/>
    <m/>
    <n v="315"/>
    <x v="0"/>
    <n v="567"/>
    <n v="180"/>
    <n v="180"/>
    <n v="189"/>
    <n v="126"/>
    <n v="0"/>
    <x v="12"/>
    <x v="2"/>
    <m/>
    <m/>
    <n v="352.8"/>
    <n v="0.4"/>
  </r>
  <r>
    <x v="4"/>
    <x v="105"/>
    <x v="2"/>
    <x v="22"/>
    <m/>
    <m/>
    <s v="BLOWER_MOTOR, TOYOTA REVO"/>
    <s v="CA-000229"/>
    <n v="1"/>
    <n v="1700"/>
    <m/>
    <n v="1700"/>
    <x v="0"/>
    <n v="2205"/>
    <n v="1200"/>
    <n v="1200"/>
    <n v="1260"/>
    <n v="440"/>
    <n v="132"/>
    <x v="15"/>
    <x v="2"/>
    <m/>
    <m/>
    <m/>
    <n v="0.25882352941176473"/>
  </r>
  <r>
    <x v="0"/>
    <x v="4"/>
    <x v="1"/>
    <x v="5"/>
    <m/>
    <m/>
    <s v="LUBRICANT, EMKARATE RL 68H, 1 LITER"/>
    <s v="GE-000135"/>
    <n v="1"/>
    <n v="450"/>
    <m/>
    <n v="450"/>
    <x v="0"/>
    <n v="331"/>
    <n v="180"/>
    <n v="180"/>
    <n v="189"/>
    <n v="261"/>
    <n v="78.3"/>
    <x v="9"/>
    <x v="1"/>
    <m/>
    <m/>
    <s v=""/>
    <n v="0.57999999999999996"/>
  </r>
  <r>
    <x v="0"/>
    <x v="4"/>
    <x v="0"/>
    <x v="10"/>
    <m/>
    <m/>
    <s v="LUBRICANT, EMKARATE RL 68H, 1 LITER"/>
    <s v="GE-000135"/>
    <n v="1"/>
    <n v="450"/>
    <m/>
    <n v="450"/>
    <x v="0"/>
    <n v="331"/>
    <n v="180"/>
    <n v="180"/>
    <n v="189"/>
    <n v="261"/>
    <n v="0"/>
    <x v="9"/>
    <x v="1"/>
    <m/>
    <m/>
    <s v=""/>
    <n v="0.57999999999999996"/>
  </r>
  <r>
    <x v="4"/>
    <x v="89"/>
    <x v="2"/>
    <x v="9"/>
    <m/>
    <n v="2000"/>
    <s v="EVAPORATOR, NISSAN NAVARRA 2008-2013  (STAL)"/>
    <s v="CA-001658"/>
    <n v="1"/>
    <n v="1786"/>
    <m/>
    <n v="1786"/>
    <x v="0"/>
    <n v="2205"/>
    <n v="1200"/>
    <n v="1200"/>
    <n v="1260"/>
    <n v="526"/>
    <n v="157.79999999999998"/>
    <x v="10"/>
    <x v="2"/>
    <m/>
    <m/>
    <m/>
    <n v="0.29451287793952968"/>
  </r>
  <r>
    <x v="4"/>
    <x v="110"/>
    <x v="0"/>
    <x v="36"/>
    <m/>
    <n v="2100"/>
    <s v="EVAPORATOR, HYUNDAI STAREX F RIGHT (STAL)"/>
    <s v="CA-001758"/>
    <n v="1"/>
    <n v="1875"/>
    <m/>
    <n v="1875"/>
    <x v="0"/>
    <n v="2205"/>
    <n v="1200"/>
    <n v="1200"/>
    <n v="1260"/>
    <n v="615"/>
    <n v="0"/>
    <x v="10"/>
    <x v="2"/>
    <m/>
    <m/>
    <m/>
    <n v="0.32800000000000001"/>
  </r>
  <r>
    <x v="0"/>
    <x v="6"/>
    <x v="0"/>
    <x v="11"/>
    <m/>
    <n v="450"/>
    <s v="CABIN_FILTER, MITSUBISHI MONTERO OLD"/>
    <s v="CA-001704"/>
    <n v="1"/>
    <n v="405"/>
    <m/>
    <n v="405"/>
    <x v="0"/>
    <n v="567"/>
    <n v="180"/>
    <n v="180"/>
    <n v="189"/>
    <n v="216"/>
    <n v="0"/>
    <x v="12"/>
    <x v="2"/>
    <m/>
    <m/>
    <n v="453.6"/>
    <n v="0.53333333333333333"/>
  </r>
  <r>
    <x v="0"/>
    <x v="91"/>
    <x v="0"/>
    <x v="11"/>
    <m/>
    <n v="400"/>
    <s v="CABIN_FILTER, MITSUBISHI MONTERO OLD"/>
    <s v="CA-001704"/>
    <n v="1"/>
    <n v="360"/>
    <m/>
    <n v="360"/>
    <x v="0"/>
    <n v="567"/>
    <n v="180"/>
    <n v="180"/>
    <n v="189"/>
    <n v="171"/>
    <n v="0"/>
    <x v="12"/>
    <x v="2"/>
    <e v="#REF!"/>
    <e v="#REF!"/>
    <n v="403.20000000000005"/>
    <n v="0.47499999999999998"/>
  </r>
  <r>
    <x v="0"/>
    <x v="11"/>
    <x v="0"/>
    <x v="10"/>
    <m/>
    <m/>
    <s v="LUBRICANT, EMKARATE RL 68H, 1 LITER"/>
    <s v="GE-000135"/>
    <n v="1"/>
    <n v="450"/>
    <m/>
    <n v="450"/>
    <x v="0"/>
    <n v="331"/>
    <n v="180"/>
    <n v="180"/>
    <n v="189"/>
    <n v="261"/>
    <n v="0"/>
    <x v="9"/>
    <x v="1"/>
    <e v="#REF!"/>
    <e v="#REF!"/>
    <s v=""/>
    <n v="0.57999999999999996"/>
  </r>
  <r>
    <x v="0"/>
    <x v="13"/>
    <x v="1"/>
    <x v="5"/>
    <m/>
    <m/>
    <s v="LUBRICANT, EMKARATE RL 68H, 1 LITER"/>
    <s v="GE-000135"/>
    <n v="1"/>
    <n v="450"/>
    <m/>
    <n v="450"/>
    <x v="0"/>
    <n v="331"/>
    <n v="180"/>
    <n v="180"/>
    <n v="189"/>
    <n v="261"/>
    <n v="78.3"/>
    <x v="9"/>
    <x v="1"/>
    <e v="#REF!"/>
    <e v="#REF!"/>
    <s v=""/>
    <n v="0.57999999999999996"/>
  </r>
  <r>
    <x v="4"/>
    <x v="93"/>
    <x v="2"/>
    <x v="9"/>
    <m/>
    <m/>
    <s v="HOSE, COOLMATE 1/2 DISCHARGE PER FT"/>
    <s v="GE-000179"/>
    <n v="30"/>
    <n v="90"/>
    <m/>
    <n v="2700"/>
    <x v="0"/>
    <n v="80"/>
    <n v="43"/>
    <n v="1290"/>
    <n v="1354.5"/>
    <n v="1345.5"/>
    <n v="403.65"/>
    <x v="19"/>
    <x v="1"/>
    <m/>
    <m/>
    <m/>
    <n v="0.49833333333333335"/>
  </r>
  <r>
    <x v="4"/>
    <x v="78"/>
    <x v="2"/>
    <x v="22"/>
    <m/>
    <m/>
    <s v="EVAPORATOR, SUZUKI CELERIO 16"/>
    <s v="CA-000528"/>
    <n v="1"/>
    <n v="1800"/>
    <m/>
    <n v="1800"/>
    <x v="0"/>
    <n v="2205"/>
    <n v="1200"/>
    <n v="1200"/>
    <n v="1260"/>
    <n v="540"/>
    <n v="162"/>
    <x v="10"/>
    <x v="2"/>
    <e v="#REF!"/>
    <e v="#REF!"/>
    <e v="#REF!"/>
    <n v="0.3"/>
  </r>
  <r>
    <x v="1"/>
    <x v="18"/>
    <x v="0"/>
    <x v="113"/>
    <m/>
    <m/>
    <s v="LUBRICANT, EMKARATE RL 68H, 1 LITER"/>
    <s v="GE-000135"/>
    <n v="1"/>
    <n v="450"/>
    <m/>
    <n v="450"/>
    <x v="0"/>
    <n v="331"/>
    <n v="180"/>
    <n v="180"/>
    <n v="189"/>
    <n v="261"/>
    <n v="0"/>
    <x v="9"/>
    <x v="1"/>
    <e v="#REF!"/>
    <e v="#REF!"/>
    <s v=""/>
    <n v="0.57999999999999996"/>
  </r>
  <r>
    <x v="4"/>
    <x v="79"/>
    <x v="3"/>
    <x v="12"/>
    <m/>
    <n v="1950"/>
    <s v="PULLEY_ASSEMBLY, TOYOTA VIOS 2014  4PK"/>
    <s v="CA-001397"/>
    <n v="1"/>
    <n v="1741"/>
    <m/>
    <n v="1741"/>
    <x v="0"/>
    <n v="2016"/>
    <n v="1200"/>
    <n v="1200"/>
    <n v="1260"/>
    <n v="481"/>
    <n v="144.29999999999998"/>
    <x v="11"/>
    <x v="2"/>
    <m/>
    <m/>
    <m/>
    <n v="0.27627800114876505"/>
  </r>
  <r>
    <x v="1"/>
    <x v="100"/>
    <x v="0"/>
    <x v="8"/>
    <m/>
    <m/>
    <s v="LUBRICANT, EMKARATE RL 68H, 1 LITER"/>
    <s v="GE-000135"/>
    <n v="1"/>
    <n v="450"/>
    <m/>
    <n v="450"/>
    <x v="0"/>
    <n v="331"/>
    <n v="180"/>
    <n v="180"/>
    <n v="189"/>
    <n v="261"/>
    <n v="0"/>
    <x v="9"/>
    <x v="1"/>
    <e v="#REF!"/>
    <e v="#REF!"/>
    <s v=""/>
    <n v="0.57999999999999996"/>
  </r>
  <r>
    <x v="4"/>
    <x v="81"/>
    <x v="2"/>
    <x v="9"/>
    <m/>
    <m/>
    <s v="EVAPORATOR, TOYOTA AVANZA 08"/>
    <s v="CA-000537"/>
    <n v="1"/>
    <n v="2000"/>
    <m/>
    <n v="2000"/>
    <x v="0"/>
    <n v="2205"/>
    <n v="1200"/>
    <n v="1200"/>
    <n v="1260"/>
    <n v="740"/>
    <n v="222"/>
    <x v="10"/>
    <x v="2"/>
    <m/>
    <m/>
    <m/>
    <n v="0.37"/>
  </r>
  <r>
    <x v="1"/>
    <x v="22"/>
    <x v="0"/>
    <x v="59"/>
    <m/>
    <m/>
    <s v="TAPE_PE, AEROWRAP Polythelene Tape (BLUE)X 4&quot;"/>
    <s v="IM-000184"/>
    <n v="2"/>
    <n v="140"/>
    <m/>
    <n v="280"/>
    <x v="0"/>
    <n v="177"/>
    <n v="90"/>
    <n v="180"/>
    <n v="185.4"/>
    <n v="94.6"/>
    <n v="0"/>
    <x v="29"/>
    <x v="0"/>
    <e v="#REF!"/>
    <e v="#REF!"/>
    <e v="#REF!"/>
    <n v="0.33785714285714286"/>
  </r>
  <r>
    <x v="1"/>
    <x v="22"/>
    <x v="0"/>
    <x v="10"/>
    <m/>
    <m/>
    <s v="LUBRICANT, EMKARATE RL 68H, 1 LITER"/>
    <s v="GE-000135"/>
    <n v="1"/>
    <n v="450"/>
    <m/>
    <n v="450"/>
    <x v="0"/>
    <n v="331"/>
    <n v="180"/>
    <n v="180"/>
    <n v="189"/>
    <n v="261"/>
    <n v="0"/>
    <x v="9"/>
    <x v="1"/>
    <e v="#REF!"/>
    <e v="#REF!"/>
    <e v="#REF!"/>
    <n v="0.57999999999999996"/>
  </r>
  <r>
    <x v="4"/>
    <x v="79"/>
    <x v="4"/>
    <x v="25"/>
    <m/>
    <n v="1800"/>
    <s v="AUXFAN_MOTOR, MITSUBISHI MIRAGE 4 PIN 7030"/>
    <s v="CA-000054"/>
    <n v="1"/>
    <n v="1607"/>
    <m/>
    <n v="1607"/>
    <x v="0"/>
    <n v="2114"/>
    <n v="1150"/>
    <n v="1150"/>
    <n v="1207.5"/>
    <n v="399.5"/>
    <n v="119.85"/>
    <x v="14"/>
    <x v="2"/>
    <m/>
    <m/>
    <m/>
    <n v="0.24859987554449284"/>
  </r>
  <r>
    <x v="4"/>
    <x v="92"/>
    <x v="1"/>
    <x v="3"/>
    <m/>
    <m/>
    <s v="CABIN_FILTER, NISSAN NV350"/>
    <s v="CA-001711"/>
    <n v="1"/>
    <n v="300"/>
    <m/>
    <n v="300"/>
    <x v="0"/>
    <n v="315"/>
    <n v="100"/>
    <n v="100"/>
    <n v="105"/>
    <n v="195"/>
    <n v="58.5"/>
    <x v="12"/>
    <x v="2"/>
    <m/>
    <m/>
    <m/>
    <n v="0.65"/>
  </r>
  <r>
    <x v="1"/>
    <x v="29"/>
    <x v="0"/>
    <x v="128"/>
    <m/>
    <n v="500"/>
    <s v="REFRIGERANT, FU RYDER R22 CAN, 500 GRAMS"/>
    <s v="GE-000523"/>
    <n v="1"/>
    <n v="450"/>
    <m/>
    <n v="450"/>
    <x v="0"/>
    <n v="630"/>
    <n v="240"/>
    <n v="240"/>
    <n v="252"/>
    <n v="198"/>
    <n v="0"/>
    <x v="5"/>
    <x v="1"/>
    <e v="#REF!"/>
    <e v="#REF!"/>
    <e v="#REF!"/>
    <n v="0.44"/>
  </r>
  <r>
    <x v="4"/>
    <x v="80"/>
    <x v="2"/>
    <x v="7"/>
    <m/>
    <m/>
    <s v="AUXFAN_MOTOR, SUZUKI SWIFT 8310 4P"/>
    <s v="CA-000076"/>
    <n v="1"/>
    <n v="1800"/>
    <m/>
    <n v="1800"/>
    <x v="0"/>
    <n v="2114"/>
    <n v="1150"/>
    <n v="1150"/>
    <n v="1207.5"/>
    <n v="592.5"/>
    <n v="177.75"/>
    <x v="14"/>
    <x v="2"/>
    <m/>
    <m/>
    <m/>
    <n v="0.32916666666666666"/>
  </r>
  <r>
    <x v="4"/>
    <x v="92"/>
    <x v="1"/>
    <x v="3"/>
    <m/>
    <n v="200"/>
    <s v="O_RING, NEK MAKAPAL 5/8"/>
    <s v="CA-000843"/>
    <n v="1"/>
    <n v="180"/>
    <m/>
    <n v="180"/>
    <x v="0"/>
    <n v="111"/>
    <n v="60"/>
    <n v="60"/>
    <n v="63"/>
    <n v="117"/>
    <n v="35.1"/>
    <x v="44"/>
    <x v="2"/>
    <m/>
    <m/>
    <m/>
    <n v="0.65"/>
  </r>
  <r>
    <x v="4"/>
    <x v="104"/>
    <x v="0"/>
    <x v="36"/>
    <m/>
    <m/>
    <s v="AUXFAN_MOTOR, HONDA CITY 2009 (19030)"/>
    <s v="CA-000016"/>
    <n v="1"/>
    <n v="1800"/>
    <m/>
    <n v="1800"/>
    <x v="0"/>
    <n v="2114"/>
    <n v="1150"/>
    <n v="1150"/>
    <n v="1207.5"/>
    <n v="592.5"/>
    <n v="0"/>
    <x v="14"/>
    <x v="2"/>
    <m/>
    <m/>
    <m/>
    <n v="0.32916666666666666"/>
  </r>
  <r>
    <x v="2"/>
    <x v="35"/>
    <x v="0"/>
    <x v="10"/>
    <m/>
    <n v="450"/>
    <s v="LUBRICANT, EMKARATE RL 68H, 1 LITER"/>
    <s v="GE-000135"/>
    <n v="1"/>
    <n v="405"/>
    <m/>
    <n v="405"/>
    <x v="0"/>
    <n v="331"/>
    <n v="180"/>
    <n v="180"/>
    <n v="189"/>
    <n v="216"/>
    <n v="0"/>
    <x v="9"/>
    <x v="1"/>
    <e v="#REF!"/>
    <e v="#REF!"/>
    <n v="453.6"/>
    <n v="0.53333333333333333"/>
  </r>
  <r>
    <x v="4"/>
    <x v="110"/>
    <x v="1"/>
    <x v="3"/>
    <m/>
    <m/>
    <s v="EVAPORATOR, NISSAN NV350 (STAL)"/>
    <s v="CA-001660"/>
    <n v="1"/>
    <n v="2100"/>
    <m/>
    <n v="2100"/>
    <x v="0"/>
    <n v="2022"/>
    <n v="1100"/>
    <n v="1100"/>
    <n v="1155"/>
    <n v="945"/>
    <n v="283.5"/>
    <x v="10"/>
    <x v="2"/>
    <m/>
    <m/>
    <m/>
    <n v="0.45"/>
  </r>
  <r>
    <x v="4"/>
    <x v="104"/>
    <x v="2"/>
    <x v="7"/>
    <m/>
    <m/>
    <s v="AUXFAN_MOTOR, NISSAN NV350"/>
    <s v="CA-000066"/>
    <n v="1"/>
    <n v="1800"/>
    <m/>
    <n v="1800"/>
    <x v="0"/>
    <n v="2114"/>
    <n v="1150"/>
    <n v="1150"/>
    <n v="1207.5"/>
    <n v="592.5"/>
    <n v="177.75"/>
    <x v="14"/>
    <x v="2"/>
    <m/>
    <m/>
    <m/>
    <n v="0.32916666666666666"/>
  </r>
  <r>
    <x v="2"/>
    <x v="125"/>
    <x v="0"/>
    <x v="58"/>
    <m/>
    <n v="470"/>
    <s v="LUBRICANT, EMKARATE RL 32H, 1 LITER"/>
    <s v="GE-000134"/>
    <n v="1"/>
    <n v="420"/>
    <m/>
    <n v="420"/>
    <x v="0"/>
    <n v="331"/>
    <n v="180"/>
    <n v="180"/>
    <n v="189"/>
    <n v="231"/>
    <n v="0"/>
    <x v="9"/>
    <x v="1"/>
    <e v="#REF!"/>
    <e v="#REF!"/>
    <n v="470.40000000000003"/>
    <n v="0.55000000000000004"/>
  </r>
  <r>
    <x v="2"/>
    <x v="42"/>
    <x v="1"/>
    <x v="5"/>
    <m/>
    <n v="450"/>
    <s v="LUBRICANT, EMKARATE RL 68H, 1 LITER"/>
    <s v="GE-000135"/>
    <n v="1"/>
    <n v="405"/>
    <m/>
    <n v="405"/>
    <x v="0"/>
    <n v="331"/>
    <n v="180"/>
    <n v="180"/>
    <n v="189"/>
    <n v="216"/>
    <n v="64.8"/>
    <x v="9"/>
    <x v="1"/>
    <e v="#REF!"/>
    <e v="#REF!"/>
    <n v="453.6"/>
    <n v="0.53333333333333333"/>
  </r>
  <r>
    <x v="2"/>
    <x v="44"/>
    <x v="0"/>
    <x v="8"/>
    <m/>
    <n v="450"/>
    <s v="LUBRICANT, EMKARATE RL 68H, 1 LITER"/>
    <s v="GE-000135"/>
    <n v="1"/>
    <n v="405"/>
    <m/>
    <n v="405"/>
    <x v="0"/>
    <n v="331"/>
    <n v="180"/>
    <n v="180"/>
    <n v="189"/>
    <n v="216"/>
    <n v="0"/>
    <x v="9"/>
    <x v="1"/>
    <e v="#REF!"/>
    <e v="#REF!"/>
    <n v="453.6"/>
    <n v="0.53333333333333333"/>
  </r>
  <r>
    <x v="2"/>
    <x v="52"/>
    <x v="0"/>
    <x v="17"/>
    <m/>
    <m/>
    <s v="LUBRICANT, EMKARATE RL 68H, 1 LITER"/>
    <s v="GE-000135"/>
    <n v="1"/>
    <n v="450"/>
    <m/>
    <n v="450"/>
    <x v="0"/>
    <n v="331"/>
    <n v="180"/>
    <n v="180"/>
    <n v="189"/>
    <n v="261"/>
    <n v="0"/>
    <x v="9"/>
    <x v="1"/>
    <e v="#REF!"/>
    <e v="#REF!"/>
    <s v=""/>
    <n v="0.57999999999999996"/>
  </r>
  <r>
    <x v="4"/>
    <x v="93"/>
    <x v="2"/>
    <x v="9"/>
    <m/>
    <m/>
    <s v="HOSE, COOLMATE 5/8 SUNCTION PER FT"/>
    <s v="GE-000181"/>
    <n v="28"/>
    <n v="95"/>
    <m/>
    <n v="2660"/>
    <x v="0"/>
    <n v="83"/>
    <n v="45"/>
    <n v="1260"/>
    <n v="1323"/>
    <n v="1337"/>
    <n v="401.09999999999997"/>
    <x v="19"/>
    <x v="1"/>
    <m/>
    <m/>
    <m/>
    <n v="0.50263157894736843"/>
  </r>
  <r>
    <x v="2"/>
    <x v="112"/>
    <x v="0"/>
    <x v="1"/>
    <m/>
    <m/>
    <s v="CAPACITOR_DOUBLE, PS CBB65 25 + 2 UF"/>
    <s v="GE-000323"/>
    <n v="1"/>
    <n v="450"/>
    <m/>
    <n v="450"/>
    <x v="0"/>
    <n v="331"/>
    <n v="180"/>
    <n v="180"/>
    <n v="189"/>
    <n v="261"/>
    <n v="0"/>
    <x v="65"/>
    <x v="1"/>
    <e v="#REF!"/>
    <e v="#REF!"/>
    <s v=""/>
    <n v="0.57999999999999996"/>
  </r>
  <r>
    <x v="2"/>
    <x v="56"/>
    <x v="0"/>
    <x v="1"/>
    <m/>
    <m/>
    <s v="CAPACITOR_DOUBLE, PS CBB65 25 + 3 UF"/>
    <s v="GE-000276"/>
    <n v="1"/>
    <n v="450"/>
    <m/>
    <n v="450"/>
    <x v="0"/>
    <n v="331"/>
    <n v="180"/>
    <n v="180"/>
    <n v="189"/>
    <n v="261"/>
    <n v="0"/>
    <x v="65"/>
    <x v="1"/>
    <e v="#REF!"/>
    <e v="#REF!"/>
    <s v=""/>
    <n v="0.57999999999999996"/>
  </r>
  <r>
    <x v="2"/>
    <x v="57"/>
    <x v="1"/>
    <x v="5"/>
    <m/>
    <m/>
    <s v="LUBRICANT, EMKARATE RL 68H, 1 LITER"/>
    <s v="GE-000135"/>
    <n v="1"/>
    <n v="450"/>
    <m/>
    <n v="450"/>
    <x v="0"/>
    <n v="331"/>
    <n v="180"/>
    <n v="180"/>
    <n v="189"/>
    <n v="261"/>
    <n v="78.3"/>
    <x v="9"/>
    <x v="1"/>
    <e v="#REF!"/>
    <e v="#REF!"/>
    <s v=""/>
    <n v="0.57999999999999996"/>
  </r>
  <r>
    <x v="2"/>
    <x v="57"/>
    <x v="0"/>
    <x v="10"/>
    <m/>
    <m/>
    <s v="LUBRICANT, EMKARATE RL 68H, 1 LITER"/>
    <s v="GE-000135"/>
    <n v="1"/>
    <n v="450"/>
    <m/>
    <n v="450"/>
    <x v="0"/>
    <n v="331"/>
    <n v="180"/>
    <n v="180"/>
    <n v="189"/>
    <n v="261"/>
    <n v="0"/>
    <x v="9"/>
    <x v="1"/>
    <e v="#REF!"/>
    <e v="#REF!"/>
    <s v=""/>
    <n v="0.57999999999999996"/>
  </r>
  <r>
    <x v="2"/>
    <x v="111"/>
    <x v="0"/>
    <x v="11"/>
    <m/>
    <m/>
    <s v="CABIN_FILTER, MITSUBISHI MONTERO 2016"/>
    <s v="CA-001703"/>
    <n v="1"/>
    <n v="350"/>
    <m/>
    <n v="350"/>
    <x v="0"/>
    <n v="567"/>
    <n v="180"/>
    <n v="180"/>
    <n v="189"/>
    <n v="161"/>
    <n v="0"/>
    <x v="12"/>
    <x v="2"/>
    <e v="#REF!"/>
    <e v="#REF!"/>
    <s v=""/>
    <n v="0.46"/>
  </r>
  <r>
    <x v="3"/>
    <x v="64"/>
    <x v="0"/>
    <x v="18"/>
    <m/>
    <n v="450"/>
    <s v="LUBRICANT, EMKARATE RL 68H, 1 LITER"/>
    <s v="GE-000135"/>
    <n v="1"/>
    <n v="402"/>
    <m/>
    <n v="402"/>
    <x v="0"/>
    <n v="331"/>
    <n v="180"/>
    <n v="180"/>
    <n v="189"/>
    <n v="213"/>
    <n v="0"/>
    <x v="9"/>
    <x v="1"/>
    <m/>
    <m/>
    <n v="450.24000000000007"/>
    <n v="0.52985074626865669"/>
  </r>
  <r>
    <x v="3"/>
    <x v="65"/>
    <x v="0"/>
    <x v="2"/>
    <m/>
    <n v="450"/>
    <s v="CAPACITOR_DOUBLE, PS CBB65 25 + 3 UF"/>
    <s v="GE-000276"/>
    <n v="1"/>
    <n v="405"/>
    <m/>
    <n v="405"/>
    <x v="0"/>
    <n v="331"/>
    <n v="180"/>
    <n v="180"/>
    <n v="189"/>
    <n v="216"/>
    <n v="0"/>
    <x v="65"/>
    <x v="1"/>
    <m/>
    <m/>
    <n v="453.6"/>
    <n v="0.53333333333333333"/>
  </r>
  <r>
    <x v="4"/>
    <x v="105"/>
    <x v="2"/>
    <x v="22"/>
    <m/>
    <m/>
    <s v="AUXFAN_MOTOR, MITSUBISHI MIRAGE 2 PIN / WIGO 1030"/>
    <s v="CA-000053"/>
    <n v="1"/>
    <n v="1600"/>
    <m/>
    <n v="1600"/>
    <x v="0"/>
    <n v="2022"/>
    <n v="1100"/>
    <n v="1100"/>
    <n v="1155"/>
    <n v="445"/>
    <n v="133.5"/>
    <x v="14"/>
    <x v="2"/>
    <m/>
    <m/>
    <m/>
    <n v="0.27812500000000001"/>
  </r>
  <r>
    <x v="3"/>
    <x v="68"/>
    <x v="1"/>
    <x v="42"/>
    <m/>
    <m/>
    <s v="CABIN_FILTER, HONDA JAZZ"/>
    <s v="CA-001257"/>
    <n v="2"/>
    <n v="150"/>
    <m/>
    <n v="300"/>
    <x v="0"/>
    <n v="284"/>
    <n v="90"/>
    <n v="180"/>
    <n v="189"/>
    <n v="111"/>
    <n v="33.299999999999997"/>
    <x v="12"/>
    <x v="2"/>
    <m/>
    <m/>
    <s v=""/>
    <n v="0.37"/>
  </r>
  <r>
    <x v="3"/>
    <x v="69"/>
    <x v="0"/>
    <x v="53"/>
    <m/>
    <n v="450"/>
    <s v="LUBRICANT, EMKARATE RL 68H, 1 LITER"/>
    <s v="GE-000135"/>
    <n v="1"/>
    <n v="402"/>
    <m/>
    <n v="402"/>
    <x v="0"/>
    <n v="331"/>
    <n v="180"/>
    <n v="180"/>
    <n v="189"/>
    <n v="213"/>
    <n v="0"/>
    <x v="9"/>
    <x v="1"/>
    <m/>
    <m/>
    <n v="450.24000000000007"/>
    <n v="0.52985074626865669"/>
  </r>
  <r>
    <x v="3"/>
    <x v="71"/>
    <x v="0"/>
    <x v="26"/>
    <m/>
    <m/>
    <s v="ROD, HARRIS SILVER "/>
    <s v="IM-000098"/>
    <n v="10"/>
    <n v="28"/>
    <m/>
    <n v="280"/>
    <x v="0"/>
    <n v="30"/>
    <n v="19"/>
    <n v="190"/>
    <n v="195.70000000000002"/>
    <n v="84.299999999999983"/>
    <n v="0"/>
    <x v="56"/>
    <x v="0"/>
    <m/>
    <m/>
    <s v=""/>
    <n v="0.30107142857142849"/>
  </r>
  <r>
    <x v="4"/>
    <x v="107"/>
    <x v="6"/>
    <x v="54"/>
    <m/>
    <m/>
    <s v="ROD, HARRIS SILVER "/>
    <s v="IM-000098"/>
    <n v="10"/>
    <n v="28"/>
    <m/>
    <n v="280"/>
    <x v="0"/>
    <n v="30"/>
    <n v="19"/>
    <n v="190"/>
    <n v="195.70000000000002"/>
    <n v="84.299999999999983"/>
    <n v="25.289999999999996"/>
    <x v="56"/>
    <x v="0"/>
    <m/>
    <m/>
    <m/>
    <n v="0.30107142857142849"/>
  </r>
  <r>
    <x v="4"/>
    <x v="107"/>
    <x v="0"/>
    <x v="1"/>
    <m/>
    <n v="504"/>
    <s v="CAPACITOR_DOUBLE, PS CBB65 25 + 2 UF"/>
    <s v="GE-000323"/>
    <n v="1"/>
    <n v="450"/>
    <m/>
    <n v="450"/>
    <x v="0"/>
    <n v="331"/>
    <n v="180"/>
    <n v="180"/>
    <n v="189"/>
    <n v="261"/>
    <n v="0"/>
    <x v="65"/>
    <x v="1"/>
    <m/>
    <m/>
    <m/>
    <n v="0.57999999999999996"/>
  </r>
  <r>
    <x v="4"/>
    <x v="110"/>
    <x v="1"/>
    <x v="3"/>
    <m/>
    <m/>
    <s v="EXP. VALVE LT, POKKA 9A59"/>
    <s v="CA-001273"/>
    <n v="1"/>
    <n v="550"/>
    <m/>
    <n v="550"/>
    <x v="0"/>
    <n v="478"/>
    <n v="260"/>
    <n v="260"/>
    <n v="273"/>
    <n v="277"/>
    <n v="83.1"/>
    <x v="23"/>
    <x v="2"/>
    <m/>
    <m/>
    <m/>
    <n v="0.50363636363636366"/>
  </r>
  <r>
    <x v="4"/>
    <x v="88"/>
    <x v="0"/>
    <x v="8"/>
    <m/>
    <m/>
    <s v="LUBRICANT, EMKARATE RL 68H, 1 LITER"/>
    <s v="GE-000135"/>
    <n v="1"/>
    <n v="450"/>
    <m/>
    <n v="450"/>
    <x v="0"/>
    <n v="331"/>
    <n v="180"/>
    <n v="180"/>
    <n v="189"/>
    <n v="261"/>
    <n v="0"/>
    <x v="9"/>
    <x v="1"/>
    <m/>
    <m/>
    <m/>
    <n v="0.57999999999999996"/>
  </r>
  <r>
    <x v="4"/>
    <x v="93"/>
    <x v="1"/>
    <x v="3"/>
    <m/>
    <m/>
    <s v="CABIN_FILTER, TOYOTA INNOVA"/>
    <s v="CA-001294"/>
    <n v="1"/>
    <n v="300"/>
    <m/>
    <n v="300"/>
    <x v="0"/>
    <n v="315"/>
    <n v="100"/>
    <n v="100"/>
    <n v="105"/>
    <n v="195"/>
    <n v="58.5"/>
    <x v="12"/>
    <x v="2"/>
    <m/>
    <m/>
    <m/>
    <n v="0.65"/>
  </r>
  <r>
    <x v="4"/>
    <x v="89"/>
    <x v="0"/>
    <x v="125"/>
    <m/>
    <n v="450"/>
    <s v="CAPACITOR_DOUBLE, PS CBB65 25 + 4 UF"/>
    <s v="GE-000277"/>
    <n v="1"/>
    <n v="405"/>
    <m/>
    <n v="405"/>
    <x v="0"/>
    <n v="331"/>
    <n v="180"/>
    <n v="180"/>
    <n v="189"/>
    <n v="216"/>
    <n v="0"/>
    <x v="65"/>
    <x v="1"/>
    <m/>
    <m/>
    <m/>
    <n v="0.53333333333333333"/>
  </r>
  <r>
    <x v="4"/>
    <x v="89"/>
    <x v="4"/>
    <x v="25"/>
    <m/>
    <m/>
    <s v="AUXFAN_MOTOR, MITSUBISHI MIRAGE 2 PIN / WIGO 1030"/>
    <s v="CA-000053"/>
    <n v="1"/>
    <n v="1900"/>
    <m/>
    <n v="1900"/>
    <x v="0"/>
    <n v="2022"/>
    <n v="1100"/>
    <n v="1100"/>
    <n v="1155"/>
    <n v="745"/>
    <n v="223.5"/>
    <x v="14"/>
    <x v="2"/>
    <m/>
    <m/>
    <m/>
    <n v="0.39210526315789473"/>
  </r>
  <r>
    <x v="4"/>
    <x v="95"/>
    <x v="0"/>
    <x v="11"/>
    <m/>
    <m/>
    <s v="CABIN_FILTER, MITSUBISHI MONTERO OLD"/>
    <s v="CA-001704"/>
    <n v="1"/>
    <n v="450"/>
    <m/>
    <n v="450"/>
    <x v="0"/>
    <n v="567"/>
    <n v="180"/>
    <n v="180"/>
    <n v="189"/>
    <n v="261"/>
    <n v="0"/>
    <x v="12"/>
    <x v="2"/>
    <m/>
    <m/>
    <m/>
    <n v="0.57999999999999996"/>
  </r>
  <r>
    <x v="4"/>
    <x v="95"/>
    <x v="1"/>
    <x v="5"/>
    <m/>
    <m/>
    <s v="LUBRICANT, EMKARATE RL 68H, 1 LITER"/>
    <s v="GE-000135"/>
    <n v="1"/>
    <n v="450"/>
    <m/>
    <n v="450"/>
    <x v="0"/>
    <n v="331"/>
    <n v="180"/>
    <n v="180"/>
    <n v="189"/>
    <n v="261"/>
    <n v="78.3"/>
    <x v="9"/>
    <x v="1"/>
    <m/>
    <m/>
    <m/>
    <n v="0.57999999999999996"/>
  </r>
  <r>
    <x v="4"/>
    <x v="93"/>
    <x v="1"/>
    <x v="3"/>
    <m/>
    <m/>
    <s v="CABIN_FILTER, HONDA MEDIUM"/>
    <s v="CA-001679"/>
    <n v="1"/>
    <n v="300"/>
    <m/>
    <n v="300"/>
    <x v="0"/>
    <n v="315"/>
    <n v="100"/>
    <n v="100"/>
    <n v="105"/>
    <n v="195"/>
    <n v="58.5"/>
    <x v="12"/>
    <x v="2"/>
    <m/>
    <m/>
    <m/>
    <n v="0.65"/>
  </r>
  <r>
    <x v="4"/>
    <x v="79"/>
    <x v="0"/>
    <x v="6"/>
    <m/>
    <m/>
    <s v="ROD, HARRIS SILVER "/>
    <s v="IM-000098"/>
    <n v="10"/>
    <n v="28"/>
    <m/>
    <n v="280"/>
    <x v="0"/>
    <n v="30"/>
    <n v="19"/>
    <n v="190"/>
    <n v="195.70000000000002"/>
    <n v="84.299999999999983"/>
    <n v="0"/>
    <x v="56"/>
    <x v="0"/>
    <m/>
    <m/>
    <m/>
    <n v="0.30107142857142849"/>
  </r>
  <r>
    <x v="4"/>
    <x v="79"/>
    <x v="0"/>
    <x v="10"/>
    <m/>
    <n v="450"/>
    <s v="LUBRICANT, EMKARATE RL 68H, 1 LITER"/>
    <s v="GE-000135"/>
    <n v="1"/>
    <n v="402"/>
    <m/>
    <n v="402"/>
    <x v="0"/>
    <n v="331"/>
    <n v="180"/>
    <n v="180"/>
    <n v="189"/>
    <n v="213"/>
    <n v="0"/>
    <x v="9"/>
    <x v="1"/>
    <m/>
    <m/>
    <m/>
    <n v="0.52985074626865669"/>
  </r>
  <r>
    <x v="4"/>
    <x v="104"/>
    <x v="0"/>
    <x v="1"/>
    <m/>
    <n v="450"/>
    <s v="CAPACITOR_DOUBLE, PS CBB65 25 + 2 UF"/>
    <s v="GE-000323"/>
    <n v="1"/>
    <n v="402"/>
    <m/>
    <n v="402"/>
    <x v="0"/>
    <n v="331"/>
    <n v="180"/>
    <n v="180"/>
    <n v="189"/>
    <n v="213"/>
    <n v="0"/>
    <x v="65"/>
    <x v="1"/>
    <m/>
    <m/>
    <m/>
    <n v="0.52985074626865669"/>
  </r>
  <r>
    <x v="4"/>
    <x v="90"/>
    <x v="2"/>
    <x v="7"/>
    <m/>
    <m/>
    <s v="ECV, HYUNDAI ACCENT, 8-22A"/>
    <s v="CA-000454"/>
    <n v="1"/>
    <n v="1697"/>
    <m/>
    <n v="1697"/>
    <x v="0"/>
    <n v="1838"/>
    <n v="1000"/>
    <n v="1000"/>
    <n v="1050"/>
    <n v="647"/>
    <n v="194.1"/>
    <x v="26"/>
    <x v="2"/>
    <m/>
    <m/>
    <m/>
    <n v="0.38126104890984092"/>
  </r>
  <r>
    <x v="5"/>
    <x v="127"/>
    <x v="0"/>
    <x v="23"/>
    <m/>
    <m/>
    <s v="PULLEY_ASSEMBLY, MITSUBISHI MIRAGE SHORT"/>
    <s v="CA-001305"/>
    <n v="1"/>
    <n v="2100"/>
    <m/>
    <n v="2100"/>
    <x v="0"/>
    <n v="2520"/>
    <n v="1500"/>
    <n v="1500"/>
    <n v="1575"/>
    <n v="525"/>
    <n v="0"/>
    <x v="11"/>
    <x v="2"/>
    <e v="#REF!"/>
    <e v="#REF!"/>
    <s v=""/>
    <n v="0.25"/>
  </r>
  <r>
    <x v="5"/>
    <x v="127"/>
    <x v="0"/>
    <x v="129"/>
    <m/>
    <m/>
    <s v="BLOWER_MOTOR, TOYOTA VIOS SUPERMAN"/>
    <s v="CA-000233"/>
    <n v="1"/>
    <n v="2000"/>
    <m/>
    <n v="2000"/>
    <x v="0"/>
    <n v="2389"/>
    <n v="1300"/>
    <n v="1300"/>
    <n v="1365"/>
    <n v="635"/>
    <n v="0"/>
    <x v="15"/>
    <x v="2"/>
    <e v="#REF!"/>
    <e v="#REF!"/>
    <s v=""/>
    <n v="0.3175"/>
  </r>
  <r>
    <x v="2"/>
    <x v="35"/>
    <x v="0"/>
    <x v="30"/>
    <m/>
    <m/>
    <s v="BOLT &amp; NUT, DYNABOLT 3/8&quot;"/>
    <s v="GE-000396"/>
    <n v="20"/>
    <n v="25"/>
    <m/>
    <n v="500"/>
    <x v="0"/>
    <n v="19"/>
    <n v="8.9"/>
    <n v="178"/>
    <n v="186.9"/>
    <n v="313.10000000000002"/>
    <n v="0"/>
    <x v="57"/>
    <x v="1"/>
    <e v="#REF!"/>
    <e v="#REF!"/>
    <s v=""/>
    <n v="0.62620000000000009"/>
  </r>
  <r>
    <x v="3"/>
    <x v="62"/>
    <x v="0"/>
    <x v="29"/>
    <m/>
    <m/>
    <s v="HOSE, ELECTRICAL FLEXIBLE ROLL PER METER"/>
    <s v="G-E000235"/>
    <n v="22"/>
    <n v="15"/>
    <m/>
    <n v="330"/>
    <x v="0"/>
    <n v="15"/>
    <n v="8"/>
    <n v="176"/>
    <n v="184.8"/>
    <n v="145.19999999999999"/>
    <n v="0"/>
    <x v="19"/>
    <x v="1"/>
    <m/>
    <m/>
    <s v=""/>
    <n v="0.43999999999999995"/>
  </r>
  <r>
    <x v="4"/>
    <x v="80"/>
    <x v="3"/>
    <x v="12"/>
    <m/>
    <n v="1900"/>
    <s v="ECV, HYUNDAI ACCENT, 8-22A"/>
    <s v="CA-000454"/>
    <n v="1"/>
    <n v="1697"/>
    <m/>
    <n v="1697"/>
    <x v="0"/>
    <n v="1838"/>
    <n v="1000"/>
    <n v="1000"/>
    <n v="1050"/>
    <n v="647"/>
    <n v="194.1"/>
    <x v="26"/>
    <x v="2"/>
    <m/>
    <m/>
    <m/>
    <n v="0.38126104890984092"/>
  </r>
  <r>
    <x v="4"/>
    <x v="81"/>
    <x v="2"/>
    <x v="9"/>
    <m/>
    <n v="2100"/>
    <s v="EVAPORATOR, MITSUBISHI MIRAGE (STAL)"/>
    <s v="CA-000142"/>
    <n v="1"/>
    <n v="1875"/>
    <m/>
    <n v="1875"/>
    <x v="0"/>
    <n v="1976"/>
    <n v="1075"/>
    <n v="1075"/>
    <n v="1128.75"/>
    <n v="746.25"/>
    <n v="223.875"/>
    <x v="10"/>
    <x v="2"/>
    <m/>
    <m/>
    <m/>
    <n v="0.39800000000000002"/>
  </r>
  <r>
    <x v="4"/>
    <x v="81"/>
    <x v="3"/>
    <x v="12"/>
    <m/>
    <n v="2100"/>
    <s v="EVAPORATOR, MITSUBISHI MIRAGE (STAL)"/>
    <s v="CA-000142"/>
    <n v="1"/>
    <n v="1875"/>
    <m/>
    <n v="1875"/>
    <x v="0"/>
    <n v="1976"/>
    <n v="1075"/>
    <n v="1075"/>
    <n v="1128.75"/>
    <n v="746.25"/>
    <n v="223.875"/>
    <x v="10"/>
    <x v="2"/>
    <m/>
    <m/>
    <m/>
    <n v="0.39800000000000002"/>
  </r>
  <r>
    <x v="4"/>
    <x v="116"/>
    <x v="0"/>
    <x v="20"/>
    <m/>
    <m/>
    <s v="RUBBER_INSULATION, M-FLEX 3/4&quot; 1/4"/>
    <s v="IM-000235"/>
    <n v="3"/>
    <n v="95"/>
    <m/>
    <n v="285"/>
    <x v="0"/>
    <n v="79"/>
    <n v="56.7"/>
    <n v="170.10000000000002"/>
    <n v="175.20300000000003"/>
    <n v="109.79699999999997"/>
    <n v="0"/>
    <x v="22"/>
    <x v="0"/>
    <m/>
    <m/>
    <m/>
    <n v="0.38525263157894724"/>
  </r>
  <r>
    <x v="0"/>
    <x v="98"/>
    <x v="0"/>
    <x v="122"/>
    <m/>
    <m/>
    <s v="CAPACITOR_SINGLE, PS CBB65 40 UF"/>
    <s v="GE-000073"/>
    <n v="1"/>
    <n v="415"/>
    <m/>
    <n v="415"/>
    <x v="0"/>
    <n v="313"/>
    <n v="170"/>
    <n v="170"/>
    <n v="178.5"/>
    <n v="236.5"/>
    <n v="0"/>
    <x v="38"/>
    <x v="1"/>
    <m/>
    <m/>
    <s v=""/>
    <n v="0.5698795180722892"/>
  </r>
  <r>
    <x v="0"/>
    <x v="43"/>
    <x v="0"/>
    <x v="8"/>
    <m/>
    <m/>
    <s v="ACTUATOR IDLE-UP, DENSO  VALVE 0450"/>
    <s v="CA-000012"/>
    <n v="1"/>
    <n v="500"/>
    <m/>
    <n v="500"/>
    <x v="0"/>
    <n v="536"/>
    <n v="170"/>
    <n v="170"/>
    <n v="178.5"/>
    <n v="321.5"/>
    <n v="0"/>
    <x v="69"/>
    <x v="2"/>
    <e v="#REF!"/>
    <e v="#REF!"/>
    <s v=""/>
    <n v="0.64300000000000002"/>
  </r>
  <r>
    <x v="2"/>
    <x v="42"/>
    <x v="1"/>
    <x v="5"/>
    <m/>
    <m/>
    <s v="COMPRESSOR, NEK 508 12V MG (6629)"/>
    <s v="CA-000322"/>
    <n v="1"/>
    <n v="4300"/>
    <m/>
    <n v="4300"/>
    <x v="0"/>
    <n v="5329"/>
    <n v="2900"/>
    <n v="2900"/>
    <n v="3045"/>
    <n v="1255"/>
    <n v="376.5"/>
    <x v="7"/>
    <x v="2"/>
    <e v="#REF!"/>
    <e v="#REF!"/>
    <s v=""/>
    <n v="0.29186046511627906"/>
  </r>
  <r>
    <x v="2"/>
    <x v="57"/>
    <x v="0"/>
    <x v="1"/>
    <m/>
    <m/>
    <s v="CAPACITOR_DOUBLE, PS CBB65 20 + 1.5 UF"/>
    <s v="GE-000368"/>
    <n v="1"/>
    <n v="420"/>
    <m/>
    <n v="420"/>
    <x v="0"/>
    <n v="313"/>
    <n v="170"/>
    <n v="170"/>
    <n v="178.5"/>
    <n v="241.5"/>
    <n v="0"/>
    <x v="65"/>
    <x v="1"/>
    <e v="#REF!"/>
    <e v="#REF!"/>
    <s v=""/>
    <n v="0.57499999999999996"/>
  </r>
  <r>
    <x v="4"/>
    <x v="90"/>
    <x v="0"/>
    <x v="125"/>
    <m/>
    <n v="420"/>
    <s v="CAPACITOR_DOUBLE, PS CBB65 20 + 2 UF"/>
    <s v="GE-000379"/>
    <n v="1"/>
    <n v="375"/>
    <m/>
    <n v="375"/>
    <x v="0"/>
    <n v="313"/>
    <n v="170"/>
    <n v="170"/>
    <n v="178.5"/>
    <n v="196.5"/>
    <n v="0"/>
    <x v="65"/>
    <x v="1"/>
    <m/>
    <m/>
    <m/>
    <n v="0.52400000000000002"/>
  </r>
  <r>
    <x v="5"/>
    <x v="127"/>
    <x v="0"/>
    <x v="11"/>
    <m/>
    <m/>
    <s v="AUXFAN_MOTOR, SUZUKI CELERIO (8040)"/>
    <s v="CA-000072"/>
    <n v="1"/>
    <n v="1900"/>
    <m/>
    <n v="1900"/>
    <x v="0"/>
    <n v="2205"/>
    <n v="1200"/>
    <n v="1200"/>
    <n v="1260"/>
    <n v="640"/>
    <n v="0"/>
    <x v="14"/>
    <x v="2"/>
    <e v="#REF!"/>
    <e v="#REF!"/>
    <s v=""/>
    <n v="0.33684210526315789"/>
  </r>
  <r>
    <x v="3"/>
    <x v="59"/>
    <x v="0"/>
    <x v="1"/>
    <m/>
    <m/>
    <s v="RUBBER_INSULATION, M-FLEX 1/2&quot; 1/4"/>
    <s v="IM-000229"/>
    <n v="5"/>
    <n v="45"/>
    <m/>
    <n v="225"/>
    <x v="0"/>
    <n v="47"/>
    <n v="33.6"/>
    <n v="168"/>
    <n v="173.04"/>
    <n v="51.960000000000008"/>
    <n v="0"/>
    <x v="22"/>
    <x v="0"/>
    <m/>
    <m/>
    <s v=""/>
    <n v="0.23093333333333338"/>
  </r>
  <r>
    <x v="3"/>
    <x v="70"/>
    <x v="0"/>
    <x v="53"/>
    <m/>
    <m/>
    <s v="RUBBER_INSULATION, M-FLEX 1/2&quot; 1/4"/>
    <s v="IM-000229"/>
    <n v="5"/>
    <n v="45"/>
    <m/>
    <n v="225"/>
    <x v="0"/>
    <n v="47"/>
    <n v="33.6"/>
    <n v="168"/>
    <n v="173.04"/>
    <n v="51.960000000000008"/>
    <n v="0"/>
    <x v="22"/>
    <x v="0"/>
    <m/>
    <m/>
    <s v=""/>
    <n v="0.23093333333333338"/>
  </r>
  <r>
    <x v="3"/>
    <x v="71"/>
    <x v="0"/>
    <x v="34"/>
    <m/>
    <m/>
    <s v="RUBBER_INSULATION, M-FLEX 1/2&quot; 1/4"/>
    <s v="IM-000229"/>
    <n v="5"/>
    <n v="45"/>
    <m/>
    <n v="225"/>
    <x v="0"/>
    <n v="47"/>
    <n v="33.6"/>
    <n v="168"/>
    <n v="173.04"/>
    <n v="51.960000000000008"/>
    <n v="0"/>
    <x v="22"/>
    <x v="0"/>
    <m/>
    <m/>
    <s v=""/>
    <n v="0.23093333333333338"/>
  </r>
  <r>
    <x v="4"/>
    <x v="107"/>
    <x v="0"/>
    <x v="62"/>
    <m/>
    <m/>
    <s v="RUBBER_INSULATION, M-FLEX 1/2&quot; 1/4"/>
    <s v="IM-000229"/>
    <n v="5"/>
    <n v="45"/>
    <m/>
    <n v="225"/>
    <x v="0"/>
    <n v="47"/>
    <n v="33.6"/>
    <n v="168"/>
    <n v="173.04"/>
    <n v="51.960000000000008"/>
    <n v="0"/>
    <x v="22"/>
    <x v="0"/>
    <m/>
    <m/>
    <m/>
    <n v="0.23093333333333338"/>
  </r>
  <r>
    <x v="4"/>
    <x v="89"/>
    <x v="0"/>
    <x v="29"/>
    <m/>
    <m/>
    <s v="RUBBER_INSULATION, M-FLEX 1/2&quot; 1/4"/>
    <s v="IM-000229"/>
    <n v="5"/>
    <n v="50"/>
    <m/>
    <n v="250"/>
    <x v="0"/>
    <n v="47"/>
    <n v="33.6"/>
    <n v="168"/>
    <n v="173.04"/>
    <n v="76.960000000000008"/>
    <n v="0"/>
    <x v="22"/>
    <x v="0"/>
    <m/>
    <m/>
    <m/>
    <n v="0.30784000000000006"/>
  </r>
  <r>
    <x v="4"/>
    <x v="110"/>
    <x v="0"/>
    <x v="19"/>
    <m/>
    <m/>
    <s v="ELECTRICAL WIRE_STRANDED, POWERFLEX THNN STRANDED   #14, MTR"/>
    <s v="GE-000122"/>
    <n v="8"/>
    <n v="35"/>
    <m/>
    <n v="280"/>
    <x v="0"/>
    <n v="39"/>
    <n v="21"/>
    <n v="168"/>
    <n v="176.4"/>
    <n v="103.6"/>
    <n v="0"/>
    <x v="2"/>
    <x v="1"/>
    <m/>
    <m/>
    <m/>
    <n v="0.37"/>
  </r>
  <r>
    <x v="4"/>
    <x v="110"/>
    <x v="0"/>
    <x v="19"/>
    <m/>
    <m/>
    <s v="RUBBER_INSULATION, M-FLEX 1/2&quot; 5/8"/>
    <s v="IM-000232"/>
    <n v="3"/>
    <n v="80"/>
    <m/>
    <n v="240"/>
    <x v="0"/>
    <n v="77"/>
    <n v="55.2"/>
    <n v="165.60000000000002"/>
    <n v="170.56800000000004"/>
    <n v="69.43199999999996"/>
    <n v="0"/>
    <x v="22"/>
    <x v="0"/>
    <m/>
    <m/>
    <m/>
    <n v="0.28929999999999984"/>
  </r>
  <r>
    <x v="4"/>
    <x v="88"/>
    <x v="2"/>
    <x v="9"/>
    <m/>
    <n v="2100"/>
    <s v="EVAPORATOR, MITSUBISHI MONTERO 2008 (F) (STAL)"/>
    <s v="CA-001744"/>
    <n v="1"/>
    <n v="1875"/>
    <m/>
    <n v="1875"/>
    <x v="0"/>
    <n v="1930"/>
    <n v="1050"/>
    <n v="1050"/>
    <n v="1102.5"/>
    <n v="772.5"/>
    <n v="231.75"/>
    <x v="10"/>
    <x v="2"/>
    <m/>
    <m/>
    <m/>
    <n v="0.41199999999999998"/>
  </r>
  <r>
    <x v="4"/>
    <x v="94"/>
    <x v="1"/>
    <x v="3"/>
    <m/>
    <m/>
    <s v="EXP. VALVE DC, HONDA ORING TYPE 3/8"/>
    <s v="CA-001529"/>
    <n v="1"/>
    <n v="700"/>
    <m/>
    <n v="700"/>
    <x v="0"/>
    <n v="588"/>
    <n v="320"/>
    <n v="320"/>
    <n v="336"/>
    <n v="364"/>
    <n v="109.2"/>
    <x v="46"/>
    <x v="2"/>
    <m/>
    <m/>
    <m/>
    <n v="0.52"/>
  </r>
  <r>
    <x v="4"/>
    <x v="81"/>
    <x v="4"/>
    <x v="25"/>
    <m/>
    <n v="1900"/>
    <s v="EVAPORATOR, SUBARU FORESTER (STAL)"/>
    <s v="CA-001748"/>
    <n v="1"/>
    <n v="1696"/>
    <m/>
    <n v="1696"/>
    <x v="0"/>
    <n v="2114"/>
    <n v="1150"/>
    <n v="1150"/>
    <n v="1207.5"/>
    <n v="488.5"/>
    <n v="146.54999999999998"/>
    <x v="10"/>
    <x v="2"/>
    <m/>
    <m/>
    <m/>
    <n v="0.28803066037735847"/>
  </r>
  <r>
    <x v="4"/>
    <x v="110"/>
    <x v="4"/>
    <x v="25"/>
    <m/>
    <m/>
    <s v="AUXFAN_MOTOR, MITSUBISHI MONTERO (ORIG) SILVER"/>
    <s v="CA-000055"/>
    <n v="1"/>
    <n v="1600"/>
    <m/>
    <n v="1600"/>
    <x v="0"/>
    <n v="1838"/>
    <n v="1000"/>
    <n v="1000"/>
    <n v="1050"/>
    <n v="550"/>
    <n v="165"/>
    <x v="14"/>
    <x v="2"/>
    <m/>
    <m/>
    <m/>
    <n v="0.34375"/>
  </r>
  <r>
    <x v="0"/>
    <x v="7"/>
    <x v="0"/>
    <x v="28"/>
    <m/>
    <m/>
    <s v="HOSE, COOLMATE 5/8 SUNCTION PER FT"/>
    <s v="GE-000181"/>
    <n v="4"/>
    <n v="95"/>
    <m/>
    <n v="380"/>
    <x v="0"/>
    <n v="83"/>
    <n v="45"/>
    <n v="180"/>
    <n v="189"/>
    <n v="191"/>
    <n v="0"/>
    <x v="19"/>
    <x v="1"/>
    <m/>
    <m/>
    <s v=""/>
    <n v="0.50263157894736843"/>
  </r>
  <r>
    <x v="4"/>
    <x v="110"/>
    <x v="4"/>
    <x v="25"/>
    <m/>
    <m/>
    <s v="AUXFAN_MOTOR, MITSUBISHI MONTERO (ORIG) SILVER"/>
    <s v="CA-000055"/>
    <n v="1"/>
    <n v="1600"/>
    <m/>
    <n v="1600"/>
    <x v="0"/>
    <n v="1838"/>
    <n v="1000"/>
    <n v="1000"/>
    <n v="1050"/>
    <n v="550"/>
    <n v="165"/>
    <x v="14"/>
    <x v="2"/>
    <m/>
    <m/>
    <m/>
    <n v="0.34375"/>
  </r>
  <r>
    <x v="0"/>
    <x v="31"/>
    <x v="0"/>
    <x v="23"/>
    <m/>
    <m/>
    <s v="FITTINGS, STRAIGHT FLARE TYPE 5/8"/>
    <s v="CA-000673"/>
    <n v="10"/>
    <n v="40"/>
    <m/>
    <n v="400"/>
    <x v="0"/>
    <n v="30"/>
    <n v="16"/>
    <n v="160"/>
    <n v="168"/>
    <n v="232"/>
    <n v="0"/>
    <x v="33"/>
    <x v="2"/>
    <m/>
    <m/>
    <s v=""/>
    <n v="0.57999999999999996"/>
  </r>
  <r>
    <x v="0"/>
    <x v="7"/>
    <x v="0"/>
    <x v="28"/>
    <m/>
    <m/>
    <s v="HOSE, COOLMATE 1/2 DISCHARGE PER FT"/>
    <s v="GE-000179"/>
    <n v="4"/>
    <n v="90"/>
    <m/>
    <n v="360"/>
    <x v="0"/>
    <n v="80"/>
    <n v="43"/>
    <n v="172"/>
    <n v="180.6"/>
    <n v="179.4"/>
    <n v="0"/>
    <x v="19"/>
    <x v="1"/>
    <m/>
    <m/>
    <s v=""/>
    <n v="0.49833333333333335"/>
  </r>
  <r>
    <x v="4"/>
    <x v="94"/>
    <x v="2"/>
    <x v="96"/>
    <m/>
    <n v="2000"/>
    <s v="EVAPORATOR, ISUZU MUX REAR 2012 -2024 ( STAL)"/>
    <s v="CA-001776"/>
    <n v="1"/>
    <n v="1785"/>
    <m/>
    <n v="1785"/>
    <x v="0"/>
    <n v="1995"/>
    <n v="1000"/>
    <n v="1000"/>
    <n v="1050"/>
    <n v="735"/>
    <n v="220.5"/>
    <x v="10"/>
    <x v="2"/>
    <m/>
    <m/>
    <m/>
    <n v="0.41176470588235292"/>
  </r>
  <r>
    <x v="0"/>
    <x v="8"/>
    <x v="0"/>
    <x v="1"/>
    <m/>
    <m/>
    <s v="RUBBER_INSULATION, M-FLEX 1/2&quot; 3/4"/>
    <s v="IM-000230"/>
    <n v="3"/>
    <n v="55"/>
    <m/>
    <n v="165"/>
    <x v="0"/>
    <n v="67"/>
    <n v="51.8"/>
    <n v="155.39999999999998"/>
    <n v="160.06199999999998"/>
    <n v="4.9380000000000166"/>
    <n v="0"/>
    <x v="22"/>
    <x v="0"/>
    <m/>
    <m/>
    <s v=""/>
    <n v="2.9927272727272827E-2"/>
  </r>
  <r>
    <x v="0"/>
    <x v="9"/>
    <x v="0"/>
    <x v="6"/>
    <m/>
    <m/>
    <s v="RUBBER_INSULATION, M-FLEX 1/2&quot; 3/8"/>
    <s v="IM-000231"/>
    <n v="4"/>
    <n v="55"/>
    <m/>
    <n v="220"/>
    <x v="0"/>
    <n v="53"/>
    <n v="37.6"/>
    <n v="150.4"/>
    <n v="154.91200000000001"/>
    <n v="65.087999999999994"/>
    <n v="0"/>
    <x v="22"/>
    <x v="0"/>
    <e v="#REF!"/>
    <e v="#REF!"/>
    <s v=""/>
    <n v="0.29585454545454543"/>
  </r>
  <r>
    <x v="2"/>
    <x v="36"/>
    <x v="0"/>
    <x v="4"/>
    <m/>
    <m/>
    <s v="RUBBER_INSULATION, M-FLEX 1/2&quot; 3/8"/>
    <s v="IM-000231"/>
    <n v="4"/>
    <n v="55"/>
    <m/>
    <n v="220"/>
    <x v="0"/>
    <n v="53"/>
    <n v="37.6"/>
    <n v="150.4"/>
    <n v="154.91200000000001"/>
    <n v="65.087999999999994"/>
    <n v="0"/>
    <x v="22"/>
    <x v="0"/>
    <e v="#REF!"/>
    <e v="#REF!"/>
    <s v=""/>
    <n v="0.29585454545454543"/>
  </r>
  <r>
    <x v="3"/>
    <x v="62"/>
    <x v="0"/>
    <x v="29"/>
    <m/>
    <m/>
    <s v="RUBBER_INSULATION, M-FLEX 1/2&quot; 3/8"/>
    <s v="IM-000231"/>
    <n v="4"/>
    <n v="55"/>
    <m/>
    <n v="220"/>
    <x v="0"/>
    <n v="53"/>
    <n v="37.6"/>
    <n v="150.4"/>
    <n v="154.91200000000001"/>
    <n v="65.087999999999994"/>
    <n v="0"/>
    <x v="22"/>
    <x v="0"/>
    <m/>
    <m/>
    <s v=""/>
    <n v="0.29585454545454543"/>
  </r>
  <r>
    <x v="3"/>
    <x v="123"/>
    <x v="0"/>
    <x v="19"/>
    <m/>
    <m/>
    <s v="RUBBER_INSULATION, M-FLEX 1/2&quot; 3/8"/>
    <s v="IM-000231"/>
    <n v="4"/>
    <n v="55"/>
    <m/>
    <n v="220"/>
    <x v="0"/>
    <n v="53"/>
    <n v="37.6"/>
    <n v="150.4"/>
    <n v="154.91200000000001"/>
    <n v="65.087999999999994"/>
    <n v="0"/>
    <x v="22"/>
    <x v="0"/>
    <m/>
    <m/>
    <m/>
    <n v="0.29585454545454543"/>
  </r>
  <r>
    <x v="4"/>
    <x v="93"/>
    <x v="0"/>
    <x v="20"/>
    <m/>
    <m/>
    <s v="RUBBER_INSULATION, M-FLEX 1/2&quot; 3/8"/>
    <s v="IM-000231"/>
    <n v="4"/>
    <n v="60"/>
    <m/>
    <n v="240"/>
    <x v="0"/>
    <n v="53"/>
    <n v="37.6"/>
    <n v="150.4"/>
    <n v="154.91200000000001"/>
    <n v="85.087999999999994"/>
    <n v="0"/>
    <x v="22"/>
    <x v="0"/>
    <m/>
    <m/>
    <m/>
    <n v="0.35453333333333331"/>
  </r>
  <r>
    <x v="5"/>
    <x v="127"/>
    <x v="0"/>
    <x v="23"/>
    <m/>
    <m/>
    <s v="AUXFAN_MOTOR, MITSUBISHI MIRAGE 4 PIN 7030"/>
    <s v="CA-000054"/>
    <n v="1"/>
    <n v="1800"/>
    <m/>
    <n v="1800"/>
    <x v="0"/>
    <n v="2114"/>
    <n v="1150"/>
    <n v="1150"/>
    <n v="1207.5"/>
    <n v="592.5"/>
    <n v="0"/>
    <x v="14"/>
    <x v="2"/>
    <e v="#REF!"/>
    <e v="#REF!"/>
    <s v=""/>
    <n v="0.32916666666666666"/>
  </r>
  <r>
    <x v="0"/>
    <x v="97"/>
    <x v="0"/>
    <x v="0"/>
    <m/>
    <m/>
    <s v="TAPE_PE, PICUS Polythelene Tape (White)X 4&quot;"/>
    <s v="IM-000247"/>
    <n v="2"/>
    <n v="125"/>
    <m/>
    <n v="250"/>
    <x v="0"/>
    <n v="147"/>
    <n v="75"/>
    <n v="150"/>
    <n v="154.5"/>
    <n v="95.5"/>
    <n v="0"/>
    <x v="29"/>
    <x v="0"/>
    <m/>
    <m/>
    <s v=""/>
    <n v="0.38200000000000001"/>
  </r>
  <r>
    <x v="4"/>
    <x v="79"/>
    <x v="2"/>
    <x v="22"/>
    <m/>
    <m/>
    <s v="AUXFAN_MOTOR, MITSUBISHI MONTERO (ORIG) SILVER"/>
    <s v="CA-000055"/>
    <n v="1"/>
    <n v="1400"/>
    <m/>
    <n v="1400"/>
    <x v="0"/>
    <n v="1838"/>
    <n v="1000"/>
    <n v="1000"/>
    <n v="1050"/>
    <n v="350"/>
    <n v="105"/>
    <x v="14"/>
    <x v="2"/>
    <m/>
    <m/>
    <m/>
    <n v="0.25"/>
  </r>
  <r>
    <x v="0"/>
    <x v="2"/>
    <x v="0"/>
    <x v="2"/>
    <m/>
    <m/>
    <s v="TAPE_PE, PICUS Polythelene Tape (White)X 4&quot;"/>
    <s v="IM-000247"/>
    <n v="2"/>
    <n v="125"/>
    <m/>
    <n v="250"/>
    <x v="0"/>
    <n v="147"/>
    <n v="75"/>
    <n v="150"/>
    <n v="154.5"/>
    <n v="95.5"/>
    <n v="0"/>
    <x v="29"/>
    <x v="0"/>
    <m/>
    <m/>
    <s v=""/>
    <n v="0.38200000000000001"/>
  </r>
  <r>
    <x v="0"/>
    <x v="3"/>
    <x v="0"/>
    <x v="1"/>
    <m/>
    <m/>
    <s v="TAPE_PE, PICUS Polythelene Tape (White)X 4&quot;"/>
    <s v="IM-000247"/>
    <n v="2"/>
    <n v="120"/>
    <m/>
    <n v="240"/>
    <x v="0"/>
    <n v="147"/>
    <n v="75"/>
    <n v="150"/>
    <n v="154.5"/>
    <n v="85.5"/>
    <n v="0"/>
    <x v="29"/>
    <x v="0"/>
    <m/>
    <m/>
    <s v=""/>
    <n v="0.35625000000000001"/>
  </r>
  <r>
    <x v="0"/>
    <x v="9"/>
    <x v="0"/>
    <x v="1"/>
    <m/>
    <m/>
    <s v="TAPE_PE, PICUS Polythelene Tape (White)X 4&quot;"/>
    <s v="IM-000247"/>
    <n v="2"/>
    <n v="125"/>
    <m/>
    <n v="250"/>
    <x v="0"/>
    <n v="147"/>
    <n v="75"/>
    <n v="150"/>
    <n v="154.5"/>
    <n v="95.5"/>
    <n v="0"/>
    <x v="29"/>
    <x v="0"/>
    <e v="#REF!"/>
    <e v="#REF!"/>
    <s v=""/>
    <n v="0.38200000000000001"/>
  </r>
  <r>
    <x v="0"/>
    <x v="10"/>
    <x v="0"/>
    <x v="1"/>
    <m/>
    <m/>
    <s v="CAPACITOR_DOUBLE, PS CBB65 12 + 1.5 UF"/>
    <s v="GE-000349"/>
    <n v="1"/>
    <n v="340"/>
    <m/>
    <n v="340"/>
    <x v="0"/>
    <n v="276"/>
    <n v="150"/>
    <n v="150"/>
    <n v="157.5"/>
    <n v="182.5"/>
    <n v="0"/>
    <x v="65"/>
    <x v="1"/>
    <e v="#REF!"/>
    <e v="#REF!"/>
    <s v=""/>
    <n v="0.53676470588235292"/>
  </r>
  <r>
    <x v="1"/>
    <x v="14"/>
    <x v="0"/>
    <x v="1"/>
    <m/>
    <m/>
    <s v="AC UNVERSAL ,  REMOTE KT-E08"/>
    <s v="GE-000270"/>
    <n v="1"/>
    <n v="400"/>
    <m/>
    <n v="400"/>
    <x v="0"/>
    <n v="358"/>
    <n v="150"/>
    <n v="150"/>
    <n v="157.5"/>
    <n v="242.5"/>
    <n v="0"/>
    <x v="70"/>
    <x v="1"/>
    <e v="#REF!"/>
    <e v="#REF!"/>
    <s v=""/>
    <n v="0.60624999999999996"/>
  </r>
  <r>
    <x v="0"/>
    <x v="73"/>
    <x v="0"/>
    <x v="11"/>
    <m/>
    <m/>
    <s v="CABIN_FILTER, NISSAN NAVARRA 2011"/>
    <s v="CA-001710"/>
    <n v="1"/>
    <n v="350"/>
    <m/>
    <n v="350"/>
    <x v="0"/>
    <n v="473"/>
    <n v="150"/>
    <n v="150"/>
    <n v="157.5"/>
    <n v="192.5"/>
    <n v="0"/>
    <x v="12"/>
    <x v="2"/>
    <e v="#REF!"/>
    <e v="#REF!"/>
    <s v=""/>
    <n v="0.55000000000000004"/>
  </r>
  <r>
    <x v="1"/>
    <x v="17"/>
    <x v="0"/>
    <x v="1"/>
    <m/>
    <m/>
    <s v="ADAPTOR,  R410A, BRASS"/>
    <s v="TL-000007"/>
    <n v="1"/>
    <n v="300"/>
    <m/>
    <n v="300"/>
    <x v="0"/>
    <n v="308"/>
    <n v="150"/>
    <n v="150"/>
    <n v="157.5"/>
    <n v="142.5"/>
    <n v="0"/>
    <x v="71"/>
    <x v="4"/>
    <e v="#REF!"/>
    <e v="#REF!"/>
    <s v=""/>
    <n v="0.47499999999999998"/>
  </r>
  <r>
    <x v="1"/>
    <x v="17"/>
    <x v="0"/>
    <x v="15"/>
    <m/>
    <m/>
    <s v="TAPE_PE, PICUS Polythelene Tape (White)X 4&quot;"/>
    <s v="IM-000247"/>
    <n v="2"/>
    <n v="125"/>
    <m/>
    <n v="250"/>
    <x v="0"/>
    <n v="147"/>
    <n v="75"/>
    <n v="150"/>
    <n v="154.5"/>
    <n v="95.5"/>
    <n v="0"/>
    <x v="29"/>
    <x v="0"/>
    <e v="#REF!"/>
    <e v="#REF!"/>
    <s v=""/>
    <n v="0.38200000000000001"/>
  </r>
  <r>
    <x v="1"/>
    <x v="22"/>
    <x v="0"/>
    <x v="1"/>
    <m/>
    <m/>
    <s v="TAPE_PE, PICUS Polythelene Tape (White)X 4&quot;"/>
    <s v="IM-000247"/>
    <n v="2"/>
    <n v="125"/>
    <m/>
    <n v="250"/>
    <x v="0"/>
    <n v="147"/>
    <n v="75"/>
    <n v="150"/>
    <n v="154.5"/>
    <n v="95.5"/>
    <n v="0"/>
    <x v="29"/>
    <x v="0"/>
    <e v="#REF!"/>
    <e v="#REF!"/>
    <e v="#REF!"/>
    <n v="0.38200000000000001"/>
  </r>
  <r>
    <x v="1"/>
    <x v="26"/>
    <x v="0"/>
    <x v="1"/>
    <m/>
    <m/>
    <s v="CAPACITOR_DOUBLE, PS CBB65 15 + 3 UF"/>
    <s v="GE-000341"/>
    <n v="1"/>
    <n v="340"/>
    <m/>
    <n v="340"/>
    <x v="0"/>
    <n v="276"/>
    <n v="150"/>
    <n v="150"/>
    <n v="157.5"/>
    <n v="182.5"/>
    <n v="0"/>
    <x v="65"/>
    <x v="1"/>
    <e v="#REF!"/>
    <e v="#REF!"/>
    <e v="#REF!"/>
    <n v="0.53676470588235292"/>
  </r>
  <r>
    <x v="2"/>
    <x v="36"/>
    <x v="0"/>
    <x v="4"/>
    <m/>
    <m/>
    <s v="TAPE_PE, PICUS Polythelene Tape (White)X 4&quot;"/>
    <s v="IM-000247"/>
    <n v="2"/>
    <n v="125"/>
    <m/>
    <n v="250"/>
    <x v="0"/>
    <n v="147"/>
    <n v="75"/>
    <n v="150"/>
    <n v="154.5"/>
    <n v="95.5"/>
    <n v="0"/>
    <x v="29"/>
    <x v="0"/>
    <e v="#REF!"/>
    <e v="#REF!"/>
    <s v=""/>
    <n v="0.38200000000000001"/>
  </r>
  <r>
    <x v="2"/>
    <x v="40"/>
    <x v="0"/>
    <x v="1"/>
    <m/>
    <m/>
    <s v="TAPE_PE, PICUS Polythelene Tape (White)X 4&quot;"/>
    <s v="IM-000247"/>
    <n v="2"/>
    <n v="125"/>
    <m/>
    <n v="250"/>
    <x v="0"/>
    <n v="147"/>
    <n v="75"/>
    <n v="150"/>
    <n v="154.5"/>
    <n v="95.5"/>
    <n v="0"/>
    <x v="29"/>
    <x v="0"/>
    <e v="#REF!"/>
    <e v="#REF!"/>
    <s v=""/>
    <n v="0.38200000000000001"/>
  </r>
  <r>
    <x v="2"/>
    <x v="49"/>
    <x v="0"/>
    <x v="1"/>
    <m/>
    <m/>
    <s v="CAPACITOR_SINGLE, PS CBB65 30 UF"/>
    <s v="GE-000069"/>
    <n v="1"/>
    <n v="510"/>
    <m/>
    <n v="510"/>
    <x v="0"/>
    <n v="276"/>
    <n v="150"/>
    <n v="150"/>
    <n v="157.5"/>
    <n v="352.5"/>
    <n v="0"/>
    <x v="38"/>
    <x v="1"/>
    <e v="#REF!"/>
    <e v="#REF!"/>
    <s v=""/>
    <n v="0.69117647058823528"/>
  </r>
  <r>
    <x v="4"/>
    <x v="94"/>
    <x v="1"/>
    <x v="3"/>
    <m/>
    <m/>
    <s v="EXP. VALVE LT, POKKA 9A56 INNOVA F"/>
    <s v="CA-000637"/>
    <n v="1"/>
    <n v="550"/>
    <m/>
    <n v="550"/>
    <x v="0"/>
    <n v="460"/>
    <n v="250"/>
    <n v="250"/>
    <n v="262.5"/>
    <n v="287.5"/>
    <n v="86.25"/>
    <x v="23"/>
    <x v="2"/>
    <m/>
    <m/>
    <m/>
    <n v="0.52272727272727271"/>
  </r>
  <r>
    <x v="2"/>
    <x v="51"/>
    <x v="0"/>
    <x v="1"/>
    <m/>
    <n v="420"/>
    <s v="CAPACITOR_DOUBLE, PS CBB65 15 + 4 UF"/>
    <s v="GE-000376"/>
    <n v="1"/>
    <n v="375"/>
    <m/>
    <n v="375"/>
    <x v="0"/>
    <n v="276"/>
    <n v="150"/>
    <n v="150"/>
    <n v="157.5"/>
    <n v="217.5"/>
    <n v="0"/>
    <x v="65"/>
    <x v="1"/>
    <e v="#REF!"/>
    <e v="#REF!"/>
    <n v="420.00000000000006"/>
    <n v="0.57999999999999996"/>
  </r>
  <r>
    <x v="4"/>
    <x v="82"/>
    <x v="2"/>
    <x v="7"/>
    <m/>
    <m/>
    <s v="EXP. VALVE LT, POKKA 9A56 INNOVA F"/>
    <s v="CA-000637"/>
    <n v="4"/>
    <n v="550"/>
    <m/>
    <n v="2200"/>
    <x v="0"/>
    <n v="460"/>
    <n v="250"/>
    <n v="1000"/>
    <n v="1050"/>
    <n v="1150"/>
    <n v="345"/>
    <x v="23"/>
    <x v="2"/>
    <e v="#REF!"/>
    <e v="#REF!"/>
    <e v="#REF!"/>
    <n v="0"/>
  </r>
  <r>
    <x v="3"/>
    <x v="60"/>
    <x v="0"/>
    <x v="1"/>
    <m/>
    <n v="125"/>
    <s v="TAPE_PE, PICUS Polythelene Tape (White)X 4&quot;"/>
    <s v="IM-000247"/>
    <n v="2"/>
    <n v="112"/>
    <m/>
    <n v="224"/>
    <x v="0"/>
    <n v="147"/>
    <n v="75"/>
    <n v="150"/>
    <n v="154.5"/>
    <n v="69.5"/>
    <n v="0"/>
    <x v="29"/>
    <x v="0"/>
    <m/>
    <m/>
    <n v="125.44000000000001"/>
    <n v="0.31026785714285715"/>
  </r>
  <r>
    <x v="3"/>
    <x v="62"/>
    <x v="0"/>
    <x v="2"/>
    <m/>
    <n v="125"/>
    <s v="TAPE_PE, PICUS Polythelene Tape (White)X 4&quot;"/>
    <s v="IM-000247"/>
    <n v="2"/>
    <n v="116"/>
    <m/>
    <n v="232"/>
    <x v="0"/>
    <n v="147"/>
    <n v="75"/>
    <n v="150"/>
    <n v="154.5"/>
    <n v="77.5"/>
    <n v="0"/>
    <x v="29"/>
    <x v="0"/>
    <m/>
    <m/>
    <n v="129.92000000000002"/>
    <n v="0.33405172413793105"/>
  </r>
  <r>
    <x v="3"/>
    <x v="62"/>
    <x v="0"/>
    <x v="29"/>
    <m/>
    <n v="125"/>
    <s v="TAPE_PE, PICUS Polythelene Tape (White)X 4&quot;"/>
    <s v="IM-000247"/>
    <n v="2"/>
    <n v="116"/>
    <m/>
    <n v="232"/>
    <x v="0"/>
    <n v="147"/>
    <n v="75"/>
    <n v="150"/>
    <n v="154.5"/>
    <n v="77.5"/>
    <n v="0"/>
    <x v="29"/>
    <x v="0"/>
    <m/>
    <m/>
    <n v="129.92000000000002"/>
    <n v="0.33405172413793105"/>
  </r>
  <r>
    <x v="3"/>
    <x v="66"/>
    <x v="0"/>
    <x v="19"/>
    <m/>
    <m/>
    <s v="TAPE_PE, PICUS Polythelene Tape (White)X 4&quot;"/>
    <s v="IM-000247"/>
    <n v="2"/>
    <n v="125"/>
    <m/>
    <n v="250"/>
    <x v="0"/>
    <n v="147"/>
    <n v="75"/>
    <n v="150"/>
    <n v="154.5"/>
    <n v="95.5"/>
    <n v="0"/>
    <x v="29"/>
    <x v="0"/>
    <m/>
    <m/>
    <s v=""/>
    <n v="0.38200000000000001"/>
  </r>
  <r>
    <x v="3"/>
    <x v="68"/>
    <x v="0"/>
    <x v="108"/>
    <m/>
    <m/>
    <s v="TAPE_PE, PICUS Polythelene Tape (White)X 4&quot;"/>
    <s v="IM-000247"/>
    <n v="2"/>
    <n v="125"/>
    <m/>
    <n v="250"/>
    <x v="0"/>
    <n v="147"/>
    <n v="75"/>
    <n v="150"/>
    <n v="154.5"/>
    <n v="95.5"/>
    <n v="0"/>
    <x v="29"/>
    <x v="0"/>
    <m/>
    <m/>
    <s v=""/>
    <n v="0.38200000000000001"/>
  </r>
  <r>
    <x v="3"/>
    <x v="118"/>
    <x v="6"/>
    <x v="54"/>
    <m/>
    <m/>
    <s v="TAPE_PE, PICUS Polythelene Tape (White)X 4&quot;"/>
    <s v="IM-000247"/>
    <n v="2"/>
    <n v="125"/>
    <m/>
    <n v="250"/>
    <x v="0"/>
    <n v="147"/>
    <n v="75"/>
    <n v="150"/>
    <n v="154.5"/>
    <n v="95.5"/>
    <n v="28.65"/>
    <x v="29"/>
    <x v="0"/>
    <m/>
    <m/>
    <s v=""/>
    <n v="0.38200000000000001"/>
  </r>
  <r>
    <x v="3"/>
    <x v="119"/>
    <x v="0"/>
    <x v="41"/>
    <m/>
    <m/>
    <s v="TAPE_PE, PICUS Polythelene Tape (White)X 4&quot;"/>
    <s v="IM-000247"/>
    <n v="2"/>
    <n v="125"/>
    <m/>
    <n v="250"/>
    <x v="0"/>
    <n v="147"/>
    <n v="75"/>
    <n v="150"/>
    <n v="154.5"/>
    <n v="95.5"/>
    <n v="0"/>
    <x v="29"/>
    <x v="0"/>
    <m/>
    <m/>
    <s v=""/>
    <n v="0.38200000000000001"/>
  </r>
  <r>
    <x v="3"/>
    <x v="119"/>
    <x v="6"/>
    <x v="39"/>
    <m/>
    <n v="350"/>
    <s v="CABIN_FILTER, MITSUBISHI MIRAGE"/>
    <s v="CA-001702"/>
    <n v="1"/>
    <n v="315"/>
    <m/>
    <n v="315"/>
    <x v="0"/>
    <n v="473"/>
    <n v="150"/>
    <n v="150"/>
    <n v="157.5"/>
    <n v="157.5"/>
    <n v="47.25"/>
    <x v="12"/>
    <x v="2"/>
    <m/>
    <m/>
    <n v="352.8"/>
    <n v="0.5"/>
  </r>
  <r>
    <x v="3"/>
    <x v="71"/>
    <x v="0"/>
    <x v="6"/>
    <m/>
    <m/>
    <s v="TAPE_PE, PICUS Polythelene Tape (White)X 4&quot;"/>
    <s v="IM-000247"/>
    <n v="2"/>
    <n v="125"/>
    <m/>
    <n v="250"/>
    <x v="0"/>
    <n v="147"/>
    <n v="75"/>
    <n v="150"/>
    <n v="154.5"/>
    <n v="95.5"/>
    <n v="0"/>
    <x v="29"/>
    <x v="0"/>
    <m/>
    <m/>
    <s v=""/>
    <n v="0.38200000000000001"/>
  </r>
  <r>
    <x v="3"/>
    <x v="74"/>
    <x v="0"/>
    <x v="1"/>
    <m/>
    <n v="380"/>
    <s v="CAPACITOR_DOUBLE, PS CBB65 15 + 1.5 UF"/>
    <s v="GE-000350"/>
    <n v="1"/>
    <n v="340"/>
    <m/>
    <n v="340"/>
    <x v="0"/>
    <n v="276"/>
    <n v="150"/>
    <n v="150"/>
    <n v="157.5"/>
    <n v="182.5"/>
    <n v="0"/>
    <x v="65"/>
    <x v="1"/>
    <m/>
    <m/>
    <m/>
    <n v="0.53676470588235292"/>
  </r>
  <r>
    <x v="3"/>
    <x v="123"/>
    <x v="0"/>
    <x v="102"/>
    <m/>
    <m/>
    <s v="TAPE_PE, PICUS Polythelene Tape (White)X 4&quot;"/>
    <s v="IM-000247"/>
    <n v="2"/>
    <n v="125"/>
    <m/>
    <n v="250"/>
    <x v="0"/>
    <n v="147"/>
    <n v="75"/>
    <n v="150"/>
    <n v="154.5"/>
    <n v="95.5"/>
    <n v="0"/>
    <x v="29"/>
    <x v="0"/>
    <m/>
    <m/>
    <m/>
    <n v="0.38200000000000001"/>
  </r>
  <r>
    <x v="4"/>
    <x v="107"/>
    <x v="0"/>
    <x v="62"/>
    <m/>
    <m/>
    <s v="TAPE_PE, PICUS Polythelene Tape (White)X 4&quot;"/>
    <s v="IM-000247"/>
    <n v="2"/>
    <n v="125"/>
    <m/>
    <n v="250"/>
    <x v="0"/>
    <n v="147"/>
    <n v="75"/>
    <n v="150"/>
    <n v="154.5"/>
    <n v="95.5"/>
    <n v="0"/>
    <x v="29"/>
    <x v="0"/>
    <m/>
    <m/>
    <m/>
    <n v="0.38200000000000001"/>
  </r>
  <r>
    <x v="4"/>
    <x v="107"/>
    <x v="0"/>
    <x v="1"/>
    <m/>
    <n v="340"/>
    <s v="CAPACITOR_DOUBLE, PS CBB65 15 + 1.5 UF"/>
    <s v="GE-000350"/>
    <n v="1"/>
    <n v="305"/>
    <m/>
    <n v="305"/>
    <x v="0"/>
    <n v="276"/>
    <n v="150"/>
    <n v="150"/>
    <n v="157.5"/>
    <n v="147.5"/>
    <n v="0"/>
    <x v="65"/>
    <x v="1"/>
    <m/>
    <m/>
    <m/>
    <n v="0.48360655737704916"/>
  </r>
  <r>
    <x v="4"/>
    <x v="90"/>
    <x v="2"/>
    <x v="22"/>
    <m/>
    <n v="1900"/>
    <s v="BLOWER_MOTOR, TOYOTA INNOVA NEW/ REVO/ FORTUNER STAL"/>
    <s v="CA-001784"/>
    <n v="1"/>
    <n v="1696"/>
    <m/>
    <n v="1696"/>
    <x v="0"/>
    <n v="1654"/>
    <n v="900"/>
    <n v="900"/>
    <n v="945"/>
    <n v="751"/>
    <n v="225.29999999999998"/>
    <x v="15"/>
    <x v="2"/>
    <m/>
    <m/>
    <m/>
    <n v="0.44280660377358488"/>
  </r>
  <r>
    <x v="4"/>
    <x v="88"/>
    <x v="0"/>
    <x v="1"/>
    <m/>
    <m/>
    <s v="TAPE_PE, PICUS Polythelene Tape (White)X 4&quot;"/>
    <s v="IM-000247"/>
    <n v="2"/>
    <n v="125"/>
    <m/>
    <n v="250"/>
    <x v="0"/>
    <n v="147"/>
    <n v="75"/>
    <n v="150"/>
    <n v="154.5"/>
    <n v="95.5"/>
    <n v="0"/>
    <x v="29"/>
    <x v="0"/>
    <m/>
    <m/>
    <m/>
    <n v="0.38200000000000001"/>
  </r>
  <r>
    <x v="4"/>
    <x v="88"/>
    <x v="0"/>
    <x v="100"/>
    <m/>
    <m/>
    <s v="TAPE_PE, PICUS Polythelene Tape (White)X 4&quot;"/>
    <s v="IM-000247"/>
    <n v="2"/>
    <n v="125"/>
    <m/>
    <n v="250"/>
    <x v="0"/>
    <n v="147"/>
    <n v="75"/>
    <n v="150"/>
    <n v="154.5"/>
    <n v="95.5"/>
    <n v="0"/>
    <x v="29"/>
    <x v="0"/>
    <m/>
    <m/>
    <m/>
    <n v="0.38200000000000001"/>
  </r>
  <r>
    <x v="4"/>
    <x v="108"/>
    <x v="0"/>
    <x v="1"/>
    <m/>
    <m/>
    <s v="TAPE_PE, PICUS Polythelene Tape (White)X 4&quot;"/>
    <s v="IM-000247"/>
    <n v="2"/>
    <n v="125"/>
    <m/>
    <n v="250"/>
    <x v="0"/>
    <n v="147"/>
    <n v="75"/>
    <n v="150"/>
    <n v="154.5"/>
    <n v="95.5"/>
    <n v="0"/>
    <x v="29"/>
    <x v="0"/>
    <m/>
    <m/>
    <m/>
    <n v="0.38200000000000001"/>
  </r>
  <r>
    <x v="4"/>
    <x v="113"/>
    <x v="0"/>
    <x v="63"/>
    <m/>
    <m/>
    <s v="TAPE_PE, PICUS Polythelene Tape (White)X 4&quot;"/>
    <s v="IM-000247"/>
    <n v="2"/>
    <n v="125"/>
    <m/>
    <n v="250"/>
    <x v="0"/>
    <n v="147"/>
    <n v="75"/>
    <n v="150"/>
    <n v="154.5"/>
    <n v="95.5"/>
    <n v="0"/>
    <x v="29"/>
    <x v="0"/>
    <m/>
    <m/>
    <m/>
    <n v="0.38200000000000001"/>
  </r>
  <r>
    <x v="4"/>
    <x v="89"/>
    <x v="0"/>
    <x v="123"/>
    <m/>
    <m/>
    <s v="TAPE_PE, PICUS Polythelene Tape (White)X 4&quot;"/>
    <s v="IM-000247"/>
    <n v="2"/>
    <n v="140"/>
    <m/>
    <n v="280"/>
    <x v="0"/>
    <n v="147"/>
    <n v="75"/>
    <n v="150"/>
    <n v="154.5"/>
    <n v="125.5"/>
    <n v="0"/>
    <x v="29"/>
    <x v="0"/>
    <m/>
    <m/>
    <m/>
    <n v="0.44821428571428573"/>
  </r>
  <r>
    <x v="4"/>
    <x v="116"/>
    <x v="0"/>
    <x v="20"/>
    <m/>
    <m/>
    <s v="TAPE_PE, PICUS Polythelene Tape (White)X 4&quot;"/>
    <s v="IM-000247"/>
    <n v="2"/>
    <n v="125"/>
    <m/>
    <n v="250"/>
    <x v="0"/>
    <n v="147"/>
    <n v="75"/>
    <n v="150"/>
    <n v="154.5"/>
    <n v="95.5"/>
    <n v="0"/>
    <x v="29"/>
    <x v="0"/>
    <m/>
    <m/>
    <m/>
    <n v="0.38200000000000001"/>
  </r>
  <r>
    <x v="4"/>
    <x v="116"/>
    <x v="0"/>
    <x v="1"/>
    <m/>
    <n v="470"/>
    <s v="CAPACITOR_SINGLE, PS CBB65 30 UF"/>
    <s v="GE-000069"/>
    <n v="1"/>
    <n v="420"/>
    <m/>
    <n v="420"/>
    <x v="0"/>
    <n v="276"/>
    <n v="150"/>
    <n v="150"/>
    <n v="157.5"/>
    <n v="262.5"/>
    <n v="0"/>
    <x v="38"/>
    <x v="1"/>
    <m/>
    <m/>
    <m/>
    <n v="0.625"/>
  </r>
  <r>
    <x v="4"/>
    <x v="78"/>
    <x v="0"/>
    <x v="1"/>
    <m/>
    <m/>
    <s v="TAPE_PE, PICUS Polythelene Tape (White)X 4&quot;"/>
    <s v="IM-000247"/>
    <n v="2"/>
    <n v="125"/>
    <m/>
    <n v="250"/>
    <x v="0"/>
    <n v="147"/>
    <n v="75"/>
    <n v="150"/>
    <n v="154.5"/>
    <n v="95.5"/>
    <n v="0"/>
    <x v="29"/>
    <x v="0"/>
    <m/>
    <m/>
    <m/>
    <n v="0.38200000000000001"/>
  </r>
  <r>
    <x v="4"/>
    <x v="75"/>
    <x v="0"/>
    <x v="1"/>
    <m/>
    <m/>
    <s v="TAPE_PE, PICUS Polythelene Tape (White)X 4&quot;"/>
    <s v="IM-000247"/>
    <n v="2"/>
    <n v="125"/>
    <m/>
    <n v="250"/>
    <x v="0"/>
    <n v="147"/>
    <n v="75"/>
    <n v="150"/>
    <n v="154.5"/>
    <n v="95.5"/>
    <n v="0"/>
    <x v="29"/>
    <x v="0"/>
    <m/>
    <m/>
    <m/>
    <n v="0.38200000000000001"/>
  </r>
  <r>
    <x v="4"/>
    <x v="75"/>
    <x v="0"/>
    <x v="63"/>
    <m/>
    <m/>
    <s v="TAPE_PE, PICUS Polythelene Tape (White)X 4&quot;"/>
    <s v="IM-000247"/>
    <n v="2"/>
    <n v="125"/>
    <m/>
    <n v="250"/>
    <x v="0"/>
    <n v="147"/>
    <n v="75"/>
    <n v="150"/>
    <n v="154.5"/>
    <n v="95.5"/>
    <n v="0"/>
    <x v="29"/>
    <x v="0"/>
    <m/>
    <m/>
    <m/>
    <n v="0.38200000000000001"/>
  </r>
  <r>
    <x v="4"/>
    <x v="75"/>
    <x v="0"/>
    <x v="98"/>
    <m/>
    <m/>
    <s v="AC UNVERSAL ,  REMOTE KT-E08"/>
    <s v="GE-000270"/>
    <n v="1"/>
    <n v="400"/>
    <m/>
    <n v="400"/>
    <x v="0"/>
    <n v="358"/>
    <n v="150"/>
    <n v="150"/>
    <n v="157.5"/>
    <n v="242.5"/>
    <n v="0"/>
    <x v="70"/>
    <x v="1"/>
    <e v="#REF!"/>
    <e v="#REF!"/>
    <e v="#REF!"/>
    <n v="0"/>
  </r>
  <r>
    <x v="4"/>
    <x v="82"/>
    <x v="0"/>
    <x v="27"/>
    <m/>
    <m/>
    <s v="TAPE_PE, PICUS Polythelene Tape (White)X 4&quot;"/>
    <s v="IM-000247"/>
    <n v="2"/>
    <n v="125"/>
    <m/>
    <n v="250"/>
    <x v="0"/>
    <n v="147"/>
    <n v="75"/>
    <n v="150"/>
    <n v="154.5"/>
    <n v="95.5"/>
    <n v="0"/>
    <x v="29"/>
    <x v="0"/>
    <e v="#REF!"/>
    <e v="#REF!"/>
    <e v="#REF!"/>
    <n v="0"/>
  </r>
  <r>
    <x v="4"/>
    <x v="82"/>
    <x v="0"/>
    <x v="1"/>
    <m/>
    <m/>
    <s v="CAPACITOR_DOUBLE, PS CBB65 15 + 2 UF"/>
    <s v="GE-000340"/>
    <n v="1"/>
    <n v="440"/>
    <m/>
    <n v="440"/>
    <x v="0"/>
    <n v="276"/>
    <n v="150"/>
    <n v="150"/>
    <n v="157.5"/>
    <n v="282.5"/>
    <n v="0"/>
    <x v="65"/>
    <x v="1"/>
    <e v="#REF!"/>
    <e v="#REF!"/>
    <e v="#REF!"/>
    <n v="0"/>
  </r>
  <r>
    <x v="5"/>
    <x v="127"/>
    <x v="0"/>
    <x v="30"/>
    <m/>
    <m/>
    <s v="COPPER_TUBE_SOFTDRAWN, HAILIANG 0.028 X 5/8 x 15 mtr 04/25/26"/>
    <s v=""/>
    <n v="0.2"/>
    <n v="5500"/>
    <m/>
    <n v="1100"/>
    <x v="0"/>
    <n v="0"/>
    <n v="0"/>
    <n v="0"/>
    <n v="0"/>
    <n v="1100"/>
    <n v="0"/>
    <x v="13"/>
    <x v="3"/>
    <e v="#REF!"/>
    <e v="#REF!"/>
    <s v=""/>
    <n v="1"/>
  </r>
  <r>
    <x v="5"/>
    <x v="127"/>
    <x v="0"/>
    <x v="59"/>
    <m/>
    <m/>
    <s v="TAPE_PE, WINFLEX Polythelene Tape (BLUE)X 4&quot;"/>
    <s v="IM-000325"/>
    <n v="10"/>
    <n v="140"/>
    <m/>
    <n v="1400"/>
    <x v="0"/>
    <n v="147"/>
    <n v="75"/>
    <n v="750"/>
    <n v="772.5"/>
    <n v="627.5"/>
    <n v="0"/>
    <x v="29"/>
    <x v="0"/>
    <e v="#REF!"/>
    <e v="#REF!"/>
    <s v=""/>
    <n v="0.44821428571428573"/>
  </r>
  <r>
    <x v="5"/>
    <x v="127"/>
    <x v="0"/>
    <x v="30"/>
    <m/>
    <m/>
    <s v="COPPER_TUBE_SOFTDRAWN, HAILIANG 0.028 X 3/8 x 15 mtr 06/02/26"/>
    <s v="IM-000327"/>
    <n v="0.2"/>
    <n v="3500"/>
    <m/>
    <n v="700"/>
    <x v="0"/>
    <n v="4774"/>
    <n v="2648"/>
    <n v="529.6"/>
    <n v="545.48800000000006"/>
    <n v="154.51199999999994"/>
    <n v="0"/>
    <x v="0"/>
    <x v="0"/>
    <e v="#REF!"/>
    <e v="#REF!"/>
    <s v=""/>
    <n v="0.2207314285714285"/>
  </r>
  <r>
    <x v="5"/>
    <x v="127"/>
    <x v="0"/>
    <x v="30"/>
    <m/>
    <m/>
    <s v="ELECTRICAL_PANEL, AMERICA NEMA 3R, 2P"/>
    <s v="GE-000418"/>
    <n v="2"/>
    <n v="500"/>
    <m/>
    <n v="1000"/>
    <x v="0"/>
    <n v="478"/>
    <n v="260"/>
    <n v="520"/>
    <n v="546"/>
    <n v="454"/>
    <n v="0"/>
    <x v="39"/>
    <x v="1"/>
    <e v="#REF!"/>
    <e v="#REF!"/>
    <s v=""/>
    <n v="0.45400000000000001"/>
  </r>
  <r>
    <x v="4"/>
    <x v="88"/>
    <x v="0"/>
    <x v="63"/>
    <m/>
    <m/>
    <s v="RUBBER_INSULATION, M-FLEX 3/4&quot; 1/2"/>
    <s v="IM-000234"/>
    <n v="2"/>
    <n v="90"/>
    <m/>
    <n v="180"/>
    <x v="0"/>
    <n v="103"/>
    <n v="73.5"/>
    <n v="147"/>
    <n v="151.41"/>
    <n v="28.590000000000003"/>
    <n v="0"/>
    <x v="22"/>
    <x v="0"/>
    <m/>
    <m/>
    <m/>
    <n v="0.15883333333333335"/>
  </r>
  <r>
    <x v="0"/>
    <x v="31"/>
    <x v="0"/>
    <x v="23"/>
    <m/>
    <m/>
    <s v="FITTINGS, STRAIGHT FLARE TYPE 1/2"/>
    <s v="CA-000671"/>
    <n v="10"/>
    <n v="40"/>
    <m/>
    <n v="400"/>
    <x v="0"/>
    <n v="30"/>
    <n v="16"/>
    <n v="160"/>
    <n v="168"/>
    <n v="232"/>
    <n v="0"/>
    <x v="33"/>
    <x v="2"/>
    <m/>
    <m/>
    <s v=""/>
    <n v="0.57999999999999996"/>
  </r>
  <r>
    <x v="4"/>
    <x v="96"/>
    <x v="2"/>
    <x v="9"/>
    <m/>
    <n v="700"/>
    <s v="AUXIALLIARY_FAN, POKKA 14 BLADES X 12VOLTS"/>
    <s v="CA-000112"/>
    <n v="2"/>
    <n v="625"/>
    <m/>
    <n v="1250"/>
    <x v="0"/>
    <n v="882"/>
    <n v="480"/>
    <n v="960"/>
    <n v="1008"/>
    <n v="242"/>
    <n v="72.599999999999994"/>
    <x v="16"/>
    <x v="2"/>
    <m/>
    <m/>
    <m/>
    <n v="0.19359999999999999"/>
  </r>
  <r>
    <x v="4"/>
    <x v="110"/>
    <x v="3"/>
    <x v="12"/>
    <m/>
    <n v="2100"/>
    <s v="EVAPORATOR, TOYOTA INNOVA NEW (F) JBE-0115ZX (STAL)"/>
    <s v="CA-001631"/>
    <n v="1"/>
    <n v="1875"/>
    <m/>
    <n v="1875"/>
    <x v="0"/>
    <n v="1562"/>
    <n v="850"/>
    <n v="850"/>
    <n v="892.5"/>
    <n v="982.5"/>
    <n v="294.75"/>
    <x v="10"/>
    <x v="2"/>
    <m/>
    <m/>
    <m/>
    <n v="0.52400000000000002"/>
  </r>
  <r>
    <x v="4"/>
    <x v="79"/>
    <x v="2"/>
    <x v="22"/>
    <m/>
    <n v="2000"/>
    <s v="EVAPORATOR, TOYOTA INNOVA NEW (F) JBE-0115ZX (STAL)"/>
    <s v="CA-001631"/>
    <n v="1"/>
    <n v="1786"/>
    <m/>
    <n v="1786"/>
    <x v="0"/>
    <n v="1562"/>
    <n v="850"/>
    <n v="850"/>
    <n v="892.5"/>
    <n v="893.5"/>
    <n v="268.05"/>
    <x v="10"/>
    <x v="2"/>
    <e v="#REF!"/>
    <e v="#REF!"/>
    <e v="#REF!"/>
    <n v="0.50027995520716684"/>
  </r>
  <r>
    <x v="4"/>
    <x v="90"/>
    <x v="2"/>
    <x v="9"/>
    <m/>
    <n v="600"/>
    <s v="AUXIALLIARY_FAN, POKKA 10 BLADES X 12VOLTS"/>
    <s v="CA-000106"/>
    <n v="2"/>
    <n v="600"/>
    <m/>
    <n v="1200"/>
    <x v="0"/>
    <n v="772"/>
    <n v="420"/>
    <n v="840"/>
    <n v="882"/>
    <n v="318"/>
    <n v="95.399999999999991"/>
    <x v="16"/>
    <x v="2"/>
    <m/>
    <m/>
    <m/>
    <n v="0.26500000000000001"/>
  </r>
  <r>
    <x v="4"/>
    <x v="79"/>
    <x v="4"/>
    <x v="25"/>
    <m/>
    <n v="650"/>
    <s v="AUXIALLIARY_FAN, POKKA 10 BLADES X 12VOLTS"/>
    <s v="CA-000106"/>
    <n v="2"/>
    <n v="580"/>
    <m/>
    <n v="1160"/>
    <x v="0"/>
    <n v="772"/>
    <n v="420"/>
    <n v="840"/>
    <n v="882"/>
    <n v="278"/>
    <n v="83.399999999999991"/>
    <x v="16"/>
    <x v="2"/>
    <m/>
    <m/>
    <m/>
    <n v="0.23965517241379311"/>
  </r>
  <r>
    <x v="2"/>
    <x v="51"/>
    <x v="0"/>
    <x v="26"/>
    <m/>
    <m/>
    <s v="ROD, HARRIS SILVER "/>
    <s v="IM-000098"/>
    <n v="8"/>
    <n v="25"/>
    <m/>
    <n v="200"/>
    <x v="0"/>
    <n v="30"/>
    <n v="19"/>
    <n v="152"/>
    <n v="156.56"/>
    <n v="43.44"/>
    <n v="0"/>
    <x v="56"/>
    <x v="0"/>
    <e v="#REF!"/>
    <e v="#REF!"/>
    <s v=""/>
    <n v="0.21719999999999998"/>
  </r>
  <r>
    <x v="4"/>
    <x v="103"/>
    <x v="0"/>
    <x v="26"/>
    <m/>
    <m/>
    <s v="ROD, HARRIS SILVER "/>
    <s v="IM-000098"/>
    <n v="8"/>
    <n v="28"/>
    <m/>
    <n v="224"/>
    <x v="0"/>
    <n v="30"/>
    <n v="19"/>
    <n v="152"/>
    <n v="156.56"/>
    <n v="67.44"/>
    <n v="0"/>
    <x v="56"/>
    <x v="0"/>
    <m/>
    <m/>
    <m/>
    <n v="0.30107142857142855"/>
  </r>
  <r>
    <x v="1"/>
    <x v="23"/>
    <x v="0"/>
    <x v="1"/>
    <m/>
    <m/>
    <s v="THERMOSTAT, SAGINOMIYA REF 131"/>
    <s v="GE-000198"/>
    <n v="1"/>
    <n v="350"/>
    <m/>
    <n v="350"/>
    <x v="0"/>
    <n v="367.5"/>
    <n v="140"/>
    <n v="140"/>
    <n v="147"/>
    <n v="203"/>
    <n v="0"/>
    <x v="31"/>
    <x v="1"/>
    <e v="#REF!"/>
    <e v="#REF!"/>
    <e v="#REF!"/>
    <n v="0.57999999999999996"/>
  </r>
  <r>
    <x v="2"/>
    <x v="125"/>
    <x v="0"/>
    <x v="40"/>
    <m/>
    <m/>
    <s v="THERMOSTAT, SAGINOMIYA AIRCON 610A"/>
    <s v="GE-000114"/>
    <n v="1"/>
    <n v="350"/>
    <m/>
    <n v="350"/>
    <x v="0"/>
    <n v="367.5"/>
    <n v="140"/>
    <n v="140"/>
    <n v="147"/>
    <n v="203"/>
    <n v="0"/>
    <x v="31"/>
    <x v="1"/>
    <e v="#REF!"/>
    <e v="#REF!"/>
    <s v=""/>
    <n v="0.57999999999999996"/>
  </r>
  <r>
    <x v="3"/>
    <x v="128"/>
    <x v="0"/>
    <x v="1"/>
    <m/>
    <m/>
    <s v="THERMOSTAT, SAGINOMIYA AIRCON 610A"/>
    <s v="GE-000114"/>
    <n v="1"/>
    <n v="350"/>
    <m/>
    <n v="350"/>
    <x v="0"/>
    <n v="367.5"/>
    <n v="140"/>
    <n v="140"/>
    <n v="147"/>
    <n v="203"/>
    <n v="0"/>
    <x v="31"/>
    <x v="1"/>
    <m/>
    <m/>
    <s v=""/>
    <n v="0.57999999999999996"/>
  </r>
  <r>
    <x v="4"/>
    <x v="90"/>
    <x v="0"/>
    <x v="1"/>
    <m/>
    <m/>
    <s v="HOSE,  DRAIN PUMP PER MTR"/>
    <s v="GE-000242"/>
    <n v="4"/>
    <n v="50"/>
    <m/>
    <n v="200"/>
    <x v="0"/>
    <n v="65"/>
    <n v="35"/>
    <n v="140"/>
    <n v="147"/>
    <n v="53"/>
    <n v="0"/>
    <x v="19"/>
    <x v="1"/>
    <m/>
    <m/>
    <m/>
    <n v="0.26500000000000001"/>
  </r>
  <r>
    <x v="4"/>
    <x v="96"/>
    <x v="0"/>
    <x v="2"/>
    <m/>
    <n v="360"/>
    <s v="CAPACITOR_SINGLE, PS CBB65 25 UF"/>
    <s v="GE-000066"/>
    <n v="1"/>
    <n v="322"/>
    <m/>
    <n v="322"/>
    <x v="0"/>
    <n v="258"/>
    <n v="140"/>
    <n v="140"/>
    <n v="147"/>
    <n v="175"/>
    <n v="0"/>
    <x v="38"/>
    <x v="1"/>
    <m/>
    <m/>
    <m/>
    <n v="0.54347826086956519"/>
  </r>
  <r>
    <x v="4"/>
    <x v="82"/>
    <x v="0"/>
    <x v="1"/>
    <m/>
    <m/>
    <s v="THERMOSTAT, SAGINOMIYA AIRCON 610A"/>
    <s v="GE-000114"/>
    <n v="1"/>
    <n v="350"/>
    <m/>
    <n v="350"/>
    <x v="0"/>
    <n v="367.5"/>
    <n v="140"/>
    <n v="140"/>
    <n v="147"/>
    <n v="203"/>
    <n v="0"/>
    <x v="31"/>
    <x v="1"/>
    <e v="#REF!"/>
    <e v="#REF!"/>
    <e v="#REF!"/>
    <n v="0"/>
  </r>
  <r>
    <x v="2"/>
    <x v="35"/>
    <x v="0"/>
    <x v="29"/>
    <m/>
    <m/>
    <s v="RUBBER_INSULATION, M-FLEX 1/2&quot; 1/2"/>
    <s v="IM-000227"/>
    <n v="3"/>
    <n v="65"/>
    <m/>
    <n v="195"/>
    <x v="0"/>
    <n v="65"/>
    <n v="46.4"/>
    <n v="139.19999999999999"/>
    <n v="143.376"/>
    <n v="51.623999999999995"/>
    <n v="0"/>
    <x v="22"/>
    <x v="0"/>
    <e v="#REF!"/>
    <e v="#REF!"/>
    <s v=""/>
    <n v="0.26473846153846153"/>
  </r>
  <r>
    <x v="3"/>
    <x v="59"/>
    <x v="0"/>
    <x v="6"/>
    <m/>
    <m/>
    <s v="RUBBER_INSULATION, M-FLEX 1/2&quot; 1/2"/>
    <s v="IM-000227"/>
    <n v="3"/>
    <n v="65"/>
    <m/>
    <n v="195"/>
    <x v="0"/>
    <n v="65"/>
    <n v="46.4"/>
    <n v="139.19999999999999"/>
    <n v="143.376"/>
    <n v="51.623999999999995"/>
    <n v="0"/>
    <x v="22"/>
    <x v="0"/>
    <m/>
    <m/>
    <s v=""/>
    <n v="0.26473846153846153"/>
  </r>
  <r>
    <x v="4"/>
    <x v="102"/>
    <x v="1"/>
    <x v="60"/>
    <m/>
    <m/>
    <s v="RUBBER_INSULATION, M-FLEX 1/2&quot; 1/2"/>
    <s v="IM-000227"/>
    <n v="3"/>
    <n v="65"/>
    <m/>
    <n v="195"/>
    <x v="0"/>
    <n v="65"/>
    <n v="46.4"/>
    <n v="139.19999999999999"/>
    <n v="143.376"/>
    <n v="51.623999999999995"/>
    <n v="15.487199999999998"/>
    <x v="22"/>
    <x v="0"/>
    <m/>
    <m/>
    <m/>
    <n v="0.26473846153846153"/>
  </r>
  <r>
    <x v="4"/>
    <x v="102"/>
    <x v="0"/>
    <x v="27"/>
    <m/>
    <m/>
    <s v="RUBBER_INSULATION, M-FLEX 1/2&quot; 1/2"/>
    <s v="IM-000227"/>
    <n v="3"/>
    <n v="70"/>
    <m/>
    <n v="210"/>
    <x v="0"/>
    <n v="65"/>
    <n v="46.4"/>
    <n v="139.19999999999999"/>
    <n v="143.376"/>
    <n v="66.623999999999995"/>
    <n v="0"/>
    <x v="22"/>
    <x v="0"/>
    <m/>
    <m/>
    <m/>
    <n v="0.31725714285714285"/>
  </r>
  <r>
    <x v="4"/>
    <x v="77"/>
    <x v="0"/>
    <x v="27"/>
    <m/>
    <m/>
    <s v="RUBBER_INSULATION, M-FLEX 1/2&quot; 1/2"/>
    <s v="IM-000227"/>
    <n v="3"/>
    <n v="70"/>
    <m/>
    <n v="210"/>
    <x v="0"/>
    <n v="65"/>
    <n v="46.4"/>
    <n v="139.19999999999999"/>
    <n v="143.376"/>
    <n v="66.623999999999995"/>
    <n v="0"/>
    <x v="22"/>
    <x v="0"/>
    <e v="#REF!"/>
    <e v="#REF!"/>
    <e v="#REF!"/>
    <n v="0"/>
  </r>
  <r>
    <x v="3"/>
    <x v="65"/>
    <x v="0"/>
    <x v="1"/>
    <m/>
    <m/>
    <s v="FITTINGS, BRASS FLARE UNION 3/4"/>
    <s v="IM-000252"/>
    <n v="2"/>
    <n v="125"/>
    <m/>
    <n v="250"/>
    <x v="0"/>
    <n v="125"/>
    <n v="69"/>
    <n v="138"/>
    <n v="142.14000000000001"/>
    <n v="107.85999999999999"/>
    <n v="0"/>
    <x v="33"/>
    <x v="0"/>
    <m/>
    <m/>
    <s v=""/>
    <n v="0.43143999999999993"/>
  </r>
  <r>
    <x v="0"/>
    <x v="3"/>
    <x v="0"/>
    <x v="1"/>
    <m/>
    <m/>
    <s v="RUBBER_INSULATION, M-FLEX 1/2&quot; 1/4"/>
    <s v="IM-000229"/>
    <n v="4"/>
    <n v="45"/>
    <m/>
    <n v="180"/>
    <x v="0"/>
    <n v="47"/>
    <n v="33.6"/>
    <n v="134.4"/>
    <n v="138.43200000000002"/>
    <n v="41.567999999999984"/>
    <n v="0"/>
    <x v="22"/>
    <x v="0"/>
    <m/>
    <m/>
    <s v=""/>
    <n v="0.23093333333333324"/>
  </r>
  <r>
    <x v="0"/>
    <x v="4"/>
    <x v="0"/>
    <x v="2"/>
    <m/>
    <m/>
    <s v="RUBBER_INSULATION, M-FLEX 3/4&quot; X 3/8"/>
    <s v="IM-000241"/>
    <n v="2"/>
    <n v="100"/>
    <m/>
    <n v="200"/>
    <x v="0"/>
    <n v="94"/>
    <n v="67.2"/>
    <n v="134.4"/>
    <n v="138.43200000000002"/>
    <n v="61.567999999999984"/>
    <n v="0"/>
    <x v="22"/>
    <x v="0"/>
    <m/>
    <m/>
    <s v=""/>
    <n v="0.30783999999999989"/>
  </r>
  <r>
    <x v="0"/>
    <x v="9"/>
    <x v="0"/>
    <x v="6"/>
    <m/>
    <m/>
    <s v="RUBBER_INSULATION, M-FLEX 1/2&quot; 1/4"/>
    <s v="IM-000229"/>
    <n v="4"/>
    <n v="45"/>
    <m/>
    <n v="180"/>
    <x v="0"/>
    <n v="47"/>
    <n v="33.6"/>
    <n v="134.4"/>
    <n v="138.43200000000002"/>
    <n v="41.567999999999984"/>
    <n v="0"/>
    <x v="22"/>
    <x v="0"/>
    <e v="#REF!"/>
    <e v="#REF!"/>
    <s v=""/>
    <n v="0.23093333333333324"/>
  </r>
  <r>
    <x v="1"/>
    <x v="76"/>
    <x v="0"/>
    <x v="122"/>
    <m/>
    <m/>
    <s v="RUBBER_INSULATION, M-FLEX 1/2&quot; 1/4"/>
    <s v="IM-000229"/>
    <n v="4"/>
    <n v="45"/>
    <m/>
    <n v="180"/>
    <x v="0"/>
    <n v="47"/>
    <n v="33.6"/>
    <n v="134.4"/>
    <n v="138.43200000000002"/>
    <n v="41.567999999999984"/>
    <n v="0"/>
    <x v="22"/>
    <x v="0"/>
    <e v="#REF!"/>
    <e v="#REF!"/>
    <s v=""/>
    <n v="0.23093333333333324"/>
  </r>
  <r>
    <x v="1"/>
    <x v="23"/>
    <x v="0"/>
    <x v="1"/>
    <m/>
    <m/>
    <s v="RUBBER_INSULATION, M-FLEX 1/2&quot; 1/4"/>
    <s v="IM-000229"/>
    <n v="4"/>
    <n v="45"/>
    <m/>
    <n v="180"/>
    <x v="0"/>
    <n v="47"/>
    <n v="33.6"/>
    <n v="134.4"/>
    <n v="138.43200000000002"/>
    <n v="41.567999999999984"/>
    <n v="0"/>
    <x v="22"/>
    <x v="0"/>
    <e v="#REF!"/>
    <e v="#REF!"/>
    <e v="#REF!"/>
    <n v="0.23093333333333324"/>
  </r>
  <r>
    <x v="1"/>
    <x v="30"/>
    <x v="0"/>
    <x v="24"/>
    <m/>
    <m/>
    <s v="RUBBER_INSULATION, M-FLEX 1/2&quot; 1/4"/>
    <s v="IM-000229"/>
    <n v="4"/>
    <n v="45"/>
    <m/>
    <n v="180"/>
    <x v="0"/>
    <n v="47"/>
    <n v="33.6"/>
    <n v="134.4"/>
    <n v="138.43200000000002"/>
    <n v="41.567999999999984"/>
    <n v="0"/>
    <x v="22"/>
    <x v="0"/>
    <e v="#REF!"/>
    <e v="#REF!"/>
    <e v="#REF!"/>
    <n v="0.23093333333333324"/>
  </r>
  <r>
    <x v="2"/>
    <x v="37"/>
    <x v="0"/>
    <x v="53"/>
    <m/>
    <m/>
    <s v="RUBBER_INSULATION, M-FLEX 1/2&quot; 1/4"/>
    <s v="IM-000229"/>
    <n v="4"/>
    <n v="45"/>
    <m/>
    <n v="180"/>
    <x v="0"/>
    <n v="47"/>
    <n v="33.6"/>
    <n v="134.4"/>
    <n v="138.43200000000002"/>
    <n v="41.567999999999984"/>
    <n v="0"/>
    <x v="22"/>
    <x v="0"/>
    <e v="#REF!"/>
    <e v="#REF!"/>
    <s v=""/>
    <n v="0.23093333333333324"/>
  </r>
  <r>
    <x v="3"/>
    <x v="60"/>
    <x v="0"/>
    <x v="1"/>
    <m/>
    <m/>
    <s v="RUBBER_INSULATION, M-FLEX 1/2&quot; 1/4"/>
    <s v="IM-000229"/>
    <n v="4"/>
    <n v="45"/>
    <m/>
    <n v="180"/>
    <x v="0"/>
    <n v="47"/>
    <n v="33.6"/>
    <n v="134.4"/>
    <n v="138.43200000000002"/>
    <n v="41.567999999999984"/>
    <n v="0"/>
    <x v="22"/>
    <x v="0"/>
    <m/>
    <m/>
    <s v=""/>
    <n v="0.23093333333333324"/>
  </r>
  <r>
    <x v="3"/>
    <x v="60"/>
    <x v="0"/>
    <x v="1"/>
    <m/>
    <m/>
    <s v="RUBBER_INSULATION, M-FLEX 1/2&quot; 1/4"/>
    <s v="IM-000229"/>
    <n v="4"/>
    <n v="55"/>
    <m/>
    <n v="220"/>
    <x v="0"/>
    <n v="47"/>
    <n v="33.6"/>
    <n v="134.4"/>
    <n v="138.43200000000002"/>
    <n v="81.567999999999984"/>
    <n v="0"/>
    <x v="22"/>
    <x v="0"/>
    <m/>
    <m/>
    <s v=""/>
    <n v="0.3707636363636363"/>
  </r>
  <r>
    <x v="3"/>
    <x v="62"/>
    <x v="0"/>
    <x v="2"/>
    <m/>
    <m/>
    <s v="RUBBER_INSULATION, M-FLEX 1/2&quot; 1/4"/>
    <s v="IM-000229"/>
    <n v="4"/>
    <n v="45"/>
    <m/>
    <n v="180"/>
    <x v="0"/>
    <n v="47"/>
    <n v="33.6"/>
    <n v="134.4"/>
    <n v="138.43200000000002"/>
    <n v="41.567999999999984"/>
    <n v="0"/>
    <x v="22"/>
    <x v="0"/>
    <m/>
    <m/>
    <s v=""/>
    <n v="0.23093333333333324"/>
  </r>
  <r>
    <x v="3"/>
    <x v="62"/>
    <x v="0"/>
    <x v="29"/>
    <m/>
    <m/>
    <s v="RUBBER_INSULATION, M-FLEX 1/2&quot; 1/4"/>
    <s v="IM-000229"/>
    <n v="4"/>
    <n v="45"/>
    <m/>
    <n v="180"/>
    <x v="0"/>
    <n v="47"/>
    <n v="33.6"/>
    <n v="134.4"/>
    <n v="138.43200000000002"/>
    <n v="41.567999999999984"/>
    <n v="0"/>
    <x v="22"/>
    <x v="0"/>
    <m/>
    <m/>
    <s v=""/>
    <n v="0.23093333333333324"/>
  </r>
  <r>
    <x v="3"/>
    <x v="119"/>
    <x v="0"/>
    <x v="45"/>
    <m/>
    <m/>
    <s v="RUBBER_INSULATION, M-FLEX 1/2&quot; 1/4"/>
    <s v="IM-000229"/>
    <n v="4"/>
    <n v="45"/>
    <m/>
    <n v="180"/>
    <x v="0"/>
    <n v="47"/>
    <n v="33.6"/>
    <n v="134.4"/>
    <n v="138.43200000000002"/>
    <n v="41.567999999999984"/>
    <n v="0"/>
    <x v="22"/>
    <x v="0"/>
    <m/>
    <m/>
    <s v=""/>
    <n v="0.23093333333333324"/>
  </r>
  <r>
    <x v="3"/>
    <x v="123"/>
    <x v="0"/>
    <x v="19"/>
    <m/>
    <m/>
    <s v="RUBBER_INSULATION, M-FLEX 1/2&quot; 1/4"/>
    <s v="IM-000229"/>
    <n v="4"/>
    <n v="45"/>
    <m/>
    <n v="180"/>
    <x v="0"/>
    <n v="47"/>
    <n v="33.6"/>
    <n v="134.4"/>
    <n v="138.43200000000002"/>
    <n v="41.567999999999984"/>
    <n v="0"/>
    <x v="22"/>
    <x v="0"/>
    <m/>
    <m/>
    <m/>
    <n v="0.23093333333333324"/>
  </r>
  <r>
    <x v="4"/>
    <x v="88"/>
    <x v="0"/>
    <x v="63"/>
    <m/>
    <m/>
    <s v="RUBBER_INSULATION, M-FLEX 1/2&quot; 1/4"/>
    <s v="IM-000229"/>
    <n v="4"/>
    <n v="50"/>
    <m/>
    <n v="200"/>
    <x v="0"/>
    <n v="47"/>
    <n v="33.6"/>
    <n v="134.4"/>
    <n v="138.43200000000002"/>
    <n v="61.567999999999984"/>
    <n v="0"/>
    <x v="22"/>
    <x v="0"/>
    <m/>
    <m/>
    <m/>
    <n v="0.30783999999999989"/>
  </r>
  <r>
    <x v="4"/>
    <x v="93"/>
    <x v="0"/>
    <x v="20"/>
    <m/>
    <m/>
    <s v="RUBBER_INSULATION, M-FLEX 1/2&quot; 1/4"/>
    <s v="IM-000229"/>
    <n v="4"/>
    <n v="50"/>
    <m/>
    <n v="200"/>
    <x v="0"/>
    <n v="47"/>
    <n v="33.6"/>
    <n v="134.4"/>
    <n v="138.43200000000002"/>
    <n v="61.567999999999984"/>
    <n v="0"/>
    <x v="22"/>
    <x v="0"/>
    <m/>
    <m/>
    <m/>
    <n v="0.30783999999999989"/>
  </r>
  <r>
    <x v="4"/>
    <x v="116"/>
    <x v="0"/>
    <x v="63"/>
    <m/>
    <m/>
    <s v="RUBBER_INSULATION, M-FLEX 1/2&quot; 1/4"/>
    <s v="IM-000229"/>
    <n v="4"/>
    <n v="50"/>
    <m/>
    <n v="200"/>
    <x v="0"/>
    <n v="47"/>
    <n v="33.6"/>
    <n v="134.4"/>
    <n v="138.43200000000002"/>
    <n v="61.567999999999984"/>
    <n v="0"/>
    <x v="22"/>
    <x v="0"/>
    <m/>
    <m/>
    <m/>
    <n v="0.30783999999999989"/>
  </r>
  <r>
    <x v="0"/>
    <x v="31"/>
    <x v="0"/>
    <x v="23"/>
    <m/>
    <m/>
    <s v="FERULLE,  5/8&quot;"/>
    <s v="CA-000646"/>
    <n v="20"/>
    <n v="15"/>
    <m/>
    <n v="300"/>
    <x v="0"/>
    <n v="13"/>
    <n v="7"/>
    <n v="140"/>
    <n v="147"/>
    <n v="153"/>
    <n v="0"/>
    <x v="42"/>
    <x v="2"/>
    <m/>
    <m/>
    <s v=""/>
    <n v="0.51"/>
  </r>
  <r>
    <x v="4"/>
    <x v="103"/>
    <x v="2"/>
    <x v="22"/>
    <m/>
    <m/>
    <s v="HOSE, COOLMATE 5/8 SUNCTION PER FT"/>
    <s v="GE-000181"/>
    <n v="20"/>
    <n v="95"/>
    <m/>
    <n v="1900"/>
    <x v="0"/>
    <n v="83"/>
    <n v="45"/>
    <n v="900"/>
    <n v="945"/>
    <n v="955"/>
    <n v="286.5"/>
    <x v="19"/>
    <x v="1"/>
    <m/>
    <m/>
    <m/>
    <n v="0.50263157894736843"/>
  </r>
  <r>
    <x v="0"/>
    <x v="5"/>
    <x v="0"/>
    <x v="70"/>
    <m/>
    <m/>
    <s v="SYSTEM_CLEANER, Cleanse GREEN 141B 500 ML"/>
    <s v="GE-000369"/>
    <n v="2"/>
    <n v="120"/>
    <m/>
    <n v="240"/>
    <x v="0"/>
    <n v="113"/>
    <n v="65"/>
    <n v="130"/>
    <n v="136.5"/>
    <n v="103.5"/>
    <n v="0"/>
    <x v="28"/>
    <x v="1"/>
    <m/>
    <m/>
    <s v=""/>
    <n v="0.43125000000000002"/>
  </r>
  <r>
    <x v="4"/>
    <x v="94"/>
    <x v="2"/>
    <x v="9"/>
    <m/>
    <n v="2000"/>
    <s v="EVAPORATOR, TOYOTA INNOVA OLD (F) JBE-0103ZX (STAL)"/>
    <s v="CA-001633"/>
    <n v="1"/>
    <n v="1785"/>
    <m/>
    <n v="1785"/>
    <x v="0"/>
    <n v="1654"/>
    <n v="900"/>
    <n v="900"/>
    <n v="945"/>
    <n v="840"/>
    <n v="252"/>
    <x v="10"/>
    <x v="2"/>
    <m/>
    <m/>
    <m/>
    <n v="0.47058823529411764"/>
  </r>
  <r>
    <x v="0"/>
    <x v="99"/>
    <x v="0"/>
    <x v="58"/>
    <m/>
    <m/>
    <s v="TAPE, EVER SEAL CORK TAPE"/>
    <s v="GE-000344"/>
    <n v="1"/>
    <n v="260"/>
    <m/>
    <n v="260"/>
    <x v="0"/>
    <n v="226"/>
    <n v="130"/>
    <n v="130"/>
    <n v="136.5"/>
    <n v="123.5"/>
    <n v="0"/>
    <x v="41"/>
    <x v="1"/>
    <m/>
    <m/>
    <s v=""/>
    <n v="0.47499999999999998"/>
  </r>
  <r>
    <x v="4"/>
    <x v="94"/>
    <x v="2"/>
    <x v="22"/>
    <m/>
    <n v="1820"/>
    <s v="EVAPORATOR, TOYOTA INNOVA OLD (F) JBE-0103ZX (STAL)"/>
    <s v="CA-001633"/>
    <n v="1"/>
    <n v="1625"/>
    <m/>
    <n v="1625"/>
    <x v="0"/>
    <n v="1654"/>
    <n v="900"/>
    <n v="900"/>
    <n v="945"/>
    <n v="680"/>
    <n v="204"/>
    <x v="10"/>
    <x v="2"/>
    <e v="#REF!"/>
    <e v="#REF!"/>
    <e v="#REF!"/>
    <n v="0.41846153846153844"/>
  </r>
  <r>
    <x v="4"/>
    <x v="79"/>
    <x v="3"/>
    <x v="12"/>
    <m/>
    <n v="2000"/>
    <s v="EVAPORATOR, TOYOTA INNOVA OLD (F) JBE-0103ZX (STAL)"/>
    <s v="CA-001633"/>
    <n v="1"/>
    <n v="1786"/>
    <m/>
    <n v="1786"/>
    <x v="0"/>
    <n v="1654"/>
    <n v="900"/>
    <n v="900"/>
    <n v="945"/>
    <n v="841"/>
    <n v="252.29999999999998"/>
    <x v="10"/>
    <x v="2"/>
    <m/>
    <m/>
    <m/>
    <n v="0.47088465845464728"/>
  </r>
  <r>
    <x v="0"/>
    <x v="6"/>
    <x v="0"/>
    <x v="1"/>
    <m/>
    <m/>
    <s v="SYSTEM_CLEANER, Cleanse GREEN 141B 500 ML"/>
    <s v="GE-000369"/>
    <n v="2"/>
    <n v="120"/>
    <m/>
    <n v="240"/>
    <x v="0"/>
    <n v="113"/>
    <n v="65"/>
    <n v="130"/>
    <n v="136.5"/>
    <n v="103.5"/>
    <n v="0"/>
    <x v="28"/>
    <x v="1"/>
    <m/>
    <m/>
    <s v=""/>
    <n v="0.43125000000000002"/>
  </r>
  <r>
    <x v="0"/>
    <x v="43"/>
    <x v="0"/>
    <x v="11"/>
    <m/>
    <m/>
    <s v="SYSTEM_CLEANER, Cleanse GREEN 141B 500 ML"/>
    <s v="GE-000369"/>
    <n v="2"/>
    <n v="120"/>
    <m/>
    <n v="240"/>
    <x v="0"/>
    <n v="113"/>
    <n v="65"/>
    <n v="130"/>
    <n v="136.5"/>
    <n v="103.5"/>
    <n v="0"/>
    <x v="28"/>
    <x v="1"/>
    <e v="#REF!"/>
    <e v="#REF!"/>
    <s v=""/>
    <n v="0.43125000000000002"/>
  </r>
  <r>
    <x v="4"/>
    <x v="94"/>
    <x v="1"/>
    <x v="3"/>
    <m/>
    <m/>
    <s v="RECEIVER_DRIER_STEEL , MAXX 5/16 (O) 4-HOLES"/>
    <s v="CA-001133"/>
    <n v="1"/>
    <n v="450"/>
    <m/>
    <n v="450"/>
    <x v="0"/>
    <n v="399"/>
    <n v="185"/>
    <n v="185"/>
    <n v="194.25"/>
    <n v="255.75"/>
    <n v="76.724999999999994"/>
    <x v="17"/>
    <x v="2"/>
    <m/>
    <m/>
    <m/>
    <n v="0.56833333333333336"/>
  </r>
  <r>
    <x v="0"/>
    <x v="12"/>
    <x v="0"/>
    <x v="11"/>
    <m/>
    <m/>
    <s v="SYSTEM_CLEANER, Cleanse GREEN 141B 500 ML"/>
    <s v="GE-000369"/>
    <n v="2"/>
    <n v="120"/>
    <m/>
    <n v="240"/>
    <x v="0"/>
    <n v="113"/>
    <n v="65"/>
    <n v="130"/>
    <n v="136.5"/>
    <n v="103.5"/>
    <n v="0"/>
    <x v="28"/>
    <x v="1"/>
    <e v="#REF!"/>
    <e v="#REF!"/>
    <s v=""/>
    <n v="0.43125000000000002"/>
  </r>
  <r>
    <x v="4"/>
    <x v="81"/>
    <x v="2"/>
    <x v="9"/>
    <m/>
    <m/>
    <s v="PULLEY_ASSEMBLY, TOYOTA AVANZA OLD 1.3 4PK (STAL)"/>
    <s v="CA-001665"/>
    <n v="1"/>
    <n v="2000"/>
    <m/>
    <n v="2000"/>
    <x v="0"/>
    <n v="1470"/>
    <n v="800"/>
    <n v="800"/>
    <n v="840"/>
    <n v="1160"/>
    <n v="348"/>
    <x v="11"/>
    <x v="2"/>
    <m/>
    <m/>
    <m/>
    <n v="0.57999999999999996"/>
  </r>
  <r>
    <x v="1"/>
    <x v="21"/>
    <x v="0"/>
    <x v="11"/>
    <m/>
    <m/>
    <s v="SYSTEM_CLEANER, Cleanse GREEN 141B 500 ML"/>
    <s v="GE-000369"/>
    <n v="2"/>
    <n v="120"/>
    <m/>
    <n v="240"/>
    <x v="0"/>
    <n v="113"/>
    <n v="65"/>
    <n v="130"/>
    <n v="136.5"/>
    <n v="103.5"/>
    <n v="0"/>
    <x v="28"/>
    <x v="1"/>
    <e v="#REF!"/>
    <e v="#REF!"/>
    <e v="#REF!"/>
    <n v="0.43125000000000002"/>
  </r>
  <r>
    <x v="1"/>
    <x v="24"/>
    <x v="0"/>
    <x v="70"/>
    <m/>
    <m/>
    <s v="SYSTEM_CLEANER, Cleanse GREEN 141B 500 ML"/>
    <s v="GE-000369"/>
    <n v="2"/>
    <n v="120"/>
    <m/>
    <n v="240"/>
    <x v="0"/>
    <n v="113"/>
    <n v="65"/>
    <n v="130"/>
    <n v="136.5"/>
    <n v="103.5"/>
    <n v="0"/>
    <x v="28"/>
    <x v="1"/>
    <e v="#REF!"/>
    <e v="#REF!"/>
    <e v="#REF!"/>
    <n v="0.43125000000000002"/>
  </r>
  <r>
    <x v="4"/>
    <x v="79"/>
    <x v="2"/>
    <x v="7"/>
    <m/>
    <n v="2100"/>
    <s v="EVAPORATOR, TOYOTA VIOS 2014 (SUPERMAN)_STAL"/>
    <s v="CA-000146"/>
    <n v="1"/>
    <n v="1875"/>
    <m/>
    <n v="1875"/>
    <x v="0"/>
    <n v="1434"/>
    <n v="780"/>
    <n v="780"/>
    <n v="819"/>
    <n v="1056"/>
    <n v="316.8"/>
    <x v="10"/>
    <x v="2"/>
    <m/>
    <m/>
    <m/>
    <n v="0.56320000000000003"/>
  </r>
  <r>
    <x v="4"/>
    <x v="94"/>
    <x v="1"/>
    <x v="3"/>
    <m/>
    <m/>
    <s v="CABIN_FILTER, TOYOTA INNOVA"/>
    <s v="CA-001294"/>
    <n v="1"/>
    <n v="300"/>
    <m/>
    <n v="300"/>
    <x v="0"/>
    <n v="315"/>
    <n v="100"/>
    <n v="100"/>
    <n v="105"/>
    <n v="195"/>
    <n v="58.5"/>
    <x v="12"/>
    <x v="2"/>
    <m/>
    <m/>
    <m/>
    <n v="0.65"/>
  </r>
  <r>
    <x v="2"/>
    <x v="38"/>
    <x v="0"/>
    <x v="1"/>
    <m/>
    <m/>
    <s v="CAPACITOR_SINGLE, PS CBB65 20 UF"/>
    <s v="GE-000065"/>
    <n v="1"/>
    <n v="360"/>
    <m/>
    <n v="360"/>
    <x v="0"/>
    <n v="239"/>
    <n v="130"/>
    <n v="130"/>
    <n v="136.5"/>
    <n v="223.5"/>
    <n v="0"/>
    <x v="38"/>
    <x v="1"/>
    <e v="#REF!"/>
    <e v="#REF!"/>
    <s v=""/>
    <n v="0.62083333333333335"/>
  </r>
  <r>
    <x v="2"/>
    <x v="41"/>
    <x v="0"/>
    <x v="1"/>
    <m/>
    <n v="250"/>
    <s v="PLIERS,  CT-201"/>
    <s v="TL-000037"/>
    <n v="1"/>
    <n v="225"/>
    <m/>
    <n v="225"/>
    <x v="0"/>
    <n v="239"/>
    <n v="130"/>
    <n v="130"/>
    <n v="136.5"/>
    <n v="88.5"/>
    <n v="0"/>
    <x v="72"/>
    <x v="4"/>
    <e v="#REF!"/>
    <e v="#REF!"/>
    <n v="252.00000000000003"/>
    <n v="0.39333333333333331"/>
  </r>
  <r>
    <x v="2"/>
    <x v="45"/>
    <x v="0"/>
    <x v="8"/>
    <m/>
    <m/>
    <s v="SYSTEM_CLEANER, Cleanse GREEN 141B 500 ML"/>
    <s v="GE-000369"/>
    <n v="2"/>
    <n v="120"/>
    <m/>
    <n v="240"/>
    <x v="0"/>
    <n v="113"/>
    <n v="65"/>
    <n v="130"/>
    <n v="136.5"/>
    <n v="103.5"/>
    <n v="0"/>
    <x v="28"/>
    <x v="1"/>
    <e v="#REF!"/>
    <e v="#REF!"/>
    <s v=""/>
    <n v="0.43125000000000002"/>
  </r>
  <r>
    <x v="4"/>
    <x v="113"/>
    <x v="2"/>
    <x v="7"/>
    <m/>
    <n v="2000"/>
    <s v="EVAPORATOR, TOYOTA INNOVA OLD (R) JBE-0102X (STAL)"/>
    <s v="CA-001634"/>
    <n v="1"/>
    <n v="1786"/>
    <m/>
    <n v="1786"/>
    <x v="0"/>
    <n v="1470"/>
    <n v="800"/>
    <n v="800"/>
    <n v="840"/>
    <n v="946"/>
    <n v="283.8"/>
    <x v="10"/>
    <x v="2"/>
    <m/>
    <m/>
    <m/>
    <n v="0.52967525195968646"/>
  </r>
  <r>
    <x v="4"/>
    <x v="95"/>
    <x v="2"/>
    <x v="7"/>
    <m/>
    <m/>
    <s v="EXP. VALVE LT, POKKA 9A55 HONDA NEW"/>
    <s v="CA-000636"/>
    <n v="2"/>
    <n v="550"/>
    <m/>
    <n v="1100"/>
    <x v="0"/>
    <n v="497"/>
    <n v="270"/>
    <n v="540"/>
    <n v="567"/>
    <n v="533"/>
    <n v="159.9"/>
    <x v="23"/>
    <x v="2"/>
    <m/>
    <m/>
    <m/>
    <n v="0.48454545454545456"/>
  </r>
  <r>
    <x v="4"/>
    <x v="94"/>
    <x v="1"/>
    <x v="3"/>
    <m/>
    <n v="200"/>
    <s v="SILICA_GEL, STAL LONG"/>
    <s v="CA-001637"/>
    <n v="1"/>
    <n v="178"/>
    <m/>
    <n v="178"/>
    <x v="0"/>
    <n v="50"/>
    <n v="25"/>
    <n v="25"/>
    <n v="26.25"/>
    <n v="151.75"/>
    <n v="45.524999999999999"/>
    <x v="37"/>
    <x v="2"/>
    <m/>
    <m/>
    <m/>
    <n v="0.85252808988764039"/>
  </r>
  <r>
    <x v="4"/>
    <x v="103"/>
    <x v="2"/>
    <x v="7"/>
    <m/>
    <m/>
    <s v="EXP. VALVE SC, MITSUBISHI ORING TYPE 3/8"/>
    <s v="CA-000566"/>
    <n v="2"/>
    <n v="450"/>
    <m/>
    <n v="900"/>
    <x v="0"/>
    <n v="478"/>
    <n v="260"/>
    <n v="520"/>
    <n v="546"/>
    <n v="354"/>
    <n v="106.2"/>
    <x v="34"/>
    <x v="2"/>
    <m/>
    <m/>
    <m/>
    <n v="0.39333333333333331"/>
  </r>
  <r>
    <x v="4"/>
    <x v="80"/>
    <x v="2"/>
    <x v="7"/>
    <m/>
    <m/>
    <s v="THERMOSTAT, NEK CAR"/>
    <s v="CA-001647"/>
    <n v="5"/>
    <n v="250"/>
    <m/>
    <n v="1250"/>
    <x v="0"/>
    <n v="180"/>
    <n v="90"/>
    <n v="450"/>
    <n v="472.5"/>
    <n v="777.5"/>
    <n v="233.25"/>
    <x v="31"/>
    <x v="2"/>
    <m/>
    <m/>
    <m/>
    <n v="0.622"/>
  </r>
  <r>
    <x v="4"/>
    <x v="107"/>
    <x v="2"/>
    <x v="22"/>
    <m/>
    <m/>
    <s v="AUXIALLIARY_FAN, POKKA 10 BLADES X 12VOLTS"/>
    <s v="CA-000106"/>
    <n v="1"/>
    <n v="570"/>
    <m/>
    <n v="570"/>
    <x v="0"/>
    <n v="772"/>
    <n v="420"/>
    <n v="420"/>
    <n v="441"/>
    <n v="129"/>
    <n v="38.699999999999996"/>
    <x v="16"/>
    <x v="2"/>
    <m/>
    <m/>
    <m/>
    <n v="0.22631578947368422"/>
  </r>
  <r>
    <x v="4"/>
    <x v="88"/>
    <x v="2"/>
    <x v="9"/>
    <m/>
    <m/>
    <s v="AUXIALLIARY_FAN, POKKA 10 BLADES X 12VOLTS"/>
    <s v="CA-000106"/>
    <n v="1"/>
    <n v="600"/>
    <m/>
    <n v="600"/>
    <x v="0"/>
    <n v="772"/>
    <n v="420"/>
    <n v="420"/>
    <n v="441"/>
    <n v="159"/>
    <n v="47.699999999999996"/>
    <x v="16"/>
    <x v="2"/>
    <m/>
    <m/>
    <m/>
    <n v="0.26500000000000001"/>
  </r>
  <r>
    <x v="3"/>
    <x v="62"/>
    <x v="0"/>
    <x v="1"/>
    <m/>
    <m/>
    <s v="SYSTEM_CLEANER, Cleanse GREEN 141B 500 ML"/>
    <s v="GE-000369"/>
    <n v="2"/>
    <n v="120"/>
    <m/>
    <n v="240"/>
    <x v="0"/>
    <n v="113"/>
    <n v="65"/>
    <n v="130"/>
    <n v="136.5"/>
    <n v="103.5"/>
    <n v="0"/>
    <x v="28"/>
    <x v="1"/>
    <m/>
    <m/>
    <s v=""/>
    <n v="0.43125000000000002"/>
  </r>
  <r>
    <x v="4"/>
    <x v="95"/>
    <x v="1"/>
    <x v="3"/>
    <m/>
    <m/>
    <s v="RECEIVER_DRIER_STEEL , MAXX 5116 (L300 F/B)"/>
    <s v="CA-001134"/>
    <n v="1"/>
    <n v="600"/>
    <m/>
    <n v="600"/>
    <x v="0"/>
    <n v="686"/>
    <n v="290"/>
    <n v="290"/>
    <n v="304.5"/>
    <n v="295.5"/>
    <n v="88.649999999999991"/>
    <x v="17"/>
    <x v="2"/>
    <m/>
    <m/>
    <m/>
    <n v="0.49249999999999999"/>
  </r>
  <r>
    <x v="4"/>
    <x v="82"/>
    <x v="4"/>
    <x v="25"/>
    <m/>
    <m/>
    <s v="AUXIALLIARY_FAN, POKKA 10 BLADES X 12VOLTS"/>
    <s v="CA-000106"/>
    <n v="1"/>
    <n v="650"/>
    <m/>
    <n v="650"/>
    <x v="0"/>
    <n v="772"/>
    <n v="420"/>
    <n v="420"/>
    <n v="441"/>
    <n v="209"/>
    <n v="62.699999999999996"/>
    <x v="16"/>
    <x v="2"/>
    <e v="#REF!"/>
    <e v="#REF!"/>
    <e v="#REF!"/>
    <n v="0"/>
  </r>
  <r>
    <x v="4"/>
    <x v="90"/>
    <x v="0"/>
    <x v="36"/>
    <m/>
    <m/>
    <s v="RESISTOR_BLOCK, TOYOTA VIOS /AVANZA 7562"/>
    <s v="CA-001215"/>
    <n v="1"/>
    <n v="900"/>
    <m/>
    <n v="900"/>
    <x v="0"/>
    <n v="861"/>
    <n v="400"/>
    <n v="400"/>
    <n v="420"/>
    <n v="480"/>
    <n v="0"/>
    <x v="43"/>
    <x v="2"/>
    <m/>
    <m/>
    <m/>
    <n v="0.53333333333333333"/>
  </r>
  <r>
    <x v="3"/>
    <x v="63"/>
    <x v="0"/>
    <x v="11"/>
    <m/>
    <m/>
    <s v="SYSTEM_CLEANER, Cleanse GREEN 141B 500 ML"/>
    <s v="GE-000369"/>
    <n v="2"/>
    <n v="120"/>
    <m/>
    <n v="240"/>
    <x v="0"/>
    <n v="113"/>
    <n v="65"/>
    <n v="130"/>
    <n v="136.5"/>
    <n v="103.5"/>
    <n v="0"/>
    <x v="28"/>
    <x v="1"/>
    <m/>
    <m/>
    <s v=""/>
    <n v="0.43125000000000002"/>
  </r>
  <r>
    <x v="4"/>
    <x v="90"/>
    <x v="2"/>
    <x v="7"/>
    <m/>
    <n v="120"/>
    <s v="SYSTEM_CLEANER, Cleanse GREEN 141B 500 ML"/>
    <s v="GE-000369"/>
    <n v="6"/>
    <n v="107"/>
    <m/>
    <n v="642"/>
    <x v="0"/>
    <n v="113"/>
    <n v="65"/>
    <n v="390"/>
    <n v="409.5"/>
    <n v="232.5"/>
    <n v="69.75"/>
    <x v="28"/>
    <x v="1"/>
    <m/>
    <m/>
    <m/>
    <n v="0.36214953271028039"/>
  </r>
  <r>
    <x v="3"/>
    <x v="66"/>
    <x v="0"/>
    <x v="11"/>
    <m/>
    <m/>
    <s v="SYSTEM_CLEANER, Cleanse GREEN 141B 500 ML"/>
    <s v="GE-000369"/>
    <n v="2"/>
    <n v="120"/>
    <m/>
    <n v="240"/>
    <x v="0"/>
    <n v="113"/>
    <n v="65"/>
    <n v="130"/>
    <n v="136.5"/>
    <n v="103.5"/>
    <n v="0"/>
    <x v="28"/>
    <x v="1"/>
    <m/>
    <m/>
    <s v=""/>
    <n v="0.43125000000000002"/>
  </r>
  <r>
    <x v="4"/>
    <x v="103"/>
    <x v="2"/>
    <x v="7"/>
    <m/>
    <m/>
    <s v="SYSTEM_CLEANER, Cleanse GREEN 141B 500 ML"/>
    <s v="GE-000369"/>
    <n v="6"/>
    <n v="120"/>
    <m/>
    <n v="720"/>
    <x v="0"/>
    <n v="113"/>
    <n v="65"/>
    <n v="390"/>
    <n v="409.5"/>
    <n v="310.5"/>
    <n v="93.149999999999991"/>
    <x v="28"/>
    <x v="1"/>
    <m/>
    <m/>
    <m/>
    <n v="0.43125000000000002"/>
  </r>
  <r>
    <x v="3"/>
    <x v="72"/>
    <x v="0"/>
    <x v="11"/>
    <m/>
    <m/>
    <s v="SYSTEM_CLEANER, Cleanse GREEN 141B 500 ML"/>
    <s v="GE-000369"/>
    <n v="2"/>
    <n v="120"/>
    <m/>
    <n v="240"/>
    <x v="0"/>
    <n v="113"/>
    <n v="65"/>
    <n v="130"/>
    <n v="136.5"/>
    <n v="103.5"/>
    <n v="0"/>
    <x v="28"/>
    <x v="1"/>
    <m/>
    <m/>
    <s v=""/>
    <n v="0.43125000000000002"/>
  </r>
  <r>
    <x v="3"/>
    <x v="123"/>
    <x v="0"/>
    <x v="83"/>
    <m/>
    <m/>
    <s v="SYSTEM_CLEANER, Cleanse GREEN 141B 500 ML"/>
    <s v="GE-000369"/>
    <n v="2"/>
    <n v="120"/>
    <m/>
    <n v="240"/>
    <x v="0"/>
    <n v="113"/>
    <n v="65"/>
    <n v="130"/>
    <n v="136.5"/>
    <n v="103.5"/>
    <n v="0"/>
    <x v="28"/>
    <x v="1"/>
    <m/>
    <m/>
    <m/>
    <n v="0.43125000000000002"/>
  </r>
  <r>
    <x v="3"/>
    <x v="85"/>
    <x v="0"/>
    <x v="102"/>
    <m/>
    <m/>
    <s v="SYSTEM_CLEANER, Cleanse GREEN 141B 500 ML"/>
    <s v="GE-000369"/>
    <n v="2"/>
    <n v="120"/>
    <m/>
    <n v="240"/>
    <x v="0"/>
    <n v="113"/>
    <n v="65"/>
    <n v="130"/>
    <n v="136.5"/>
    <n v="103.5"/>
    <n v="0"/>
    <x v="28"/>
    <x v="1"/>
    <m/>
    <m/>
    <m/>
    <n v="0.43125000000000002"/>
  </r>
  <r>
    <x v="3"/>
    <x v="86"/>
    <x v="0"/>
    <x v="49"/>
    <m/>
    <m/>
    <s v="SYSTEM_CLEANER, Cleanse GREEN 141B 500 ML"/>
    <s v="GE-000369"/>
    <n v="2"/>
    <n v="120"/>
    <m/>
    <n v="240"/>
    <x v="0"/>
    <n v="113"/>
    <n v="65"/>
    <n v="130"/>
    <n v="136.5"/>
    <n v="103.5"/>
    <n v="0"/>
    <x v="28"/>
    <x v="1"/>
    <m/>
    <m/>
    <m/>
    <n v="0.43125000000000002"/>
  </r>
  <r>
    <x v="4"/>
    <x v="107"/>
    <x v="0"/>
    <x v="36"/>
    <m/>
    <m/>
    <s v="CABIN_FILTER, MITSUBISHI MONTERO 2016"/>
    <s v="CA-001703"/>
    <n v="2"/>
    <n v="370"/>
    <m/>
    <n v="740"/>
    <x v="0"/>
    <n v="567"/>
    <n v="180"/>
    <n v="360"/>
    <n v="378"/>
    <n v="362"/>
    <n v="0"/>
    <x v="12"/>
    <x v="2"/>
    <m/>
    <m/>
    <m/>
    <n v="0.48918918918918919"/>
  </r>
  <r>
    <x v="4"/>
    <x v="104"/>
    <x v="2"/>
    <x v="7"/>
    <m/>
    <n v="370"/>
    <s v="CABIN_FILTER, MITSUBISHI MONTERO 2016"/>
    <s v="CA-001703"/>
    <n v="2"/>
    <n v="335"/>
    <m/>
    <n v="670"/>
    <x v="0"/>
    <n v="567"/>
    <n v="180"/>
    <n v="360"/>
    <n v="378"/>
    <n v="292"/>
    <n v="87.6"/>
    <x v="12"/>
    <x v="2"/>
    <m/>
    <m/>
    <m/>
    <n v="0.43582089552238806"/>
  </r>
  <r>
    <x v="4"/>
    <x v="95"/>
    <x v="1"/>
    <x v="3"/>
    <m/>
    <m/>
    <s v="EXP. VALVE LT, POKKA 9A55 HONDA NEW"/>
    <s v="CA-000636"/>
    <n v="1"/>
    <n v="550"/>
    <m/>
    <n v="550"/>
    <x v="0"/>
    <n v="497"/>
    <n v="270"/>
    <n v="270"/>
    <n v="283.5"/>
    <n v="266.5"/>
    <n v="79.95"/>
    <x v="23"/>
    <x v="2"/>
    <m/>
    <m/>
    <m/>
    <n v="0.48454545454545456"/>
  </r>
  <r>
    <x v="4"/>
    <x v="92"/>
    <x v="0"/>
    <x v="1"/>
    <m/>
    <m/>
    <s v="TAPE, EVER SEAL CORK TAPE"/>
    <s v="GE-000344"/>
    <n v="1"/>
    <n v="260"/>
    <m/>
    <n v="260"/>
    <x v="0"/>
    <n v="226"/>
    <n v="130"/>
    <n v="130"/>
    <n v="136.5"/>
    <n v="123.5"/>
    <n v="0"/>
    <x v="41"/>
    <x v="1"/>
    <m/>
    <m/>
    <m/>
    <n v="0.47499999999999998"/>
  </r>
  <r>
    <x v="4"/>
    <x v="82"/>
    <x v="2"/>
    <x v="7"/>
    <m/>
    <m/>
    <s v="RECEIVER_DRIER_ALUMINUM, YK 8209 (FX)"/>
    <s v="CA-001107"/>
    <n v="1"/>
    <n v="700"/>
    <m/>
    <n v="700"/>
    <x v="0"/>
    <n v="816"/>
    <n v="345"/>
    <n v="345"/>
    <n v="362.25"/>
    <n v="337.75"/>
    <n v="101.325"/>
    <x v="27"/>
    <x v="2"/>
    <e v="#REF!"/>
    <e v="#REF!"/>
    <e v="#REF!"/>
    <n v="0"/>
  </r>
  <r>
    <x v="4"/>
    <x v="95"/>
    <x v="0"/>
    <x v="11"/>
    <m/>
    <m/>
    <s v="SYSTEM_CLEANER, Cleanse GREEN 141B 500 ML"/>
    <s v="GE-000369"/>
    <n v="2"/>
    <n v="120"/>
    <m/>
    <n v="240"/>
    <x v="0"/>
    <n v="113"/>
    <n v="65"/>
    <n v="130"/>
    <n v="136.5"/>
    <n v="103.5"/>
    <n v="0"/>
    <x v="28"/>
    <x v="1"/>
    <m/>
    <m/>
    <m/>
    <n v="0.43125000000000002"/>
  </r>
  <r>
    <x v="4"/>
    <x v="95"/>
    <x v="1"/>
    <x v="3"/>
    <m/>
    <m/>
    <s v="EXP. VALVE LT, POKKA 9A55 HONDA NEW"/>
    <s v="CA-000636"/>
    <n v="1"/>
    <n v="550"/>
    <m/>
    <n v="550"/>
    <x v="0"/>
    <n v="497"/>
    <n v="270"/>
    <n v="270"/>
    <n v="283.5"/>
    <n v="266.5"/>
    <n v="79.95"/>
    <x v="23"/>
    <x v="2"/>
    <m/>
    <m/>
    <m/>
    <n v="0.48454545454545456"/>
  </r>
  <r>
    <x v="4"/>
    <x v="90"/>
    <x v="2"/>
    <x v="7"/>
    <m/>
    <n v="600"/>
    <s v="EXP. VALVE LT, POKKA 9A129B ACCENT"/>
    <s v="CA-000629"/>
    <n v="1"/>
    <n v="536"/>
    <m/>
    <n v="536"/>
    <x v="0"/>
    <n v="625"/>
    <n v="340"/>
    <n v="340"/>
    <n v="357"/>
    <n v="179"/>
    <n v="53.699999999999996"/>
    <x v="23"/>
    <x v="2"/>
    <m/>
    <m/>
    <m/>
    <n v="0.33395522388059701"/>
  </r>
  <r>
    <x v="4"/>
    <x v="103"/>
    <x v="0"/>
    <x v="1"/>
    <m/>
    <m/>
    <s v="SYSTEM_CLEANER, Cleanse GREEN 141B 500 ML"/>
    <s v="GE-000369"/>
    <n v="2"/>
    <n v="120"/>
    <m/>
    <n v="240"/>
    <x v="0"/>
    <n v="113"/>
    <n v="65"/>
    <n v="130"/>
    <n v="136.5"/>
    <n v="103.5"/>
    <n v="0"/>
    <x v="28"/>
    <x v="1"/>
    <m/>
    <m/>
    <m/>
    <n v="0.43125000000000002"/>
  </r>
  <r>
    <x v="4"/>
    <x v="103"/>
    <x v="0"/>
    <x v="11"/>
    <m/>
    <m/>
    <s v="SYSTEM_CLEANER, Cleanse GREEN 141B 500 ML"/>
    <s v="GE-000369"/>
    <n v="2"/>
    <n v="120"/>
    <m/>
    <n v="240"/>
    <x v="0"/>
    <n v="113"/>
    <n v="65"/>
    <n v="130"/>
    <n v="136.5"/>
    <n v="103.5"/>
    <n v="0"/>
    <x v="28"/>
    <x v="1"/>
    <m/>
    <m/>
    <m/>
    <n v="0.43125000000000002"/>
  </r>
  <r>
    <x v="4"/>
    <x v="103"/>
    <x v="0"/>
    <x v="8"/>
    <m/>
    <m/>
    <s v="TAPE, EVER SEAL CORK TAPE"/>
    <s v="GE-000344"/>
    <n v="1"/>
    <n v="260"/>
    <m/>
    <n v="260"/>
    <x v="0"/>
    <n v="226"/>
    <n v="130"/>
    <n v="130"/>
    <n v="136.5"/>
    <n v="123.5"/>
    <n v="0"/>
    <x v="41"/>
    <x v="1"/>
    <m/>
    <m/>
    <m/>
    <n v="0.47499999999999998"/>
  </r>
  <r>
    <x v="4"/>
    <x v="78"/>
    <x v="0"/>
    <x v="11"/>
    <m/>
    <m/>
    <s v="SYSTEM_CLEANER, Cleanse GREEN 141B 500 ML"/>
    <s v="GE-000369"/>
    <n v="2"/>
    <n v="120"/>
    <m/>
    <n v="240"/>
    <x v="0"/>
    <n v="113"/>
    <n v="65"/>
    <n v="130"/>
    <n v="136.5"/>
    <n v="103.5"/>
    <n v="0"/>
    <x v="28"/>
    <x v="1"/>
    <m/>
    <m/>
    <m/>
    <n v="0.43125000000000002"/>
  </r>
  <r>
    <x v="4"/>
    <x v="80"/>
    <x v="0"/>
    <x v="1"/>
    <m/>
    <m/>
    <s v="TAPE, EVER SEAL CORK TAPE"/>
    <s v="GE-000344"/>
    <n v="1"/>
    <n v="260"/>
    <m/>
    <n v="260"/>
    <x v="0"/>
    <n v="226"/>
    <n v="130"/>
    <n v="130"/>
    <n v="136.5"/>
    <n v="123.5"/>
    <n v="0"/>
    <x v="41"/>
    <x v="1"/>
    <m/>
    <m/>
    <m/>
    <n v="0.47499999999999998"/>
  </r>
  <r>
    <x v="4"/>
    <x v="104"/>
    <x v="0"/>
    <x v="11"/>
    <m/>
    <m/>
    <s v="SYSTEM_CLEANER, Cleanse GREEN 141B 500 ML"/>
    <s v="GE-000369"/>
    <n v="2"/>
    <n v="120"/>
    <m/>
    <n v="240"/>
    <x v="0"/>
    <n v="113"/>
    <n v="65"/>
    <n v="130"/>
    <n v="136.5"/>
    <n v="103.5"/>
    <n v="0"/>
    <x v="28"/>
    <x v="1"/>
    <m/>
    <m/>
    <m/>
    <n v="0.43125000000000002"/>
  </r>
  <r>
    <x v="4"/>
    <x v="81"/>
    <x v="0"/>
    <x v="49"/>
    <m/>
    <m/>
    <s v="SYSTEM_CLEANER, Cleanse GREEN 141B 500 ML"/>
    <s v="GE-000369"/>
    <n v="2"/>
    <n v="120"/>
    <m/>
    <n v="240"/>
    <x v="0"/>
    <n v="113"/>
    <n v="65"/>
    <n v="130"/>
    <n v="136.5"/>
    <n v="103.5"/>
    <n v="0"/>
    <x v="28"/>
    <x v="1"/>
    <m/>
    <m/>
    <m/>
    <n v="0.43125000000000002"/>
  </r>
  <r>
    <x v="4"/>
    <x v="77"/>
    <x v="0"/>
    <x v="18"/>
    <m/>
    <m/>
    <s v="SYSTEM_CLEANER, Cleanse GREEN 141B 500 ML"/>
    <s v="GE-000369"/>
    <n v="2"/>
    <n v="120"/>
    <m/>
    <n v="240"/>
    <x v="0"/>
    <n v="113"/>
    <n v="65"/>
    <n v="130"/>
    <n v="136.5"/>
    <n v="103.5"/>
    <n v="0"/>
    <x v="28"/>
    <x v="1"/>
    <e v="#REF!"/>
    <e v="#REF!"/>
    <e v="#REF!"/>
    <n v="0"/>
  </r>
  <r>
    <x v="4"/>
    <x v="95"/>
    <x v="1"/>
    <x v="3"/>
    <m/>
    <m/>
    <s v="SYSTEM_CLEANER, Cleanse GREEN 141B 500 ML"/>
    <s v="GE-000369"/>
    <n v="2"/>
    <n v="120"/>
    <m/>
    <n v="240"/>
    <x v="0"/>
    <n v="113"/>
    <n v="65"/>
    <n v="130"/>
    <n v="136.5"/>
    <n v="103.5"/>
    <n v="31.049999999999997"/>
    <x v="28"/>
    <x v="1"/>
    <m/>
    <m/>
    <m/>
    <n v="0.43125000000000002"/>
  </r>
  <r>
    <x v="4"/>
    <x v="116"/>
    <x v="0"/>
    <x v="20"/>
    <m/>
    <m/>
    <s v="RUBBER_INSULATION, INSUFLEX 3/4&quot; x 1/4"/>
    <s v="IM-000212"/>
    <n v="2"/>
    <n v="95"/>
    <m/>
    <n v="190"/>
    <x v="0"/>
    <n v="89"/>
    <n v="63"/>
    <n v="126"/>
    <n v="129.78"/>
    <n v="60.22"/>
    <n v="0"/>
    <x v="22"/>
    <x v="0"/>
    <m/>
    <m/>
    <m/>
    <n v="0.31694736842105264"/>
  </r>
  <r>
    <x v="4"/>
    <x v="77"/>
    <x v="0"/>
    <x v="26"/>
    <m/>
    <m/>
    <s v="TAPE ELECTRICAL, ARMAK 0.16 MM X 19 MM X 16 M 04/25/26"/>
    <s v="GE-000491"/>
    <n v="3"/>
    <n v="55"/>
    <m/>
    <n v="165"/>
    <x v="0"/>
    <n v="73"/>
    <n v="42"/>
    <n v="126"/>
    <n v="132.30000000000001"/>
    <n v="32.699999999999989"/>
    <n v="0"/>
    <x v="50"/>
    <x v="1"/>
    <e v="#REF!"/>
    <e v="#REF!"/>
    <e v="#REF!"/>
    <n v="0"/>
  </r>
  <r>
    <x v="0"/>
    <x v="1"/>
    <x v="0"/>
    <x v="27"/>
    <m/>
    <m/>
    <s v="LUBRICANT,  OIL VACUUM PUMP, 330 ML"/>
    <s v="G-E000133"/>
    <n v="1"/>
    <n v="300"/>
    <m/>
    <n v="300"/>
    <x v="0"/>
    <n v="368"/>
    <n v="125"/>
    <n v="125"/>
    <n v="131.25"/>
    <n v="168.75"/>
    <n v="0"/>
    <x v="9"/>
    <x v="1"/>
    <m/>
    <m/>
    <s v=""/>
    <n v="0.5625"/>
  </r>
  <r>
    <x v="4"/>
    <x v="102"/>
    <x v="1"/>
    <x v="60"/>
    <m/>
    <m/>
    <s v="LUBRICANT,  OIL VACUUM PUMP, 330 ML"/>
    <s v="G-E000133"/>
    <n v="1"/>
    <n v="400"/>
    <m/>
    <n v="400"/>
    <x v="0"/>
    <n v="368"/>
    <n v="125"/>
    <n v="125"/>
    <n v="131.25"/>
    <n v="268.75"/>
    <n v="80.625"/>
    <x v="9"/>
    <x v="1"/>
    <m/>
    <m/>
    <m/>
    <n v="0.671875"/>
  </r>
  <r>
    <x v="4"/>
    <x v="79"/>
    <x v="0"/>
    <x v="6"/>
    <m/>
    <m/>
    <s v="LUBRICANT,  OIL VACUUM PUMP, 330 ML"/>
    <s v="G-E000133"/>
    <n v="1"/>
    <n v="400"/>
    <m/>
    <n v="400"/>
    <x v="0"/>
    <n v="368"/>
    <n v="125"/>
    <n v="125"/>
    <n v="131.25"/>
    <n v="268.75"/>
    <n v="0"/>
    <x v="9"/>
    <x v="1"/>
    <m/>
    <m/>
    <m/>
    <n v="0.671875"/>
  </r>
  <r>
    <x v="3"/>
    <x v="69"/>
    <x v="0"/>
    <x v="63"/>
    <m/>
    <n v="70"/>
    <s v="HOSE,  DRAIN 5/8 PER METER"/>
    <s v="GE-000420"/>
    <n v="4"/>
    <n v="63"/>
    <m/>
    <n v="252"/>
    <x v="0"/>
    <n v="82"/>
    <n v="31"/>
    <n v="124"/>
    <n v="130.20000000000002"/>
    <n v="121.79999999999998"/>
    <n v="0"/>
    <x v="19"/>
    <x v="1"/>
    <m/>
    <m/>
    <n v="70.56"/>
    <n v="0.48333333333333328"/>
  </r>
  <r>
    <x v="4"/>
    <x v="94"/>
    <x v="0"/>
    <x v="49"/>
    <m/>
    <m/>
    <s v="HOSE, COOLMATE 5/8 SUNCTION PER FT"/>
    <s v="GE-000181"/>
    <n v="3"/>
    <n v="95"/>
    <m/>
    <n v="285"/>
    <x v="0"/>
    <n v="83"/>
    <n v="45"/>
    <n v="135"/>
    <n v="141.75"/>
    <n v="143.25"/>
    <n v="0"/>
    <x v="19"/>
    <x v="1"/>
    <m/>
    <m/>
    <m/>
    <n v="0.50263157894736843"/>
  </r>
  <r>
    <x v="0"/>
    <x v="4"/>
    <x v="0"/>
    <x v="48"/>
    <m/>
    <n v="350"/>
    <s v="CABIN_FILTER, HONDA LARGE"/>
    <s v="CA-001422"/>
    <n v="1"/>
    <n v="315"/>
    <m/>
    <n v="315"/>
    <x v="0"/>
    <n v="378"/>
    <n v="120"/>
    <n v="120"/>
    <n v="126"/>
    <n v="189"/>
    <n v="0"/>
    <x v="12"/>
    <x v="2"/>
    <m/>
    <m/>
    <n v="352.8"/>
    <n v="0.6"/>
  </r>
  <r>
    <x v="4"/>
    <x v="110"/>
    <x v="0"/>
    <x v="36"/>
    <m/>
    <m/>
    <s v="EXP. VALVE LT, POKKA 9A133 G-STAREX"/>
    <s v="CA-000631"/>
    <n v="1"/>
    <n v="600"/>
    <m/>
    <n v="600"/>
    <x v="0"/>
    <n v="607"/>
    <n v="330"/>
    <n v="330"/>
    <n v="346.5"/>
    <n v="253.5"/>
    <n v="0"/>
    <x v="23"/>
    <x v="2"/>
    <m/>
    <m/>
    <m/>
    <n v="0.42249999999999999"/>
  </r>
  <r>
    <x v="0"/>
    <x v="27"/>
    <x v="0"/>
    <x v="32"/>
    <m/>
    <m/>
    <s v="TAPE_FOAM, POKKA 5MM X 50 MM X 9.1 MTR"/>
    <s v="IM-000106"/>
    <n v="1"/>
    <n v="260"/>
    <m/>
    <n v="260"/>
    <x v="0"/>
    <n v="194"/>
    <n v="125"/>
    <n v="125"/>
    <n v="128.75"/>
    <n v="131.25"/>
    <n v="0"/>
    <x v="25"/>
    <x v="0"/>
    <m/>
    <m/>
    <s v=""/>
    <n v="0.50480769230769229"/>
  </r>
  <r>
    <x v="0"/>
    <x v="99"/>
    <x v="0"/>
    <x v="59"/>
    <m/>
    <m/>
    <s v="TAPE_FOAM, POKKA 5MM X 50 MM X 9.1 MTR"/>
    <s v="IM-000106"/>
    <n v="1"/>
    <n v="260"/>
    <m/>
    <n v="260"/>
    <x v="0"/>
    <n v="194"/>
    <n v="125"/>
    <n v="125"/>
    <n v="128.75"/>
    <n v="131.25"/>
    <n v="0"/>
    <x v="25"/>
    <x v="0"/>
    <m/>
    <m/>
    <s v=""/>
    <n v="0.50480769230769229"/>
  </r>
  <r>
    <x v="4"/>
    <x v="89"/>
    <x v="2"/>
    <x v="22"/>
    <m/>
    <m/>
    <s v="SYSTEM_CLEANER, Cleanse GREEN 141B 500 ML"/>
    <s v="GE-000369"/>
    <n v="5"/>
    <n v="95"/>
    <m/>
    <n v="475"/>
    <x v="0"/>
    <n v="113"/>
    <n v="65"/>
    <n v="325"/>
    <n v="341.25"/>
    <n v="133.75"/>
    <n v="40.125"/>
    <x v="28"/>
    <x v="1"/>
    <m/>
    <m/>
    <m/>
    <n v="0.28157894736842104"/>
  </r>
  <r>
    <x v="4"/>
    <x v="95"/>
    <x v="1"/>
    <x v="3"/>
    <m/>
    <m/>
    <s v="CABIN_FILTER, TOYOTA INNOVA"/>
    <s v="CA-001294"/>
    <n v="1"/>
    <n v="300"/>
    <m/>
    <n v="300"/>
    <x v="0"/>
    <n v="315"/>
    <n v="100"/>
    <n v="100"/>
    <n v="105"/>
    <n v="195"/>
    <n v="58.5"/>
    <x v="12"/>
    <x v="2"/>
    <m/>
    <m/>
    <m/>
    <n v="0.65"/>
  </r>
  <r>
    <x v="4"/>
    <x v="94"/>
    <x v="2"/>
    <x v="22"/>
    <m/>
    <m/>
    <s v="SYSTEM_CLEANER, Cleanse GREEN 141B 500 ML"/>
    <s v="GE-000369"/>
    <n v="5"/>
    <n v="95"/>
    <m/>
    <n v="475"/>
    <x v="0"/>
    <n v="113"/>
    <n v="65"/>
    <n v="325"/>
    <n v="341.25"/>
    <n v="133.75"/>
    <n v="40.125"/>
    <x v="28"/>
    <x v="1"/>
    <m/>
    <m/>
    <m/>
    <n v="0.28157894736842104"/>
  </r>
  <r>
    <x v="1"/>
    <x v="22"/>
    <x v="0"/>
    <x v="59"/>
    <m/>
    <m/>
    <s v="TAPE_FOAM, POKKA 5MM X 50 MM X 9.1 MTR"/>
    <s v="IM-000106"/>
    <n v="1"/>
    <n v="260"/>
    <m/>
    <n v="260"/>
    <x v="0"/>
    <n v="194"/>
    <n v="125"/>
    <n v="125"/>
    <n v="128.75"/>
    <n v="131.25"/>
    <n v="0"/>
    <x v="25"/>
    <x v="0"/>
    <e v="#REF!"/>
    <e v="#REF!"/>
    <e v="#REF!"/>
    <n v="0.50480769230769229"/>
  </r>
  <r>
    <x v="1"/>
    <x v="24"/>
    <x v="0"/>
    <x v="1"/>
    <m/>
    <m/>
    <s v="TAPE_FOAM, POKKA 5MM X 50 MM X 9.1 MTR"/>
    <s v="IM-000106"/>
    <n v="1"/>
    <n v="260"/>
    <m/>
    <n v="260"/>
    <x v="0"/>
    <n v="194"/>
    <n v="125"/>
    <n v="125"/>
    <n v="128.75"/>
    <n v="131.25"/>
    <n v="0"/>
    <x v="25"/>
    <x v="0"/>
    <e v="#REF!"/>
    <e v="#REF!"/>
    <e v="#REF!"/>
    <n v="0.50480769230769229"/>
  </r>
  <r>
    <x v="2"/>
    <x v="125"/>
    <x v="0"/>
    <x v="32"/>
    <m/>
    <m/>
    <s v="TAPE_FOAM, POKKA 5MM X 50 MM X 9.1 MTR"/>
    <s v="IM-000106"/>
    <n v="1"/>
    <n v="260"/>
    <m/>
    <n v="260"/>
    <x v="0"/>
    <n v="194"/>
    <n v="125"/>
    <n v="125"/>
    <n v="128.75"/>
    <n v="131.25"/>
    <n v="0"/>
    <x v="25"/>
    <x v="0"/>
    <e v="#REF!"/>
    <e v="#REF!"/>
    <s v=""/>
    <n v="0.50480769230769229"/>
  </r>
  <r>
    <x v="2"/>
    <x v="45"/>
    <x v="0"/>
    <x v="1"/>
    <m/>
    <m/>
    <s v="TAPE_FOAM, POKKA 5MM X 50 MM X 9.1 MTR"/>
    <s v="IM-000106"/>
    <n v="1"/>
    <n v="260"/>
    <m/>
    <n v="260"/>
    <x v="0"/>
    <n v="194"/>
    <n v="125"/>
    <n v="125"/>
    <n v="128.75"/>
    <n v="131.25"/>
    <n v="0"/>
    <x v="25"/>
    <x v="0"/>
    <e v="#REF!"/>
    <e v="#REF!"/>
    <s v=""/>
    <n v="0.50480769230769229"/>
  </r>
  <r>
    <x v="3"/>
    <x v="60"/>
    <x v="0"/>
    <x v="1"/>
    <m/>
    <n v="260"/>
    <s v="TAPE_FOAM, POKKA 5MM X 50 MM X 9.1 MTR"/>
    <s v="IM-000106"/>
    <n v="1"/>
    <n v="232"/>
    <m/>
    <n v="232"/>
    <x v="0"/>
    <n v="194"/>
    <n v="125"/>
    <n v="125"/>
    <n v="128.75"/>
    <n v="103.25"/>
    <n v="0"/>
    <x v="25"/>
    <x v="0"/>
    <m/>
    <m/>
    <n v="259.84000000000003"/>
    <n v="0.44504310344827586"/>
  </r>
  <r>
    <x v="3"/>
    <x v="68"/>
    <x v="1"/>
    <x v="42"/>
    <m/>
    <m/>
    <s v="O_RING, NEK MAKAPAL 5/8"/>
    <s v="CA-000843"/>
    <n v="2"/>
    <n v="130"/>
    <m/>
    <n v="260"/>
    <x v="0"/>
    <n v="111"/>
    <n v="60"/>
    <n v="120"/>
    <n v="126"/>
    <n v="134"/>
    <n v="40.199999999999996"/>
    <x v="44"/>
    <x v="2"/>
    <m/>
    <m/>
    <s v=""/>
    <n v="0.51538461538461533"/>
  </r>
  <r>
    <x v="4"/>
    <x v="90"/>
    <x v="0"/>
    <x v="126"/>
    <m/>
    <m/>
    <s v="FITTINGS, BRASS FLARE NUT 1/4"/>
    <s v="IM-000049"/>
    <n v="10"/>
    <n v="35"/>
    <m/>
    <n v="350"/>
    <x v="0"/>
    <n v="26"/>
    <n v="14"/>
    <n v="140"/>
    <n v="144.20000000000002"/>
    <n v="205.79999999999998"/>
    <n v="0"/>
    <x v="33"/>
    <x v="0"/>
    <m/>
    <m/>
    <m/>
    <n v="0.58799999999999997"/>
  </r>
  <r>
    <x v="4"/>
    <x v="103"/>
    <x v="0"/>
    <x v="11"/>
    <m/>
    <m/>
    <s v="TAPE_FOAM, POKKA 5MM X 50 MM X 9.1 MTR"/>
    <s v="IM-000106"/>
    <n v="1"/>
    <n v="260"/>
    <m/>
    <n v="260"/>
    <x v="0"/>
    <n v="194"/>
    <n v="125"/>
    <n v="125"/>
    <n v="128.75"/>
    <n v="131.25"/>
    <n v="0"/>
    <x v="25"/>
    <x v="0"/>
    <m/>
    <m/>
    <m/>
    <n v="0.50480769230769229"/>
  </r>
  <r>
    <x v="4"/>
    <x v="77"/>
    <x v="0"/>
    <x v="32"/>
    <m/>
    <m/>
    <s v="TAPE_FOAM, POKKA 5MM X 50 MM X 9.1 MTR"/>
    <s v="IM-000106"/>
    <n v="1"/>
    <n v="260"/>
    <m/>
    <n v="260"/>
    <x v="0"/>
    <n v="194"/>
    <n v="125"/>
    <n v="125"/>
    <n v="128.75"/>
    <n v="131.25"/>
    <n v="0"/>
    <x v="25"/>
    <x v="0"/>
    <e v="#REF!"/>
    <e v="#REF!"/>
    <e v="#REF!"/>
    <n v="0"/>
  </r>
  <r>
    <x v="1"/>
    <x v="76"/>
    <x v="0"/>
    <x v="1"/>
    <m/>
    <m/>
    <s v="REF_DRIER, OMNI FLARE TYPE 44H"/>
    <s v="GE-000002"/>
    <n v="1"/>
    <n v="150"/>
    <m/>
    <n v="150"/>
    <x v="0"/>
    <n v="248"/>
    <n v="115"/>
    <n v="115"/>
    <n v="120.75"/>
    <n v="29.25"/>
    <n v="0"/>
    <x v="73"/>
    <x v="1"/>
    <e v="#REF!"/>
    <e v="#REF!"/>
    <s v=""/>
    <n v="0.19500000000000001"/>
  </r>
  <r>
    <x v="1"/>
    <x v="29"/>
    <x v="0"/>
    <x v="1"/>
    <m/>
    <m/>
    <s v="REF_DRIER, OMNI FLARE TYPE 44H"/>
    <s v="GE-000002"/>
    <n v="1"/>
    <n v="150"/>
    <m/>
    <n v="150"/>
    <x v="0"/>
    <n v="248"/>
    <n v="115"/>
    <n v="115"/>
    <n v="120.75"/>
    <n v="29.25"/>
    <n v="0"/>
    <x v="73"/>
    <x v="1"/>
    <e v="#REF!"/>
    <e v="#REF!"/>
    <e v="#REF!"/>
    <n v="0.19500000000000001"/>
  </r>
  <r>
    <x v="2"/>
    <x v="45"/>
    <x v="0"/>
    <x v="130"/>
    <m/>
    <m/>
    <s v="REF_DRIER, OMNI FLARE TYPE 44H"/>
    <s v="GE-000002"/>
    <n v="1"/>
    <n v="150"/>
    <m/>
    <n v="150"/>
    <x v="0"/>
    <n v="248"/>
    <n v="115"/>
    <n v="115"/>
    <n v="120.75"/>
    <n v="29.25"/>
    <n v="0"/>
    <x v="73"/>
    <x v="1"/>
    <e v="#REF!"/>
    <e v="#REF!"/>
    <s v=""/>
    <n v="0.19500000000000001"/>
  </r>
  <r>
    <x v="2"/>
    <x v="49"/>
    <x v="0"/>
    <x v="1"/>
    <m/>
    <m/>
    <s v="REF_DRIER, OMNI FLARE TYPE 44H"/>
    <s v="GE-000002"/>
    <n v="1"/>
    <n v="150"/>
    <m/>
    <n v="150"/>
    <x v="0"/>
    <n v="248"/>
    <n v="115"/>
    <n v="115"/>
    <n v="120.75"/>
    <n v="29.25"/>
    <n v="0"/>
    <x v="73"/>
    <x v="1"/>
    <e v="#REF!"/>
    <e v="#REF!"/>
    <s v=""/>
    <n v="0.19500000000000001"/>
  </r>
  <r>
    <x v="0"/>
    <x v="4"/>
    <x v="0"/>
    <x v="2"/>
    <m/>
    <m/>
    <s v="RUBBER_INSULATION, M-FLEX 3/4&quot; 1/4"/>
    <s v="IM-000235"/>
    <n v="2"/>
    <n v="95"/>
    <m/>
    <n v="190"/>
    <x v="0"/>
    <n v="79"/>
    <n v="56.7"/>
    <n v="113.4"/>
    <n v="116.80200000000001"/>
    <n v="73.197999999999993"/>
    <n v="0"/>
    <x v="22"/>
    <x v="0"/>
    <m/>
    <m/>
    <s v=""/>
    <n v="0.38525263157894735"/>
  </r>
  <r>
    <x v="0"/>
    <x v="2"/>
    <x v="0"/>
    <x v="2"/>
    <m/>
    <m/>
    <s v="RUBBER_INSULATION, M-FLEX 1/2&quot; 3/8"/>
    <s v="IM-000231"/>
    <n v="3"/>
    <n v="55"/>
    <m/>
    <n v="165"/>
    <x v="0"/>
    <n v="53"/>
    <n v="37.6"/>
    <n v="112.80000000000001"/>
    <n v="116.18400000000001"/>
    <n v="48.815999999999988"/>
    <n v="0"/>
    <x v="22"/>
    <x v="0"/>
    <m/>
    <m/>
    <s v=""/>
    <n v="0.29585454545454537"/>
  </r>
  <r>
    <x v="2"/>
    <x v="54"/>
    <x v="0"/>
    <x v="6"/>
    <m/>
    <m/>
    <s v="RUBBER_INSULATION, M-FLEX 1/2&quot; 3/8"/>
    <s v="IM-000231"/>
    <n v="3"/>
    <n v="55"/>
    <m/>
    <n v="165"/>
    <x v="0"/>
    <n v="53"/>
    <n v="37.6"/>
    <n v="112.80000000000001"/>
    <n v="116.18400000000001"/>
    <n v="48.815999999999988"/>
    <n v="0"/>
    <x v="22"/>
    <x v="0"/>
    <e v="#REF!"/>
    <e v="#REF!"/>
    <s v=""/>
    <n v="0.29585454545454537"/>
  </r>
  <r>
    <x v="3"/>
    <x v="64"/>
    <x v="0"/>
    <x v="19"/>
    <m/>
    <m/>
    <s v="RUBBER_INSULATION, M-FLEX 1/2&quot; 3/8"/>
    <s v="IM-000231"/>
    <n v="3"/>
    <n v="55"/>
    <m/>
    <n v="165"/>
    <x v="0"/>
    <n v="53"/>
    <n v="37.6"/>
    <n v="112.80000000000001"/>
    <n v="116.18400000000001"/>
    <n v="48.815999999999988"/>
    <n v="0"/>
    <x v="22"/>
    <x v="0"/>
    <m/>
    <m/>
    <s v=""/>
    <n v="0.29585454545454537"/>
  </r>
  <r>
    <x v="3"/>
    <x v="119"/>
    <x v="0"/>
    <x v="45"/>
    <m/>
    <m/>
    <s v="RUBBER_INSULATION, M-FLEX 1/2&quot; 3/8"/>
    <s v="IM-000231"/>
    <n v="3"/>
    <n v="55"/>
    <m/>
    <n v="165"/>
    <x v="0"/>
    <n v="53"/>
    <n v="37.6"/>
    <n v="112.80000000000001"/>
    <n v="116.18400000000001"/>
    <n v="48.815999999999988"/>
    <n v="0"/>
    <x v="22"/>
    <x v="0"/>
    <m/>
    <m/>
    <s v=""/>
    <n v="0.29585454545454537"/>
  </r>
  <r>
    <x v="4"/>
    <x v="88"/>
    <x v="0"/>
    <x v="1"/>
    <m/>
    <m/>
    <s v="RUBBER_INSULATION, M-FLEX 1/2&quot; 3/8"/>
    <s v="IM-000231"/>
    <n v="3"/>
    <n v="60"/>
    <m/>
    <n v="180"/>
    <x v="0"/>
    <n v="53"/>
    <n v="37.6"/>
    <n v="112.80000000000001"/>
    <n v="116.18400000000001"/>
    <n v="63.815999999999988"/>
    <n v="0"/>
    <x v="22"/>
    <x v="0"/>
    <m/>
    <m/>
    <m/>
    <n v="0.35453333333333326"/>
  </r>
  <r>
    <x v="4"/>
    <x v="88"/>
    <x v="0"/>
    <x v="100"/>
    <m/>
    <m/>
    <s v="RUBBER_INSULATION, M-FLEX 1/2&quot; 3/8"/>
    <s v="IM-000231"/>
    <n v="3"/>
    <n v="60"/>
    <m/>
    <n v="180"/>
    <x v="0"/>
    <n v="53"/>
    <n v="37.6"/>
    <n v="112.80000000000001"/>
    <n v="116.18400000000001"/>
    <n v="63.815999999999988"/>
    <n v="0"/>
    <x v="22"/>
    <x v="0"/>
    <m/>
    <m/>
    <m/>
    <n v="0.35453333333333326"/>
  </r>
  <r>
    <x v="3"/>
    <x v="71"/>
    <x v="0"/>
    <x v="1"/>
    <m/>
    <m/>
    <s v="RUBBER_INSULATION, M-FLEX 1/2&quot; 5/8"/>
    <s v="IM-000232"/>
    <n v="2"/>
    <n v="75"/>
    <m/>
    <n v="150"/>
    <x v="0"/>
    <n v="77"/>
    <n v="55.2"/>
    <n v="110.4"/>
    <n v="113.712"/>
    <n v="36.287999999999997"/>
    <n v="0"/>
    <x v="22"/>
    <x v="0"/>
    <m/>
    <m/>
    <s v=""/>
    <n v="0.24191999999999997"/>
  </r>
  <r>
    <x v="3"/>
    <x v="71"/>
    <x v="0"/>
    <x v="44"/>
    <m/>
    <m/>
    <s v="RUBBER_INSULATION, M-FLEX 1/2&quot; 5/8"/>
    <s v="IM-000232"/>
    <n v="2"/>
    <n v="75"/>
    <m/>
    <n v="150"/>
    <x v="0"/>
    <n v="77"/>
    <n v="55.2"/>
    <n v="110.4"/>
    <n v="113.712"/>
    <n v="36.287999999999997"/>
    <n v="0"/>
    <x v="22"/>
    <x v="0"/>
    <m/>
    <m/>
    <s v=""/>
    <n v="0.24191999999999997"/>
  </r>
  <r>
    <x v="4"/>
    <x v="79"/>
    <x v="2"/>
    <x v="22"/>
    <m/>
    <m/>
    <s v="SYSTEM_CLEANER, Cleanse GREEN 141B 500 ML"/>
    <s v="GE-000369"/>
    <n v="5"/>
    <n v="95"/>
    <m/>
    <n v="475"/>
    <x v="0"/>
    <n v="113"/>
    <n v="65"/>
    <n v="325"/>
    <n v="341.25"/>
    <n v="133.75"/>
    <n v="40.125"/>
    <x v="28"/>
    <x v="1"/>
    <m/>
    <m/>
    <m/>
    <n v="0.28157894736842104"/>
  </r>
  <r>
    <x v="2"/>
    <x v="125"/>
    <x v="0"/>
    <x v="1"/>
    <m/>
    <m/>
    <s v="ACTUATOR IDLE-UP,  PUSH TYPE"/>
    <s v="CA-000011"/>
    <n v="1"/>
    <n v="350"/>
    <m/>
    <n v="350"/>
    <x v="0"/>
    <n v="359"/>
    <n v="110"/>
    <n v="110"/>
    <n v="115.5"/>
    <n v="234.5"/>
    <n v="0"/>
    <x v="69"/>
    <x v="2"/>
    <e v="#REF!"/>
    <e v="#REF!"/>
    <s v=""/>
    <n v="0.67"/>
  </r>
  <r>
    <x v="2"/>
    <x v="50"/>
    <x v="0"/>
    <x v="35"/>
    <m/>
    <m/>
    <s v="ROYAL CORD, BOSTON 4-CORE, #16 1.25 MM, PER METER"/>
    <s v="GE-000453"/>
    <n v="2"/>
    <n v="160"/>
    <m/>
    <n v="320"/>
    <x v="0"/>
    <n v="122"/>
    <n v="55"/>
    <n v="110"/>
    <n v="115.5"/>
    <n v="204.5"/>
    <n v="0"/>
    <x v="48"/>
    <x v="1"/>
    <e v="#REF!"/>
    <e v="#REF!"/>
    <s v=""/>
    <n v="0.63906249999999998"/>
  </r>
  <r>
    <x v="2"/>
    <x v="35"/>
    <x v="0"/>
    <x v="30"/>
    <m/>
    <m/>
    <s v="BOLT &amp; NUT, GI, SET 3/8"/>
    <s v="IM-000002"/>
    <n v="20"/>
    <n v="14"/>
    <m/>
    <n v="280"/>
    <x v="0"/>
    <n v="10"/>
    <n v="5.43"/>
    <n v="108.6"/>
    <n v="111.858"/>
    <n v="168.142"/>
    <n v="0"/>
    <x v="57"/>
    <x v="0"/>
    <e v="#REF!"/>
    <e v="#REF!"/>
    <s v=""/>
    <n v="0.60050714285714279"/>
  </r>
  <r>
    <x v="1"/>
    <x v="15"/>
    <x v="0"/>
    <x v="13"/>
    <m/>
    <m/>
    <s v="BOLT &amp; NUT, DYNABOLT 3/8&quot;"/>
    <s v="GE-000396"/>
    <n v="12"/>
    <n v="25"/>
    <m/>
    <n v="300"/>
    <x v="0"/>
    <n v="19"/>
    <n v="8.9"/>
    <n v="106.80000000000001"/>
    <n v="112.14000000000001"/>
    <n v="187.85999999999999"/>
    <n v="0"/>
    <x v="57"/>
    <x v="1"/>
    <e v="#REF!"/>
    <e v="#REF!"/>
    <s v=""/>
    <n v="0.62619999999999998"/>
  </r>
  <r>
    <x v="4"/>
    <x v="93"/>
    <x v="0"/>
    <x v="36"/>
    <m/>
    <m/>
    <s v="EXP. VALVE DC, MITSUBISHI ORING TYPE 1/2 (ADVENTURE)"/>
    <s v="CA-000561"/>
    <n v="1"/>
    <n v="700"/>
    <m/>
    <n v="700"/>
    <x v="0"/>
    <n v="588"/>
    <n v="320"/>
    <n v="320"/>
    <n v="336"/>
    <n v="364"/>
    <n v="0"/>
    <x v="46"/>
    <x v="2"/>
    <m/>
    <m/>
    <m/>
    <n v="0.52"/>
  </r>
  <r>
    <x v="0"/>
    <x v="16"/>
    <x v="0"/>
    <x v="11"/>
    <m/>
    <n v="300"/>
    <s v="CABIN_FILTER, TOYOTA HI-ACE"/>
    <s v="CA-001292"/>
    <n v="1"/>
    <n v="270"/>
    <m/>
    <n v="270"/>
    <x v="0"/>
    <n v="331"/>
    <n v="105"/>
    <n v="105"/>
    <n v="110.25"/>
    <n v="159.75"/>
    <n v="0"/>
    <x v="12"/>
    <x v="2"/>
    <m/>
    <m/>
    <n v="302.40000000000003"/>
    <n v="0.59166666666666667"/>
  </r>
  <r>
    <x v="4"/>
    <x v="79"/>
    <x v="2"/>
    <x v="22"/>
    <m/>
    <m/>
    <s v="FITTINGS, STRAIGHT FLARE TYPE 5/8"/>
    <s v="CA-000673"/>
    <n v="20"/>
    <n v="25"/>
    <m/>
    <n v="500"/>
    <x v="0"/>
    <n v="30"/>
    <n v="16"/>
    <n v="320"/>
    <n v="336"/>
    <n v="164"/>
    <n v="49.199999999999996"/>
    <x v="33"/>
    <x v="2"/>
    <m/>
    <m/>
    <m/>
    <n v="0.32800000000000001"/>
  </r>
  <r>
    <x v="2"/>
    <x v="41"/>
    <x v="1"/>
    <x v="5"/>
    <m/>
    <n v="100"/>
    <s v="CHARGING_VALVE,  HIGH"/>
    <s v="GE-000119"/>
    <n v="3"/>
    <n v="90"/>
    <m/>
    <n v="270"/>
    <x v="0"/>
    <n v="92"/>
    <n v="35"/>
    <n v="105"/>
    <n v="110.25"/>
    <n v="159.75"/>
    <n v="47.924999999999997"/>
    <x v="40"/>
    <x v="1"/>
    <e v="#REF!"/>
    <e v="#REF!"/>
    <n v="100.80000000000001"/>
    <n v="0.59166666666666667"/>
  </r>
  <r>
    <x v="2"/>
    <x v="41"/>
    <x v="1"/>
    <x v="5"/>
    <m/>
    <n v="100"/>
    <s v="CHARGING_VALVE,  LOW"/>
    <s v="GE-000092"/>
    <n v="3"/>
    <n v="90"/>
    <m/>
    <n v="270"/>
    <x v="0"/>
    <n v="92"/>
    <n v="35"/>
    <n v="105"/>
    <n v="110.25"/>
    <n v="159.75"/>
    <n v="47.924999999999997"/>
    <x v="40"/>
    <x v="1"/>
    <e v="#REF!"/>
    <e v="#REF!"/>
    <n v="100.80000000000001"/>
    <n v="0.59166666666666667"/>
  </r>
  <r>
    <x v="4"/>
    <x v="108"/>
    <x v="2"/>
    <x v="7"/>
    <m/>
    <n v="350"/>
    <s v="CABIN_FILTER, MITSUBISHI MIRAGE"/>
    <s v="CA-001702"/>
    <n v="2"/>
    <n v="313"/>
    <m/>
    <n v="626"/>
    <x v="0"/>
    <n v="473"/>
    <n v="150"/>
    <n v="300"/>
    <n v="315"/>
    <n v="311"/>
    <n v="93.3"/>
    <x v="12"/>
    <x v="2"/>
    <m/>
    <m/>
    <m/>
    <n v="0.49680511182108628"/>
  </r>
  <r>
    <x v="4"/>
    <x v="89"/>
    <x v="2"/>
    <x v="22"/>
    <m/>
    <n v="220"/>
    <s v="CABIN_FILTER, TOYOTA INNOVA"/>
    <s v="CA-001294"/>
    <n v="3"/>
    <n v="220"/>
    <m/>
    <n v="660"/>
    <x v="0"/>
    <n v="315"/>
    <n v="100"/>
    <n v="300"/>
    <n v="315"/>
    <n v="345"/>
    <n v="103.5"/>
    <x v="12"/>
    <x v="2"/>
    <m/>
    <m/>
    <m/>
    <n v="0.52272727272727271"/>
  </r>
  <r>
    <x v="4"/>
    <x v="108"/>
    <x v="2"/>
    <x v="7"/>
    <m/>
    <n v="380"/>
    <s v="TAPE_FOAM, AEROTAPE 3MM X 50 MM X 9.1 MTR  04/02/25"/>
    <s v="IM-000332"/>
    <n v="1"/>
    <n v="340"/>
    <m/>
    <n v="340"/>
    <x v="0"/>
    <n v="510"/>
    <n v="330"/>
    <n v="330"/>
    <n v="339.90000000000003"/>
    <n v="9.9999999999965894E-2"/>
    <n v="2.9999999999989767E-2"/>
    <x v="25"/>
    <x v="0"/>
    <m/>
    <m/>
    <m/>
    <n v="2.9411764705872321E-4"/>
  </r>
  <r>
    <x v="3"/>
    <x v="71"/>
    <x v="0"/>
    <x v="26"/>
    <m/>
    <m/>
    <s v="ACCESS_VALVE, OMNI WELDED TYPE "/>
    <s v="GE-000253"/>
    <n v="5"/>
    <n v="50"/>
    <m/>
    <n v="250"/>
    <x v="0"/>
    <n v="47"/>
    <n v="21"/>
    <n v="105"/>
    <n v="110.25"/>
    <n v="139.75"/>
    <n v="0"/>
    <x v="67"/>
    <x v="1"/>
    <m/>
    <m/>
    <s v=""/>
    <n v="0.55900000000000005"/>
  </r>
  <r>
    <x v="3"/>
    <x v="87"/>
    <x v="0"/>
    <x v="11"/>
    <m/>
    <m/>
    <s v="CABIN_FILTER, TOYOTA HI-ACE"/>
    <s v="CA-001292"/>
    <n v="1"/>
    <n v="300"/>
    <m/>
    <n v="300"/>
    <x v="0"/>
    <n v="331"/>
    <n v="105"/>
    <n v="105"/>
    <n v="110.25"/>
    <n v="189.75"/>
    <n v="0"/>
    <x v="12"/>
    <x v="2"/>
    <m/>
    <m/>
    <m/>
    <n v="0.63249999999999995"/>
  </r>
  <r>
    <x v="1"/>
    <x v="24"/>
    <x v="0"/>
    <x v="1"/>
    <m/>
    <m/>
    <s v="RUBBER_INSULATION, M-FLEX 1/2&quot; 3/4"/>
    <s v="IM-000230"/>
    <n v="2"/>
    <n v="110"/>
    <m/>
    <n v="220"/>
    <x v="0"/>
    <n v="67"/>
    <n v="51.8"/>
    <n v="103.6"/>
    <n v="106.708"/>
    <n v="113.292"/>
    <n v="0"/>
    <x v="22"/>
    <x v="0"/>
    <e v="#REF!"/>
    <e v="#REF!"/>
    <e v="#REF!"/>
    <n v="0.5149636363636364"/>
  </r>
  <r>
    <x v="3"/>
    <x v="65"/>
    <x v="0"/>
    <x v="1"/>
    <m/>
    <m/>
    <s v="RUBBER_INSULATION, M-FLEX 1/2&quot; 3/4"/>
    <s v="IM-000230"/>
    <n v="2"/>
    <n v="80"/>
    <m/>
    <n v="160"/>
    <x v="0"/>
    <n v="67"/>
    <n v="51.8"/>
    <n v="103.6"/>
    <n v="106.708"/>
    <n v="53.292000000000002"/>
    <n v="0"/>
    <x v="22"/>
    <x v="0"/>
    <m/>
    <m/>
    <s v=""/>
    <n v="0.33307500000000001"/>
  </r>
  <r>
    <x v="3"/>
    <x v="123"/>
    <x v="0"/>
    <x v="102"/>
    <m/>
    <m/>
    <s v="RUBBER_INSULATION, M-FLEX 1/2&quot; 3/4"/>
    <s v="IM-000230"/>
    <n v="2"/>
    <n v="55"/>
    <m/>
    <n v="110"/>
    <x v="0"/>
    <n v="67"/>
    <n v="51.8"/>
    <n v="103.6"/>
    <n v="106.708"/>
    <n v="3.2920000000000016"/>
    <n v="0"/>
    <x v="22"/>
    <x v="0"/>
    <m/>
    <m/>
    <m/>
    <n v="2.9927272727272743E-2"/>
  </r>
  <r>
    <x v="4"/>
    <x v="110"/>
    <x v="0"/>
    <x v="41"/>
    <m/>
    <m/>
    <s v="RUBBER_INSULATION, M-FLEX 1/2&quot; 3/4"/>
    <s v="IM-000230"/>
    <n v="2"/>
    <n v="60"/>
    <m/>
    <n v="120"/>
    <x v="0"/>
    <n v="67"/>
    <n v="51.8"/>
    <n v="103.6"/>
    <n v="106.708"/>
    <n v="13.292000000000002"/>
    <n v="0"/>
    <x v="22"/>
    <x v="0"/>
    <m/>
    <m/>
    <m/>
    <n v="0.11076666666666668"/>
  </r>
  <r>
    <x v="1"/>
    <x v="18"/>
    <x v="0"/>
    <x v="1"/>
    <m/>
    <m/>
    <s v="HOSE,  DRAIN 3/4 PER METER"/>
    <s v="GE-000001"/>
    <n v="3"/>
    <n v="80"/>
    <m/>
    <n v="240"/>
    <x v="0"/>
    <n v="63"/>
    <n v="34"/>
    <n v="102"/>
    <n v="107.10000000000001"/>
    <n v="132.89999999999998"/>
    <n v="0"/>
    <x v="19"/>
    <x v="1"/>
    <e v="#REF!"/>
    <e v="#REF!"/>
    <s v=""/>
    <n v="0.55374999999999985"/>
  </r>
  <r>
    <x v="4"/>
    <x v="95"/>
    <x v="0"/>
    <x v="19"/>
    <m/>
    <m/>
    <s v="HOSE,  DRAIN 3/4 PER METER"/>
    <s v="GE-000001"/>
    <n v="3"/>
    <n v="80"/>
    <m/>
    <n v="240"/>
    <x v="0"/>
    <n v="63"/>
    <n v="34"/>
    <n v="102"/>
    <n v="107.10000000000001"/>
    <n v="132.89999999999998"/>
    <n v="0"/>
    <x v="19"/>
    <x v="1"/>
    <m/>
    <m/>
    <m/>
    <n v="0.55374999999999985"/>
  </r>
  <r>
    <x v="0"/>
    <x v="2"/>
    <x v="0"/>
    <x v="2"/>
    <m/>
    <m/>
    <s v="RUBBER_INSULATION, M-FLEX 1/2&quot; 1/4"/>
    <s v="IM-000229"/>
    <n v="3"/>
    <n v="45"/>
    <m/>
    <n v="135"/>
    <x v="0"/>
    <n v="47"/>
    <n v="33.6"/>
    <n v="100.80000000000001"/>
    <n v="103.82400000000001"/>
    <n v="31.175999999999988"/>
    <n v="0"/>
    <x v="22"/>
    <x v="0"/>
    <m/>
    <m/>
    <s v=""/>
    <n v="0.23093333333333324"/>
  </r>
  <r>
    <x v="0"/>
    <x v="8"/>
    <x v="0"/>
    <x v="1"/>
    <m/>
    <m/>
    <s v="RUBBER_INSULATION, M-FLEX 1/2&quot; 1/4"/>
    <s v="IM-000229"/>
    <n v="3"/>
    <n v="45"/>
    <m/>
    <n v="135"/>
    <x v="0"/>
    <n v="47"/>
    <n v="33.6"/>
    <n v="100.80000000000001"/>
    <n v="103.82400000000001"/>
    <n v="31.175999999999988"/>
    <n v="0"/>
    <x v="22"/>
    <x v="0"/>
    <m/>
    <m/>
    <s v=""/>
    <n v="0.23093333333333324"/>
  </r>
  <r>
    <x v="0"/>
    <x v="10"/>
    <x v="0"/>
    <x v="1"/>
    <m/>
    <m/>
    <s v="RUBBER_INSULATION, M-FLEX 1/2&quot; 1/4"/>
    <s v="IM-000229"/>
    <n v="3"/>
    <n v="45"/>
    <m/>
    <n v="135"/>
    <x v="0"/>
    <n v="47"/>
    <n v="33.6"/>
    <n v="100.80000000000001"/>
    <n v="103.82400000000001"/>
    <n v="31.175999999999988"/>
    <n v="0"/>
    <x v="22"/>
    <x v="0"/>
    <e v="#REF!"/>
    <e v="#REF!"/>
    <s v=""/>
    <n v="0.23093333333333324"/>
  </r>
  <r>
    <x v="2"/>
    <x v="35"/>
    <x v="0"/>
    <x v="29"/>
    <m/>
    <m/>
    <s v="RUBBER_INSULATION, M-FLEX 1/2&quot; 1/4"/>
    <s v="IM-000229"/>
    <n v="3"/>
    <n v="45"/>
    <m/>
    <n v="135"/>
    <x v="0"/>
    <n v="47"/>
    <n v="33.6"/>
    <n v="100.80000000000001"/>
    <n v="103.82400000000001"/>
    <n v="31.175999999999988"/>
    <n v="0"/>
    <x v="22"/>
    <x v="0"/>
    <e v="#REF!"/>
    <e v="#REF!"/>
    <s v=""/>
    <n v="0.23093333333333324"/>
  </r>
  <r>
    <x v="2"/>
    <x v="54"/>
    <x v="0"/>
    <x v="6"/>
    <m/>
    <m/>
    <s v="RUBBER_INSULATION, M-FLEX 1/2&quot; 1/4"/>
    <s v="IM-000229"/>
    <n v="3"/>
    <n v="45"/>
    <m/>
    <n v="135"/>
    <x v="0"/>
    <n v="47"/>
    <n v="33.6"/>
    <n v="100.80000000000001"/>
    <n v="103.82400000000001"/>
    <n v="31.175999999999988"/>
    <n v="0"/>
    <x v="22"/>
    <x v="0"/>
    <e v="#REF!"/>
    <e v="#REF!"/>
    <s v=""/>
    <n v="0.23093333333333324"/>
  </r>
  <r>
    <x v="3"/>
    <x v="59"/>
    <x v="0"/>
    <x v="6"/>
    <m/>
    <m/>
    <s v="RUBBER_INSULATION, M-FLEX 1/2&quot; 1/4"/>
    <s v="IM-000229"/>
    <n v="3"/>
    <n v="45"/>
    <m/>
    <n v="135"/>
    <x v="0"/>
    <n v="47"/>
    <n v="33.6"/>
    <n v="100.80000000000001"/>
    <n v="103.82400000000001"/>
    <n v="31.175999999999988"/>
    <n v="0"/>
    <x v="22"/>
    <x v="0"/>
    <m/>
    <m/>
    <s v=""/>
    <n v="0.23093333333333324"/>
  </r>
  <r>
    <x v="4"/>
    <x v="102"/>
    <x v="1"/>
    <x v="60"/>
    <m/>
    <m/>
    <s v="RUBBER_INSULATION, M-FLEX 1/2&quot; 1/4"/>
    <s v="IM-000229"/>
    <n v="3"/>
    <n v="45"/>
    <m/>
    <n v="135"/>
    <x v="0"/>
    <n v="47"/>
    <n v="33.6"/>
    <n v="100.80000000000001"/>
    <n v="103.82400000000001"/>
    <n v="31.175999999999988"/>
    <n v="9.3527999999999967"/>
    <x v="22"/>
    <x v="0"/>
    <m/>
    <m/>
    <m/>
    <n v="0.23093333333333324"/>
  </r>
  <r>
    <x v="4"/>
    <x v="102"/>
    <x v="0"/>
    <x v="27"/>
    <m/>
    <m/>
    <s v="RUBBER_INSULATION, M-FLEX 1/2&quot; 1/4"/>
    <s v="IM-000229"/>
    <n v="3"/>
    <n v="50"/>
    <m/>
    <n v="150"/>
    <x v="0"/>
    <n v="47"/>
    <n v="33.6"/>
    <n v="100.80000000000001"/>
    <n v="103.82400000000001"/>
    <n v="46.175999999999988"/>
    <n v="0"/>
    <x v="22"/>
    <x v="0"/>
    <m/>
    <m/>
    <m/>
    <n v="0.30783999999999989"/>
  </r>
  <r>
    <x v="4"/>
    <x v="88"/>
    <x v="0"/>
    <x v="1"/>
    <m/>
    <m/>
    <s v="RUBBER_INSULATION, M-FLEX 1/2&quot; 1/4"/>
    <s v="IM-000229"/>
    <n v="3"/>
    <n v="50"/>
    <m/>
    <n v="150"/>
    <x v="0"/>
    <n v="47"/>
    <n v="33.6"/>
    <n v="100.80000000000001"/>
    <n v="103.82400000000001"/>
    <n v="46.175999999999988"/>
    <n v="0"/>
    <x v="22"/>
    <x v="0"/>
    <m/>
    <m/>
    <m/>
    <n v="0.30783999999999989"/>
  </r>
  <r>
    <x v="4"/>
    <x v="88"/>
    <x v="0"/>
    <x v="100"/>
    <m/>
    <m/>
    <s v="RUBBER_INSULATION, M-FLEX 1/2&quot; 1/4"/>
    <s v="IM-000229"/>
    <n v="3"/>
    <n v="50"/>
    <m/>
    <n v="150"/>
    <x v="0"/>
    <n v="47"/>
    <n v="33.6"/>
    <n v="100.80000000000001"/>
    <n v="103.82400000000001"/>
    <n v="46.175999999999988"/>
    <n v="0"/>
    <x v="22"/>
    <x v="0"/>
    <m/>
    <m/>
    <m/>
    <n v="0.30783999999999989"/>
  </r>
  <r>
    <x v="4"/>
    <x v="77"/>
    <x v="0"/>
    <x v="27"/>
    <m/>
    <m/>
    <s v="RUBBER_INSULATION, M-FLEX 1/2&quot; 1/4"/>
    <s v="IM-000229"/>
    <n v="3"/>
    <n v="50"/>
    <m/>
    <n v="150"/>
    <x v="0"/>
    <n v="47"/>
    <n v="33.6"/>
    <n v="100.80000000000001"/>
    <n v="103.82400000000001"/>
    <n v="46.175999999999988"/>
    <n v="0"/>
    <x v="22"/>
    <x v="0"/>
    <e v="#REF!"/>
    <e v="#REF!"/>
    <e v="#REF!"/>
    <n v="0"/>
  </r>
  <r>
    <x v="5"/>
    <x v="127"/>
    <x v="0"/>
    <x v="30"/>
    <m/>
    <m/>
    <s v="ELECTRICAL CIRCUIT_BREAKER, AMERICA 30 AMP, 2P"/>
    <s v="GE-000470"/>
    <n v="2"/>
    <n v="450"/>
    <m/>
    <n v="900"/>
    <x v="0"/>
    <n v="380"/>
    <n v="190"/>
    <n v="380"/>
    <n v="399"/>
    <n v="501"/>
    <n v="0"/>
    <x v="59"/>
    <x v="1"/>
    <e v="#REF!"/>
    <e v="#REF!"/>
    <s v=""/>
    <n v="0.55666666666666664"/>
  </r>
  <r>
    <x v="4"/>
    <x v="95"/>
    <x v="2"/>
    <x v="7"/>
    <m/>
    <m/>
    <s v="EXP. VALVE LT, POKKA 9A238 SUBARU FORESTER"/>
    <s v="CA-001728"/>
    <n v="1"/>
    <n v="550"/>
    <m/>
    <n v="550"/>
    <x v="0"/>
    <n v="533"/>
    <n v="290"/>
    <n v="290"/>
    <n v="304.5"/>
    <n v="245.5"/>
    <n v="73.649999999999991"/>
    <x v="23"/>
    <x v="2"/>
    <m/>
    <m/>
    <m/>
    <n v="0.44636363636363635"/>
  </r>
  <r>
    <x v="0"/>
    <x v="97"/>
    <x v="0"/>
    <x v="11"/>
    <m/>
    <m/>
    <s v="CABIN_FILTER, HYUNDAI TUCSON 2008"/>
    <s v="CA-001686"/>
    <n v="1"/>
    <n v="300"/>
    <m/>
    <n v="300"/>
    <x v="0"/>
    <n v="315"/>
    <n v="100"/>
    <n v="100"/>
    <n v="105"/>
    <n v="195"/>
    <n v="0"/>
    <x v="12"/>
    <x v="2"/>
    <m/>
    <m/>
    <s v=""/>
    <n v="0.65"/>
  </r>
  <r>
    <x v="4"/>
    <x v="102"/>
    <x v="0"/>
    <x v="36"/>
    <m/>
    <n v="550"/>
    <s v="RECEIVER_DRIER_ALUMINUM, YK 40 X 290 (INNOVA)"/>
    <s v="CA-001083"/>
    <n v="1"/>
    <n v="491"/>
    <m/>
    <n v="491"/>
    <x v="0"/>
    <n v="638"/>
    <n v="270"/>
    <n v="270"/>
    <n v="283.5"/>
    <n v="207.5"/>
    <n v="0"/>
    <x v="27"/>
    <x v="2"/>
    <m/>
    <m/>
    <m/>
    <n v="0.42260692464358451"/>
  </r>
  <r>
    <x v="4"/>
    <x v="107"/>
    <x v="2"/>
    <x v="22"/>
    <m/>
    <m/>
    <s v="EXP. VALVE LT, POKKA 9A224 / 9A219 NISSAN JUKE"/>
    <s v="CA-001831"/>
    <n v="1"/>
    <n v="420"/>
    <m/>
    <n v="420"/>
    <x v="0"/>
    <n v="478"/>
    <n v="260"/>
    <n v="260"/>
    <n v="273"/>
    <n v="147"/>
    <n v="44.1"/>
    <x v="23"/>
    <x v="2"/>
    <m/>
    <m/>
    <m/>
    <n v="0.35"/>
  </r>
  <r>
    <x v="4"/>
    <x v="89"/>
    <x v="2"/>
    <x v="9"/>
    <m/>
    <n v="260"/>
    <s v="TAPE, EVER SEAL CORK TAPE"/>
    <s v="GE-000344"/>
    <n v="2"/>
    <n v="232"/>
    <m/>
    <n v="464"/>
    <x v="0"/>
    <n v="226"/>
    <n v="130"/>
    <n v="260"/>
    <n v="273"/>
    <n v="191"/>
    <n v="57.3"/>
    <x v="41"/>
    <x v="1"/>
    <m/>
    <m/>
    <m/>
    <n v="0.41163793103448276"/>
  </r>
  <r>
    <x v="0"/>
    <x v="27"/>
    <x v="0"/>
    <x v="11"/>
    <m/>
    <n v="300"/>
    <s v="CABIN_FILTER, TOYOTA INNOVA"/>
    <s v="CA-001294"/>
    <n v="1"/>
    <n v="270"/>
    <m/>
    <n v="270"/>
    <x v="0"/>
    <n v="315"/>
    <n v="100"/>
    <n v="100"/>
    <n v="105"/>
    <n v="165"/>
    <n v="0"/>
    <x v="12"/>
    <x v="2"/>
    <m/>
    <m/>
    <n v="302.40000000000003"/>
    <n v="0.61111111111111116"/>
  </r>
  <r>
    <x v="4"/>
    <x v="89"/>
    <x v="2"/>
    <x v="9"/>
    <m/>
    <m/>
    <s v="RECEIVER_DRIER_ALUMINUM, YK 8742 (CITY 03)"/>
    <s v="CA-001119"/>
    <n v="1"/>
    <n v="500"/>
    <m/>
    <n v="500"/>
    <x v="0"/>
    <n v="615"/>
    <n v="260"/>
    <n v="260"/>
    <n v="273"/>
    <n v="227"/>
    <n v="68.099999999999994"/>
    <x v="27"/>
    <x v="2"/>
    <m/>
    <m/>
    <m/>
    <n v="0.45400000000000001"/>
  </r>
  <r>
    <x v="0"/>
    <x v="9"/>
    <x v="0"/>
    <x v="48"/>
    <m/>
    <m/>
    <s v="CABIN_FILTER, HYUNDAI ACCENT 2013"/>
    <s v="CA-001681"/>
    <n v="1"/>
    <n v="300"/>
    <m/>
    <n v="300"/>
    <x v="0"/>
    <n v="315"/>
    <n v="100"/>
    <n v="100"/>
    <n v="105"/>
    <n v="195"/>
    <n v="0"/>
    <x v="12"/>
    <x v="2"/>
    <e v="#REF!"/>
    <e v="#REF!"/>
    <s v=""/>
    <n v="0.65"/>
  </r>
  <r>
    <x v="0"/>
    <x v="9"/>
    <x v="0"/>
    <x v="48"/>
    <m/>
    <m/>
    <s v="CABIN_FILTER, HYUNDAI STA FE"/>
    <s v="CA-001685"/>
    <n v="1"/>
    <n v="300"/>
    <m/>
    <n v="300"/>
    <x v="0"/>
    <n v="315"/>
    <n v="100"/>
    <n v="100"/>
    <n v="105"/>
    <n v="195"/>
    <n v="0"/>
    <x v="12"/>
    <x v="2"/>
    <e v="#REF!"/>
    <e v="#REF!"/>
    <s v=""/>
    <n v="0.65"/>
  </r>
  <r>
    <x v="4"/>
    <x v="80"/>
    <x v="2"/>
    <x v="9"/>
    <m/>
    <m/>
    <s v="EXP. VALVE LT, POKKA 9A60 / 9A233 EXTRAIL"/>
    <s v="CA-001829"/>
    <n v="1"/>
    <n v="550"/>
    <m/>
    <n v="550"/>
    <x v="0"/>
    <n v="478"/>
    <n v="260"/>
    <n v="260"/>
    <n v="273"/>
    <n v="277"/>
    <n v="83.1"/>
    <x v="23"/>
    <x v="2"/>
    <m/>
    <m/>
    <m/>
    <n v="0.50363636363636366"/>
  </r>
  <r>
    <x v="4"/>
    <x v="107"/>
    <x v="0"/>
    <x v="36"/>
    <m/>
    <n v="550"/>
    <s v="RECEIVER_DRIER_ALUMINUM, YK 8015 (L) (Adventure)"/>
    <s v="CA-001085"/>
    <n v="1"/>
    <n v="491"/>
    <m/>
    <n v="491"/>
    <x v="0"/>
    <n v="615"/>
    <n v="260"/>
    <n v="260"/>
    <n v="273"/>
    <n v="218"/>
    <n v="0"/>
    <x v="27"/>
    <x v="2"/>
    <m/>
    <m/>
    <m/>
    <n v="0.4439918533604888"/>
  </r>
  <r>
    <x v="1"/>
    <x v="14"/>
    <x v="0"/>
    <x v="11"/>
    <m/>
    <m/>
    <s v="CABIN_FILTER, TOYOTA VIOS"/>
    <s v="CA-001295"/>
    <n v="1"/>
    <n v="300"/>
    <m/>
    <n v="300"/>
    <x v="0"/>
    <n v="315"/>
    <n v="100"/>
    <n v="100"/>
    <n v="105"/>
    <n v="195"/>
    <n v="0"/>
    <x v="12"/>
    <x v="2"/>
    <e v="#REF!"/>
    <e v="#REF!"/>
    <s v=""/>
    <n v="0.65"/>
  </r>
  <r>
    <x v="1"/>
    <x v="14"/>
    <x v="0"/>
    <x v="17"/>
    <m/>
    <m/>
    <s v="CABIN_FILTER, TOYOTA INNOVA"/>
    <s v="CA-001294"/>
    <n v="1"/>
    <n v="300"/>
    <m/>
    <n v="300"/>
    <x v="0"/>
    <n v="315"/>
    <n v="100"/>
    <n v="100"/>
    <n v="105"/>
    <n v="195"/>
    <n v="0"/>
    <x v="12"/>
    <x v="2"/>
    <e v="#REF!"/>
    <e v="#REF!"/>
    <s v=""/>
    <n v="0.65"/>
  </r>
  <r>
    <x v="1"/>
    <x v="15"/>
    <x v="0"/>
    <x v="11"/>
    <m/>
    <m/>
    <s v="CABIN_FILTER, HONDA MEDIUM"/>
    <s v="CA-001679"/>
    <n v="1"/>
    <n v="300"/>
    <m/>
    <n v="300"/>
    <x v="0"/>
    <n v="315"/>
    <n v="100"/>
    <n v="100"/>
    <n v="105"/>
    <n v="195"/>
    <n v="0"/>
    <x v="12"/>
    <x v="2"/>
    <e v="#REF!"/>
    <e v="#REF!"/>
    <s v=""/>
    <n v="0.65"/>
  </r>
  <r>
    <x v="4"/>
    <x v="90"/>
    <x v="2"/>
    <x v="9"/>
    <m/>
    <n v="550"/>
    <s v="RECEIVER_DRIER_ALUMINUM, YK 8015 (L) (Adventure)"/>
    <s v="CA-001085"/>
    <n v="1"/>
    <n v="550"/>
    <m/>
    <n v="550"/>
    <x v="0"/>
    <n v="615"/>
    <n v="260"/>
    <n v="260"/>
    <n v="273"/>
    <n v="277"/>
    <n v="83.1"/>
    <x v="27"/>
    <x v="2"/>
    <m/>
    <m/>
    <m/>
    <n v="0.50363636363636366"/>
  </r>
  <r>
    <x v="1"/>
    <x v="114"/>
    <x v="0"/>
    <x v="11"/>
    <m/>
    <m/>
    <s v="CABIN_FILTER, NISSAN NV350"/>
    <s v="CA-001711"/>
    <n v="1"/>
    <n v="300"/>
    <m/>
    <n v="300"/>
    <x v="0"/>
    <n v="315"/>
    <n v="100"/>
    <n v="100"/>
    <n v="105"/>
    <n v="195"/>
    <n v="0"/>
    <x v="12"/>
    <x v="2"/>
    <e v="#REF!"/>
    <e v="#REF!"/>
    <s v=""/>
    <n v="0.65"/>
  </r>
  <r>
    <x v="1"/>
    <x v="18"/>
    <x v="0"/>
    <x v="11"/>
    <m/>
    <m/>
    <s v="CABIN_FILTER, TOYOTA WIGO"/>
    <s v="CA-000387"/>
    <n v="1"/>
    <n v="300"/>
    <m/>
    <n v="300"/>
    <x v="0"/>
    <n v="315"/>
    <n v="100"/>
    <n v="100"/>
    <n v="105"/>
    <n v="195"/>
    <n v="0"/>
    <x v="12"/>
    <x v="2"/>
    <e v="#REF!"/>
    <e v="#REF!"/>
    <s v=""/>
    <n v="0.65"/>
  </r>
  <r>
    <x v="1"/>
    <x v="100"/>
    <x v="0"/>
    <x v="48"/>
    <m/>
    <m/>
    <s v="CABIN_FILTER, FORD ECOSPORT"/>
    <s v="CA-001668"/>
    <n v="1"/>
    <n v="350"/>
    <m/>
    <n v="350"/>
    <x v="0"/>
    <n v="315"/>
    <n v="100"/>
    <n v="100"/>
    <n v="105"/>
    <n v="245"/>
    <n v="0"/>
    <x v="12"/>
    <x v="2"/>
    <e v="#REF!"/>
    <e v="#REF!"/>
    <s v=""/>
    <n v="0.7"/>
  </r>
  <r>
    <x v="4"/>
    <x v="78"/>
    <x v="2"/>
    <x v="22"/>
    <m/>
    <m/>
    <s v="EXP. VALVE LT,  6E19 XTRAIL CELERIO, TRAILBLAZER"/>
    <s v="CA-000570"/>
    <n v="1"/>
    <n v="420"/>
    <m/>
    <n v="420"/>
    <x v="0"/>
    <n v="460"/>
    <n v="250"/>
    <n v="250"/>
    <n v="262.5"/>
    <n v="157.5"/>
    <n v="47.25"/>
    <x v="23"/>
    <x v="2"/>
    <m/>
    <m/>
    <m/>
    <n v="0.375"/>
  </r>
  <r>
    <x v="1"/>
    <x v="22"/>
    <x v="0"/>
    <x v="11"/>
    <m/>
    <m/>
    <s v="CABIN_FILTER, NISSAN ALMERA"/>
    <s v="CA-001707"/>
    <n v="1"/>
    <n v="300"/>
    <m/>
    <n v="300"/>
    <x v="0"/>
    <n v="315"/>
    <n v="100"/>
    <n v="100"/>
    <n v="105"/>
    <n v="195"/>
    <n v="0"/>
    <x v="12"/>
    <x v="2"/>
    <e v="#REF!"/>
    <e v="#REF!"/>
    <e v="#REF!"/>
    <n v="0.65"/>
  </r>
  <r>
    <x v="4"/>
    <x v="104"/>
    <x v="0"/>
    <x v="36"/>
    <m/>
    <m/>
    <s v="RECEIVER_DRIER_ALUMINUM, YK 8733 L (URVAN, NV350)"/>
    <s v="CA-001115"/>
    <n v="1"/>
    <n v="550"/>
    <m/>
    <n v="550"/>
    <x v="0"/>
    <n v="615"/>
    <n v="260"/>
    <n v="260"/>
    <n v="273"/>
    <n v="277"/>
    <n v="0"/>
    <x v="27"/>
    <x v="2"/>
    <m/>
    <m/>
    <m/>
    <n v="0.50363636363636366"/>
  </r>
  <r>
    <x v="1"/>
    <x v="30"/>
    <x v="0"/>
    <x v="84"/>
    <m/>
    <m/>
    <s v="CABIN_FILTER, TOYOTA INNOVA"/>
    <s v="CA-001294"/>
    <n v="1"/>
    <n v="300"/>
    <m/>
    <n v="300"/>
    <x v="0"/>
    <n v="315"/>
    <n v="100"/>
    <n v="100"/>
    <n v="105"/>
    <n v="195"/>
    <n v="0"/>
    <x v="12"/>
    <x v="2"/>
    <e v="#REF!"/>
    <e v="#REF!"/>
    <e v="#REF!"/>
    <n v="0.65"/>
  </r>
  <r>
    <x v="1"/>
    <x v="32"/>
    <x v="0"/>
    <x v="128"/>
    <m/>
    <m/>
    <s v="CAPACITOR_SINGLE, PS CBB65 15 UF"/>
    <s v="GE-000062"/>
    <n v="1"/>
    <n v="270"/>
    <m/>
    <n v="270"/>
    <x v="0"/>
    <n v="184"/>
    <n v="100"/>
    <n v="100"/>
    <n v="105"/>
    <n v="165"/>
    <n v="0"/>
    <x v="38"/>
    <x v="1"/>
    <e v="#REF!"/>
    <e v="#REF!"/>
    <e v="#REF!"/>
    <n v="0.61111111111111116"/>
  </r>
  <r>
    <x v="2"/>
    <x v="35"/>
    <x v="0"/>
    <x v="11"/>
    <m/>
    <m/>
    <s v="CABIN_FILTER, TOYOTA INNOVA"/>
    <s v="CA-001294"/>
    <n v="1"/>
    <n v="300"/>
    <m/>
    <n v="300"/>
    <x v="0"/>
    <n v="315"/>
    <n v="100"/>
    <n v="100"/>
    <n v="105"/>
    <n v="195"/>
    <n v="0"/>
    <x v="12"/>
    <x v="2"/>
    <e v="#REF!"/>
    <e v="#REF!"/>
    <s v=""/>
    <n v="0.65"/>
  </r>
  <r>
    <x v="2"/>
    <x v="117"/>
    <x v="0"/>
    <x v="94"/>
    <m/>
    <n v="400"/>
    <s v="CABIN_FILTER, TOYOTA INNOVA"/>
    <s v="CA-001294"/>
    <n v="1"/>
    <n v="357"/>
    <m/>
    <n v="357"/>
    <x v="0"/>
    <n v="315"/>
    <n v="100"/>
    <n v="100"/>
    <n v="105"/>
    <n v="252"/>
    <n v="0"/>
    <x v="12"/>
    <x v="2"/>
    <e v="#REF!"/>
    <e v="#REF!"/>
    <n v="399.84000000000003"/>
    <n v="0.70588235294117652"/>
  </r>
  <r>
    <x v="2"/>
    <x v="117"/>
    <x v="5"/>
    <x v="37"/>
    <m/>
    <n v="300"/>
    <s v="CABIN_FILTER, TOYOTA VIOS"/>
    <s v="CA-001295"/>
    <n v="1"/>
    <n v="270"/>
    <m/>
    <n v="270"/>
    <x v="0"/>
    <n v="315"/>
    <n v="100"/>
    <n v="100"/>
    <n v="105"/>
    <n v="165"/>
    <n v="49.5"/>
    <x v="12"/>
    <x v="2"/>
    <e v="#REF!"/>
    <e v="#REF!"/>
    <n v="302.40000000000003"/>
    <n v="0.61111111111111116"/>
  </r>
  <r>
    <x v="2"/>
    <x v="38"/>
    <x v="0"/>
    <x v="17"/>
    <m/>
    <n v="300"/>
    <s v="CABIN_FILTER, TOYOTA INNOVA"/>
    <s v="CA-001294"/>
    <n v="1"/>
    <n v="268"/>
    <m/>
    <n v="268"/>
    <x v="0"/>
    <n v="315"/>
    <n v="100"/>
    <n v="100"/>
    <n v="105"/>
    <n v="163"/>
    <n v="0"/>
    <x v="12"/>
    <x v="2"/>
    <e v="#REF!"/>
    <e v="#REF!"/>
    <n v="300.16000000000003"/>
    <n v="0.60820895522388063"/>
  </r>
  <r>
    <x v="2"/>
    <x v="39"/>
    <x v="0"/>
    <x v="49"/>
    <m/>
    <n v="200"/>
    <s v="CABIN_FILTER, TOYOTA INNOVA"/>
    <s v="CA-001294"/>
    <n v="1"/>
    <n v="178"/>
    <m/>
    <n v="178"/>
    <x v="0"/>
    <n v="315"/>
    <n v="100"/>
    <n v="100"/>
    <n v="105"/>
    <n v="73"/>
    <n v="0"/>
    <x v="12"/>
    <x v="2"/>
    <e v="#REF!"/>
    <e v="#REF!"/>
    <n v="199.36"/>
    <n v="0.4101123595505618"/>
  </r>
  <r>
    <x v="4"/>
    <x v="95"/>
    <x v="2"/>
    <x v="7"/>
    <m/>
    <m/>
    <s v="EXP. VALVE LT, POKKA 9A62 ADVENTURE"/>
    <s v="CA-001413"/>
    <n v="1"/>
    <n v="550"/>
    <m/>
    <n v="550"/>
    <x v="0"/>
    <n v="478"/>
    <n v="260"/>
    <n v="260"/>
    <n v="273"/>
    <n v="277"/>
    <n v="83.1"/>
    <x v="23"/>
    <x v="2"/>
    <m/>
    <m/>
    <m/>
    <n v="0.50363636363636366"/>
  </r>
  <r>
    <x v="4"/>
    <x v="79"/>
    <x v="2"/>
    <x v="22"/>
    <m/>
    <n v="240"/>
    <s v="CABIN_FILTER, HONDA LARGE"/>
    <s v="CA-001422"/>
    <n v="2"/>
    <n v="215"/>
    <m/>
    <n v="430"/>
    <x v="0"/>
    <n v="378"/>
    <n v="120"/>
    <n v="240"/>
    <n v="252"/>
    <n v="178"/>
    <n v="53.4"/>
    <x v="12"/>
    <x v="2"/>
    <m/>
    <m/>
    <m/>
    <n v="0.413953488372093"/>
  </r>
  <r>
    <x v="4"/>
    <x v="80"/>
    <x v="2"/>
    <x v="9"/>
    <m/>
    <m/>
    <s v="EXP. VALVE LT, POKKA 9A62 ADVENTURE"/>
    <s v="CA-001413"/>
    <n v="1"/>
    <n v="550"/>
    <m/>
    <n v="550"/>
    <x v="0"/>
    <n v="478"/>
    <n v="260"/>
    <n v="260"/>
    <n v="273"/>
    <n v="277"/>
    <n v="83.1"/>
    <x v="23"/>
    <x v="2"/>
    <m/>
    <m/>
    <m/>
    <n v="0.50363636363636366"/>
  </r>
  <r>
    <x v="2"/>
    <x v="40"/>
    <x v="0"/>
    <x v="49"/>
    <m/>
    <n v="350"/>
    <s v="CABIN_FILTER, HYUNDAI ACCENT 2013"/>
    <s v="CA-001681"/>
    <n v="1"/>
    <n v="312"/>
    <m/>
    <n v="312"/>
    <x v="0"/>
    <n v="315"/>
    <n v="100"/>
    <n v="100"/>
    <n v="105"/>
    <n v="207"/>
    <n v="0"/>
    <x v="12"/>
    <x v="2"/>
    <e v="#REF!"/>
    <e v="#REF!"/>
    <n v="349.44000000000005"/>
    <n v="0.66346153846153844"/>
  </r>
  <r>
    <x v="2"/>
    <x v="44"/>
    <x v="0"/>
    <x v="23"/>
    <m/>
    <n v="300"/>
    <s v="CABIN_FILTER, TOYOTA INNOVA"/>
    <s v="CA-001294"/>
    <n v="1"/>
    <n v="270"/>
    <m/>
    <n v="270"/>
    <x v="0"/>
    <n v="315"/>
    <n v="100"/>
    <n v="100"/>
    <n v="105"/>
    <n v="165"/>
    <n v="0"/>
    <x v="12"/>
    <x v="2"/>
    <e v="#REF!"/>
    <e v="#REF!"/>
    <n v="302.40000000000003"/>
    <n v="0.61111111111111116"/>
  </r>
  <r>
    <x v="4"/>
    <x v="89"/>
    <x v="2"/>
    <x v="9"/>
    <m/>
    <m/>
    <s v="RECEIVER_DRIER_ALUMINUM, YK 8006 NAVARA"/>
    <s v="CA-001340"/>
    <n v="1"/>
    <n v="500"/>
    <m/>
    <n v="500"/>
    <x v="0"/>
    <n v="520"/>
    <n v="220"/>
    <n v="220"/>
    <n v="231"/>
    <n v="269"/>
    <n v="80.7"/>
    <x v="27"/>
    <x v="2"/>
    <m/>
    <m/>
    <m/>
    <n v="0.53800000000000003"/>
  </r>
  <r>
    <x v="2"/>
    <x v="58"/>
    <x v="0"/>
    <x v="11"/>
    <m/>
    <m/>
    <s v="CABIN_FILTER, TOYOTA INNOVA"/>
    <s v="CA-001294"/>
    <n v="1"/>
    <n v="300"/>
    <m/>
    <n v="300"/>
    <x v="0"/>
    <n v="315"/>
    <n v="100"/>
    <n v="100"/>
    <n v="105"/>
    <n v="195"/>
    <n v="0"/>
    <x v="12"/>
    <x v="2"/>
    <e v="#REF!"/>
    <e v="#REF!"/>
    <s v=""/>
    <n v="0.65"/>
  </r>
  <r>
    <x v="4"/>
    <x v="93"/>
    <x v="2"/>
    <x v="7"/>
    <m/>
    <m/>
    <s v="RECEIVER_DRIER_ALUMINUM, YK 8739 (S) (MONTERO)"/>
    <s v="CA-001118"/>
    <n v="1"/>
    <n v="550"/>
    <m/>
    <n v="550"/>
    <x v="0"/>
    <n v="520"/>
    <n v="220"/>
    <n v="220"/>
    <n v="231"/>
    <n v="319"/>
    <n v="95.7"/>
    <x v="27"/>
    <x v="2"/>
    <m/>
    <m/>
    <m/>
    <n v="0.57999999999999996"/>
  </r>
  <r>
    <x v="3"/>
    <x v="65"/>
    <x v="0"/>
    <x v="1"/>
    <m/>
    <m/>
    <s v="FITTINGS, BRASS FLARE NUT 3/4"/>
    <s v="IM-000251"/>
    <n v="2"/>
    <n v="95"/>
    <m/>
    <n v="190"/>
    <x v="0"/>
    <n v="91"/>
    <n v="50"/>
    <n v="100"/>
    <n v="103"/>
    <n v="87"/>
    <n v="0"/>
    <x v="33"/>
    <x v="0"/>
    <m/>
    <m/>
    <s v=""/>
    <n v="0.45789473684210524"/>
  </r>
  <r>
    <x v="3"/>
    <x v="66"/>
    <x v="0"/>
    <x v="11"/>
    <m/>
    <n v="300"/>
    <s v="CABIN_FILTER, TOYOTA WIGO"/>
    <s v="CA-000387"/>
    <n v="1"/>
    <n v="268"/>
    <m/>
    <n v="268"/>
    <x v="0"/>
    <n v="315"/>
    <n v="100"/>
    <n v="100"/>
    <n v="105"/>
    <n v="163"/>
    <n v="0"/>
    <x v="12"/>
    <x v="2"/>
    <m/>
    <m/>
    <n v="300.16000000000003"/>
    <n v="0.60820895522388063"/>
  </r>
  <r>
    <x v="4"/>
    <x v="75"/>
    <x v="2"/>
    <x v="22"/>
    <m/>
    <m/>
    <s v="CAPACITOR_SINGLE, PS CBB65 65 UF"/>
    <s v="GE-000080"/>
    <n v="1"/>
    <n v="470"/>
    <m/>
    <n v="470"/>
    <x v="0"/>
    <n v="405"/>
    <n v="220"/>
    <n v="220"/>
    <n v="231"/>
    <n v="239"/>
    <n v="71.7"/>
    <x v="38"/>
    <x v="1"/>
    <e v="#REF!"/>
    <e v="#REF!"/>
    <e v="#REF!"/>
    <n v="0"/>
  </r>
  <r>
    <x v="4"/>
    <x v="82"/>
    <x v="2"/>
    <x v="22"/>
    <m/>
    <m/>
    <s v="CAPACITOR_SINGLE, PS CBB65 65 UF"/>
    <s v="GE-000080"/>
    <n v="1"/>
    <n v="470"/>
    <m/>
    <n v="470"/>
    <x v="0"/>
    <n v="405"/>
    <n v="220"/>
    <n v="220"/>
    <n v="231"/>
    <n v="239"/>
    <n v="71.7"/>
    <x v="38"/>
    <x v="1"/>
    <e v="#REF!"/>
    <e v="#REF!"/>
    <e v="#REF!"/>
    <n v="0"/>
  </r>
  <r>
    <x v="4"/>
    <x v="108"/>
    <x v="2"/>
    <x v="7"/>
    <m/>
    <n v="300"/>
    <s v="CABIN_FILTER, TOYOTA HI-ACE"/>
    <s v="CA-001292"/>
    <n v="2"/>
    <n v="268"/>
    <m/>
    <n v="536"/>
    <x v="0"/>
    <n v="331"/>
    <n v="105"/>
    <n v="210"/>
    <n v="220.5"/>
    <n v="315.5"/>
    <n v="94.649999999999991"/>
    <x v="12"/>
    <x v="2"/>
    <m/>
    <m/>
    <m/>
    <n v="0.58861940298507465"/>
  </r>
  <r>
    <x v="3"/>
    <x v="71"/>
    <x v="0"/>
    <x v="1"/>
    <m/>
    <n v="400"/>
    <s v="CABIN_FILTER, TOYOTA INNOVA"/>
    <s v="CA-001294"/>
    <n v="1"/>
    <n v="360"/>
    <m/>
    <n v="360"/>
    <x v="0"/>
    <n v="315"/>
    <n v="100"/>
    <n v="100"/>
    <n v="105"/>
    <n v="255"/>
    <n v="0"/>
    <x v="12"/>
    <x v="2"/>
    <m/>
    <m/>
    <n v="403.20000000000005"/>
    <n v="0.70833333333333337"/>
  </r>
  <r>
    <x v="3"/>
    <x v="72"/>
    <x v="0"/>
    <x v="49"/>
    <m/>
    <n v="300"/>
    <s v="CABIN_FILTER, TOYOTA INNOVA"/>
    <s v="CA-001294"/>
    <n v="1"/>
    <n v="270"/>
    <m/>
    <n v="270"/>
    <x v="0"/>
    <n v="315"/>
    <n v="100"/>
    <n v="100"/>
    <n v="105"/>
    <n v="165"/>
    <n v="0"/>
    <x v="12"/>
    <x v="2"/>
    <m/>
    <m/>
    <n v="302.40000000000003"/>
    <n v="0.61111111111111116"/>
  </r>
  <r>
    <x v="4"/>
    <x v="94"/>
    <x v="2"/>
    <x v="22"/>
    <m/>
    <n v="220"/>
    <s v="CABIN_FILTER, TOYOTA HI-ACE"/>
    <s v="CA-001292"/>
    <n v="2"/>
    <n v="197"/>
    <m/>
    <n v="394"/>
    <x v="0"/>
    <n v="331"/>
    <n v="105"/>
    <n v="210"/>
    <n v="220.5"/>
    <n v="173.5"/>
    <n v="52.05"/>
    <x v="12"/>
    <x v="2"/>
    <m/>
    <m/>
    <m/>
    <n v="0.44035532994923859"/>
  </r>
  <r>
    <x v="4"/>
    <x v="108"/>
    <x v="2"/>
    <x v="7"/>
    <m/>
    <n v="300"/>
    <s v="CABIN_FILTER, TOYOTA INNOVA"/>
    <s v="CA-001294"/>
    <n v="2"/>
    <n v="268"/>
    <m/>
    <n v="536"/>
    <x v="0"/>
    <n v="315"/>
    <n v="100"/>
    <n v="200"/>
    <n v="210"/>
    <n v="326"/>
    <n v="97.8"/>
    <x v="12"/>
    <x v="2"/>
    <m/>
    <m/>
    <m/>
    <n v="0.60820895522388063"/>
  </r>
  <r>
    <x v="3"/>
    <x v="85"/>
    <x v="0"/>
    <x v="49"/>
    <m/>
    <m/>
    <s v="CABIN_FILTER, TOYOTA INNOVA"/>
    <s v="CA-001294"/>
    <n v="1"/>
    <n v="300"/>
    <m/>
    <n v="300"/>
    <x v="0"/>
    <n v="315"/>
    <n v="100"/>
    <n v="100"/>
    <n v="105"/>
    <n v="195"/>
    <n v="0"/>
    <x v="12"/>
    <x v="2"/>
    <m/>
    <m/>
    <m/>
    <n v="0.65"/>
  </r>
  <r>
    <x v="4"/>
    <x v="108"/>
    <x v="2"/>
    <x v="7"/>
    <m/>
    <n v="300"/>
    <s v="CABIN_FILTER, TOYOTA VIOS"/>
    <s v="CA-001295"/>
    <n v="2"/>
    <n v="268"/>
    <m/>
    <n v="536"/>
    <x v="0"/>
    <n v="315"/>
    <n v="100"/>
    <n v="200"/>
    <n v="210"/>
    <n v="326"/>
    <n v="97.8"/>
    <x v="12"/>
    <x v="2"/>
    <m/>
    <m/>
    <m/>
    <n v="0.60820895522388063"/>
  </r>
  <r>
    <x v="4"/>
    <x v="108"/>
    <x v="2"/>
    <x v="7"/>
    <m/>
    <n v="300"/>
    <s v="CABIN_FILTER, TOYOTA WIGO"/>
    <s v="CA-000387"/>
    <n v="2"/>
    <n v="268"/>
    <m/>
    <n v="536"/>
    <x v="0"/>
    <n v="315"/>
    <n v="100"/>
    <n v="200"/>
    <n v="210"/>
    <n v="326"/>
    <n v="97.8"/>
    <x v="12"/>
    <x v="2"/>
    <m/>
    <m/>
    <m/>
    <n v="0.60820895522388063"/>
  </r>
  <r>
    <x v="4"/>
    <x v="79"/>
    <x v="2"/>
    <x v="22"/>
    <m/>
    <n v="220"/>
    <s v="CABIN_FILTER, TOYOTA WIGO"/>
    <s v="CA-000387"/>
    <n v="2"/>
    <n v="197"/>
    <m/>
    <n v="394"/>
    <x v="0"/>
    <n v="315"/>
    <n v="100"/>
    <n v="200"/>
    <n v="210"/>
    <n v="184"/>
    <n v="55.199999999999996"/>
    <x v="12"/>
    <x v="2"/>
    <m/>
    <m/>
    <m/>
    <n v="0.46700507614213199"/>
  </r>
  <r>
    <x v="4"/>
    <x v="93"/>
    <x v="2"/>
    <x v="7"/>
    <m/>
    <m/>
    <s v="EXP. VALVE LT, STAL 9A63 MONTERO TRITON (STAL)"/>
    <s v="CA-001779"/>
    <n v="1"/>
    <n v="550"/>
    <m/>
    <n v="550"/>
    <x v="0"/>
    <n v="390"/>
    <n v="195"/>
    <n v="195"/>
    <n v="204.75"/>
    <n v="345.25"/>
    <n v="103.575"/>
    <x v="23"/>
    <x v="2"/>
    <m/>
    <m/>
    <m/>
    <n v="0.62772727272727269"/>
  </r>
  <r>
    <x v="4"/>
    <x v="102"/>
    <x v="0"/>
    <x v="1"/>
    <m/>
    <m/>
    <s v="CABIN_FILTER, TOYOTA INNOVA"/>
    <s v="CA-001294"/>
    <n v="1"/>
    <n v="300"/>
    <m/>
    <n v="300"/>
    <x v="0"/>
    <n v="315"/>
    <n v="100"/>
    <n v="100"/>
    <n v="105"/>
    <n v="195"/>
    <n v="0"/>
    <x v="12"/>
    <x v="2"/>
    <m/>
    <m/>
    <m/>
    <n v="0.65"/>
  </r>
  <r>
    <x v="4"/>
    <x v="103"/>
    <x v="2"/>
    <x v="7"/>
    <m/>
    <m/>
    <s v="RECEIVER_DRIER_STEEL , MAXX 3/8 (O) 4-HOLES"/>
    <s v="CA-001132"/>
    <n v="1"/>
    <n v="500"/>
    <m/>
    <n v="500"/>
    <x v="0"/>
    <n v="399"/>
    <n v="185"/>
    <n v="185"/>
    <n v="194.25"/>
    <n v="305.75"/>
    <n v="91.724999999999994"/>
    <x v="17"/>
    <x v="2"/>
    <m/>
    <m/>
    <m/>
    <n v="0.61150000000000004"/>
  </r>
  <r>
    <x v="4"/>
    <x v="90"/>
    <x v="0"/>
    <x v="1"/>
    <m/>
    <n v="270"/>
    <s v="CAPACITOR_SINGLE, PS CBB65 12 UF"/>
    <s v="GE-000061"/>
    <n v="1"/>
    <n v="245"/>
    <m/>
    <n v="245"/>
    <x v="0"/>
    <n v="184"/>
    <n v="100"/>
    <n v="100"/>
    <n v="105"/>
    <n v="140"/>
    <n v="0"/>
    <x v="38"/>
    <x v="1"/>
    <m/>
    <m/>
    <m/>
    <n v="0.5714285714285714"/>
  </r>
  <r>
    <x v="4"/>
    <x v="92"/>
    <x v="0"/>
    <x v="131"/>
    <m/>
    <n v="270"/>
    <s v="CAPACITOR_SINGLE, PS CBB65 15 UF"/>
    <s v="GE-000062"/>
    <n v="1"/>
    <n v="245"/>
    <m/>
    <n v="245"/>
    <x v="0"/>
    <n v="184"/>
    <n v="100"/>
    <n v="100"/>
    <n v="105"/>
    <n v="140"/>
    <n v="0"/>
    <x v="38"/>
    <x v="1"/>
    <m/>
    <m/>
    <m/>
    <n v="0.5714285714285714"/>
  </r>
  <r>
    <x v="4"/>
    <x v="95"/>
    <x v="1"/>
    <x v="3"/>
    <m/>
    <m/>
    <s v="CHARGING_VALVE,  LOW"/>
    <s v="GE-000092"/>
    <n v="1"/>
    <n v="100"/>
    <m/>
    <n v="100"/>
    <x v="0"/>
    <n v="92"/>
    <n v="35"/>
    <n v="35"/>
    <n v="36.75"/>
    <n v="63.25"/>
    <n v="18.974999999999998"/>
    <x v="40"/>
    <x v="1"/>
    <m/>
    <m/>
    <m/>
    <n v="0.63249999999999995"/>
  </r>
  <r>
    <x v="4"/>
    <x v="95"/>
    <x v="1"/>
    <x v="3"/>
    <m/>
    <m/>
    <s v="CHARGING_VALVE,  HIGH"/>
    <s v="GE-000119"/>
    <n v="1"/>
    <n v="100"/>
    <m/>
    <n v="100"/>
    <x v="0"/>
    <n v="92"/>
    <n v="35"/>
    <n v="35"/>
    <n v="36.75"/>
    <n v="63.25"/>
    <n v="18.974999999999998"/>
    <x v="40"/>
    <x v="1"/>
    <m/>
    <m/>
    <m/>
    <n v="0.63249999999999995"/>
  </r>
  <r>
    <x v="4"/>
    <x v="103"/>
    <x v="1"/>
    <x v="3"/>
    <m/>
    <m/>
    <s v="REFRIGERANT, ENTALPIA EUROPE R134A 13.6   4/8/26 NBO"/>
    <s v="GE-000510"/>
    <n v="1"/>
    <n v="8700"/>
    <m/>
    <n v="8700"/>
    <x v="0"/>
    <n v="0"/>
    <n v="0"/>
    <n v="0"/>
    <n v="0"/>
    <n v="8700"/>
    <n v="2610"/>
    <x v="13"/>
    <x v="3"/>
    <m/>
    <m/>
    <m/>
    <n v="1"/>
  </r>
  <r>
    <x v="4"/>
    <x v="103"/>
    <x v="1"/>
    <x v="3"/>
    <m/>
    <m/>
    <s v="AUXFAN_MOTOR, MITSUBISHI MONTERO (ORIG) SILVER"/>
    <s v="CA-000055"/>
    <n v="1"/>
    <n v="1600"/>
    <m/>
    <n v="1600"/>
    <x v="0"/>
    <n v="1838"/>
    <n v="1000"/>
    <n v="1000"/>
    <n v="1050"/>
    <n v="550"/>
    <n v="165"/>
    <x v="14"/>
    <x v="2"/>
    <m/>
    <m/>
    <m/>
    <n v="0.34375"/>
  </r>
  <r>
    <x v="4"/>
    <x v="94"/>
    <x v="2"/>
    <x v="22"/>
    <m/>
    <m/>
    <s v="LUBRICANT, EMKARATE RL 68H, 1 LITER"/>
    <s v="GE-000135"/>
    <n v="1"/>
    <n v="380"/>
    <m/>
    <n v="380"/>
    <x v="0"/>
    <n v="331"/>
    <n v="180"/>
    <n v="180"/>
    <n v="189"/>
    <n v="191"/>
    <n v="57.3"/>
    <x v="9"/>
    <x v="1"/>
    <m/>
    <m/>
    <m/>
    <n v="0.50263157894736843"/>
  </r>
  <r>
    <x v="4"/>
    <x v="103"/>
    <x v="1"/>
    <x v="3"/>
    <m/>
    <m/>
    <s v="AUXIALLIARY_FAN, STAL 10 BLADES X 12VOLTS"/>
    <s v="CA-000117"/>
    <n v="1"/>
    <n v="600"/>
    <m/>
    <n v="600"/>
    <x v="0"/>
    <n v="625"/>
    <n v="340"/>
    <n v="340"/>
    <n v="357"/>
    <n v="243"/>
    <n v="72.899999999999991"/>
    <x v="16"/>
    <x v="2"/>
    <m/>
    <m/>
    <m/>
    <n v="0.40500000000000003"/>
  </r>
  <r>
    <x v="4"/>
    <x v="103"/>
    <x v="1"/>
    <x v="3"/>
    <m/>
    <m/>
    <s v="RECEIVER_DRIER_STEEL , MAXX 5116 (L300 F/B)"/>
    <s v="CA-001134"/>
    <n v="1"/>
    <n v="600"/>
    <m/>
    <n v="600"/>
    <x v="0"/>
    <n v="686"/>
    <n v="290"/>
    <n v="290"/>
    <n v="304.5"/>
    <n v="295.5"/>
    <n v="88.649999999999991"/>
    <x v="17"/>
    <x v="2"/>
    <m/>
    <m/>
    <m/>
    <n v="0.49249999999999999"/>
  </r>
  <r>
    <x v="4"/>
    <x v="93"/>
    <x v="2"/>
    <x v="9"/>
    <m/>
    <m/>
    <s v="FITTINGS, STRAIGHT ORING TYPE 5/8"/>
    <s v="CA-000677"/>
    <n v="10"/>
    <n v="40"/>
    <m/>
    <n v="400"/>
    <x v="0"/>
    <n v="30"/>
    <n v="16"/>
    <n v="160"/>
    <n v="168"/>
    <n v="232"/>
    <n v="69.599999999999994"/>
    <x v="33"/>
    <x v="2"/>
    <m/>
    <m/>
    <m/>
    <n v="0.57999999999999996"/>
  </r>
  <r>
    <x v="4"/>
    <x v="103"/>
    <x v="1"/>
    <x v="3"/>
    <m/>
    <m/>
    <s v="EXP. VALVE SC, HONDA OVERSIZE / FX R134A"/>
    <s v="CA-000569"/>
    <n v="1"/>
    <n v="450"/>
    <m/>
    <n v="450"/>
    <x v="0"/>
    <n v="478"/>
    <n v="260"/>
    <n v="260"/>
    <n v="273"/>
    <n v="177"/>
    <n v="53.1"/>
    <x v="34"/>
    <x v="2"/>
    <m/>
    <m/>
    <m/>
    <n v="0.39333333333333331"/>
  </r>
  <r>
    <x v="4"/>
    <x v="103"/>
    <x v="1"/>
    <x v="3"/>
    <m/>
    <m/>
    <s v="EXP. VALVE LT, POKKA 9A55 HONDA NEW"/>
    <s v="CA-000636"/>
    <n v="1"/>
    <n v="550"/>
    <m/>
    <n v="550"/>
    <x v="0"/>
    <n v="497"/>
    <n v="270"/>
    <n v="270"/>
    <n v="283.5"/>
    <n v="266.5"/>
    <n v="79.95"/>
    <x v="23"/>
    <x v="2"/>
    <m/>
    <m/>
    <m/>
    <n v="0.48454545454545456"/>
  </r>
  <r>
    <x v="4"/>
    <x v="103"/>
    <x v="1"/>
    <x v="3"/>
    <m/>
    <m/>
    <s v="EXP. VALVE SC, MITSUBISHI ORING TYPE 3/8"/>
    <s v="CA-000566"/>
    <n v="1"/>
    <n v="450"/>
    <m/>
    <n v="450"/>
    <x v="0"/>
    <n v="478"/>
    <n v="260"/>
    <n v="260"/>
    <n v="273"/>
    <n v="177"/>
    <n v="53.1"/>
    <x v="34"/>
    <x v="2"/>
    <m/>
    <m/>
    <m/>
    <n v="0.39333333333333331"/>
  </r>
  <r>
    <x v="0"/>
    <x v="6"/>
    <x v="0"/>
    <x v="8"/>
    <m/>
    <m/>
    <s v="FITTINGS, STRAIGHT FLARE TYPE 5/8"/>
    <s v="CA-000673"/>
    <n v="6"/>
    <n v="40"/>
    <m/>
    <n v="240"/>
    <x v="0"/>
    <n v="30"/>
    <n v="16"/>
    <n v="96"/>
    <n v="100.80000000000001"/>
    <n v="139.19999999999999"/>
    <n v="0"/>
    <x v="33"/>
    <x v="2"/>
    <m/>
    <m/>
    <s v=""/>
    <n v="0.57999999999999996"/>
  </r>
  <r>
    <x v="4"/>
    <x v="75"/>
    <x v="0"/>
    <x v="98"/>
    <m/>
    <m/>
    <s v="FITTINGS, BRASS FLARE NUT 3/8"/>
    <s v="IM-000050"/>
    <n v="4"/>
    <n v="55"/>
    <m/>
    <n v="220"/>
    <x v="0"/>
    <n v="44"/>
    <n v="24"/>
    <n v="96"/>
    <n v="98.88"/>
    <n v="121.12"/>
    <n v="0"/>
    <x v="33"/>
    <x v="0"/>
    <e v="#REF!"/>
    <e v="#REF!"/>
    <e v="#REF!"/>
    <n v="0"/>
  </r>
  <r>
    <x v="4"/>
    <x v="75"/>
    <x v="0"/>
    <x v="98"/>
    <m/>
    <m/>
    <s v="FITTINGS, BRASS FLARE NUT 1/2"/>
    <s v="IM-000048"/>
    <n v="4"/>
    <n v="65"/>
    <m/>
    <n v="260"/>
    <x v="0"/>
    <n v="51"/>
    <n v="28"/>
    <n v="112"/>
    <n v="115.36"/>
    <n v="144.63999999999999"/>
    <n v="0"/>
    <x v="33"/>
    <x v="0"/>
    <e v="#REF!"/>
    <e v="#REF!"/>
    <e v="#REF!"/>
    <n v="0"/>
  </r>
  <r>
    <x v="0"/>
    <x v="13"/>
    <x v="1"/>
    <x v="5"/>
    <m/>
    <m/>
    <s v="ADAPTOR, OPEN VALVE R600 (GREEN)"/>
    <s v="TL-000008"/>
    <n v="1"/>
    <n v="250"/>
    <m/>
    <n v="250"/>
    <x v="0"/>
    <n v="175"/>
    <n v="95"/>
    <n v="95"/>
    <n v="99.75"/>
    <n v="150.25"/>
    <n v="45.074999999999996"/>
    <x v="71"/>
    <x v="4"/>
    <e v="#REF!"/>
    <e v="#REF!"/>
    <s v=""/>
    <n v="0.60099999999999998"/>
  </r>
  <r>
    <x v="1"/>
    <x v="29"/>
    <x v="0"/>
    <x v="128"/>
    <m/>
    <n v="200"/>
    <s v="ADAPTOR, OPEN VALVE R600 (GREEN)"/>
    <s v="TL-000008"/>
    <n v="1"/>
    <n v="179"/>
    <m/>
    <n v="179"/>
    <x v="0"/>
    <n v="175"/>
    <n v="95"/>
    <n v="95"/>
    <n v="99.75"/>
    <n v="79.25"/>
    <n v="0"/>
    <x v="71"/>
    <x v="4"/>
    <e v="#REF!"/>
    <e v="#REF!"/>
    <e v="#REF!"/>
    <n v="0.44273743016759776"/>
  </r>
  <r>
    <x v="3"/>
    <x v="68"/>
    <x v="0"/>
    <x v="27"/>
    <m/>
    <m/>
    <s v="ADAPTOR, OPEN VALVE R600 (GREEN)"/>
    <s v="TL-000008"/>
    <n v="1"/>
    <n v="200"/>
    <m/>
    <n v="200"/>
    <x v="0"/>
    <n v="175"/>
    <n v="95"/>
    <n v="95"/>
    <n v="99.75"/>
    <n v="100.25"/>
    <n v="0"/>
    <x v="71"/>
    <x v="4"/>
    <m/>
    <m/>
    <s v=""/>
    <n v="0.50124999999999997"/>
  </r>
  <r>
    <x v="3"/>
    <x v="71"/>
    <x v="0"/>
    <x v="1"/>
    <m/>
    <m/>
    <s v="ADAPTOR, OPEN VALVE R600 (GREEN)"/>
    <s v="TL-000008"/>
    <n v="1"/>
    <n v="250"/>
    <m/>
    <n v="250"/>
    <x v="0"/>
    <n v="175"/>
    <n v="95"/>
    <n v="95"/>
    <n v="99.75"/>
    <n v="150.25"/>
    <n v="0"/>
    <x v="71"/>
    <x v="4"/>
    <m/>
    <m/>
    <s v=""/>
    <n v="0.60099999999999998"/>
  </r>
  <r>
    <x v="3"/>
    <x v="71"/>
    <x v="0"/>
    <x v="62"/>
    <m/>
    <m/>
    <s v="ADAPTOR, OPEN VALVE R600 (GREEN)"/>
    <s v="TL-000008"/>
    <n v="1"/>
    <n v="250"/>
    <m/>
    <n v="250"/>
    <x v="0"/>
    <n v="175"/>
    <n v="95"/>
    <n v="95"/>
    <n v="99.75"/>
    <n v="150.25"/>
    <n v="0"/>
    <x v="71"/>
    <x v="4"/>
    <m/>
    <m/>
    <s v=""/>
    <n v="0.60099999999999998"/>
  </r>
  <r>
    <x v="3"/>
    <x v="85"/>
    <x v="0"/>
    <x v="1"/>
    <m/>
    <m/>
    <s v="ADAPTOR, POKKA R134A (RED)"/>
    <s v="TL-000009"/>
    <n v="1"/>
    <n v="250"/>
    <m/>
    <n v="250"/>
    <x v="0"/>
    <n v="175"/>
    <n v="95"/>
    <n v="95"/>
    <n v="99.75"/>
    <n v="150.25"/>
    <n v="0"/>
    <x v="71"/>
    <x v="4"/>
    <m/>
    <m/>
    <m/>
    <n v="0.60099999999999998"/>
  </r>
  <r>
    <x v="4"/>
    <x v="92"/>
    <x v="0"/>
    <x v="41"/>
    <m/>
    <n v="250"/>
    <s v="ADAPTOR, OPEN VALVE R600 (GREEN)"/>
    <s v="TL-000008"/>
    <n v="1"/>
    <n v="225"/>
    <m/>
    <n v="225"/>
    <x v="0"/>
    <n v="175"/>
    <n v="95"/>
    <n v="95"/>
    <n v="99.75"/>
    <n v="125.25"/>
    <n v="0"/>
    <x v="71"/>
    <x v="4"/>
    <m/>
    <m/>
    <m/>
    <n v="0.55666666666666664"/>
  </r>
  <r>
    <x v="4"/>
    <x v="110"/>
    <x v="0"/>
    <x v="1"/>
    <m/>
    <n v="250"/>
    <s v="ADAPTOR, POKKA R134A (RED)"/>
    <s v="TL-000009"/>
    <n v="1"/>
    <n v="225"/>
    <m/>
    <n v="225"/>
    <x v="0"/>
    <n v="175"/>
    <n v="95"/>
    <n v="95"/>
    <n v="99.75"/>
    <n v="125.25"/>
    <n v="0"/>
    <x v="71"/>
    <x v="4"/>
    <m/>
    <m/>
    <m/>
    <n v="0.55666666666666664"/>
  </r>
  <r>
    <x v="4"/>
    <x v="94"/>
    <x v="0"/>
    <x v="1"/>
    <m/>
    <m/>
    <s v="ADAPTOR, POKKA R134A (RED)"/>
    <s v="TL-000009"/>
    <n v="1"/>
    <n v="250"/>
    <m/>
    <n v="250"/>
    <x v="0"/>
    <n v="175"/>
    <n v="95"/>
    <n v="95"/>
    <n v="99.75"/>
    <n v="150.25"/>
    <n v="0"/>
    <x v="71"/>
    <x v="4"/>
    <m/>
    <m/>
    <m/>
    <n v="0.60099999999999998"/>
  </r>
  <r>
    <x v="4"/>
    <x v="75"/>
    <x v="0"/>
    <x v="98"/>
    <m/>
    <m/>
    <s v="ADAPTOR, OPEN VALVE R600 (GREEN)"/>
    <s v="TL-000008"/>
    <n v="1"/>
    <n v="250"/>
    <m/>
    <n v="250"/>
    <x v="0"/>
    <n v="175"/>
    <n v="95"/>
    <n v="95"/>
    <n v="99.75"/>
    <n v="150.25"/>
    <n v="0"/>
    <x v="71"/>
    <x v="4"/>
    <e v="#REF!"/>
    <e v="#REF!"/>
    <e v="#REF!"/>
    <n v="0"/>
  </r>
  <r>
    <x v="4"/>
    <x v="75"/>
    <x v="0"/>
    <x v="1"/>
    <m/>
    <m/>
    <s v="ADAPTOR, OPEN VALVE R600 (GREEN)"/>
    <s v="TL-000008"/>
    <n v="1"/>
    <n v="250"/>
    <m/>
    <n v="250"/>
    <x v="0"/>
    <n v="175"/>
    <n v="95"/>
    <n v="95"/>
    <n v="99.75"/>
    <n v="150.25"/>
    <n v="0"/>
    <x v="71"/>
    <x v="4"/>
    <e v="#REF!"/>
    <e v="#REF!"/>
    <e v="#REF!"/>
    <n v="0"/>
  </r>
  <r>
    <x v="4"/>
    <x v="107"/>
    <x v="0"/>
    <x v="1"/>
    <m/>
    <m/>
    <s v="HOSE,  DRAIN 5/8 PER METER"/>
    <s v="GE-000420"/>
    <n v="3"/>
    <n v="70"/>
    <m/>
    <n v="210"/>
    <x v="0"/>
    <n v="82"/>
    <n v="31"/>
    <n v="93"/>
    <n v="97.65"/>
    <n v="112.35"/>
    <n v="0"/>
    <x v="19"/>
    <x v="1"/>
    <m/>
    <m/>
    <m/>
    <n v="0.53499999999999992"/>
  </r>
  <r>
    <x v="4"/>
    <x v="88"/>
    <x v="0"/>
    <x v="32"/>
    <m/>
    <m/>
    <s v="HOSE,  DRAIN 5/8 PER METER"/>
    <s v="GE-000420"/>
    <n v="3"/>
    <n v="70"/>
    <m/>
    <n v="210"/>
    <x v="0"/>
    <n v="82"/>
    <n v="31"/>
    <n v="93"/>
    <n v="97.65"/>
    <n v="112.35"/>
    <n v="0"/>
    <x v="19"/>
    <x v="1"/>
    <m/>
    <m/>
    <m/>
    <n v="0.53499999999999992"/>
  </r>
  <r>
    <x v="4"/>
    <x v="79"/>
    <x v="0"/>
    <x v="32"/>
    <m/>
    <m/>
    <s v="HOSE,  DRAIN 5/8 PER METER"/>
    <s v="GE-000420"/>
    <n v="3"/>
    <n v="70"/>
    <m/>
    <n v="210"/>
    <x v="0"/>
    <n v="82"/>
    <n v="31"/>
    <n v="93"/>
    <n v="97.65"/>
    <n v="112.35"/>
    <n v="0"/>
    <x v="19"/>
    <x v="1"/>
    <m/>
    <m/>
    <m/>
    <n v="0.53499999999999992"/>
  </r>
  <r>
    <x v="0"/>
    <x v="1"/>
    <x v="0"/>
    <x v="1"/>
    <m/>
    <m/>
    <s v="RUBBER_INSULATION, M-FLEX 1/2&quot; 1/2"/>
    <s v="IM-000227"/>
    <n v="2"/>
    <n v="65"/>
    <m/>
    <n v="130"/>
    <x v="0"/>
    <n v="65"/>
    <n v="46.4"/>
    <n v="92.8"/>
    <n v="95.584000000000003"/>
    <n v="34.415999999999997"/>
    <n v="0"/>
    <x v="22"/>
    <x v="0"/>
    <m/>
    <m/>
    <s v=""/>
    <n v="0.26473846153846153"/>
  </r>
  <r>
    <x v="0"/>
    <x v="2"/>
    <x v="0"/>
    <x v="1"/>
    <m/>
    <m/>
    <s v="RUBBER_INSULATION, M-FLEX 1/2&quot; 1/2"/>
    <s v="IM-000227"/>
    <n v="2"/>
    <n v="65"/>
    <m/>
    <n v="130"/>
    <x v="0"/>
    <n v="65"/>
    <n v="46.4"/>
    <n v="92.8"/>
    <n v="95.584000000000003"/>
    <n v="34.415999999999997"/>
    <n v="0"/>
    <x v="22"/>
    <x v="0"/>
    <m/>
    <m/>
    <s v=""/>
    <n v="0.26473846153846153"/>
  </r>
  <r>
    <x v="0"/>
    <x v="99"/>
    <x v="0"/>
    <x v="1"/>
    <m/>
    <m/>
    <s v="RUBBER_INSULATION, M-FLEX 1/2&quot; 1/2"/>
    <s v="IM-000227"/>
    <n v="2"/>
    <n v="65"/>
    <m/>
    <n v="130"/>
    <x v="0"/>
    <n v="65"/>
    <n v="46.4"/>
    <n v="92.8"/>
    <n v="95.584000000000003"/>
    <n v="34.415999999999997"/>
    <n v="0"/>
    <x v="22"/>
    <x v="0"/>
    <m/>
    <m/>
    <s v=""/>
    <n v="0.26473846153846153"/>
  </r>
  <r>
    <x v="0"/>
    <x v="8"/>
    <x v="0"/>
    <x v="1"/>
    <m/>
    <m/>
    <s v="RUBBER_INSULATION, M-FLEX 1/2&quot; 1/2"/>
    <s v="IM-000227"/>
    <n v="2"/>
    <n v="65"/>
    <m/>
    <n v="130"/>
    <x v="0"/>
    <n v="65"/>
    <n v="46.4"/>
    <n v="92.8"/>
    <n v="95.584000000000003"/>
    <n v="34.415999999999997"/>
    <n v="0"/>
    <x v="22"/>
    <x v="0"/>
    <m/>
    <m/>
    <s v=""/>
    <n v="0.26473846153846153"/>
  </r>
  <r>
    <x v="0"/>
    <x v="9"/>
    <x v="0"/>
    <x v="1"/>
    <m/>
    <m/>
    <s v="RUBBER_INSULATION, M-FLEX 1/2&quot; 1/2"/>
    <s v="IM-000227"/>
    <n v="2"/>
    <n v="65"/>
    <m/>
    <n v="130"/>
    <x v="0"/>
    <n v="65"/>
    <n v="46.4"/>
    <n v="92.8"/>
    <n v="95.584000000000003"/>
    <n v="34.415999999999997"/>
    <n v="0"/>
    <x v="22"/>
    <x v="0"/>
    <e v="#REF!"/>
    <e v="#REF!"/>
    <s v=""/>
    <n v="0.26473846153846153"/>
  </r>
  <r>
    <x v="0"/>
    <x v="10"/>
    <x v="0"/>
    <x v="1"/>
    <m/>
    <m/>
    <s v="RUBBER_INSULATION, M-FLEX 1/2&quot; 1/2"/>
    <s v="IM-000227"/>
    <n v="2"/>
    <n v="65"/>
    <m/>
    <n v="130"/>
    <x v="0"/>
    <n v="65"/>
    <n v="46.4"/>
    <n v="92.8"/>
    <n v="95.584000000000003"/>
    <n v="34.415999999999997"/>
    <n v="0"/>
    <x v="22"/>
    <x v="0"/>
    <e v="#REF!"/>
    <e v="#REF!"/>
    <s v=""/>
    <n v="0.26473846153846153"/>
  </r>
  <r>
    <x v="0"/>
    <x v="13"/>
    <x v="0"/>
    <x v="1"/>
    <m/>
    <m/>
    <s v="RUBBER_INSULATION, M-FLEX 1/2&quot; 1/2"/>
    <s v="IM-000227"/>
    <n v="2"/>
    <n v="65"/>
    <m/>
    <n v="130"/>
    <x v="0"/>
    <n v="65"/>
    <n v="46.4"/>
    <n v="92.8"/>
    <n v="95.584000000000003"/>
    <n v="34.415999999999997"/>
    <n v="0"/>
    <x v="22"/>
    <x v="0"/>
    <e v="#REF!"/>
    <e v="#REF!"/>
    <s v=""/>
    <n v="0.26473846153846153"/>
  </r>
  <r>
    <x v="0"/>
    <x v="13"/>
    <x v="0"/>
    <x v="1"/>
    <m/>
    <m/>
    <s v="RUBBER_INSULATION, M-FLEX 1/2&quot; 1/2"/>
    <s v="IM-000227"/>
    <n v="2"/>
    <n v="65"/>
    <m/>
    <n v="130"/>
    <x v="0"/>
    <n v="65"/>
    <n v="46.4"/>
    <n v="92.8"/>
    <n v="95.584000000000003"/>
    <n v="34.415999999999997"/>
    <n v="0"/>
    <x v="22"/>
    <x v="0"/>
    <e v="#REF!"/>
    <e v="#REF!"/>
    <s v=""/>
    <n v="0.26473846153846153"/>
  </r>
  <r>
    <x v="0"/>
    <x v="13"/>
    <x v="0"/>
    <x v="1"/>
    <m/>
    <m/>
    <s v="RUBBER_INSULATION, M-FLEX 1/2&quot; 1/2"/>
    <s v="IM-000227"/>
    <n v="2"/>
    <n v="55"/>
    <m/>
    <n v="110"/>
    <x v="0"/>
    <n v="65"/>
    <n v="46.4"/>
    <n v="92.8"/>
    <n v="95.584000000000003"/>
    <n v="14.415999999999997"/>
    <n v="0"/>
    <x v="22"/>
    <x v="0"/>
    <e v="#REF!"/>
    <e v="#REF!"/>
    <s v=""/>
    <n v="0.13105454545454542"/>
  </r>
  <r>
    <x v="1"/>
    <x v="33"/>
    <x v="0"/>
    <x v="27"/>
    <m/>
    <m/>
    <s v="RUBBER_INSULATION, M-FLEX 1/2&quot; 1/2"/>
    <s v="IM-000227"/>
    <n v="2"/>
    <n v="65"/>
    <m/>
    <n v="130"/>
    <x v="0"/>
    <n v="65"/>
    <n v="46.4"/>
    <n v="92.8"/>
    <n v="95.584000000000003"/>
    <n v="34.415999999999997"/>
    <n v="0"/>
    <x v="22"/>
    <x v="0"/>
    <e v="#REF!"/>
    <e v="#REF!"/>
    <e v="#REF!"/>
    <n v="0"/>
  </r>
  <r>
    <x v="2"/>
    <x v="36"/>
    <x v="0"/>
    <x v="27"/>
    <m/>
    <m/>
    <s v="RUBBER_INSULATION, M-FLEX 1/2&quot; 1/2"/>
    <s v="IM-000227"/>
    <n v="2"/>
    <n v="65"/>
    <m/>
    <n v="130"/>
    <x v="0"/>
    <n v="65"/>
    <n v="46.4"/>
    <n v="92.8"/>
    <n v="95.584000000000003"/>
    <n v="34.415999999999997"/>
    <n v="0"/>
    <x v="22"/>
    <x v="0"/>
    <e v="#REF!"/>
    <e v="#REF!"/>
    <s v=""/>
    <n v="0.26473846153846153"/>
  </r>
  <r>
    <x v="2"/>
    <x v="42"/>
    <x v="0"/>
    <x v="27"/>
    <m/>
    <m/>
    <s v="RUBBER_INSULATION, M-FLEX 1/2&quot; 1/2"/>
    <s v="IM-000227"/>
    <n v="2"/>
    <n v="65"/>
    <m/>
    <n v="130"/>
    <x v="0"/>
    <n v="65"/>
    <n v="46.4"/>
    <n v="92.8"/>
    <n v="95.584000000000003"/>
    <n v="34.415999999999997"/>
    <n v="0"/>
    <x v="22"/>
    <x v="0"/>
    <e v="#REF!"/>
    <e v="#REF!"/>
    <s v=""/>
    <n v="0.26473846153846153"/>
  </r>
  <r>
    <x v="2"/>
    <x v="51"/>
    <x v="0"/>
    <x v="33"/>
    <m/>
    <m/>
    <s v="RUBBER_INSULATION, M-FLEX 1/2&quot; 1/2"/>
    <s v="IM-000227"/>
    <n v="2"/>
    <n v="65"/>
    <m/>
    <n v="130"/>
    <x v="0"/>
    <n v="65"/>
    <n v="46.4"/>
    <n v="92.8"/>
    <n v="95.584000000000003"/>
    <n v="34.415999999999997"/>
    <n v="0"/>
    <x v="22"/>
    <x v="0"/>
    <e v="#REF!"/>
    <e v="#REF!"/>
    <s v=""/>
    <n v="0.26473846153846153"/>
  </r>
  <r>
    <x v="3"/>
    <x v="61"/>
    <x v="5"/>
    <x v="37"/>
    <m/>
    <m/>
    <s v="RUBBER_INSULATION, M-FLEX 1/2&quot; 1/2"/>
    <s v="IM-000227"/>
    <n v="2"/>
    <n v="65"/>
    <m/>
    <n v="130"/>
    <x v="0"/>
    <n v="65"/>
    <n v="46.4"/>
    <n v="92.8"/>
    <n v="95.584000000000003"/>
    <n v="34.415999999999997"/>
    <n v="10.324799999999998"/>
    <x v="22"/>
    <x v="0"/>
    <m/>
    <m/>
    <s v=""/>
    <n v="0.26473846153846153"/>
  </r>
  <r>
    <x v="3"/>
    <x v="61"/>
    <x v="6"/>
    <x v="39"/>
    <m/>
    <m/>
    <s v="RUBBER_INSULATION, M-FLEX 1/2&quot; 1/2"/>
    <s v="IM-000227"/>
    <n v="2"/>
    <n v="65"/>
    <m/>
    <n v="130"/>
    <x v="0"/>
    <n v="65"/>
    <n v="46.4"/>
    <n v="92.8"/>
    <n v="95.584000000000003"/>
    <n v="34.415999999999997"/>
    <n v="10.324799999999998"/>
    <x v="22"/>
    <x v="0"/>
    <m/>
    <m/>
    <s v=""/>
    <n v="0.26473846153846153"/>
  </r>
  <r>
    <x v="3"/>
    <x v="62"/>
    <x v="0"/>
    <x v="32"/>
    <m/>
    <m/>
    <s v="RUBBER_INSULATION, M-FLEX 1/2&quot; 1/2"/>
    <s v="IM-000227"/>
    <n v="2"/>
    <n v="55"/>
    <m/>
    <n v="110"/>
    <x v="0"/>
    <n v="65"/>
    <n v="46.4"/>
    <n v="92.8"/>
    <n v="95.584000000000003"/>
    <n v="14.415999999999997"/>
    <n v="0"/>
    <x v="22"/>
    <x v="0"/>
    <m/>
    <m/>
    <s v=""/>
    <n v="0.13105454545454542"/>
  </r>
  <r>
    <x v="3"/>
    <x v="66"/>
    <x v="0"/>
    <x v="41"/>
    <m/>
    <m/>
    <s v="RUBBER_INSULATION, M-FLEX 1/2&quot; 1/2"/>
    <s v="IM-000227"/>
    <n v="2"/>
    <n v="65"/>
    <m/>
    <n v="130"/>
    <x v="0"/>
    <n v="65"/>
    <n v="46.4"/>
    <n v="92.8"/>
    <n v="95.584000000000003"/>
    <n v="34.415999999999997"/>
    <n v="0"/>
    <x v="22"/>
    <x v="0"/>
    <m/>
    <m/>
    <s v=""/>
    <n v="0.26473846153846153"/>
  </r>
  <r>
    <x v="4"/>
    <x v="113"/>
    <x v="0"/>
    <x v="1"/>
    <m/>
    <m/>
    <s v="RUBBER_INSULATION, M-FLEX 1/2&quot; 1/2"/>
    <s v="IM-000227"/>
    <n v="2"/>
    <n v="70"/>
    <m/>
    <n v="140"/>
    <x v="0"/>
    <n v="65"/>
    <n v="46.4"/>
    <n v="92.8"/>
    <n v="95.584000000000003"/>
    <n v="44.415999999999997"/>
    <n v="0"/>
    <x v="22"/>
    <x v="0"/>
    <m/>
    <m/>
    <m/>
    <n v="0.31725714285714285"/>
  </r>
  <r>
    <x v="0"/>
    <x v="97"/>
    <x v="0"/>
    <x v="1"/>
    <m/>
    <m/>
    <s v="CAPACITOR_SINGLE, PS CBB65 10 UF"/>
    <s v="GE-000059"/>
    <n v="1"/>
    <n v="270"/>
    <m/>
    <n v="270"/>
    <x v="0"/>
    <n v="166"/>
    <n v="90"/>
    <n v="90"/>
    <n v="94.5"/>
    <n v="175.5"/>
    <n v="0"/>
    <x v="38"/>
    <x v="1"/>
    <m/>
    <m/>
    <e v="#REF!"/>
    <n v="0"/>
  </r>
  <r>
    <x v="0"/>
    <x v="43"/>
    <x v="0"/>
    <x v="132"/>
    <m/>
    <m/>
    <s v="CAPACITOR_SINGLE, PS CBB65 8 UF"/>
    <s v="GE-000084"/>
    <n v="1"/>
    <n v="200"/>
    <m/>
    <n v="200"/>
    <x v="0"/>
    <n v="166"/>
    <n v="90"/>
    <n v="90"/>
    <n v="94.5"/>
    <n v="105.5"/>
    <n v="0"/>
    <x v="38"/>
    <x v="1"/>
    <e v="#REF!"/>
    <e v="#REF!"/>
    <s v=""/>
    <n v="0.52749999999999997"/>
  </r>
  <r>
    <x v="4"/>
    <x v="103"/>
    <x v="1"/>
    <x v="3"/>
    <m/>
    <m/>
    <s v="RECEIVER_DRIER_ALUMINUM, YK 8227A (Montero)"/>
    <s v="CA-001109"/>
    <n v="1"/>
    <n v="550"/>
    <m/>
    <n v="550"/>
    <x v="0"/>
    <n v="579"/>
    <n v="245"/>
    <n v="245"/>
    <n v="257.25"/>
    <n v="292.75"/>
    <n v="87.825000000000003"/>
    <x v="27"/>
    <x v="2"/>
    <m/>
    <m/>
    <m/>
    <n v="0.53227272727272723"/>
  </r>
  <r>
    <x v="1"/>
    <x v="26"/>
    <x v="0"/>
    <x v="17"/>
    <m/>
    <m/>
    <s v="THERMOSTAT, NEK CAR"/>
    <s v="CA-001647"/>
    <n v="1"/>
    <n v="250"/>
    <m/>
    <n v="250"/>
    <x v="0"/>
    <n v="180"/>
    <n v="90"/>
    <n v="90"/>
    <n v="94.5"/>
    <n v="155.5"/>
    <n v="0"/>
    <x v="31"/>
    <x v="2"/>
    <e v="#REF!"/>
    <e v="#REF!"/>
    <e v="#REF!"/>
    <n v="0.622"/>
  </r>
  <r>
    <x v="2"/>
    <x v="38"/>
    <x v="0"/>
    <x v="34"/>
    <m/>
    <m/>
    <s v="TAPE_PE, AEROWRAP Polythelene Tape (BLUE)X 4&quot;"/>
    <s v="IM-000184"/>
    <n v="1"/>
    <n v="140"/>
    <m/>
    <n v="140"/>
    <x v="0"/>
    <n v="177"/>
    <n v="90"/>
    <n v="90"/>
    <n v="92.7"/>
    <n v="47.3"/>
    <n v="0"/>
    <x v="29"/>
    <x v="0"/>
    <e v="#REF!"/>
    <e v="#REF!"/>
    <s v=""/>
    <n v="0.33785714285714286"/>
  </r>
  <r>
    <x v="2"/>
    <x v="40"/>
    <x v="0"/>
    <x v="49"/>
    <m/>
    <n v="350"/>
    <s v="CABIN_FILTER, HONDA JAZZ"/>
    <s v="CA-001257"/>
    <n v="1"/>
    <n v="312"/>
    <m/>
    <n v="312"/>
    <x v="0"/>
    <n v="284"/>
    <n v="90"/>
    <n v="90"/>
    <n v="94.5"/>
    <n v="217.5"/>
    <n v="0"/>
    <x v="12"/>
    <x v="2"/>
    <e v="#REF!"/>
    <e v="#REF!"/>
    <n v="349.44000000000005"/>
    <n v="0.69711538461538458"/>
  </r>
  <r>
    <x v="2"/>
    <x v="45"/>
    <x v="0"/>
    <x v="10"/>
    <m/>
    <m/>
    <s v="THERMOSTAT, NEK CAR"/>
    <s v="CA-001647"/>
    <n v="1"/>
    <n v="250"/>
    <m/>
    <n v="250"/>
    <x v="0"/>
    <n v="180"/>
    <n v="90"/>
    <n v="90"/>
    <n v="94.5"/>
    <n v="155.5"/>
    <n v="0"/>
    <x v="31"/>
    <x v="2"/>
    <e v="#REF!"/>
    <e v="#REF!"/>
    <s v=""/>
    <n v="0.622"/>
  </r>
  <r>
    <x v="3"/>
    <x v="59"/>
    <x v="0"/>
    <x v="6"/>
    <m/>
    <m/>
    <s v="ROD, HARRIS SILVER "/>
    <s v="IM-000098"/>
    <n v="5"/>
    <n v="25"/>
    <m/>
    <n v="125"/>
    <x v="0"/>
    <n v="30"/>
    <n v="19"/>
    <n v="95"/>
    <n v="97.850000000000009"/>
    <n v="27.149999999999991"/>
    <n v="0"/>
    <x v="56"/>
    <x v="0"/>
    <m/>
    <m/>
    <s v=""/>
    <n v="0.21719999999999992"/>
  </r>
  <r>
    <x v="3"/>
    <x v="67"/>
    <x v="0"/>
    <x v="1"/>
    <m/>
    <m/>
    <s v="HOSE, DRAIN PUMP PER MTR  TRANSPARENT 6MM"/>
    <s v="GE-000444"/>
    <n v="6"/>
    <n v="35"/>
    <m/>
    <n v="210"/>
    <x v="0"/>
    <n v="34"/>
    <n v="15"/>
    <n v="90"/>
    <n v="94.5"/>
    <n v="115.5"/>
    <n v="0"/>
    <x v="19"/>
    <x v="1"/>
    <m/>
    <m/>
    <s v=""/>
    <n v="0.55000000000000004"/>
  </r>
  <r>
    <x v="3"/>
    <x v="72"/>
    <x v="0"/>
    <x v="11"/>
    <m/>
    <n v="250"/>
    <s v="THERMOSTAT, NEK CAR"/>
    <s v="CA-001647"/>
    <n v="1"/>
    <n v="250"/>
    <m/>
    <n v="250"/>
    <x v="0"/>
    <n v="180"/>
    <n v="90"/>
    <n v="90"/>
    <n v="94.5"/>
    <n v="155.5"/>
    <n v="0"/>
    <x v="31"/>
    <x v="2"/>
    <m/>
    <m/>
    <n v="280"/>
    <n v="0.622"/>
  </r>
  <r>
    <x v="3"/>
    <x v="72"/>
    <x v="0"/>
    <x v="59"/>
    <m/>
    <m/>
    <s v="HOSE, DRAIN PUMP PER MTR  TRANSPARENT 6MM"/>
    <s v="GE-000444"/>
    <n v="6"/>
    <n v="35"/>
    <m/>
    <n v="210"/>
    <x v="0"/>
    <n v="34"/>
    <n v="15"/>
    <n v="90"/>
    <n v="94.5"/>
    <n v="115.5"/>
    <n v="0"/>
    <x v="19"/>
    <x v="1"/>
    <m/>
    <m/>
    <s v=""/>
    <n v="0.55000000000000004"/>
  </r>
  <r>
    <x v="3"/>
    <x v="123"/>
    <x v="0"/>
    <x v="49"/>
    <m/>
    <m/>
    <s v="THERMOSTAT, NEK CAR"/>
    <s v="CA-001647"/>
    <n v="1"/>
    <n v="250"/>
    <m/>
    <n v="250"/>
    <x v="0"/>
    <n v="180"/>
    <n v="90"/>
    <n v="90"/>
    <n v="94.5"/>
    <n v="155.5"/>
    <n v="0"/>
    <x v="31"/>
    <x v="2"/>
    <m/>
    <m/>
    <m/>
    <n v="0.622"/>
  </r>
  <r>
    <x v="3"/>
    <x v="85"/>
    <x v="0"/>
    <x v="73"/>
    <m/>
    <m/>
    <s v="HOSE, DRAIN PUMP PER MTR  TRANSPARENT 6MM"/>
    <s v="GE-000444"/>
    <n v="6"/>
    <n v="29.5"/>
    <m/>
    <n v="177"/>
    <x v="0"/>
    <n v="34"/>
    <n v="15"/>
    <n v="90"/>
    <n v="94.5"/>
    <n v="82.5"/>
    <n v="0"/>
    <x v="19"/>
    <x v="1"/>
    <m/>
    <m/>
    <m/>
    <n v="0.46610169491525422"/>
  </r>
  <r>
    <x v="4"/>
    <x v="107"/>
    <x v="0"/>
    <x v="26"/>
    <m/>
    <m/>
    <s v="ROD, HARRIS SILVER "/>
    <s v="IM-000098"/>
    <n v="5"/>
    <n v="28"/>
    <m/>
    <n v="140"/>
    <x v="0"/>
    <n v="30"/>
    <n v="19"/>
    <n v="95"/>
    <n v="97.850000000000009"/>
    <n v="42.149999999999991"/>
    <n v="0"/>
    <x v="56"/>
    <x v="0"/>
    <m/>
    <m/>
    <m/>
    <n v="0.30107142857142849"/>
  </r>
  <r>
    <x v="4"/>
    <x v="103"/>
    <x v="0"/>
    <x v="11"/>
    <m/>
    <m/>
    <s v="THERMOSTAT, NEK CAR"/>
    <s v="CA-001647"/>
    <n v="1"/>
    <n v="250"/>
    <m/>
    <n v="250"/>
    <x v="0"/>
    <n v="180"/>
    <n v="90"/>
    <n v="90"/>
    <n v="94.5"/>
    <n v="155.5"/>
    <n v="0"/>
    <x v="31"/>
    <x v="2"/>
    <m/>
    <m/>
    <m/>
    <n v="0.622"/>
  </r>
  <r>
    <x v="4"/>
    <x v="80"/>
    <x v="0"/>
    <x v="1"/>
    <m/>
    <m/>
    <s v="THERMOSTAT, NEK CAR"/>
    <s v="CA-001647"/>
    <n v="1"/>
    <n v="350"/>
    <m/>
    <n v="350"/>
    <x v="0"/>
    <n v="180"/>
    <n v="90"/>
    <n v="90"/>
    <n v="94.5"/>
    <n v="255.5"/>
    <n v="0"/>
    <x v="31"/>
    <x v="2"/>
    <m/>
    <m/>
    <m/>
    <n v="0.73"/>
  </r>
  <r>
    <x v="4"/>
    <x v="77"/>
    <x v="0"/>
    <x v="26"/>
    <m/>
    <m/>
    <s v="ROD, HARRIS SILVER "/>
    <s v="IM-000098"/>
    <n v="5"/>
    <n v="28"/>
    <m/>
    <n v="140"/>
    <x v="0"/>
    <n v="30"/>
    <n v="19"/>
    <n v="95"/>
    <n v="97.850000000000009"/>
    <n v="42.149999999999991"/>
    <n v="0"/>
    <x v="56"/>
    <x v="0"/>
    <e v="#REF!"/>
    <e v="#REF!"/>
    <e v="#REF!"/>
    <n v="0"/>
  </r>
  <r>
    <x v="0"/>
    <x v="2"/>
    <x v="0"/>
    <x v="2"/>
    <m/>
    <m/>
    <s v="BOLT &amp; NUT, DYNABOLT 3/8&quot;"/>
    <s v="GE-000396"/>
    <n v="10"/>
    <n v="20"/>
    <m/>
    <n v="200"/>
    <x v="0"/>
    <n v="19"/>
    <n v="8.9"/>
    <n v="89"/>
    <n v="93.45"/>
    <n v="106.55"/>
    <n v="0"/>
    <x v="57"/>
    <x v="1"/>
    <m/>
    <m/>
    <s v=""/>
    <n v="0.53274999999999995"/>
  </r>
  <r>
    <x v="1"/>
    <x v="25"/>
    <x v="0"/>
    <x v="20"/>
    <m/>
    <m/>
    <s v="RUBBER_INSULATION, M-FLEX 3/4&quot; 5/8"/>
    <s v="IM-000331"/>
    <n v="1"/>
    <n v="125"/>
    <m/>
    <n v="125"/>
    <x v="0"/>
    <n v="140"/>
    <n v="100"/>
    <n v="100"/>
    <n v="103"/>
    <n v="22"/>
    <n v="0"/>
    <x v="22"/>
    <x v="0"/>
    <e v="#REF!"/>
    <e v="#REF!"/>
    <e v="#REF!"/>
    <n v="0.17599999999999999"/>
  </r>
  <r>
    <x v="4"/>
    <x v="96"/>
    <x v="2"/>
    <x v="9"/>
    <m/>
    <m/>
    <s v="FITTINGS, STRAIGHT ORING TYPE 5/8"/>
    <s v="CA-000677"/>
    <n v="10"/>
    <n v="40"/>
    <m/>
    <n v="400"/>
    <x v="0"/>
    <n v="30"/>
    <n v="16"/>
    <n v="160"/>
    <n v="168"/>
    <n v="232"/>
    <n v="69.599999999999994"/>
    <x v="33"/>
    <x v="2"/>
    <m/>
    <m/>
    <m/>
    <n v="0.57999999999999996"/>
  </r>
  <r>
    <x v="4"/>
    <x v="90"/>
    <x v="3"/>
    <x v="12"/>
    <m/>
    <m/>
    <s v="HOSE, COOLMATE 5/8 SUNCTION PER FT"/>
    <s v="GE-000181"/>
    <n v="4"/>
    <n v="95"/>
    <m/>
    <n v="380"/>
    <x v="0"/>
    <n v="83"/>
    <n v="45"/>
    <n v="180"/>
    <n v="189"/>
    <n v="191"/>
    <n v="57.3"/>
    <x v="19"/>
    <x v="1"/>
    <m/>
    <m/>
    <m/>
    <n v="0.50263157894736843"/>
  </r>
  <r>
    <x v="2"/>
    <x v="125"/>
    <x v="0"/>
    <x v="48"/>
    <m/>
    <m/>
    <s v="LUBRICANT, ND-OIL 8  250 CC (134A),OIL COMPRESSOR"/>
    <s v="GE-000197"/>
    <n v="2"/>
    <n v="200"/>
    <m/>
    <n v="400"/>
    <x v="0"/>
    <n v="188"/>
    <n v="85"/>
    <n v="170"/>
    <n v="178.5"/>
    <n v="221.5"/>
    <n v="0"/>
    <x v="9"/>
    <x v="1"/>
    <e v="#REF!"/>
    <e v="#REF!"/>
    <s v=""/>
    <n v="0.55374999999999996"/>
  </r>
  <r>
    <x v="2"/>
    <x v="46"/>
    <x v="0"/>
    <x v="1"/>
    <m/>
    <m/>
    <s v="LUBRICANT, ND-OIL 8  250 CC (134A),OIL COMPRESSOR"/>
    <s v="GE-000197"/>
    <n v="1"/>
    <n v="200"/>
    <m/>
    <n v="200"/>
    <x v="0"/>
    <n v="188"/>
    <n v="85"/>
    <n v="85"/>
    <n v="89.25"/>
    <n v="110.75"/>
    <n v="0"/>
    <x v="9"/>
    <x v="1"/>
    <e v="#REF!"/>
    <e v="#REF!"/>
    <s v=""/>
    <n v="0.55374999999999996"/>
  </r>
  <r>
    <x v="2"/>
    <x v="117"/>
    <x v="0"/>
    <x v="49"/>
    <m/>
    <m/>
    <s v="LUBRICANT, SYNXPA 100 ML (134A), OIL COMPRESSOR"/>
    <s v="GE-000139"/>
    <n v="1"/>
    <n v="120"/>
    <m/>
    <n v="120"/>
    <x v="0"/>
    <n v="111"/>
    <n v="60"/>
    <n v="60"/>
    <n v="63"/>
    <n v="57"/>
    <n v="0"/>
    <x v="9"/>
    <x v="1"/>
    <e v="#REF!"/>
    <e v="#REF!"/>
    <s v=""/>
    <n v="0.47499999999999998"/>
  </r>
  <r>
    <x v="2"/>
    <x v="45"/>
    <x v="0"/>
    <x v="49"/>
    <m/>
    <m/>
    <s v="LUBRICANT, SYNXPA 100 ML (134A), OIL COMPRESSOR"/>
    <s v="GE-000139"/>
    <n v="1"/>
    <n v="120"/>
    <m/>
    <n v="120"/>
    <x v="0"/>
    <n v="111"/>
    <n v="60"/>
    <n v="60"/>
    <n v="63"/>
    <n v="57"/>
    <n v="0"/>
    <x v="9"/>
    <x v="1"/>
    <e v="#REF!"/>
    <e v="#REF!"/>
    <s v=""/>
    <n v="0.47499999999999998"/>
  </r>
  <r>
    <x v="3"/>
    <x v="64"/>
    <x v="0"/>
    <x v="18"/>
    <m/>
    <n v="350"/>
    <s v="PRESSURE_SWITCH, FUJIKOKI UNIVERSAL  R12 BLACK "/>
    <s v="CA-001819"/>
    <n v="1"/>
    <n v="312"/>
    <m/>
    <n v="312"/>
    <x v="0"/>
    <n v="268"/>
    <n v="85"/>
    <n v="85"/>
    <n v="89.25"/>
    <n v="222.75"/>
    <n v="0"/>
    <x v="47"/>
    <x v="2"/>
    <m/>
    <m/>
    <n v="349.44000000000005"/>
    <n v="0.71394230769230771"/>
  </r>
  <r>
    <x v="2"/>
    <x v="54"/>
    <x v="0"/>
    <x v="49"/>
    <m/>
    <m/>
    <s v="LUBRICANT, SYNXPA 100 ML (134A), OIL COMPRESSOR"/>
    <s v="GE-000139"/>
    <n v="1"/>
    <n v="120"/>
    <m/>
    <n v="120"/>
    <x v="0"/>
    <n v="111"/>
    <n v="60"/>
    <n v="60"/>
    <n v="63"/>
    <n v="57"/>
    <n v="0"/>
    <x v="9"/>
    <x v="1"/>
    <e v="#REF!"/>
    <e v="#REF!"/>
    <s v=""/>
    <n v="0.47499999999999998"/>
  </r>
  <r>
    <x v="3"/>
    <x v="68"/>
    <x v="0"/>
    <x v="49"/>
    <m/>
    <m/>
    <s v="PRESSURE_SWITCH, FUJIKOKI UNIVERSAL  R12 BLACK "/>
    <s v="CA-001819"/>
    <n v="1"/>
    <n v="350"/>
    <m/>
    <n v="350"/>
    <x v="0"/>
    <n v="268"/>
    <n v="85"/>
    <n v="85"/>
    <n v="89.25"/>
    <n v="260.75"/>
    <n v="0"/>
    <x v="47"/>
    <x v="2"/>
    <m/>
    <m/>
    <s v=""/>
    <n v="0.745"/>
  </r>
  <r>
    <x v="3"/>
    <x v="101"/>
    <x v="0"/>
    <x v="1"/>
    <m/>
    <m/>
    <s v="PRESSURE_SWITCH, HONDA CRV"/>
    <s v="CA-000854"/>
    <n v="1"/>
    <n v="300"/>
    <m/>
    <n v="300"/>
    <x v="0"/>
    <n v="357"/>
    <n v="85"/>
    <n v="85"/>
    <n v="89.25"/>
    <n v="210.75"/>
    <n v="0"/>
    <x v="47"/>
    <x v="2"/>
    <m/>
    <m/>
    <m/>
    <n v="0.70250000000000001"/>
  </r>
  <r>
    <x v="2"/>
    <x v="129"/>
    <x v="0"/>
    <x v="77"/>
    <m/>
    <m/>
    <s v="LUBRICANT, SYNXPA 100 ML (134A), OIL COMPRESSOR"/>
    <s v="GE-000139"/>
    <n v="1"/>
    <n v="120"/>
    <m/>
    <n v="120"/>
    <x v="0"/>
    <n v="111"/>
    <n v="60"/>
    <n v="60"/>
    <n v="63"/>
    <n v="57"/>
    <n v="0"/>
    <x v="9"/>
    <x v="1"/>
    <e v="#REF!"/>
    <e v="#REF!"/>
    <s v=""/>
    <n v="0.47499999999999998"/>
  </r>
  <r>
    <x v="4"/>
    <x v="103"/>
    <x v="1"/>
    <x v="3"/>
    <m/>
    <m/>
    <s v="EXP. VALVE LT, STAL 9A63 MONTERO TRITON (STAL)"/>
    <s v="CA-001779"/>
    <n v="1"/>
    <n v="550"/>
    <m/>
    <n v="550"/>
    <x v="0"/>
    <n v="390"/>
    <n v="195"/>
    <n v="195"/>
    <n v="204.75"/>
    <n v="345.25"/>
    <n v="103.575"/>
    <x v="23"/>
    <x v="2"/>
    <m/>
    <m/>
    <m/>
    <n v="0.62772727272727269"/>
  </r>
  <r>
    <x v="4"/>
    <x v="77"/>
    <x v="0"/>
    <x v="26"/>
    <m/>
    <m/>
    <s v="TAPE ELECTRICAL, ARMAK 0.16 MM X 19 MM X 16 M 04/25/26"/>
    <s v="GE-000491"/>
    <n v="2"/>
    <n v="55"/>
    <m/>
    <n v="110"/>
    <x v="0"/>
    <n v="73"/>
    <n v="42"/>
    <n v="84"/>
    <n v="88.2"/>
    <n v="21.799999999999997"/>
    <n v="0"/>
    <x v="50"/>
    <x v="1"/>
    <e v="#REF!"/>
    <e v="#REF!"/>
    <e v="#REF!"/>
    <n v="0"/>
  </r>
  <r>
    <x v="5"/>
    <x v="127"/>
    <x v="1"/>
    <x v="5"/>
    <m/>
    <m/>
    <s v="SYSTEM_CLEANER, Cleanse GREEN 141B 500 ML"/>
    <s v="GE-000369"/>
    <n v="5"/>
    <n v="120"/>
    <m/>
    <n v="600"/>
    <x v="0"/>
    <n v="113"/>
    <n v="65"/>
    <n v="325"/>
    <n v="341.25"/>
    <n v="258.75"/>
    <n v="77.625"/>
    <x v="28"/>
    <x v="1"/>
    <e v="#REF!"/>
    <e v="#REF!"/>
    <s v=""/>
    <n v="0.43125000000000002"/>
  </r>
  <r>
    <x v="5"/>
    <x v="127"/>
    <x v="0"/>
    <x v="19"/>
    <m/>
    <m/>
    <s v="ROYAL CORD, POWERFLEX 4-CORE, #16 1.2 MM, METER"/>
    <s v="GE-000485"/>
    <n v="4"/>
    <n v="125"/>
    <m/>
    <n v="500"/>
    <x v="0"/>
    <n v="90"/>
    <n v="72"/>
    <n v="288"/>
    <n v="302.40000000000003"/>
    <n v="197.59999999999997"/>
    <n v="0"/>
    <x v="48"/>
    <x v="1"/>
    <e v="#REF!"/>
    <e v="#REF!"/>
    <s v=""/>
    <n v="0.39519999999999994"/>
  </r>
  <r>
    <x v="3"/>
    <x v="119"/>
    <x v="0"/>
    <x v="45"/>
    <m/>
    <m/>
    <s v="SPRING BENDER,  .3/4"/>
    <s v="TL-000045"/>
    <n v="1"/>
    <n v="225"/>
    <m/>
    <n v="225"/>
    <x v="0"/>
    <n v="218"/>
    <n v="83"/>
    <n v="83"/>
    <n v="87.15"/>
    <n v="137.85"/>
    <n v="0"/>
    <x v="74"/>
    <x v="4"/>
    <m/>
    <m/>
    <s v=""/>
    <n v="0.61266666666666669"/>
  </r>
  <r>
    <x v="2"/>
    <x v="53"/>
    <x v="0"/>
    <x v="8"/>
    <m/>
    <m/>
    <s v="FITTINGS, STRAIGHT ORING TYPE 5/8"/>
    <s v="CA-000677"/>
    <n v="5"/>
    <n v="40"/>
    <m/>
    <n v="200"/>
    <x v="0"/>
    <n v="30"/>
    <n v="16"/>
    <n v="80"/>
    <n v="84"/>
    <n v="116"/>
    <n v="0"/>
    <x v="33"/>
    <x v="2"/>
    <e v="#REF!"/>
    <e v="#REF!"/>
    <s v=""/>
    <n v="0.57999999999999996"/>
  </r>
  <r>
    <x v="3"/>
    <x v="87"/>
    <x v="0"/>
    <x v="49"/>
    <m/>
    <m/>
    <s v="HOSE, COOLMATE 5/8 SUNCTION PER FT"/>
    <s v="GE-000181"/>
    <n v="2"/>
    <n v="95"/>
    <m/>
    <n v="190"/>
    <x v="0"/>
    <n v="83"/>
    <n v="45"/>
    <n v="90"/>
    <n v="94.5"/>
    <n v="95.5"/>
    <n v="0"/>
    <x v="19"/>
    <x v="1"/>
    <m/>
    <m/>
    <m/>
    <n v="0.50263157894736843"/>
  </r>
  <r>
    <x v="3"/>
    <x v="59"/>
    <x v="0"/>
    <x v="1"/>
    <m/>
    <m/>
    <s v="ELECTRICAL WIRE_STRANDED, POWERFLEX THNN STRANDED   #12, MTR"/>
    <s v="GE-000120"/>
    <n v="3"/>
    <n v="35"/>
    <m/>
    <n v="105"/>
    <x v="0"/>
    <n v="50"/>
    <n v="27"/>
    <n v="81"/>
    <n v="85.05"/>
    <n v="19.950000000000003"/>
    <n v="0"/>
    <x v="2"/>
    <x v="1"/>
    <m/>
    <m/>
    <s v=""/>
    <n v="0.19000000000000003"/>
  </r>
  <r>
    <x v="2"/>
    <x v="36"/>
    <x v="0"/>
    <x v="27"/>
    <m/>
    <m/>
    <s v="BOLT &amp; NUT, DYNABOLT 3/8&quot;"/>
    <s v="GE-000396"/>
    <n v="9"/>
    <n v="25"/>
    <m/>
    <n v="225"/>
    <x v="0"/>
    <n v="19"/>
    <n v="8.9"/>
    <n v="80.100000000000009"/>
    <n v="84.105000000000018"/>
    <n v="140.89499999999998"/>
    <n v="0"/>
    <x v="57"/>
    <x v="1"/>
    <e v="#REF!"/>
    <e v="#REF!"/>
    <s v=""/>
    <n v="0.62619999999999987"/>
  </r>
  <r>
    <x v="0"/>
    <x v="97"/>
    <x v="0"/>
    <x v="0"/>
    <m/>
    <m/>
    <s v="BOLT &amp; NUT, GI, SET 5/16"/>
    <s v="IM-000003"/>
    <n v="16"/>
    <n v="12"/>
    <m/>
    <n v="192"/>
    <x v="0"/>
    <n v="10"/>
    <n v="5"/>
    <n v="80"/>
    <n v="82.4"/>
    <n v="109.6"/>
    <n v="0"/>
    <x v="57"/>
    <x v="0"/>
    <m/>
    <m/>
    <s v=""/>
    <n v="0.5708333333333333"/>
  </r>
  <r>
    <x v="0"/>
    <x v="1"/>
    <x v="0"/>
    <x v="1"/>
    <m/>
    <m/>
    <s v="HOSE, ELECTRICAL FLEXIBLE ROLL PER METER"/>
    <s v="G-E000235"/>
    <n v="10"/>
    <n v="15"/>
    <m/>
    <n v="150"/>
    <x v="0"/>
    <n v="15"/>
    <n v="8"/>
    <n v="80"/>
    <n v="84"/>
    <n v="66"/>
    <n v="0"/>
    <x v="19"/>
    <x v="1"/>
    <m/>
    <m/>
    <s v=""/>
    <n v="0.44"/>
  </r>
  <r>
    <x v="1"/>
    <x v="26"/>
    <x v="0"/>
    <x v="2"/>
    <m/>
    <m/>
    <s v="HOSE, ELECTRICAL FLEXIBLE ROLL PER METER"/>
    <s v="G-E000235"/>
    <n v="10"/>
    <n v="15"/>
    <m/>
    <n v="150"/>
    <x v="0"/>
    <n v="15"/>
    <n v="8"/>
    <n v="80"/>
    <n v="84"/>
    <n v="66"/>
    <n v="0"/>
    <x v="19"/>
    <x v="1"/>
    <e v="#REF!"/>
    <e v="#REF!"/>
    <e v="#REF!"/>
    <n v="0.44"/>
  </r>
  <r>
    <x v="2"/>
    <x v="57"/>
    <x v="0"/>
    <x v="49"/>
    <m/>
    <m/>
    <s v="HOSE, COOLMATE 1/2 DISCHARGE PER FT"/>
    <s v="GE-000179"/>
    <n v="2"/>
    <n v="90"/>
    <m/>
    <n v="180"/>
    <x v="0"/>
    <n v="80"/>
    <n v="43"/>
    <n v="86"/>
    <n v="90.3"/>
    <n v="89.7"/>
    <n v="0"/>
    <x v="19"/>
    <x v="1"/>
    <e v="#REF!"/>
    <e v="#REF!"/>
    <s v=""/>
    <n v="0.49833333333333335"/>
  </r>
  <r>
    <x v="4"/>
    <x v="107"/>
    <x v="0"/>
    <x v="1"/>
    <m/>
    <m/>
    <s v="BOLT &amp; NUT, GI, SET 5/16"/>
    <s v="IM-000003"/>
    <n v="16"/>
    <n v="12"/>
    <m/>
    <n v="192"/>
    <x v="0"/>
    <n v="10"/>
    <n v="5"/>
    <n v="80"/>
    <n v="82.4"/>
    <n v="109.6"/>
    <n v="0"/>
    <x v="57"/>
    <x v="0"/>
    <m/>
    <m/>
    <m/>
    <n v="0.5708333333333333"/>
  </r>
  <r>
    <x v="4"/>
    <x v="92"/>
    <x v="0"/>
    <x v="1"/>
    <m/>
    <n v="225"/>
    <s v="CAPACITOR_SINGLE, PS CBB65 6 UF"/>
    <s v="GE-000078"/>
    <n v="1"/>
    <n v="210"/>
    <m/>
    <n v="210"/>
    <x v="0"/>
    <n v="147"/>
    <n v="80"/>
    <n v="80"/>
    <n v="84"/>
    <n v="126"/>
    <n v="0"/>
    <x v="38"/>
    <x v="1"/>
    <m/>
    <m/>
    <m/>
    <n v="0.6"/>
  </r>
  <r>
    <x v="4"/>
    <x v="75"/>
    <x v="0"/>
    <x v="1"/>
    <m/>
    <m/>
    <s v="BOLT &amp; NUT, GI, SET 5/16"/>
    <s v="IM-000003"/>
    <n v="16"/>
    <n v="12"/>
    <m/>
    <n v="192"/>
    <x v="0"/>
    <n v="10"/>
    <n v="5"/>
    <n v="80"/>
    <n v="82.4"/>
    <n v="109.6"/>
    <n v="0"/>
    <x v="57"/>
    <x v="0"/>
    <m/>
    <m/>
    <m/>
    <n v="0.5708333333333333"/>
  </r>
  <r>
    <x v="5"/>
    <x v="127"/>
    <x v="0"/>
    <x v="30"/>
    <m/>
    <m/>
    <s v="TAPE_FOAM, AEROTAPE 3MM X 50 MM X 9.1 MTR  04/02/25"/>
    <s v="IM-000332"/>
    <n v="1"/>
    <n v="380"/>
    <m/>
    <n v="380"/>
    <x v="0"/>
    <n v="510"/>
    <n v="330"/>
    <n v="330"/>
    <n v="339.90000000000003"/>
    <n v="40.099999999999966"/>
    <n v="0"/>
    <x v="25"/>
    <x v="0"/>
    <e v="#REF!"/>
    <e v="#REF!"/>
    <s v=""/>
    <n v="0.10552631578947359"/>
  </r>
  <r>
    <x v="0"/>
    <x v="4"/>
    <x v="0"/>
    <x v="1"/>
    <m/>
    <m/>
    <s v="RUBBER_INSULATION, M-FLEX 1/2&quot; 3/8"/>
    <s v="IM-000231"/>
    <n v="2"/>
    <n v="55"/>
    <m/>
    <n v="110"/>
    <x v="0"/>
    <n v="53"/>
    <n v="37.6"/>
    <n v="75.2"/>
    <n v="77.456000000000003"/>
    <n v="32.543999999999997"/>
    <n v="0"/>
    <x v="22"/>
    <x v="0"/>
    <m/>
    <m/>
    <s v=""/>
    <n v="0.29585454545454543"/>
  </r>
  <r>
    <x v="0"/>
    <x v="98"/>
    <x v="0"/>
    <x v="35"/>
    <m/>
    <m/>
    <s v="RUBBER_INSULATION, M-FLEX 1/2&quot; 3/8"/>
    <s v="IM-000231"/>
    <n v="2"/>
    <n v="55"/>
    <m/>
    <n v="110"/>
    <x v="0"/>
    <n v="53"/>
    <n v="37.6"/>
    <n v="75.2"/>
    <n v="77.456000000000003"/>
    <n v="32.543999999999997"/>
    <n v="0"/>
    <x v="22"/>
    <x v="0"/>
    <m/>
    <m/>
    <s v=""/>
    <n v="0.29585454545454543"/>
  </r>
  <r>
    <x v="0"/>
    <x v="99"/>
    <x v="0"/>
    <x v="19"/>
    <m/>
    <m/>
    <s v="RUBBER_INSULATION, M-FLEX 1/2&quot; 3/8"/>
    <s v="IM-000231"/>
    <n v="2"/>
    <n v="55"/>
    <m/>
    <n v="110"/>
    <x v="0"/>
    <n v="53"/>
    <n v="37.6"/>
    <n v="75.2"/>
    <n v="77.456000000000003"/>
    <n v="32.543999999999997"/>
    <n v="0"/>
    <x v="22"/>
    <x v="0"/>
    <m/>
    <m/>
    <s v=""/>
    <n v="0.29585454545454543"/>
  </r>
  <r>
    <x v="1"/>
    <x v="23"/>
    <x v="0"/>
    <x v="19"/>
    <m/>
    <m/>
    <s v="RUBBER_INSULATION, M-FLEX 1/2&quot; 3/8"/>
    <s v="IM-000231"/>
    <n v="2"/>
    <n v="55"/>
    <m/>
    <n v="110"/>
    <x v="0"/>
    <n v="53"/>
    <n v="37.6"/>
    <n v="75.2"/>
    <n v="77.456000000000003"/>
    <n v="32.543999999999997"/>
    <n v="0"/>
    <x v="22"/>
    <x v="0"/>
    <e v="#REF!"/>
    <e v="#REF!"/>
    <e v="#REF!"/>
    <n v="0.29585454545454543"/>
  </r>
  <r>
    <x v="1"/>
    <x v="23"/>
    <x v="0"/>
    <x v="1"/>
    <m/>
    <m/>
    <s v="RUBBER_INSULATION, M-FLEX 1/2&quot; 3/8"/>
    <s v="IM-000231"/>
    <n v="2"/>
    <n v="55"/>
    <m/>
    <n v="110"/>
    <x v="0"/>
    <n v="53"/>
    <n v="37.6"/>
    <n v="75.2"/>
    <n v="77.456000000000003"/>
    <n v="32.543999999999997"/>
    <n v="0"/>
    <x v="22"/>
    <x v="0"/>
    <e v="#REF!"/>
    <e v="#REF!"/>
    <e v="#REF!"/>
    <n v="0.29585454545454543"/>
  </r>
  <r>
    <x v="1"/>
    <x v="24"/>
    <x v="0"/>
    <x v="1"/>
    <m/>
    <m/>
    <s v="RUBBER_INSULATION, M-FLEX 1/2&quot; 3/8"/>
    <s v="IM-000231"/>
    <n v="2"/>
    <n v="55"/>
    <m/>
    <n v="110"/>
    <x v="0"/>
    <n v="53"/>
    <n v="37.6"/>
    <n v="75.2"/>
    <n v="77.456000000000003"/>
    <n v="32.543999999999997"/>
    <n v="0"/>
    <x v="22"/>
    <x v="0"/>
    <e v="#REF!"/>
    <e v="#REF!"/>
    <e v="#REF!"/>
    <n v="0.29585454545454543"/>
  </r>
  <r>
    <x v="1"/>
    <x v="26"/>
    <x v="0"/>
    <x v="2"/>
    <m/>
    <m/>
    <s v="RUBBER_INSULATION, M-FLEX 1/2&quot; 3/8"/>
    <s v="IM-000231"/>
    <n v="2"/>
    <n v="55"/>
    <m/>
    <n v="110"/>
    <x v="0"/>
    <n v="53"/>
    <n v="37.6"/>
    <n v="75.2"/>
    <n v="77.456000000000003"/>
    <n v="32.543999999999997"/>
    <n v="0"/>
    <x v="22"/>
    <x v="0"/>
    <e v="#REF!"/>
    <e v="#REF!"/>
    <e v="#REF!"/>
    <n v="0.29585454545454543"/>
  </r>
  <r>
    <x v="1"/>
    <x v="33"/>
    <x v="0"/>
    <x v="19"/>
    <m/>
    <m/>
    <s v="RUBBER_INSULATION, M-FLEX 1/2&quot; 3/8"/>
    <s v="IM-000231"/>
    <n v="2"/>
    <n v="65"/>
    <m/>
    <n v="130"/>
    <x v="0"/>
    <n v="53"/>
    <n v="37.6"/>
    <n v="75.2"/>
    <n v="77.456000000000003"/>
    <n v="52.543999999999997"/>
    <n v="0"/>
    <x v="22"/>
    <x v="0"/>
    <e v="#REF!"/>
    <e v="#REF!"/>
    <e v="#REF!"/>
    <n v="0"/>
  </r>
  <r>
    <x v="2"/>
    <x v="38"/>
    <x v="0"/>
    <x v="1"/>
    <m/>
    <m/>
    <s v="RUBBER_INSULATION, M-FLEX 1/2&quot; 3/8"/>
    <s v="IM-000231"/>
    <n v="2"/>
    <n v="55"/>
    <m/>
    <n v="110"/>
    <x v="0"/>
    <n v="53"/>
    <n v="37.6"/>
    <n v="75.2"/>
    <n v="77.456000000000003"/>
    <n v="32.543999999999997"/>
    <n v="0"/>
    <x v="22"/>
    <x v="0"/>
    <e v="#REF!"/>
    <e v="#REF!"/>
    <s v=""/>
    <n v="0.29585454545454543"/>
  </r>
  <r>
    <x v="2"/>
    <x v="44"/>
    <x v="0"/>
    <x v="27"/>
    <m/>
    <m/>
    <s v="RUBBER_INSULATION, M-FLEX 1/2&quot; 3/8"/>
    <s v="IM-000231"/>
    <n v="2"/>
    <n v="55"/>
    <m/>
    <n v="110"/>
    <x v="0"/>
    <n v="53"/>
    <n v="37.6"/>
    <n v="75.2"/>
    <n v="77.456000000000003"/>
    <n v="32.543999999999997"/>
    <n v="0"/>
    <x v="22"/>
    <x v="0"/>
    <e v="#REF!"/>
    <e v="#REF!"/>
    <s v=""/>
    <n v="0.29585454545454543"/>
  </r>
  <r>
    <x v="2"/>
    <x v="52"/>
    <x v="0"/>
    <x v="35"/>
    <m/>
    <m/>
    <s v="RUBBER_INSULATION, M-FLEX 1/2&quot; 3/8"/>
    <s v="IM-000231"/>
    <n v="2"/>
    <n v="55"/>
    <m/>
    <n v="110"/>
    <x v="0"/>
    <n v="53"/>
    <n v="37.6"/>
    <n v="75.2"/>
    <n v="77.456000000000003"/>
    <n v="32.543999999999997"/>
    <n v="0"/>
    <x v="22"/>
    <x v="0"/>
    <e v="#REF!"/>
    <e v="#REF!"/>
    <s v=""/>
    <n v="0.29585454545454543"/>
  </r>
  <r>
    <x v="2"/>
    <x v="52"/>
    <x v="0"/>
    <x v="45"/>
    <m/>
    <m/>
    <s v="RUBBER_INSULATION, M-FLEX 1/2&quot; 3/8"/>
    <s v="IM-000231"/>
    <n v="2"/>
    <n v="55"/>
    <m/>
    <n v="110"/>
    <x v="0"/>
    <n v="53"/>
    <n v="37.6"/>
    <n v="75.2"/>
    <n v="77.456000000000003"/>
    <n v="32.543999999999997"/>
    <n v="0"/>
    <x v="22"/>
    <x v="0"/>
    <e v="#REF!"/>
    <e v="#REF!"/>
    <s v=""/>
    <n v="0.29585454545454543"/>
  </r>
  <r>
    <x v="3"/>
    <x v="59"/>
    <x v="0"/>
    <x v="27"/>
    <m/>
    <m/>
    <s v="RUBBER_INSULATION, M-FLEX 1/2&quot; 3/8"/>
    <s v="IM-000231"/>
    <n v="2"/>
    <n v="55"/>
    <m/>
    <n v="110"/>
    <x v="0"/>
    <n v="53"/>
    <n v="37.6"/>
    <n v="75.2"/>
    <n v="77.456000000000003"/>
    <n v="32.543999999999997"/>
    <n v="0"/>
    <x v="22"/>
    <x v="0"/>
    <m/>
    <m/>
    <s v=""/>
    <n v="0.29585454545454543"/>
  </r>
  <r>
    <x v="3"/>
    <x v="62"/>
    <x v="0"/>
    <x v="2"/>
    <m/>
    <m/>
    <s v="RUBBER_INSULATION, M-FLEX 1/2&quot; 3/8"/>
    <s v="IM-000231"/>
    <n v="2"/>
    <n v="55"/>
    <m/>
    <n v="110"/>
    <x v="0"/>
    <n v="53"/>
    <n v="37.6"/>
    <n v="75.2"/>
    <n v="77.456000000000003"/>
    <n v="32.543999999999997"/>
    <n v="0"/>
    <x v="22"/>
    <x v="0"/>
    <m/>
    <m/>
    <s v=""/>
    <n v="0.29585454545454543"/>
  </r>
  <r>
    <x v="3"/>
    <x v="64"/>
    <x v="0"/>
    <x v="40"/>
    <m/>
    <m/>
    <s v="RUBBER_INSULATION, M-FLEX 1/2&quot; 3/8"/>
    <s v="IM-000231"/>
    <n v="2"/>
    <n v="55"/>
    <m/>
    <n v="110"/>
    <x v="0"/>
    <n v="53"/>
    <n v="37.6"/>
    <n v="75.2"/>
    <n v="77.456000000000003"/>
    <n v="32.543999999999997"/>
    <n v="0"/>
    <x v="22"/>
    <x v="0"/>
    <m/>
    <m/>
    <s v=""/>
    <n v="0.29585454545454543"/>
  </r>
  <r>
    <x v="3"/>
    <x v="115"/>
    <x v="0"/>
    <x v="1"/>
    <m/>
    <m/>
    <s v="RUBBER_INSULATION, M-FLEX 1/2&quot; 3/8"/>
    <s v="IM-000231"/>
    <n v="2"/>
    <n v="55"/>
    <m/>
    <n v="110"/>
    <x v="0"/>
    <n v="53"/>
    <n v="37.6"/>
    <n v="75.2"/>
    <n v="77.456000000000003"/>
    <n v="32.543999999999997"/>
    <n v="0"/>
    <x v="22"/>
    <x v="0"/>
    <m/>
    <m/>
    <s v=""/>
    <n v="0.29585454545454543"/>
  </r>
  <r>
    <x v="3"/>
    <x v="68"/>
    <x v="0"/>
    <x v="2"/>
    <m/>
    <m/>
    <s v="RUBBER_INSULATION, M-FLEX 1/2&quot; 3/8"/>
    <s v="IM-000231"/>
    <n v="2"/>
    <n v="55"/>
    <m/>
    <n v="110"/>
    <x v="0"/>
    <n v="53"/>
    <n v="37.6"/>
    <n v="75.2"/>
    <n v="77.456000000000003"/>
    <n v="32.543999999999997"/>
    <n v="0"/>
    <x v="22"/>
    <x v="0"/>
    <m/>
    <m/>
    <s v=""/>
    <n v="0.29585454545454543"/>
  </r>
  <r>
    <x v="3"/>
    <x v="69"/>
    <x v="0"/>
    <x v="19"/>
    <m/>
    <n v="55"/>
    <s v="RUBBER_INSULATION, M-FLEX 1/2&quot; 3/8"/>
    <s v="IM-000231"/>
    <n v="2"/>
    <n v="49"/>
    <m/>
    <n v="98"/>
    <x v="0"/>
    <n v="53"/>
    <n v="37.6"/>
    <n v="75.2"/>
    <n v="77.456000000000003"/>
    <n v="20.543999999999997"/>
    <n v="0"/>
    <x v="22"/>
    <x v="0"/>
    <m/>
    <m/>
    <n v="54.88"/>
    <n v="0.20963265306122447"/>
  </r>
  <r>
    <x v="3"/>
    <x v="119"/>
    <x v="0"/>
    <x v="41"/>
    <m/>
    <m/>
    <s v="RUBBER_INSULATION, M-FLEX 1/2&quot; 3/8"/>
    <s v="IM-000231"/>
    <n v="2"/>
    <n v="55"/>
    <m/>
    <n v="110"/>
    <x v="0"/>
    <n v="53"/>
    <n v="37.6"/>
    <n v="75.2"/>
    <n v="77.456000000000003"/>
    <n v="32.543999999999997"/>
    <n v="0"/>
    <x v="22"/>
    <x v="0"/>
    <m/>
    <m/>
    <s v=""/>
    <n v="0.29585454545454543"/>
  </r>
  <r>
    <x v="3"/>
    <x v="72"/>
    <x v="0"/>
    <x v="1"/>
    <m/>
    <m/>
    <s v="RUBBER_INSULATION, M-FLEX 1/2&quot; 3/8"/>
    <s v="IM-000231"/>
    <n v="2"/>
    <n v="55"/>
    <m/>
    <n v="110"/>
    <x v="0"/>
    <n v="53"/>
    <n v="37.6"/>
    <n v="75.2"/>
    <n v="77.456000000000003"/>
    <n v="32.543999999999997"/>
    <n v="0"/>
    <x v="22"/>
    <x v="0"/>
    <m/>
    <m/>
    <s v=""/>
    <n v="0.29585454545454543"/>
  </r>
  <r>
    <x v="3"/>
    <x v="101"/>
    <x v="0"/>
    <x v="27"/>
    <m/>
    <m/>
    <s v="RUBBER_INSULATION, M-FLEX 1/2&quot; 3/8"/>
    <s v="IM-000231"/>
    <n v="2"/>
    <n v="55"/>
    <m/>
    <n v="110"/>
    <x v="0"/>
    <n v="53"/>
    <n v="37.6"/>
    <n v="75.2"/>
    <n v="77.456000000000003"/>
    <n v="32.543999999999997"/>
    <n v="0"/>
    <x v="22"/>
    <x v="0"/>
    <m/>
    <m/>
    <s v=""/>
    <n v="0.29585454545454543"/>
  </r>
  <r>
    <x v="3"/>
    <x v="86"/>
    <x v="0"/>
    <x v="41"/>
    <m/>
    <m/>
    <s v="RUBBER_INSULATION, M-FLEX 1/2&quot; 3/8"/>
    <s v="IM-000231"/>
    <n v="2"/>
    <n v="55"/>
    <m/>
    <n v="110"/>
    <x v="0"/>
    <n v="53"/>
    <n v="37.6"/>
    <n v="75.2"/>
    <n v="77.456000000000003"/>
    <n v="32.543999999999997"/>
    <n v="0"/>
    <x v="22"/>
    <x v="0"/>
    <m/>
    <m/>
    <m/>
    <n v="0.29585454545454543"/>
  </r>
  <r>
    <x v="4"/>
    <x v="102"/>
    <x v="0"/>
    <x v="1"/>
    <m/>
    <m/>
    <s v="RUBBER_INSULATION, M-FLEX 1/2&quot; 3/8"/>
    <s v="IM-000231"/>
    <n v="2"/>
    <n v="60"/>
    <m/>
    <n v="120"/>
    <x v="0"/>
    <n v="53"/>
    <n v="37.6"/>
    <n v="75.2"/>
    <n v="77.456000000000003"/>
    <n v="42.543999999999997"/>
    <n v="0"/>
    <x v="22"/>
    <x v="0"/>
    <m/>
    <m/>
    <m/>
    <n v="0.35453333333333331"/>
  </r>
  <r>
    <x v="4"/>
    <x v="105"/>
    <x v="0"/>
    <x v="1"/>
    <m/>
    <m/>
    <s v="RUBBER_INSULATION, M-FLEX 1/2&quot; 3/8"/>
    <s v="IM-000231"/>
    <n v="2"/>
    <n v="55"/>
    <m/>
    <n v="110"/>
    <x v="0"/>
    <n v="53"/>
    <n v="37.6"/>
    <n v="75.2"/>
    <n v="77.456000000000003"/>
    <n v="32.543999999999997"/>
    <n v="0"/>
    <x v="22"/>
    <x v="0"/>
    <m/>
    <m/>
    <m/>
    <n v="0.29585454545454543"/>
  </r>
  <r>
    <x v="4"/>
    <x v="88"/>
    <x v="0"/>
    <x v="102"/>
    <m/>
    <m/>
    <s v="RUBBER_INSULATION, M-FLEX 1/2&quot; 3/8"/>
    <s v="IM-000231"/>
    <n v="2"/>
    <n v="60"/>
    <m/>
    <n v="120"/>
    <x v="0"/>
    <n v="53"/>
    <n v="37.6"/>
    <n v="75.2"/>
    <n v="77.456000000000003"/>
    <n v="42.543999999999997"/>
    <n v="0"/>
    <x v="22"/>
    <x v="0"/>
    <m/>
    <m/>
    <m/>
    <n v="0.35453333333333331"/>
  </r>
  <r>
    <x v="4"/>
    <x v="113"/>
    <x v="0"/>
    <x v="99"/>
    <m/>
    <m/>
    <s v="RUBBER_INSULATION, M-FLEX 1/2&quot; 3/8"/>
    <s v="IM-000231"/>
    <n v="2"/>
    <n v="60"/>
    <m/>
    <n v="120"/>
    <x v="0"/>
    <n v="53"/>
    <n v="37.6"/>
    <n v="75.2"/>
    <n v="77.456000000000003"/>
    <n v="42.543999999999997"/>
    <n v="0"/>
    <x v="22"/>
    <x v="0"/>
    <m/>
    <m/>
    <m/>
    <n v="0.35453333333333331"/>
  </r>
  <r>
    <x v="4"/>
    <x v="90"/>
    <x v="0"/>
    <x v="41"/>
    <m/>
    <m/>
    <s v="RUBBER_INSULATION, M-FLEX 1/2&quot; 3/8"/>
    <s v="IM-000231"/>
    <n v="2"/>
    <n v="60"/>
    <m/>
    <n v="120"/>
    <x v="0"/>
    <n v="53"/>
    <n v="37.6"/>
    <n v="75.2"/>
    <n v="77.456000000000003"/>
    <n v="42.543999999999997"/>
    <n v="0"/>
    <x v="22"/>
    <x v="0"/>
    <m/>
    <m/>
    <m/>
    <n v="0.35453333333333331"/>
  </r>
  <r>
    <x v="4"/>
    <x v="110"/>
    <x v="0"/>
    <x v="103"/>
    <m/>
    <m/>
    <s v="RUBBER_INSULATION, M-FLEX 1/2&quot; 3/8"/>
    <s v="IM-000231"/>
    <n v="2"/>
    <n v="60"/>
    <m/>
    <n v="120"/>
    <x v="0"/>
    <n v="53"/>
    <n v="37.6"/>
    <n v="75.2"/>
    <n v="77.456000000000003"/>
    <n v="42.543999999999997"/>
    <n v="0"/>
    <x v="22"/>
    <x v="0"/>
    <m/>
    <m/>
    <m/>
    <n v="0.35453333333333331"/>
  </r>
  <r>
    <x v="4"/>
    <x v="95"/>
    <x v="0"/>
    <x v="41"/>
    <m/>
    <m/>
    <s v="RUBBER_INSULATION, M-FLEX 1/2&quot; 3/8"/>
    <s v="IM-000231"/>
    <n v="2"/>
    <n v="60"/>
    <m/>
    <n v="120"/>
    <x v="0"/>
    <n v="53"/>
    <n v="37.6"/>
    <n v="75.2"/>
    <n v="77.456000000000003"/>
    <n v="42.543999999999997"/>
    <n v="0"/>
    <x v="22"/>
    <x v="0"/>
    <m/>
    <m/>
    <m/>
    <n v="0.35453333333333331"/>
  </r>
  <r>
    <x v="4"/>
    <x v="96"/>
    <x v="0"/>
    <x v="41"/>
    <m/>
    <m/>
    <s v="RUBBER_INSULATION, M-FLEX 1/2&quot; 3/8"/>
    <s v="IM-000231"/>
    <n v="2"/>
    <n v="60"/>
    <m/>
    <n v="120"/>
    <x v="0"/>
    <n v="53"/>
    <n v="37.6"/>
    <n v="75.2"/>
    <n v="77.456000000000003"/>
    <n v="42.543999999999997"/>
    <n v="0"/>
    <x v="22"/>
    <x v="0"/>
    <m/>
    <m/>
    <m/>
    <n v="0.35453333333333331"/>
  </r>
  <r>
    <x v="4"/>
    <x v="80"/>
    <x v="0"/>
    <x v="104"/>
    <m/>
    <m/>
    <s v="RUBBER_INSULATION, M-FLEX 1/2&quot; 3/8"/>
    <s v="IM-000231"/>
    <n v="2"/>
    <n v="60"/>
    <m/>
    <n v="120"/>
    <x v="0"/>
    <n v="53"/>
    <n v="37.6"/>
    <n v="75.2"/>
    <n v="77.456000000000003"/>
    <n v="42.543999999999997"/>
    <n v="0"/>
    <x v="22"/>
    <x v="0"/>
    <m/>
    <m/>
    <m/>
    <n v="0.35453333333333331"/>
  </r>
  <r>
    <x v="4"/>
    <x v="104"/>
    <x v="0"/>
    <x v="1"/>
    <m/>
    <m/>
    <s v="RUBBER_INSULATION, M-FLEX 1/2&quot; 3/8"/>
    <s v="IM-000231"/>
    <n v="2"/>
    <n v="60"/>
    <m/>
    <n v="120"/>
    <x v="0"/>
    <n v="53"/>
    <n v="37.6"/>
    <n v="75.2"/>
    <n v="77.456000000000003"/>
    <n v="42.543999999999997"/>
    <n v="0"/>
    <x v="22"/>
    <x v="0"/>
    <m/>
    <m/>
    <m/>
    <n v="0.35453333333333331"/>
  </r>
  <r>
    <x v="4"/>
    <x v="82"/>
    <x v="0"/>
    <x v="1"/>
    <m/>
    <m/>
    <s v="RUBBER_INSULATION, M-FLEX 1/2&quot; 3/8"/>
    <s v="IM-000231"/>
    <n v="2"/>
    <n v="60"/>
    <m/>
    <n v="120"/>
    <x v="0"/>
    <n v="53"/>
    <n v="37.6"/>
    <n v="75.2"/>
    <n v="77.456000000000003"/>
    <n v="42.543999999999997"/>
    <n v="0"/>
    <x v="22"/>
    <x v="0"/>
    <e v="#REF!"/>
    <e v="#REF!"/>
    <e v="#REF!"/>
    <n v="0"/>
  </r>
  <r>
    <x v="5"/>
    <x v="127"/>
    <x v="0"/>
    <x v="133"/>
    <m/>
    <m/>
    <s v="ELECTRICAL WIRE_STRANDED, POWERFLEX THNN STRANDED   #12, MTR"/>
    <s v="GE-000120"/>
    <n v="10"/>
    <n v="45"/>
    <m/>
    <n v="450"/>
    <x v="0"/>
    <n v="50"/>
    <n v="27"/>
    <n v="270"/>
    <n v="283.5"/>
    <n v="166.5"/>
    <n v="0"/>
    <x v="2"/>
    <x v="1"/>
    <e v="#REF!"/>
    <e v="#REF!"/>
    <s v=""/>
    <n v="0.37"/>
  </r>
  <r>
    <x v="4"/>
    <x v="103"/>
    <x v="1"/>
    <x v="3"/>
    <m/>
    <m/>
    <s v="CABIN_FILTER, MITSUBISHI MONTERO OLD"/>
    <s v="CA-001704"/>
    <n v="1"/>
    <n v="450"/>
    <m/>
    <n v="450"/>
    <x v="0"/>
    <n v="567"/>
    <n v="180"/>
    <n v="180"/>
    <n v="189"/>
    <n v="261"/>
    <n v="78.3"/>
    <x v="12"/>
    <x v="2"/>
    <m/>
    <m/>
    <m/>
    <n v="0.57999999999999996"/>
  </r>
  <r>
    <x v="5"/>
    <x v="127"/>
    <x v="0"/>
    <x v="77"/>
    <m/>
    <m/>
    <s v="EXP. VALVE LT, POKKA 9A55 HONDA NEW"/>
    <s v="CA-000636"/>
    <n v="1"/>
    <n v="550"/>
    <m/>
    <n v="550"/>
    <x v="0"/>
    <n v="497"/>
    <n v="270"/>
    <n v="270"/>
    <n v="283.5"/>
    <n v="266.5"/>
    <n v="0"/>
    <x v="23"/>
    <x v="2"/>
    <e v="#REF!"/>
    <e v="#REF!"/>
    <s v=""/>
    <n v="0.48454545454545456"/>
  </r>
  <r>
    <x v="0"/>
    <x v="0"/>
    <x v="0"/>
    <x v="32"/>
    <m/>
    <m/>
    <s v="TAPE_PE, PICUS Polythelene Tape (White)X 4&quot;"/>
    <s v="IM-000247"/>
    <n v="1"/>
    <n v="125"/>
    <m/>
    <n v="125"/>
    <x v="0"/>
    <n v="147"/>
    <n v="75"/>
    <n v="75"/>
    <n v="77.25"/>
    <n v="47.75"/>
    <n v="0"/>
    <x v="29"/>
    <x v="0"/>
    <m/>
    <m/>
    <m/>
    <n v="0.38200000000000001"/>
  </r>
  <r>
    <x v="0"/>
    <x v="1"/>
    <x v="0"/>
    <x v="1"/>
    <m/>
    <m/>
    <s v="TAPE_PE, PICUS Polythelene Tape (White)X 4&quot;"/>
    <s v="IM-000247"/>
    <n v="1"/>
    <n v="125"/>
    <m/>
    <n v="125"/>
    <x v="0"/>
    <n v="147"/>
    <n v="75"/>
    <n v="75"/>
    <n v="77.25"/>
    <n v="47.75"/>
    <n v="0"/>
    <x v="29"/>
    <x v="0"/>
    <m/>
    <m/>
    <s v=""/>
    <n v="0.38200000000000001"/>
  </r>
  <r>
    <x v="0"/>
    <x v="2"/>
    <x v="0"/>
    <x v="1"/>
    <m/>
    <m/>
    <s v="TAPE_PE, PICUS Polythelene Tape (White)X 4&quot;"/>
    <s v="IM-000247"/>
    <n v="1"/>
    <n v="125"/>
    <m/>
    <n v="125"/>
    <x v="0"/>
    <n v="147"/>
    <n v="75"/>
    <n v="75"/>
    <n v="77.25"/>
    <n v="47.75"/>
    <n v="0"/>
    <x v="29"/>
    <x v="0"/>
    <m/>
    <m/>
    <s v=""/>
    <n v="0.38200000000000001"/>
  </r>
  <r>
    <x v="0"/>
    <x v="4"/>
    <x v="0"/>
    <x v="1"/>
    <m/>
    <m/>
    <s v="TAPE_PE, PICUS Polythelene Tape (White)X 4&quot;"/>
    <s v="IM-000247"/>
    <n v="1"/>
    <n v="125"/>
    <m/>
    <n v="125"/>
    <x v="0"/>
    <n v="147"/>
    <n v="75"/>
    <n v="75"/>
    <n v="77.25"/>
    <n v="47.75"/>
    <n v="0"/>
    <x v="29"/>
    <x v="0"/>
    <m/>
    <m/>
    <s v=""/>
    <n v="0.38200000000000001"/>
  </r>
  <r>
    <x v="0"/>
    <x v="5"/>
    <x v="0"/>
    <x v="1"/>
    <m/>
    <m/>
    <s v="TAPE_PE, PICUS Polythelene Tape (White)X 4&quot;"/>
    <s v="IM-000247"/>
    <n v="1"/>
    <n v="125"/>
    <m/>
    <n v="125"/>
    <x v="0"/>
    <n v="147"/>
    <n v="75"/>
    <n v="75"/>
    <n v="77.25"/>
    <n v="47.75"/>
    <n v="0"/>
    <x v="29"/>
    <x v="0"/>
    <m/>
    <m/>
    <s v=""/>
    <n v="0.38200000000000001"/>
  </r>
  <r>
    <x v="0"/>
    <x v="98"/>
    <x v="0"/>
    <x v="35"/>
    <m/>
    <m/>
    <s v="TAPE_PE, PICUS Polythelene Tape (White)X 4&quot;"/>
    <s v="IM-000247"/>
    <n v="1"/>
    <n v="125"/>
    <m/>
    <n v="125"/>
    <x v="0"/>
    <n v="147"/>
    <n v="75"/>
    <n v="75"/>
    <n v="77.25"/>
    <n v="47.75"/>
    <n v="0"/>
    <x v="29"/>
    <x v="0"/>
    <m/>
    <m/>
    <s v=""/>
    <n v="0.38200000000000001"/>
  </r>
  <r>
    <x v="0"/>
    <x v="99"/>
    <x v="0"/>
    <x v="19"/>
    <m/>
    <m/>
    <s v="TAPE_PE, PICUS Polythelene Tape (White)X 4&quot;"/>
    <s v="IM-000247"/>
    <n v="1"/>
    <n v="125"/>
    <m/>
    <n v="125"/>
    <x v="0"/>
    <n v="147"/>
    <n v="75"/>
    <n v="75"/>
    <n v="77.25"/>
    <n v="47.75"/>
    <n v="0"/>
    <x v="29"/>
    <x v="0"/>
    <m/>
    <m/>
    <s v=""/>
    <n v="0.38200000000000001"/>
  </r>
  <r>
    <x v="0"/>
    <x v="6"/>
    <x v="0"/>
    <x v="2"/>
    <m/>
    <m/>
    <s v="TAPE_PE, PICUS Polythelene Tape (White)X 4&quot;"/>
    <s v="IM-000247"/>
    <n v="1"/>
    <n v="125"/>
    <m/>
    <n v="125"/>
    <x v="0"/>
    <n v="147"/>
    <n v="75"/>
    <n v="75"/>
    <n v="77.25"/>
    <n v="47.75"/>
    <n v="0"/>
    <x v="29"/>
    <x v="0"/>
    <m/>
    <m/>
    <s v=""/>
    <n v="0.38200000000000001"/>
  </r>
  <r>
    <x v="0"/>
    <x v="8"/>
    <x v="0"/>
    <x v="1"/>
    <m/>
    <m/>
    <s v="TAPE_PE, PICUS Polythelene Tape (White)X 4&quot;"/>
    <s v="IM-000247"/>
    <n v="1"/>
    <n v="125"/>
    <m/>
    <n v="125"/>
    <x v="0"/>
    <n v="147"/>
    <n v="75"/>
    <n v="75"/>
    <n v="77.25"/>
    <n v="47.75"/>
    <n v="0"/>
    <x v="29"/>
    <x v="0"/>
    <m/>
    <m/>
    <s v=""/>
    <n v="0.38200000000000001"/>
  </r>
  <r>
    <x v="0"/>
    <x v="9"/>
    <x v="0"/>
    <x v="6"/>
    <m/>
    <m/>
    <s v="TAPE_PE, PICUS Polythelene Tape (White)X 4&quot;"/>
    <s v="IM-000247"/>
    <n v="1"/>
    <n v="125"/>
    <m/>
    <n v="125"/>
    <x v="0"/>
    <n v="147"/>
    <n v="75"/>
    <n v="75"/>
    <n v="77.25"/>
    <n v="47.75"/>
    <n v="0"/>
    <x v="29"/>
    <x v="0"/>
    <e v="#REF!"/>
    <e v="#REF!"/>
    <s v=""/>
    <n v="0.38200000000000001"/>
  </r>
  <r>
    <x v="0"/>
    <x v="9"/>
    <x v="0"/>
    <x v="116"/>
    <m/>
    <m/>
    <s v="TAPE_PE, PICUS Polythelene Tape (White)X 4&quot;"/>
    <s v="IM-000247"/>
    <n v="1"/>
    <n v="125"/>
    <m/>
    <n v="125"/>
    <x v="0"/>
    <n v="147"/>
    <n v="75"/>
    <n v="75"/>
    <n v="77.25"/>
    <n v="47.75"/>
    <n v="0"/>
    <x v="29"/>
    <x v="0"/>
    <e v="#REF!"/>
    <e v="#REF!"/>
    <s v=""/>
    <n v="0.38200000000000001"/>
  </r>
  <r>
    <x v="0"/>
    <x v="10"/>
    <x v="0"/>
    <x v="1"/>
    <m/>
    <m/>
    <s v="TAPE_PE, PICUS Polythelene Tape (White)X 4&quot;"/>
    <s v="IM-000247"/>
    <n v="1"/>
    <n v="125"/>
    <m/>
    <n v="125"/>
    <x v="0"/>
    <n v="147"/>
    <n v="75"/>
    <n v="75"/>
    <n v="77.25"/>
    <n v="47.75"/>
    <n v="0"/>
    <x v="29"/>
    <x v="0"/>
    <e v="#REF!"/>
    <e v="#REF!"/>
    <s v=""/>
    <n v="0.38200000000000001"/>
  </r>
  <r>
    <x v="0"/>
    <x v="13"/>
    <x v="0"/>
    <x v="1"/>
    <m/>
    <m/>
    <s v="TAPE_PE, PICUS Polythelene Tape (White)X 4&quot;"/>
    <s v="IM-000247"/>
    <n v="1"/>
    <n v="125"/>
    <m/>
    <n v="125"/>
    <x v="0"/>
    <n v="147"/>
    <n v="75"/>
    <n v="75"/>
    <n v="77.25"/>
    <n v="47.75"/>
    <n v="0"/>
    <x v="29"/>
    <x v="0"/>
    <e v="#REF!"/>
    <e v="#REF!"/>
    <s v=""/>
    <n v="0.38200000000000001"/>
  </r>
  <r>
    <x v="0"/>
    <x v="13"/>
    <x v="0"/>
    <x v="1"/>
    <m/>
    <m/>
    <s v="TAPE_PE, PICUS Polythelene Tape (White)X 4&quot;"/>
    <s v="IM-000247"/>
    <n v="1"/>
    <n v="125"/>
    <m/>
    <n v="125"/>
    <x v="0"/>
    <n v="147"/>
    <n v="75"/>
    <n v="75"/>
    <n v="77.25"/>
    <n v="47.75"/>
    <n v="0"/>
    <x v="29"/>
    <x v="0"/>
    <e v="#REF!"/>
    <e v="#REF!"/>
    <s v=""/>
    <n v="0.38200000000000001"/>
  </r>
  <r>
    <x v="1"/>
    <x v="17"/>
    <x v="0"/>
    <x v="1"/>
    <m/>
    <m/>
    <s v="TAPE_PE, PICUS Polythelene Tape (White)X 4&quot;"/>
    <s v="IM-000247"/>
    <n v="1"/>
    <n v="125"/>
    <m/>
    <n v="125"/>
    <x v="0"/>
    <n v="147"/>
    <n v="75"/>
    <n v="75"/>
    <n v="77.25"/>
    <n v="47.75"/>
    <n v="0"/>
    <x v="29"/>
    <x v="0"/>
    <e v="#REF!"/>
    <e v="#REF!"/>
    <s v=""/>
    <n v="0.38200000000000001"/>
  </r>
  <r>
    <x v="1"/>
    <x v="114"/>
    <x v="0"/>
    <x v="1"/>
    <m/>
    <m/>
    <s v="TAPE_PE, PICUS Polythelene Tape (White)X 4&quot;"/>
    <s v="IM-000247"/>
    <n v="1"/>
    <n v="125"/>
    <m/>
    <n v="125"/>
    <x v="0"/>
    <n v="147"/>
    <n v="75"/>
    <n v="75"/>
    <n v="77.25"/>
    <n v="47.75"/>
    <n v="0"/>
    <x v="29"/>
    <x v="0"/>
    <e v="#REF!"/>
    <e v="#REF!"/>
    <s v=""/>
    <n v="0.38200000000000001"/>
  </r>
  <r>
    <x v="1"/>
    <x v="18"/>
    <x v="0"/>
    <x v="32"/>
    <m/>
    <m/>
    <s v="TAPE_PE, PICUS Polythelene Tape (White)X 4&quot;"/>
    <s v="IM-000247"/>
    <n v="1"/>
    <n v="125"/>
    <m/>
    <n v="125"/>
    <x v="0"/>
    <n v="147"/>
    <n v="75"/>
    <n v="75"/>
    <n v="77.25"/>
    <n v="47.75"/>
    <n v="0"/>
    <x v="29"/>
    <x v="0"/>
    <e v="#REF!"/>
    <e v="#REF!"/>
    <s v=""/>
    <n v="0.38200000000000001"/>
  </r>
  <r>
    <x v="1"/>
    <x v="23"/>
    <x v="0"/>
    <x v="19"/>
    <m/>
    <m/>
    <s v="TAPE_PE, PICUS Polythelene Tape (White)X 4&quot;"/>
    <s v="IM-000247"/>
    <n v="1"/>
    <n v="125"/>
    <m/>
    <n v="125"/>
    <x v="0"/>
    <n v="147"/>
    <n v="75"/>
    <n v="75"/>
    <n v="77.25"/>
    <n v="47.75"/>
    <n v="0"/>
    <x v="29"/>
    <x v="0"/>
    <e v="#REF!"/>
    <e v="#REF!"/>
    <e v="#REF!"/>
    <n v="0.38200000000000001"/>
  </r>
  <r>
    <x v="1"/>
    <x v="23"/>
    <x v="0"/>
    <x v="1"/>
    <m/>
    <m/>
    <s v="TAPE_PE, PICUS Polythelene Tape (White)X 4&quot;"/>
    <s v="IM-000247"/>
    <n v="1"/>
    <n v="125"/>
    <m/>
    <n v="125"/>
    <x v="0"/>
    <n v="147"/>
    <n v="75"/>
    <n v="75"/>
    <n v="77.25"/>
    <n v="47.75"/>
    <n v="0"/>
    <x v="29"/>
    <x v="0"/>
    <e v="#REF!"/>
    <e v="#REF!"/>
    <e v="#REF!"/>
    <n v="0.38200000000000001"/>
  </r>
  <r>
    <x v="1"/>
    <x v="23"/>
    <x v="0"/>
    <x v="1"/>
    <m/>
    <m/>
    <s v="TAPE_PE, PICUS Polythelene Tape (White)X 4&quot;"/>
    <s v="IM-000247"/>
    <n v="1"/>
    <n v="125"/>
    <m/>
    <n v="125"/>
    <x v="0"/>
    <n v="147"/>
    <n v="75"/>
    <n v="75"/>
    <n v="77.25"/>
    <n v="47.75"/>
    <n v="0"/>
    <x v="29"/>
    <x v="0"/>
    <e v="#REF!"/>
    <e v="#REF!"/>
    <e v="#REF!"/>
    <n v="0.38200000000000001"/>
  </r>
  <r>
    <x v="1"/>
    <x v="24"/>
    <x v="0"/>
    <x v="1"/>
    <m/>
    <m/>
    <s v="TAPE_PE, PICUS Polythelene Tape (White)X 4&quot;"/>
    <s v="IM-000247"/>
    <n v="1"/>
    <n v="125"/>
    <m/>
    <n v="125"/>
    <x v="0"/>
    <n v="147"/>
    <n v="75"/>
    <n v="75"/>
    <n v="77.25"/>
    <n v="47.75"/>
    <n v="0"/>
    <x v="29"/>
    <x v="0"/>
    <e v="#REF!"/>
    <e v="#REF!"/>
    <e v="#REF!"/>
    <n v="0.38200000000000001"/>
  </r>
  <r>
    <x v="1"/>
    <x v="26"/>
    <x v="0"/>
    <x v="2"/>
    <m/>
    <m/>
    <s v="TAPE_PE, PICUS Polythelene Tape (White)X 4&quot;"/>
    <s v="IM-000247"/>
    <n v="1"/>
    <n v="125"/>
    <m/>
    <n v="125"/>
    <x v="0"/>
    <n v="147"/>
    <n v="75"/>
    <n v="75"/>
    <n v="77.25"/>
    <n v="47.75"/>
    <n v="0"/>
    <x v="29"/>
    <x v="0"/>
    <e v="#REF!"/>
    <e v="#REF!"/>
    <e v="#REF!"/>
    <n v="0.38200000000000001"/>
  </r>
  <r>
    <x v="1"/>
    <x v="26"/>
    <x v="0"/>
    <x v="1"/>
    <m/>
    <m/>
    <s v="TAPE_PE, PICUS Polythelene Tape (White)X 4&quot;"/>
    <s v="IM-000247"/>
    <n v="1"/>
    <n v="120"/>
    <m/>
    <n v="120"/>
    <x v="0"/>
    <n v="147"/>
    <n v="75"/>
    <n v="75"/>
    <n v="77.25"/>
    <n v="42.75"/>
    <n v="0"/>
    <x v="29"/>
    <x v="0"/>
    <e v="#REF!"/>
    <e v="#REF!"/>
    <e v="#REF!"/>
    <n v="0"/>
  </r>
  <r>
    <x v="1"/>
    <x v="28"/>
    <x v="0"/>
    <x v="1"/>
    <m/>
    <m/>
    <s v="TAPE_PE, PICUS Polythelene Tape (White)X 4&quot;"/>
    <s v="IM-000247"/>
    <n v="1"/>
    <n v="120"/>
    <m/>
    <n v="120"/>
    <x v="0"/>
    <n v="147"/>
    <n v="75"/>
    <n v="75"/>
    <n v="77.25"/>
    <n v="42.75"/>
    <n v="0"/>
    <x v="29"/>
    <x v="0"/>
    <e v="#REF!"/>
    <e v="#REF!"/>
    <e v="#REF!"/>
    <n v="0.35625000000000001"/>
  </r>
  <r>
    <x v="2"/>
    <x v="35"/>
    <x v="0"/>
    <x v="29"/>
    <m/>
    <m/>
    <s v="TAPE_PE, PICUS Polythelene Tape (White)X 4&quot;"/>
    <s v="IM-000247"/>
    <n v="1"/>
    <n v="125"/>
    <m/>
    <n v="125"/>
    <x v="0"/>
    <n v="147"/>
    <n v="75"/>
    <n v="75"/>
    <n v="77.25"/>
    <n v="47.75"/>
    <n v="0"/>
    <x v="29"/>
    <x v="0"/>
    <e v="#REF!"/>
    <e v="#REF!"/>
    <s v=""/>
    <n v="0.38200000000000001"/>
  </r>
  <r>
    <x v="2"/>
    <x v="38"/>
    <x v="0"/>
    <x v="1"/>
    <m/>
    <m/>
    <s v="TAPE_PE, PICUS Polythelene Tape (White)X 4&quot;"/>
    <s v="IM-000247"/>
    <n v="1"/>
    <n v="125"/>
    <m/>
    <n v="125"/>
    <x v="0"/>
    <n v="147"/>
    <n v="75"/>
    <n v="75"/>
    <n v="77.25"/>
    <n v="47.75"/>
    <n v="0"/>
    <x v="29"/>
    <x v="0"/>
    <e v="#REF!"/>
    <e v="#REF!"/>
    <s v=""/>
    <n v="0.38200000000000001"/>
  </r>
  <r>
    <x v="2"/>
    <x v="38"/>
    <x v="0"/>
    <x v="1"/>
    <m/>
    <m/>
    <s v="TAPE_PE, PICUS Polythelene Tape (White)X 4&quot;"/>
    <s v="IM-000247"/>
    <n v="1"/>
    <n v="125"/>
    <m/>
    <n v="125"/>
    <x v="0"/>
    <n v="147"/>
    <n v="75"/>
    <n v="75"/>
    <n v="77.25"/>
    <n v="47.75"/>
    <n v="0"/>
    <x v="29"/>
    <x v="0"/>
    <e v="#REF!"/>
    <e v="#REF!"/>
    <s v=""/>
    <n v="0.38200000000000001"/>
  </r>
  <r>
    <x v="2"/>
    <x v="44"/>
    <x v="0"/>
    <x v="32"/>
    <m/>
    <m/>
    <s v="TAPE_PE, PICUS Polythelene Tape (White)X 4&quot;"/>
    <s v="IM-000247"/>
    <n v="1"/>
    <n v="125"/>
    <m/>
    <n v="125"/>
    <x v="0"/>
    <n v="147"/>
    <n v="75"/>
    <n v="75"/>
    <n v="77.25"/>
    <n v="47.75"/>
    <n v="0"/>
    <x v="29"/>
    <x v="0"/>
    <e v="#REF!"/>
    <e v="#REF!"/>
    <s v=""/>
    <n v="0.38200000000000001"/>
  </r>
  <r>
    <x v="2"/>
    <x v="45"/>
    <x v="0"/>
    <x v="1"/>
    <m/>
    <m/>
    <s v="TAPE_PE, PICUS Polythelene Tape (White)X 4&quot;"/>
    <s v="IM-000247"/>
    <n v="1"/>
    <n v="125"/>
    <m/>
    <n v="125"/>
    <x v="0"/>
    <n v="147"/>
    <n v="75"/>
    <n v="75"/>
    <n v="77.25"/>
    <n v="47.75"/>
    <n v="0"/>
    <x v="29"/>
    <x v="0"/>
    <e v="#REF!"/>
    <e v="#REF!"/>
    <s v=""/>
    <n v="0.38200000000000001"/>
  </r>
  <r>
    <x v="2"/>
    <x v="51"/>
    <x v="0"/>
    <x v="33"/>
    <m/>
    <m/>
    <s v="TAPE_PE, PICUS Polythelene Tape (White)X 4&quot;"/>
    <s v="IM-000247"/>
    <n v="1"/>
    <n v="125"/>
    <m/>
    <n v="125"/>
    <x v="0"/>
    <n v="147"/>
    <n v="75"/>
    <n v="75"/>
    <n v="77.25"/>
    <n v="47.75"/>
    <n v="0"/>
    <x v="29"/>
    <x v="0"/>
    <e v="#REF!"/>
    <e v="#REF!"/>
    <s v=""/>
    <n v="0.38200000000000001"/>
  </r>
  <r>
    <x v="2"/>
    <x v="52"/>
    <x v="0"/>
    <x v="35"/>
    <m/>
    <m/>
    <s v="TAPE_PE, PICUS Polythelene Tape (White)X 4&quot;"/>
    <s v="IM-000247"/>
    <n v="1"/>
    <n v="125"/>
    <m/>
    <n v="125"/>
    <x v="0"/>
    <n v="147"/>
    <n v="75"/>
    <n v="75"/>
    <n v="77.25"/>
    <n v="47.75"/>
    <n v="0"/>
    <x v="29"/>
    <x v="0"/>
    <e v="#REF!"/>
    <e v="#REF!"/>
    <s v=""/>
    <n v="0.38200000000000001"/>
  </r>
  <r>
    <x v="2"/>
    <x v="112"/>
    <x v="0"/>
    <x v="2"/>
    <m/>
    <m/>
    <s v="TAPE_PE, PICUS Polythelene Tape (White)X 4&quot;"/>
    <s v="IM-000247"/>
    <n v="1"/>
    <n v="125"/>
    <m/>
    <n v="125"/>
    <x v="0"/>
    <n v="147"/>
    <n v="75"/>
    <n v="75"/>
    <n v="77.25"/>
    <n v="47.75"/>
    <n v="0"/>
    <x v="29"/>
    <x v="0"/>
    <e v="#REF!"/>
    <e v="#REF!"/>
    <s v=""/>
    <n v="0.38200000000000001"/>
  </r>
  <r>
    <x v="2"/>
    <x v="55"/>
    <x v="0"/>
    <x v="1"/>
    <m/>
    <m/>
    <s v="TAPE_PE, PICUS Polythelene Tape (White)X 4&quot;"/>
    <s v="IM-000247"/>
    <n v="1"/>
    <n v="125"/>
    <m/>
    <n v="125"/>
    <x v="0"/>
    <n v="147"/>
    <n v="75"/>
    <n v="75"/>
    <n v="77.25"/>
    <n v="47.75"/>
    <n v="0"/>
    <x v="29"/>
    <x v="0"/>
    <e v="#REF!"/>
    <e v="#REF!"/>
    <s v=""/>
    <n v="0.38200000000000001"/>
  </r>
  <r>
    <x v="2"/>
    <x v="58"/>
    <x v="0"/>
    <x v="1"/>
    <m/>
    <m/>
    <s v="TAPE_PE, PICUS Polythelene Tape (White)X 4&quot;"/>
    <s v="IM-000247"/>
    <n v="1"/>
    <n v="125"/>
    <m/>
    <n v="125"/>
    <x v="0"/>
    <n v="147"/>
    <n v="75"/>
    <n v="75"/>
    <n v="77.25"/>
    <n v="47.75"/>
    <n v="0"/>
    <x v="29"/>
    <x v="0"/>
    <e v="#REF!"/>
    <e v="#REF!"/>
    <s v=""/>
    <n v="0.38200000000000001"/>
  </r>
  <r>
    <x v="3"/>
    <x v="59"/>
    <x v="0"/>
    <x v="1"/>
    <m/>
    <m/>
    <s v="TAPE_PE, PICUS Polythelene Tape (White)X 4&quot;"/>
    <s v="IM-000247"/>
    <n v="1"/>
    <n v="125"/>
    <m/>
    <n v="125"/>
    <x v="0"/>
    <n v="147"/>
    <n v="75"/>
    <n v="75"/>
    <n v="77.25"/>
    <n v="47.75"/>
    <n v="0"/>
    <x v="29"/>
    <x v="0"/>
    <m/>
    <m/>
    <s v=""/>
    <n v="0.38200000000000001"/>
  </r>
  <r>
    <x v="3"/>
    <x v="59"/>
    <x v="0"/>
    <x v="27"/>
    <m/>
    <m/>
    <s v="TAPE_PE, PICUS Polythelene Tape (White)X 4&quot;"/>
    <s v="IM-000247"/>
    <n v="1"/>
    <n v="125"/>
    <m/>
    <n v="125"/>
    <x v="0"/>
    <n v="147"/>
    <n v="75"/>
    <n v="75"/>
    <n v="77.25"/>
    <n v="47.75"/>
    <n v="0"/>
    <x v="29"/>
    <x v="0"/>
    <m/>
    <m/>
    <s v=""/>
    <n v="0.38200000000000001"/>
  </r>
  <r>
    <x v="3"/>
    <x v="60"/>
    <x v="0"/>
    <x v="1"/>
    <m/>
    <n v="125"/>
    <s v="TAPE_PE, PICUS Polythelene Tape (White)X 4&quot;"/>
    <s v="IM-000247"/>
    <n v="1"/>
    <n v="112"/>
    <m/>
    <n v="112"/>
    <x v="0"/>
    <n v="147"/>
    <n v="75"/>
    <n v="75"/>
    <n v="77.25"/>
    <n v="34.75"/>
    <n v="0"/>
    <x v="29"/>
    <x v="0"/>
    <m/>
    <m/>
    <n v="125.44000000000001"/>
    <n v="0.31026785714285715"/>
  </r>
  <r>
    <x v="3"/>
    <x v="60"/>
    <x v="0"/>
    <x v="1"/>
    <m/>
    <m/>
    <s v="TAPE_PE, PICUS Polythelene Tape (White)X 4&quot;"/>
    <s v="IM-000247"/>
    <n v="1"/>
    <n v="125"/>
    <m/>
    <n v="125"/>
    <x v="0"/>
    <n v="147"/>
    <n v="75"/>
    <n v="75"/>
    <n v="77.25"/>
    <n v="47.75"/>
    <n v="0"/>
    <x v="29"/>
    <x v="0"/>
    <m/>
    <m/>
    <s v=""/>
    <n v="0.38200000000000001"/>
  </r>
  <r>
    <x v="3"/>
    <x v="61"/>
    <x v="0"/>
    <x v="1"/>
    <m/>
    <m/>
    <s v="TAPE_PE, PICUS Polythelene Tape (White)X 4&quot;"/>
    <s v="IM-000247"/>
    <n v="1"/>
    <n v="125"/>
    <m/>
    <n v="125"/>
    <x v="0"/>
    <n v="147"/>
    <n v="75"/>
    <n v="75"/>
    <n v="77.25"/>
    <n v="47.75"/>
    <n v="0"/>
    <x v="29"/>
    <x v="0"/>
    <m/>
    <m/>
    <s v=""/>
    <n v="0.38200000000000001"/>
  </r>
  <r>
    <x v="3"/>
    <x v="63"/>
    <x v="0"/>
    <x v="1"/>
    <m/>
    <m/>
    <s v="TAPE_PE, PICUS Polythelene Tape (White)X 4&quot;"/>
    <s v="IM-000247"/>
    <n v="1"/>
    <n v="125"/>
    <m/>
    <n v="125"/>
    <x v="0"/>
    <n v="147"/>
    <n v="75"/>
    <n v="75"/>
    <n v="77.25"/>
    <n v="47.75"/>
    <n v="0"/>
    <x v="29"/>
    <x v="0"/>
    <m/>
    <m/>
    <s v=""/>
    <n v="0.38200000000000001"/>
  </r>
  <r>
    <x v="3"/>
    <x v="64"/>
    <x v="0"/>
    <x v="40"/>
    <m/>
    <m/>
    <s v="TAPE_PE, PICUS Polythelene Tape (White)X 4&quot;"/>
    <s v="IM-000247"/>
    <n v="1"/>
    <n v="125"/>
    <m/>
    <n v="125"/>
    <x v="0"/>
    <n v="147"/>
    <n v="75"/>
    <n v="75"/>
    <n v="77.25"/>
    <n v="47.75"/>
    <n v="0"/>
    <x v="29"/>
    <x v="0"/>
    <m/>
    <m/>
    <s v=""/>
    <n v="0.38200000000000001"/>
  </r>
  <r>
    <x v="3"/>
    <x v="65"/>
    <x v="0"/>
    <x v="30"/>
    <m/>
    <m/>
    <s v="TAPE_PE, PICUS Polythelene Tape (White)X 4&quot;"/>
    <s v="IM-000247"/>
    <n v="1"/>
    <n v="125"/>
    <m/>
    <n v="125"/>
    <x v="0"/>
    <n v="147"/>
    <n v="75"/>
    <n v="75"/>
    <n v="77.25"/>
    <n v="47.75"/>
    <n v="0"/>
    <x v="29"/>
    <x v="0"/>
    <m/>
    <m/>
    <s v=""/>
    <n v="0.38200000000000001"/>
  </r>
  <r>
    <x v="3"/>
    <x v="66"/>
    <x v="0"/>
    <x v="41"/>
    <m/>
    <m/>
    <s v="TAPE_PE, PICUS Polythelene Tape (White)X 4&quot;"/>
    <s v="IM-000247"/>
    <n v="1"/>
    <n v="125"/>
    <m/>
    <n v="125"/>
    <x v="0"/>
    <n v="147"/>
    <n v="75"/>
    <n v="75"/>
    <n v="77.25"/>
    <n v="47.75"/>
    <n v="0"/>
    <x v="29"/>
    <x v="0"/>
    <m/>
    <m/>
    <s v=""/>
    <n v="0.38200000000000001"/>
  </r>
  <r>
    <x v="3"/>
    <x v="115"/>
    <x v="0"/>
    <x v="1"/>
    <m/>
    <m/>
    <s v="TAPE_PE, PICUS Polythelene Tape (White)X 4&quot;"/>
    <s v="IM-000247"/>
    <n v="1"/>
    <n v="125"/>
    <m/>
    <n v="125"/>
    <x v="0"/>
    <n v="147"/>
    <n v="75"/>
    <n v="75"/>
    <n v="77.25"/>
    <n v="47.75"/>
    <n v="0"/>
    <x v="29"/>
    <x v="0"/>
    <m/>
    <m/>
    <s v=""/>
    <n v="0.38200000000000001"/>
  </r>
  <r>
    <x v="3"/>
    <x v="69"/>
    <x v="0"/>
    <x v="63"/>
    <m/>
    <n v="125"/>
    <s v="TAPE_PE, PICUS Polythelene Tape (White)X 4&quot;"/>
    <s v="IM-000247"/>
    <n v="1"/>
    <n v="112"/>
    <m/>
    <n v="112"/>
    <x v="0"/>
    <n v="147"/>
    <n v="75"/>
    <n v="75"/>
    <n v="77.25"/>
    <n v="34.75"/>
    <n v="0"/>
    <x v="29"/>
    <x v="0"/>
    <m/>
    <m/>
    <n v="125.44000000000001"/>
    <n v="0.31026785714285715"/>
  </r>
  <r>
    <x v="3"/>
    <x v="69"/>
    <x v="0"/>
    <x v="1"/>
    <m/>
    <m/>
    <s v="TAPE_PE, PICUS Polythelene Tape (White)X 4&quot;"/>
    <s v="IM-000247"/>
    <n v="1"/>
    <n v="125"/>
    <m/>
    <n v="125"/>
    <x v="0"/>
    <n v="147"/>
    <n v="75"/>
    <n v="75"/>
    <n v="77.25"/>
    <n v="47.75"/>
    <n v="0"/>
    <x v="29"/>
    <x v="0"/>
    <m/>
    <m/>
    <s v=""/>
    <n v="0.38200000000000001"/>
  </r>
  <r>
    <x v="3"/>
    <x v="71"/>
    <x v="7"/>
    <x v="43"/>
    <m/>
    <m/>
    <s v="TAPE_PE, PICUS Polythelene Tape (White)X 4&quot;"/>
    <s v="IM-000247"/>
    <n v="1"/>
    <n v="125"/>
    <m/>
    <n v="125"/>
    <x v="0"/>
    <n v="147"/>
    <n v="75"/>
    <n v="75"/>
    <n v="77.25"/>
    <n v="47.75"/>
    <n v="14.324999999999999"/>
    <x v="29"/>
    <x v="0"/>
    <m/>
    <m/>
    <s v=""/>
    <n v="0.38200000000000001"/>
  </r>
  <r>
    <x v="3"/>
    <x v="72"/>
    <x v="0"/>
    <x v="1"/>
    <m/>
    <m/>
    <s v="TAPE_PE, PICUS Polythelene Tape (White)X 4&quot;"/>
    <s v="IM-000247"/>
    <n v="1"/>
    <n v="125"/>
    <m/>
    <n v="125"/>
    <x v="0"/>
    <n v="147"/>
    <n v="75"/>
    <n v="75"/>
    <n v="77.25"/>
    <n v="47.75"/>
    <n v="0"/>
    <x v="29"/>
    <x v="0"/>
    <m/>
    <m/>
    <s v=""/>
    <n v="0.38200000000000001"/>
  </r>
  <r>
    <x v="3"/>
    <x v="85"/>
    <x v="0"/>
    <x v="62"/>
    <m/>
    <m/>
    <s v="TAPE_PE, PICUS Polythelene Tape (White)X 4&quot;"/>
    <s v="IM-000247"/>
    <n v="1"/>
    <n v="125"/>
    <m/>
    <n v="125"/>
    <x v="0"/>
    <n v="147"/>
    <n v="75"/>
    <n v="75"/>
    <n v="77.25"/>
    <n v="47.75"/>
    <n v="0"/>
    <x v="29"/>
    <x v="0"/>
    <m/>
    <m/>
    <m/>
    <n v="0.38200000000000001"/>
  </r>
  <r>
    <x v="3"/>
    <x v="85"/>
    <x v="0"/>
    <x v="1"/>
    <m/>
    <m/>
    <s v="TAPE_PE, PICUS Polythelene Tape (White)X 4&quot;"/>
    <s v="IM-000247"/>
    <n v="1"/>
    <n v="125"/>
    <m/>
    <n v="125"/>
    <x v="0"/>
    <n v="147"/>
    <n v="75"/>
    <n v="75"/>
    <n v="77.25"/>
    <n v="47.75"/>
    <n v="0"/>
    <x v="29"/>
    <x v="0"/>
    <m/>
    <m/>
    <m/>
    <n v="0.38200000000000001"/>
  </r>
  <r>
    <x v="3"/>
    <x v="86"/>
    <x v="0"/>
    <x v="41"/>
    <m/>
    <m/>
    <s v="TAPE_PE, PICUS Polythelene Tape (White)X 4&quot;"/>
    <s v="IM-000247"/>
    <n v="1"/>
    <n v="125"/>
    <m/>
    <n v="125"/>
    <x v="0"/>
    <n v="147"/>
    <n v="75"/>
    <n v="75"/>
    <n v="77.25"/>
    <n v="47.75"/>
    <n v="0"/>
    <x v="29"/>
    <x v="0"/>
    <m/>
    <m/>
    <m/>
    <n v="0.38200000000000001"/>
  </r>
  <r>
    <x v="4"/>
    <x v="107"/>
    <x v="0"/>
    <x v="1"/>
    <m/>
    <m/>
    <s v="TAPE_PE, PICUS Polythelene Tape (White)X 4&quot;"/>
    <s v="IM-000247"/>
    <n v="1"/>
    <n v="125"/>
    <m/>
    <n v="125"/>
    <x v="0"/>
    <n v="147"/>
    <n v="75"/>
    <n v="75"/>
    <n v="77.25"/>
    <n v="47.75"/>
    <n v="0"/>
    <x v="29"/>
    <x v="0"/>
    <m/>
    <m/>
    <m/>
    <n v="0.38200000000000001"/>
  </r>
  <r>
    <x v="4"/>
    <x v="107"/>
    <x v="0"/>
    <x v="1"/>
    <m/>
    <m/>
    <s v="TAPE_PE, PICUS Polythelene Tape (White)X 4&quot;"/>
    <s v="IM-000247"/>
    <n v="1"/>
    <n v="125"/>
    <m/>
    <n v="125"/>
    <x v="0"/>
    <n v="147"/>
    <n v="75"/>
    <n v="75"/>
    <n v="77.25"/>
    <n v="47.75"/>
    <n v="0"/>
    <x v="29"/>
    <x v="0"/>
    <m/>
    <m/>
    <m/>
    <n v="0.38200000000000001"/>
  </r>
  <r>
    <x v="4"/>
    <x v="102"/>
    <x v="1"/>
    <x v="60"/>
    <m/>
    <m/>
    <s v="TAPE_PE, PICUS Polythelene Tape (White)X 4&quot;"/>
    <s v="IM-000247"/>
    <n v="1"/>
    <n v="125"/>
    <m/>
    <n v="125"/>
    <x v="0"/>
    <n v="147"/>
    <n v="75"/>
    <n v="75"/>
    <n v="77.25"/>
    <n v="47.75"/>
    <n v="14.324999999999999"/>
    <x v="29"/>
    <x v="0"/>
    <m/>
    <m/>
    <m/>
    <n v="0.38200000000000001"/>
  </r>
  <r>
    <x v="4"/>
    <x v="102"/>
    <x v="0"/>
    <x v="1"/>
    <m/>
    <m/>
    <s v="TAPE_PE, PICUS Polythelene Tape (White)X 4&quot;"/>
    <s v="IM-000247"/>
    <n v="1"/>
    <n v="125"/>
    <m/>
    <n v="125"/>
    <x v="0"/>
    <n v="147"/>
    <n v="75"/>
    <n v="75"/>
    <n v="77.25"/>
    <n v="47.75"/>
    <n v="0"/>
    <x v="29"/>
    <x v="0"/>
    <m/>
    <m/>
    <m/>
    <n v="0.38200000000000001"/>
  </r>
  <r>
    <x v="4"/>
    <x v="105"/>
    <x v="0"/>
    <x v="1"/>
    <m/>
    <m/>
    <s v="TAPE_PE, PICUS Polythelene Tape (White)X 4&quot;"/>
    <s v="IM-000247"/>
    <n v="1"/>
    <n v="125"/>
    <m/>
    <n v="125"/>
    <x v="0"/>
    <n v="147"/>
    <n v="75"/>
    <n v="75"/>
    <n v="77.25"/>
    <n v="47.75"/>
    <n v="0"/>
    <x v="29"/>
    <x v="0"/>
    <m/>
    <m/>
    <m/>
    <n v="0.38200000000000001"/>
  </r>
  <r>
    <x v="4"/>
    <x v="88"/>
    <x v="0"/>
    <x v="63"/>
    <m/>
    <m/>
    <s v="TAPE_PE, PICUS Polythelene Tape (White)X 4&quot;"/>
    <s v="IM-000247"/>
    <n v="1"/>
    <n v="125"/>
    <m/>
    <n v="125"/>
    <x v="0"/>
    <n v="147"/>
    <n v="75"/>
    <n v="75"/>
    <n v="77.25"/>
    <n v="47.75"/>
    <n v="0"/>
    <x v="29"/>
    <x v="0"/>
    <m/>
    <m/>
    <m/>
    <n v="0.38200000000000001"/>
  </r>
  <r>
    <x v="4"/>
    <x v="88"/>
    <x v="0"/>
    <x v="32"/>
    <m/>
    <m/>
    <s v="TAPE_PE, PICUS Polythelene Tape (White)X 4&quot;"/>
    <s v="IM-000247"/>
    <n v="1"/>
    <n v="125"/>
    <m/>
    <n v="125"/>
    <x v="0"/>
    <n v="147"/>
    <n v="75"/>
    <n v="75"/>
    <n v="77.25"/>
    <n v="47.75"/>
    <n v="0"/>
    <x v="29"/>
    <x v="0"/>
    <m/>
    <m/>
    <m/>
    <n v="0.38200000000000001"/>
  </r>
  <r>
    <x v="4"/>
    <x v="88"/>
    <x v="0"/>
    <x v="102"/>
    <m/>
    <m/>
    <s v="TAPE_PE, PICUS Polythelene Tape (White)X 4&quot;"/>
    <s v="IM-000247"/>
    <n v="1"/>
    <n v="125"/>
    <m/>
    <n v="125"/>
    <x v="0"/>
    <n v="147"/>
    <n v="75"/>
    <n v="75"/>
    <n v="77.25"/>
    <n v="47.75"/>
    <n v="0"/>
    <x v="29"/>
    <x v="0"/>
    <m/>
    <m/>
    <m/>
    <n v="0.38200000000000001"/>
  </r>
  <r>
    <x v="4"/>
    <x v="113"/>
    <x v="0"/>
    <x v="40"/>
    <m/>
    <m/>
    <s v="TAPE_PE, PICUS Polythelene Tape (White)X 4&quot;"/>
    <s v="IM-000247"/>
    <n v="1"/>
    <n v="125"/>
    <m/>
    <n v="125"/>
    <x v="0"/>
    <n v="147"/>
    <n v="75"/>
    <n v="75"/>
    <n v="77.25"/>
    <n v="47.75"/>
    <n v="0"/>
    <x v="29"/>
    <x v="0"/>
    <m/>
    <m/>
    <m/>
    <n v="0.38200000000000001"/>
  </r>
  <r>
    <x v="4"/>
    <x v="113"/>
    <x v="0"/>
    <x v="99"/>
    <m/>
    <m/>
    <s v="TAPE_PE, PICUS Polythelene Tape (White)X 4&quot;"/>
    <s v="IM-000247"/>
    <n v="1"/>
    <n v="125"/>
    <m/>
    <n v="125"/>
    <x v="0"/>
    <n v="147"/>
    <n v="75"/>
    <n v="75"/>
    <n v="77.25"/>
    <n v="47.75"/>
    <n v="0"/>
    <x v="29"/>
    <x v="0"/>
    <m/>
    <m/>
    <m/>
    <n v="0.38200000000000001"/>
  </r>
  <r>
    <x v="4"/>
    <x v="89"/>
    <x v="0"/>
    <x v="1"/>
    <m/>
    <m/>
    <s v="TAPE_PE, PICUS Polythelene Tape (White)X 4&quot;"/>
    <s v="IM-000247"/>
    <n v="1"/>
    <n v="125"/>
    <m/>
    <n v="125"/>
    <x v="0"/>
    <n v="147"/>
    <n v="75"/>
    <n v="75"/>
    <n v="77.25"/>
    <n v="47.75"/>
    <n v="0"/>
    <x v="29"/>
    <x v="0"/>
    <m/>
    <m/>
    <m/>
    <n v="0.38200000000000001"/>
  </r>
  <r>
    <x v="4"/>
    <x v="90"/>
    <x v="0"/>
    <x v="63"/>
    <m/>
    <m/>
    <s v="TAPE_PE, PICUS Polythelene Tape (White)X 4&quot;"/>
    <s v="IM-000247"/>
    <n v="1"/>
    <n v="120"/>
    <m/>
    <n v="120"/>
    <x v="0"/>
    <n v="147"/>
    <n v="75"/>
    <n v="75"/>
    <n v="77.25"/>
    <n v="42.75"/>
    <n v="0"/>
    <x v="29"/>
    <x v="0"/>
    <m/>
    <m/>
    <m/>
    <n v="0.35625000000000001"/>
  </r>
  <r>
    <x v="4"/>
    <x v="90"/>
    <x v="0"/>
    <x v="41"/>
    <m/>
    <m/>
    <s v="TAPE_PE, PICUS Polythelene Tape (White)X 4&quot;"/>
    <s v="IM-000247"/>
    <n v="1"/>
    <n v="125"/>
    <m/>
    <n v="125"/>
    <x v="0"/>
    <n v="147"/>
    <n v="75"/>
    <n v="75"/>
    <n v="77.25"/>
    <n v="47.75"/>
    <n v="0"/>
    <x v="29"/>
    <x v="0"/>
    <m/>
    <m/>
    <m/>
    <n v="0.38200000000000001"/>
  </r>
  <r>
    <x v="4"/>
    <x v="90"/>
    <x v="0"/>
    <x v="1"/>
    <m/>
    <m/>
    <s v="TAPE_PE, PICUS Polythelene Tape (White)X 4&quot;"/>
    <s v="IM-000247"/>
    <n v="1"/>
    <n v="125"/>
    <m/>
    <n v="125"/>
    <x v="0"/>
    <n v="147"/>
    <n v="75"/>
    <n v="75"/>
    <n v="77.25"/>
    <n v="47.75"/>
    <n v="0"/>
    <x v="29"/>
    <x v="0"/>
    <m/>
    <m/>
    <m/>
    <n v="0.38200000000000001"/>
  </r>
  <r>
    <x v="4"/>
    <x v="92"/>
    <x v="0"/>
    <x v="1"/>
    <m/>
    <m/>
    <s v="TAPE_PE, PICUS Polythelene Tape (White)X 4&quot;"/>
    <s v="IM-000247"/>
    <n v="1"/>
    <n v="125"/>
    <m/>
    <n v="125"/>
    <x v="0"/>
    <n v="147"/>
    <n v="75"/>
    <n v="75"/>
    <n v="77.25"/>
    <n v="47.75"/>
    <n v="0"/>
    <x v="29"/>
    <x v="0"/>
    <m/>
    <m/>
    <m/>
    <n v="0.38200000000000001"/>
  </r>
  <r>
    <x v="4"/>
    <x v="92"/>
    <x v="0"/>
    <x v="1"/>
    <m/>
    <m/>
    <s v="TAPE_PE, PICUS Polythelene Tape (White)X 4&quot;"/>
    <s v="IM-000247"/>
    <n v="1"/>
    <n v="125"/>
    <m/>
    <n v="125"/>
    <x v="0"/>
    <n v="147"/>
    <n v="75"/>
    <n v="75"/>
    <n v="77.25"/>
    <n v="47.75"/>
    <n v="0"/>
    <x v="29"/>
    <x v="0"/>
    <m/>
    <m/>
    <m/>
    <n v="0.38200000000000001"/>
  </r>
  <r>
    <x v="4"/>
    <x v="92"/>
    <x v="0"/>
    <x v="1"/>
    <m/>
    <m/>
    <s v="TAPE_PE, PICUS Polythelene Tape (White)X 4&quot;"/>
    <s v="IM-000247"/>
    <n v="1"/>
    <n v="125"/>
    <m/>
    <n v="125"/>
    <x v="0"/>
    <n v="147"/>
    <n v="75"/>
    <n v="75"/>
    <n v="77.25"/>
    <n v="47.75"/>
    <n v="0"/>
    <x v="29"/>
    <x v="0"/>
    <m/>
    <m/>
    <m/>
    <n v="0.38200000000000001"/>
  </r>
  <r>
    <x v="4"/>
    <x v="110"/>
    <x v="0"/>
    <x v="41"/>
    <m/>
    <m/>
    <s v="TAPE_PE, PICUS Polythelene Tape (White)X 4&quot;"/>
    <s v="IM-000247"/>
    <n v="1"/>
    <n v="125"/>
    <m/>
    <n v="125"/>
    <x v="0"/>
    <n v="147"/>
    <n v="75"/>
    <n v="75"/>
    <n v="77.25"/>
    <n v="47.75"/>
    <n v="0"/>
    <x v="29"/>
    <x v="0"/>
    <m/>
    <m/>
    <m/>
    <n v="0.38200000000000001"/>
  </r>
  <r>
    <x v="4"/>
    <x v="110"/>
    <x v="0"/>
    <x v="103"/>
    <m/>
    <m/>
    <s v="TAPE_PE, PICUS Polythelene Tape (White)X 4&quot;"/>
    <s v="IM-000247"/>
    <n v="1"/>
    <n v="125"/>
    <m/>
    <n v="125"/>
    <x v="0"/>
    <n v="147"/>
    <n v="75"/>
    <n v="75"/>
    <n v="77.25"/>
    <n v="47.75"/>
    <n v="0"/>
    <x v="29"/>
    <x v="0"/>
    <m/>
    <m/>
    <m/>
    <n v="0.38200000000000001"/>
  </r>
  <r>
    <x v="4"/>
    <x v="93"/>
    <x v="0"/>
    <x v="20"/>
    <m/>
    <m/>
    <s v="TAPE_PE, PICUS Polythelene Tape (White)X 4&quot;"/>
    <s v="IM-000247"/>
    <n v="1"/>
    <n v="125"/>
    <m/>
    <n v="125"/>
    <x v="0"/>
    <n v="147"/>
    <n v="75"/>
    <n v="75"/>
    <n v="77.25"/>
    <n v="47.75"/>
    <n v="0"/>
    <x v="29"/>
    <x v="0"/>
    <m/>
    <m/>
    <m/>
    <n v="0.38200000000000001"/>
  </r>
  <r>
    <x v="4"/>
    <x v="95"/>
    <x v="0"/>
    <x v="41"/>
    <m/>
    <m/>
    <s v="TAPE_PE, PICUS Polythelene Tape (White)X 4&quot;"/>
    <s v="IM-000247"/>
    <n v="1"/>
    <n v="125"/>
    <m/>
    <n v="125"/>
    <x v="0"/>
    <n v="147"/>
    <n v="75"/>
    <n v="75"/>
    <n v="77.25"/>
    <n v="47.75"/>
    <n v="0"/>
    <x v="29"/>
    <x v="0"/>
    <m/>
    <m/>
    <m/>
    <n v="0.38200000000000001"/>
  </r>
  <r>
    <x v="4"/>
    <x v="95"/>
    <x v="0"/>
    <x v="1"/>
    <m/>
    <m/>
    <s v="TAPE_PE, PICUS Polythelene Tape (White)X 4&quot;"/>
    <s v="IM-000247"/>
    <n v="1"/>
    <n v="125"/>
    <m/>
    <n v="125"/>
    <x v="0"/>
    <n v="147"/>
    <n v="75"/>
    <n v="75"/>
    <n v="77.25"/>
    <n v="47.75"/>
    <n v="0"/>
    <x v="29"/>
    <x v="0"/>
    <m/>
    <m/>
    <m/>
    <n v="0.38200000000000001"/>
  </r>
  <r>
    <x v="4"/>
    <x v="95"/>
    <x v="0"/>
    <x v="62"/>
    <m/>
    <m/>
    <s v="TAPE_PE, PICUS Polythelene Tape (White)X 4&quot;"/>
    <s v="IM-000247"/>
    <n v="1"/>
    <n v="125"/>
    <m/>
    <n v="125"/>
    <x v="0"/>
    <n v="147"/>
    <n v="75"/>
    <n v="75"/>
    <n v="77.25"/>
    <n v="47.75"/>
    <n v="0"/>
    <x v="29"/>
    <x v="0"/>
    <m/>
    <m/>
    <m/>
    <n v="0.38200000000000001"/>
  </r>
  <r>
    <x v="4"/>
    <x v="96"/>
    <x v="0"/>
    <x v="41"/>
    <m/>
    <m/>
    <s v="TAPE_PE, PICUS Polythelene Tape (White)X 4&quot;"/>
    <s v="IM-000247"/>
    <n v="1"/>
    <n v="125"/>
    <m/>
    <n v="125"/>
    <x v="0"/>
    <n v="147"/>
    <n v="75"/>
    <n v="75"/>
    <n v="77.25"/>
    <n v="47.75"/>
    <n v="0"/>
    <x v="29"/>
    <x v="0"/>
    <m/>
    <m/>
    <m/>
    <n v="0.38200000000000001"/>
  </r>
  <r>
    <x v="4"/>
    <x v="79"/>
    <x v="0"/>
    <x v="32"/>
    <m/>
    <m/>
    <s v="TAPE_PE, PICUS Polythelene Tape (White)X 4&quot;"/>
    <s v="IM-000247"/>
    <n v="1"/>
    <n v="125"/>
    <m/>
    <n v="125"/>
    <x v="0"/>
    <n v="147"/>
    <n v="75"/>
    <n v="75"/>
    <n v="77.25"/>
    <n v="47.75"/>
    <n v="0"/>
    <x v="29"/>
    <x v="0"/>
    <m/>
    <m/>
    <m/>
    <n v="0.38200000000000001"/>
  </r>
  <r>
    <x v="4"/>
    <x v="80"/>
    <x v="0"/>
    <x v="104"/>
    <m/>
    <m/>
    <s v="TAPE_PE, PICUS Polythelene Tape (White)X 4&quot;"/>
    <s v="IM-000247"/>
    <n v="1"/>
    <n v="125"/>
    <m/>
    <n v="125"/>
    <x v="0"/>
    <n v="147"/>
    <n v="75"/>
    <n v="75"/>
    <n v="77.25"/>
    <n v="47.75"/>
    <n v="0"/>
    <x v="29"/>
    <x v="0"/>
    <m/>
    <m/>
    <m/>
    <n v="0.38200000000000001"/>
  </r>
  <r>
    <x v="4"/>
    <x v="104"/>
    <x v="0"/>
    <x v="1"/>
    <m/>
    <m/>
    <s v="TAPE_PE, PICUS Polythelene Tape (White)X 4&quot;"/>
    <s v="IM-000247"/>
    <n v="1"/>
    <n v="125"/>
    <m/>
    <n v="125"/>
    <x v="0"/>
    <n v="147"/>
    <n v="75"/>
    <n v="75"/>
    <n v="77.25"/>
    <n v="47.75"/>
    <n v="0"/>
    <x v="29"/>
    <x v="0"/>
    <m/>
    <m/>
    <m/>
    <n v="0.38200000000000001"/>
  </r>
  <r>
    <x v="4"/>
    <x v="75"/>
    <x v="0"/>
    <x v="1"/>
    <m/>
    <m/>
    <s v="TAPE_PE, PICUS Polythelene Tape (White)X 4&quot;"/>
    <s v="IM-000247"/>
    <n v="1"/>
    <n v="125"/>
    <m/>
    <n v="125"/>
    <x v="0"/>
    <n v="147"/>
    <n v="75"/>
    <n v="75"/>
    <n v="77.25"/>
    <n v="47.75"/>
    <n v="0"/>
    <x v="29"/>
    <x v="0"/>
    <e v="#REF!"/>
    <e v="#REF!"/>
    <e v="#REF!"/>
    <n v="0"/>
  </r>
  <r>
    <x v="4"/>
    <x v="75"/>
    <x v="0"/>
    <x v="34"/>
    <m/>
    <m/>
    <s v="TAPE_PE, WINFLEX Polythelene Tape (BLUE)X 4&quot;"/>
    <s v="IM-000325"/>
    <n v="1"/>
    <n v="140"/>
    <m/>
    <n v="140"/>
    <x v="0"/>
    <n v="147"/>
    <n v="75"/>
    <n v="75"/>
    <n v="77.25"/>
    <n v="62.75"/>
    <n v="0"/>
    <x v="29"/>
    <x v="0"/>
    <e v="#REF!"/>
    <e v="#REF!"/>
    <e v="#REF!"/>
    <n v="0"/>
  </r>
  <r>
    <x v="5"/>
    <x v="127"/>
    <x v="0"/>
    <x v="30"/>
    <m/>
    <m/>
    <s v="RUBBER_INSULATION, M-FLEX 1/2&quot; 5/8"/>
    <s v="IM-000232"/>
    <n v="4"/>
    <n v="80"/>
    <m/>
    <n v="320"/>
    <x v="0"/>
    <n v="77"/>
    <n v="55.2"/>
    <n v="220.8"/>
    <n v="227.42400000000001"/>
    <n v="92.575999999999993"/>
    <n v="0"/>
    <x v="22"/>
    <x v="0"/>
    <e v="#REF!"/>
    <e v="#REF!"/>
    <s v=""/>
    <n v="0.2893"/>
  </r>
  <r>
    <x v="5"/>
    <x v="127"/>
    <x v="0"/>
    <x v="133"/>
    <m/>
    <m/>
    <s v="ELECTRICAL WIRE_STRANDED, POWERFLEX THNN STRANDED   #14, MTR"/>
    <s v="GE-000122"/>
    <n v="10"/>
    <n v="35"/>
    <m/>
    <n v="350"/>
    <x v="0"/>
    <n v="39"/>
    <n v="21"/>
    <n v="210"/>
    <n v="220.5"/>
    <n v="129.5"/>
    <n v="0"/>
    <x v="2"/>
    <x v="1"/>
    <e v="#REF!"/>
    <e v="#REF!"/>
    <s v=""/>
    <n v="0.37"/>
  </r>
  <r>
    <x v="5"/>
    <x v="127"/>
    <x v="0"/>
    <x v="30"/>
    <m/>
    <m/>
    <s v="RUBBER_INSULATION, M-FLEX 1/2&quot; 1/4"/>
    <s v="IM-000229"/>
    <n v="6"/>
    <n v="50"/>
    <m/>
    <n v="300"/>
    <x v="0"/>
    <n v="47"/>
    <n v="33.6"/>
    <n v="201.60000000000002"/>
    <n v="207.64800000000002"/>
    <n v="92.351999999999975"/>
    <n v="0"/>
    <x v="22"/>
    <x v="0"/>
    <e v="#REF!"/>
    <e v="#REF!"/>
    <s v=""/>
    <n v="0.30783999999999989"/>
  </r>
  <r>
    <x v="5"/>
    <x v="127"/>
    <x v="0"/>
    <x v="133"/>
    <m/>
    <m/>
    <s v="FITTINGS, COPPER ELBOW 5/8 SR"/>
    <s v="IM-000088"/>
    <n v="10"/>
    <n v="45"/>
    <m/>
    <n v="450"/>
    <x v="0"/>
    <n v="37"/>
    <n v="20"/>
    <n v="200"/>
    <n v="206"/>
    <n v="244"/>
    <n v="0"/>
    <x v="33"/>
    <x v="0"/>
    <e v="#REF!"/>
    <e v="#REF!"/>
    <s v=""/>
    <n v="0.54222222222222227"/>
  </r>
  <r>
    <x v="5"/>
    <x v="127"/>
    <x v="0"/>
    <x v="19"/>
    <m/>
    <m/>
    <s v="BRACKET , GB 1HP, COATED"/>
    <s v="IM-000008"/>
    <n v="1"/>
    <n v="360"/>
    <m/>
    <n v="360"/>
    <x v="0"/>
    <n v="334"/>
    <n v="185"/>
    <n v="185"/>
    <n v="190.55"/>
    <n v="169.45"/>
    <n v="0"/>
    <x v="1"/>
    <x v="0"/>
    <e v="#REF!"/>
    <e v="#REF!"/>
    <s v=""/>
    <n v="0.47069444444444442"/>
  </r>
  <r>
    <x v="5"/>
    <x v="127"/>
    <x v="0"/>
    <x v="133"/>
    <m/>
    <m/>
    <s v="FITTINGS, COPPER ELBOW 5/8 LR"/>
    <s v="IM-000087"/>
    <n v="6"/>
    <n v="75"/>
    <m/>
    <n v="450"/>
    <x v="0"/>
    <n v="55"/>
    <n v="30"/>
    <n v="180"/>
    <n v="185.4"/>
    <n v="264.60000000000002"/>
    <n v="0"/>
    <x v="33"/>
    <x v="0"/>
    <e v="#REF!"/>
    <e v="#REF!"/>
    <s v=""/>
    <n v="0.58800000000000008"/>
  </r>
  <r>
    <x v="2"/>
    <x v="42"/>
    <x v="0"/>
    <x v="1"/>
    <m/>
    <m/>
    <s v="RUBBER_INSULATION, M-FLEX 3/4&quot; 1/2"/>
    <s v="IM-000234"/>
    <n v="1"/>
    <n v="80"/>
    <m/>
    <n v="80"/>
    <x v="0"/>
    <n v="103"/>
    <n v="73.5"/>
    <n v="73.5"/>
    <n v="75.704999999999998"/>
    <n v="4.2950000000000017"/>
    <n v="0"/>
    <x v="22"/>
    <x v="0"/>
    <e v="#REF!"/>
    <e v="#REF!"/>
    <s v=""/>
    <n v="5.368750000000002E-2"/>
  </r>
  <r>
    <x v="0"/>
    <x v="0"/>
    <x v="0"/>
    <x v="62"/>
    <m/>
    <m/>
    <s v="ROD, HARRIS SILVER "/>
    <s v="IM-000098"/>
    <n v="4"/>
    <n v="25"/>
    <m/>
    <n v="100"/>
    <x v="0"/>
    <n v="30"/>
    <n v="19"/>
    <n v="76"/>
    <n v="78.28"/>
    <n v="21.72"/>
    <n v="0"/>
    <x v="56"/>
    <x v="0"/>
    <m/>
    <m/>
    <m/>
    <n v="0.21719999999999998"/>
  </r>
  <r>
    <x v="0"/>
    <x v="2"/>
    <x v="0"/>
    <x v="2"/>
    <m/>
    <m/>
    <s v="ROD, HARRIS SILVER "/>
    <s v="IM-000098"/>
    <n v="4"/>
    <n v="25"/>
    <m/>
    <n v="100"/>
    <x v="0"/>
    <n v="30"/>
    <n v="19"/>
    <n v="76"/>
    <n v="78.28"/>
    <n v="21.72"/>
    <n v="0"/>
    <x v="56"/>
    <x v="0"/>
    <m/>
    <m/>
    <s v=""/>
    <n v="0.21719999999999998"/>
  </r>
  <r>
    <x v="0"/>
    <x v="47"/>
    <x v="0"/>
    <x v="35"/>
    <m/>
    <m/>
    <s v="ROD, HARRIS SILVER "/>
    <s v="IM-000098"/>
    <n v="4"/>
    <n v="25"/>
    <m/>
    <n v="100"/>
    <x v="0"/>
    <n v="30"/>
    <n v="19"/>
    <n v="76"/>
    <n v="78.28"/>
    <n v="21.72"/>
    <n v="0"/>
    <x v="56"/>
    <x v="0"/>
    <m/>
    <m/>
    <s v=""/>
    <n v="0.21719999999999998"/>
  </r>
  <r>
    <x v="1"/>
    <x v="21"/>
    <x v="0"/>
    <x v="6"/>
    <m/>
    <m/>
    <s v="ROD, HARRIS SILVER "/>
    <s v="IM-000098"/>
    <n v="4"/>
    <n v="25"/>
    <m/>
    <n v="100"/>
    <x v="0"/>
    <n v="30"/>
    <n v="19"/>
    <n v="76"/>
    <n v="78.28"/>
    <n v="21.72"/>
    <n v="0"/>
    <x v="56"/>
    <x v="0"/>
    <e v="#REF!"/>
    <e v="#REF!"/>
    <e v="#REF!"/>
    <n v="0.21719999999999998"/>
  </r>
  <r>
    <x v="2"/>
    <x v="44"/>
    <x v="1"/>
    <x v="5"/>
    <m/>
    <m/>
    <s v="BRACKET,  CONDENSER"/>
    <s v="CA-001666"/>
    <n v="8"/>
    <n v="25"/>
    <m/>
    <n v="200"/>
    <x v="0"/>
    <n v="21"/>
    <n v="9"/>
    <n v="72"/>
    <n v="75.600000000000009"/>
    <n v="124.39999999999999"/>
    <n v="37.319999999999993"/>
    <x v="3"/>
    <x v="2"/>
    <e v="#REF!"/>
    <e v="#REF!"/>
    <s v=""/>
    <n v="0.622"/>
  </r>
  <r>
    <x v="2"/>
    <x v="49"/>
    <x v="0"/>
    <x v="1"/>
    <m/>
    <m/>
    <s v="ROD, HARRIS SILVER "/>
    <s v="IM-000098"/>
    <n v="4"/>
    <n v="25"/>
    <m/>
    <n v="100"/>
    <x v="0"/>
    <n v="30"/>
    <n v="19"/>
    <n v="76"/>
    <n v="78.28"/>
    <n v="21.72"/>
    <n v="0"/>
    <x v="56"/>
    <x v="0"/>
    <e v="#REF!"/>
    <e v="#REF!"/>
    <s v=""/>
    <n v="0.21719999999999998"/>
  </r>
  <r>
    <x v="2"/>
    <x v="53"/>
    <x v="0"/>
    <x v="2"/>
    <m/>
    <m/>
    <s v="ROD, HARRIS SILVER "/>
    <s v="IM-000098"/>
    <n v="4"/>
    <n v="25"/>
    <m/>
    <n v="100"/>
    <x v="0"/>
    <n v="30"/>
    <n v="19"/>
    <n v="76"/>
    <n v="78.28"/>
    <n v="21.72"/>
    <n v="0"/>
    <x v="56"/>
    <x v="0"/>
    <e v="#REF!"/>
    <e v="#REF!"/>
    <s v=""/>
    <n v="0.21719999999999998"/>
  </r>
  <r>
    <x v="3"/>
    <x v="68"/>
    <x v="0"/>
    <x v="1"/>
    <m/>
    <m/>
    <s v="FITTINGS, BRASS FLARE NUT 1/4"/>
    <s v="IM-000049"/>
    <n v="6"/>
    <n v="35"/>
    <m/>
    <n v="210"/>
    <x v="0"/>
    <n v="26"/>
    <n v="14"/>
    <n v="84"/>
    <n v="86.52"/>
    <n v="123.48"/>
    <n v="0"/>
    <x v="33"/>
    <x v="0"/>
    <m/>
    <m/>
    <s v=""/>
    <n v="0.58799999999999997"/>
  </r>
  <r>
    <x v="3"/>
    <x v="119"/>
    <x v="1"/>
    <x v="60"/>
    <m/>
    <m/>
    <s v="HOSE, ELECTRICAL FLEXIBLE ROLL PER METER"/>
    <s v="G-E000235"/>
    <n v="9"/>
    <n v="15"/>
    <m/>
    <n v="135"/>
    <x v="0"/>
    <n v="15"/>
    <n v="8"/>
    <n v="72"/>
    <n v="75.600000000000009"/>
    <n v="59.399999999999991"/>
    <n v="17.819999999999997"/>
    <x v="19"/>
    <x v="1"/>
    <m/>
    <m/>
    <s v=""/>
    <n v="0.43999999999999995"/>
  </r>
  <r>
    <x v="4"/>
    <x v="113"/>
    <x v="0"/>
    <x v="1"/>
    <m/>
    <m/>
    <s v="ROD, HARRIS SILVER "/>
    <s v="IM-000098"/>
    <n v="4"/>
    <n v="28"/>
    <m/>
    <n v="112"/>
    <x v="0"/>
    <n v="30"/>
    <n v="19"/>
    <n v="76"/>
    <n v="78.28"/>
    <n v="33.72"/>
    <n v="0"/>
    <x v="56"/>
    <x v="0"/>
    <m/>
    <m/>
    <m/>
    <n v="0.30107142857142855"/>
  </r>
  <r>
    <x v="4"/>
    <x v="116"/>
    <x v="0"/>
    <x v="63"/>
    <m/>
    <m/>
    <s v="ROD, HARRIS SILVER "/>
    <s v="IM-000098"/>
    <n v="4"/>
    <n v="28"/>
    <m/>
    <n v="112"/>
    <x v="0"/>
    <n v="30"/>
    <n v="19"/>
    <n v="76"/>
    <n v="78.28"/>
    <n v="33.72"/>
    <n v="0"/>
    <x v="56"/>
    <x v="0"/>
    <m/>
    <m/>
    <m/>
    <n v="0.30107142857142855"/>
  </r>
  <r>
    <x v="4"/>
    <x v="75"/>
    <x v="0"/>
    <x v="63"/>
    <m/>
    <m/>
    <s v="ROD, HARRIS SILVER "/>
    <s v="IM-000098"/>
    <n v="4"/>
    <n v="28"/>
    <m/>
    <n v="112"/>
    <x v="0"/>
    <n v="30"/>
    <n v="19"/>
    <n v="76"/>
    <n v="78.28"/>
    <n v="33.72"/>
    <n v="0"/>
    <x v="56"/>
    <x v="0"/>
    <m/>
    <m/>
    <m/>
    <n v="0.30107142857142855"/>
  </r>
  <r>
    <x v="5"/>
    <x v="127"/>
    <x v="0"/>
    <x v="133"/>
    <m/>
    <m/>
    <s v="ROD, HARRIS SILVER "/>
    <s v="IM-000098"/>
    <n v="10"/>
    <n v="25"/>
    <m/>
    <n v="250"/>
    <x v="0"/>
    <n v="30"/>
    <n v="19"/>
    <n v="190"/>
    <n v="195.70000000000002"/>
    <n v="54.299999999999983"/>
    <n v="0"/>
    <x v="56"/>
    <x v="0"/>
    <e v="#REF!"/>
    <e v="#REF!"/>
    <s v=""/>
    <n v="0.21719999999999992"/>
  </r>
  <r>
    <x v="0"/>
    <x v="3"/>
    <x v="0"/>
    <x v="1"/>
    <m/>
    <m/>
    <s v="BOLT &amp; NUT, DYNABOLT 3/8&quot;"/>
    <s v="GE-000396"/>
    <n v="8"/>
    <n v="25"/>
    <m/>
    <n v="200"/>
    <x v="0"/>
    <n v="19"/>
    <n v="8.9"/>
    <n v="71.2"/>
    <n v="74.760000000000005"/>
    <n v="125.24"/>
    <n v="0"/>
    <x v="57"/>
    <x v="1"/>
    <m/>
    <m/>
    <s v=""/>
    <n v="0.62619999999999998"/>
  </r>
  <r>
    <x v="0"/>
    <x v="5"/>
    <x v="0"/>
    <x v="1"/>
    <m/>
    <m/>
    <s v="BOLT &amp; NUT, DYNABOLT 3/8&quot;"/>
    <s v="GE-000396"/>
    <n v="8"/>
    <n v="25"/>
    <m/>
    <n v="200"/>
    <x v="0"/>
    <n v="19"/>
    <n v="8.9"/>
    <n v="71.2"/>
    <n v="74.760000000000005"/>
    <n v="125.24"/>
    <n v="0"/>
    <x v="57"/>
    <x v="1"/>
    <m/>
    <m/>
    <s v=""/>
    <n v="0.62619999999999998"/>
  </r>
  <r>
    <x v="4"/>
    <x v="103"/>
    <x v="0"/>
    <x v="30"/>
    <m/>
    <m/>
    <s v="BOLT &amp; NUT, DYNABOLT 3/8&quot;"/>
    <s v="GE-000396"/>
    <n v="8"/>
    <n v="25"/>
    <m/>
    <n v="200"/>
    <x v="0"/>
    <n v="19"/>
    <n v="8.9"/>
    <n v="71.2"/>
    <n v="74.760000000000005"/>
    <n v="125.24"/>
    <n v="0"/>
    <x v="57"/>
    <x v="1"/>
    <m/>
    <m/>
    <m/>
    <n v="0.62619999999999998"/>
  </r>
  <r>
    <x v="0"/>
    <x v="0"/>
    <x v="0"/>
    <x v="1"/>
    <m/>
    <m/>
    <s v="REFRIGERANT, FU RYDER R600A CAN, 220 GRAMS"/>
    <s v="GE-000032"/>
    <n v="1"/>
    <n v="180"/>
    <m/>
    <n v="180"/>
    <x v="0"/>
    <n v="177"/>
    <n v="70"/>
    <n v="70"/>
    <n v="73.5"/>
    <n v="106.5"/>
    <n v="0"/>
    <x v="5"/>
    <x v="1"/>
    <m/>
    <m/>
    <m/>
    <n v="0.59166666666666667"/>
  </r>
  <r>
    <x v="0"/>
    <x v="0"/>
    <x v="0"/>
    <x v="62"/>
    <m/>
    <m/>
    <s v="REFRIGERANT, FU RYDER R600A CAN, 220 GRAMS"/>
    <s v="GE-000032"/>
    <n v="1"/>
    <n v="180"/>
    <m/>
    <n v="180"/>
    <x v="0"/>
    <n v="177"/>
    <n v="70"/>
    <n v="70"/>
    <n v="73.5"/>
    <n v="106.5"/>
    <n v="0"/>
    <x v="5"/>
    <x v="1"/>
    <m/>
    <m/>
    <m/>
    <n v="0.59166666666666667"/>
  </r>
  <r>
    <x v="0"/>
    <x v="0"/>
    <x v="0"/>
    <x v="1"/>
    <m/>
    <m/>
    <s v="REFRIGERANT, FU RYDER R600A CAN, 220 GRAMS"/>
    <s v="GE-000032"/>
    <n v="1"/>
    <n v="650"/>
    <m/>
    <n v="650"/>
    <x v="0"/>
    <n v="177"/>
    <n v="70"/>
    <n v="70"/>
    <n v="73.5"/>
    <n v="576.5"/>
    <n v="0"/>
    <x v="5"/>
    <x v="1"/>
    <m/>
    <m/>
    <m/>
    <n v="0.88692307692307693"/>
  </r>
  <r>
    <x v="0"/>
    <x v="31"/>
    <x v="0"/>
    <x v="35"/>
    <m/>
    <m/>
    <s v="REFRIGERANT, FU RYDER R600A CAN, 220 GRAMS"/>
    <s v="GE-000032"/>
    <n v="1"/>
    <n v="180"/>
    <m/>
    <n v="180"/>
    <x v="0"/>
    <n v="177"/>
    <n v="70"/>
    <n v="70"/>
    <n v="73.5"/>
    <n v="106.5"/>
    <n v="0"/>
    <x v="5"/>
    <x v="1"/>
    <m/>
    <m/>
    <s v=""/>
    <n v="0.59166666666666667"/>
  </r>
  <r>
    <x v="0"/>
    <x v="47"/>
    <x v="0"/>
    <x v="1"/>
    <m/>
    <m/>
    <s v="REFRIGERANT, FU RYDER R600A CAN, 220 GRAMS"/>
    <s v="GE-000032"/>
    <n v="1"/>
    <n v="180"/>
    <m/>
    <n v="180"/>
    <x v="0"/>
    <n v="177"/>
    <n v="70"/>
    <n v="70"/>
    <n v="73.5"/>
    <n v="106.5"/>
    <n v="0"/>
    <x v="5"/>
    <x v="1"/>
    <m/>
    <m/>
    <s v=""/>
    <n v="0.59166666666666667"/>
  </r>
  <r>
    <x v="0"/>
    <x v="16"/>
    <x v="0"/>
    <x v="58"/>
    <m/>
    <m/>
    <s v="ROD, NIHONWELD ALUMINUM "/>
    <s v="IM-000100"/>
    <n v="10"/>
    <n v="15"/>
    <m/>
    <n v="150"/>
    <x v="0"/>
    <n v="11"/>
    <n v="7"/>
    <n v="70"/>
    <n v="72.100000000000009"/>
    <n v="77.899999999999991"/>
    <n v="0"/>
    <x v="56"/>
    <x v="0"/>
    <m/>
    <m/>
    <s v=""/>
    <n v="0.51933333333333331"/>
  </r>
  <r>
    <x v="0"/>
    <x v="43"/>
    <x v="0"/>
    <x v="1"/>
    <m/>
    <m/>
    <s v="REFRIGERANT, FU RYDER R600A CAN, 220 GRAMS"/>
    <s v="GE-000032"/>
    <n v="1"/>
    <n v="180"/>
    <m/>
    <n v="180"/>
    <x v="0"/>
    <n v="177"/>
    <n v="70"/>
    <n v="70"/>
    <n v="73.5"/>
    <n v="106.5"/>
    <n v="0"/>
    <x v="5"/>
    <x v="1"/>
    <e v="#REF!"/>
    <e v="#REF!"/>
    <s v=""/>
    <n v="0.59166666666666667"/>
  </r>
  <r>
    <x v="0"/>
    <x v="13"/>
    <x v="0"/>
    <x v="1"/>
    <m/>
    <m/>
    <s v="TUBE_CUTTER, SMALL CT-127, 1/8&quot; - 5/8&quot;"/>
    <s v="TL-000053"/>
    <n v="1"/>
    <n v="200"/>
    <m/>
    <n v="200"/>
    <x v="0"/>
    <n v="184"/>
    <n v="70"/>
    <n v="70"/>
    <n v="73.5"/>
    <n v="126.5"/>
    <n v="0"/>
    <x v="68"/>
    <x v="4"/>
    <e v="#REF!"/>
    <e v="#REF!"/>
    <s v=""/>
    <n v="0.63249999999999995"/>
  </r>
  <r>
    <x v="1"/>
    <x v="14"/>
    <x v="0"/>
    <x v="1"/>
    <m/>
    <m/>
    <s v="TUBE_CUTTER, SMALL CT-127, 1/8&quot; - 5/8&quot;"/>
    <s v="TL-000053"/>
    <n v="1"/>
    <n v="250"/>
    <m/>
    <n v="250"/>
    <x v="0"/>
    <n v="184"/>
    <n v="70"/>
    <n v="70"/>
    <n v="73.5"/>
    <n v="176.5"/>
    <n v="0"/>
    <x v="68"/>
    <x v="4"/>
    <e v="#REF!"/>
    <e v="#REF!"/>
    <s v=""/>
    <n v="0.70599999999999996"/>
  </r>
  <r>
    <x v="1"/>
    <x v="15"/>
    <x v="0"/>
    <x v="1"/>
    <m/>
    <m/>
    <s v="REFRIGERANT, FU RYDER R600A CAN, 220 GRAMS"/>
    <s v="GE-000032"/>
    <n v="1"/>
    <n v="180"/>
    <m/>
    <n v="180"/>
    <x v="0"/>
    <n v="177"/>
    <n v="70"/>
    <n v="70"/>
    <n v="73.5"/>
    <n v="106.5"/>
    <n v="0"/>
    <x v="5"/>
    <x v="1"/>
    <e v="#REF!"/>
    <e v="#REF!"/>
    <s v=""/>
    <n v="0.59166666666666667"/>
  </r>
  <r>
    <x v="1"/>
    <x v="17"/>
    <x v="0"/>
    <x v="15"/>
    <m/>
    <m/>
    <s v="FITTINGS, BRASS FLARE NUT 5/8"/>
    <s v="IM-000051"/>
    <n v="2"/>
    <n v="75"/>
    <m/>
    <n v="150"/>
    <x v="0"/>
    <n v="64"/>
    <n v="35"/>
    <n v="70"/>
    <n v="72.100000000000009"/>
    <n v="77.899999999999991"/>
    <n v="0"/>
    <x v="33"/>
    <x v="0"/>
    <e v="#REF!"/>
    <e v="#REF!"/>
    <s v=""/>
    <n v="0.51933333333333331"/>
  </r>
  <r>
    <x v="1"/>
    <x v="29"/>
    <x v="0"/>
    <x v="1"/>
    <m/>
    <m/>
    <s v="REFRIGERANT, FU RYDER R600A CAN, 220 GRAMS"/>
    <s v="GE-000032"/>
    <n v="1"/>
    <n v="180"/>
    <m/>
    <n v="180"/>
    <x v="0"/>
    <n v="177"/>
    <n v="70"/>
    <n v="70"/>
    <n v="73.5"/>
    <n v="106.5"/>
    <n v="0"/>
    <x v="5"/>
    <x v="1"/>
    <e v="#REF!"/>
    <e v="#REF!"/>
    <e v="#REF!"/>
    <n v="0.59166666666666667"/>
  </r>
  <r>
    <x v="2"/>
    <x v="45"/>
    <x v="0"/>
    <x v="130"/>
    <m/>
    <m/>
    <s v="REFRIGERANT, FU RYDER R600A CAN, 220 GRAMS"/>
    <s v="GE-000032"/>
    <n v="1"/>
    <n v="180"/>
    <m/>
    <n v="180"/>
    <x v="0"/>
    <n v="177"/>
    <n v="70"/>
    <n v="70"/>
    <n v="73.5"/>
    <n v="106.5"/>
    <n v="0"/>
    <x v="5"/>
    <x v="1"/>
    <e v="#REF!"/>
    <e v="#REF!"/>
    <s v=""/>
    <n v="0.59166666666666667"/>
  </r>
  <r>
    <x v="2"/>
    <x v="53"/>
    <x v="0"/>
    <x v="1"/>
    <m/>
    <m/>
    <s v="REFRIGERANT, FU RYDER R600A CAN, 220 GRAMS"/>
    <s v="GE-000032"/>
    <n v="1"/>
    <n v="180"/>
    <m/>
    <n v="180"/>
    <x v="0"/>
    <n v="177"/>
    <n v="70"/>
    <n v="70"/>
    <n v="73.5"/>
    <n v="106.5"/>
    <n v="0"/>
    <x v="5"/>
    <x v="1"/>
    <e v="#REF!"/>
    <e v="#REF!"/>
    <s v=""/>
    <n v="0.59166666666666667"/>
  </r>
  <r>
    <x v="2"/>
    <x v="57"/>
    <x v="0"/>
    <x v="1"/>
    <m/>
    <m/>
    <s v="REFRIGERANT, FU RYDER R600A CAN, 220 GRAMS"/>
    <s v="GE-000032"/>
    <n v="1"/>
    <n v="180"/>
    <m/>
    <n v="180"/>
    <x v="0"/>
    <n v="177"/>
    <n v="70"/>
    <n v="70"/>
    <n v="73.5"/>
    <n v="106.5"/>
    <n v="0"/>
    <x v="5"/>
    <x v="1"/>
    <e v="#REF!"/>
    <e v="#REF!"/>
    <s v=""/>
    <n v="0.59166666666666667"/>
  </r>
  <r>
    <x v="4"/>
    <x v="96"/>
    <x v="1"/>
    <x v="3"/>
    <m/>
    <m/>
    <s v="HOSE, COOLMATE 5/8 SUNCTION PER FT"/>
    <s v="GE-000181"/>
    <n v="11"/>
    <n v="95"/>
    <m/>
    <n v="1045"/>
    <x v="0"/>
    <n v="83"/>
    <n v="45"/>
    <n v="495"/>
    <n v="519.75"/>
    <n v="525.25"/>
    <n v="157.57499999999999"/>
    <x v="19"/>
    <x v="1"/>
    <m/>
    <m/>
    <m/>
    <n v="0.50263157894736843"/>
  </r>
  <r>
    <x v="3"/>
    <x v="65"/>
    <x v="1"/>
    <x v="5"/>
    <m/>
    <m/>
    <s v="ROD, NIHONWELD ALUMINUM "/>
    <s v="IM-000100"/>
    <n v="10"/>
    <n v="15"/>
    <m/>
    <n v="150"/>
    <x v="0"/>
    <n v="11"/>
    <n v="7"/>
    <n v="70"/>
    <n v="72.100000000000009"/>
    <n v="77.899999999999991"/>
    <n v="23.369999999999997"/>
    <x v="56"/>
    <x v="0"/>
    <m/>
    <m/>
    <s v=""/>
    <n v="0.51933333333333331"/>
  </r>
  <r>
    <x v="3"/>
    <x v="67"/>
    <x v="0"/>
    <x v="1"/>
    <m/>
    <m/>
    <s v="REFRIGERANT, FU RYDER R600A CAN, 220 GRAMS"/>
    <s v="GE-000032"/>
    <n v="1"/>
    <n v="180"/>
    <m/>
    <n v="180"/>
    <x v="0"/>
    <n v="177"/>
    <n v="70"/>
    <n v="70"/>
    <n v="73.5"/>
    <n v="106.5"/>
    <n v="0"/>
    <x v="5"/>
    <x v="1"/>
    <m/>
    <m/>
    <s v=""/>
    <n v="0.59166666666666667"/>
  </r>
  <r>
    <x v="3"/>
    <x v="67"/>
    <x v="0"/>
    <x v="1"/>
    <m/>
    <m/>
    <s v="REFRIGERANT, FU RYDER R600A CAN, 220 GRAMS"/>
    <s v="GE-000032"/>
    <n v="1"/>
    <n v="180"/>
    <m/>
    <n v="180"/>
    <x v="0"/>
    <n v="177"/>
    <n v="70"/>
    <n v="70"/>
    <n v="73.5"/>
    <n v="106.5"/>
    <n v="0"/>
    <x v="5"/>
    <x v="1"/>
    <m/>
    <m/>
    <s v=""/>
    <n v="0.59166666666666667"/>
  </r>
  <r>
    <x v="3"/>
    <x v="118"/>
    <x v="0"/>
    <x v="27"/>
    <m/>
    <m/>
    <s v="REFRIGERANT, FU RYDER R600A CAN, 220 GRAMS"/>
    <s v="GE-000032"/>
    <n v="1"/>
    <n v="180"/>
    <m/>
    <n v="180"/>
    <x v="0"/>
    <n v="177"/>
    <n v="70"/>
    <n v="70"/>
    <n v="73.5"/>
    <n v="106.5"/>
    <n v="0"/>
    <x v="5"/>
    <x v="1"/>
    <m/>
    <m/>
    <s v=""/>
    <n v="0.59166666666666667"/>
  </r>
  <r>
    <x v="3"/>
    <x v="71"/>
    <x v="0"/>
    <x v="44"/>
    <m/>
    <m/>
    <s v="FITTINGS, BRASS FLARE NUT 5/8"/>
    <s v="IM-000051"/>
    <n v="2"/>
    <n v="75"/>
    <m/>
    <n v="150"/>
    <x v="0"/>
    <n v="64"/>
    <n v="35"/>
    <n v="70"/>
    <n v="72.100000000000009"/>
    <n v="77.899999999999991"/>
    <n v="0"/>
    <x v="33"/>
    <x v="0"/>
    <m/>
    <m/>
    <s v=""/>
    <n v="0.51933333333333331"/>
  </r>
  <r>
    <x v="3"/>
    <x v="72"/>
    <x v="0"/>
    <x v="27"/>
    <m/>
    <m/>
    <s v="REFRIGERANT, FU RYDER R600A CAN, 220 GRAMS"/>
    <s v="GE-000032"/>
    <n v="1"/>
    <n v="180"/>
    <m/>
    <n v="180"/>
    <x v="0"/>
    <n v="177"/>
    <n v="70"/>
    <n v="70"/>
    <n v="73.5"/>
    <n v="106.5"/>
    <n v="0"/>
    <x v="5"/>
    <x v="1"/>
    <m/>
    <m/>
    <s v=""/>
    <n v="0.59166666666666667"/>
  </r>
  <r>
    <x v="3"/>
    <x v="123"/>
    <x v="0"/>
    <x v="1"/>
    <m/>
    <m/>
    <s v="TUBE_CUTTER, SMALL CT-127, 1/8&quot; - 5/8&quot;"/>
    <s v="TL-000053"/>
    <n v="1"/>
    <n v="250"/>
    <m/>
    <n v="250"/>
    <x v="0"/>
    <n v="184"/>
    <n v="70"/>
    <n v="70"/>
    <n v="73.5"/>
    <n v="176.5"/>
    <n v="0"/>
    <x v="68"/>
    <x v="4"/>
    <m/>
    <m/>
    <m/>
    <n v="0.70599999999999996"/>
  </r>
  <r>
    <x v="3"/>
    <x v="86"/>
    <x v="0"/>
    <x v="1"/>
    <m/>
    <m/>
    <s v="REFRIGERANT, FU RYDER R600A CAN, 220 GRAMS"/>
    <s v="GE-000032"/>
    <n v="1"/>
    <n v="180"/>
    <m/>
    <n v="180"/>
    <x v="0"/>
    <n v="177"/>
    <n v="70"/>
    <n v="70"/>
    <n v="73.5"/>
    <n v="106.5"/>
    <n v="0"/>
    <x v="5"/>
    <x v="1"/>
    <m/>
    <m/>
    <m/>
    <n v="0.59166666666666667"/>
  </r>
  <r>
    <x v="4"/>
    <x v="113"/>
    <x v="0"/>
    <x v="57"/>
    <m/>
    <m/>
    <s v="FITTINGS, BRASS FLARE NUT 5/8"/>
    <s v="IM-000051"/>
    <n v="2"/>
    <n v="75"/>
    <m/>
    <n v="150"/>
    <x v="0"/>
    <n v="64"/>
    <n v="35"/>
    <n v="70"/>
    <n v="72.100000000000009"/>
    <n v="77.899999999999991"/>
    <n v="0"/>
    <x v="33"/>
    <x v="0"/>
    <m/>
    <m/>
    <m/>
    <n v="0.51933333333333331"/>
  </r>
  <r>
    <x v="4"/>
    <x v="90"/>
    <x v="0"/>
    <x v="109"/>
    <m/>
    <n v="180"/>
    <s v="REFRIGERANT, FU RYDER R600A CAN, 220 GRAMS"/>
    <s v="GE-000032"/>
    <n v="1"/>
    <n v="165"/>
    <m/>
    <n v="165"/>
    <x v="0"/>
    <n v="177"/>
    <n v="70"/>
    <n v="70"/>
    <n v="73.5"/>
    <n v="91.5"/>
    <n v="0"/>
    <x v="5"/>
    <x v="1"/>
    <m/>
    <m/>
    <m/>
    <n v="0.55454545454545456"/>
  </r>
  <r>
    <x v="4"/>
    <x v="92"/>
    <x v="0"/>
    <x v="41"/>
    <m/>
    <n v="180"/>
    <s v="REFRIGERANT, FU RYDER R600A CAN, 220 GRAMS"/>
    <s v="GE-000032"/>
    <n v="1"/>
    <n v="165"/>
    <m/>
    <n v="165"/>
    <x v="0"/>
    <n v="177"/>
    <n v="70"/>
    <n v="70"/>
    <n v="73.5"/>
    <n v="91.5"/>
    <n v="0"/>
    <x v="5"/>
    <x v="1"/>
    <m/>
    <m/>
    <m/>
    <n v="0.55454545454545456"/>
  </r>
  <r>
    <x v="4"/>
    <x v="75"/>
    <x v="0"/>
    <x v="1"/>
    <m/>
    <m/>
    <s v="REFRIGERANT, FU RYDER R600A CAN, 220 GRAMS"/>
    <s v="GE-000032"/>
    <n v="1"/>
    <n v="180"/>
    <m/>
    <n v="180"/>
    <x v="0"/>
    <n v="177"/>
    <n v="70"/>
    <n v="70"/>
    <n v="73.5"/>
    <n v="106.5"/>
    <n v="0"/>
    <x v="5"/>
    <x v="1"/>
    <e v="#REF!"/>
    <e v="#REF!"/>
    <e v="#REF!"/>
    <n v="0"/>
  </r>
  <r>
    <x v="5"/>
    <x v="127"/>
    <x v="0"/>
    <x v="133"/>
    <m/>
    <m/>
    <s v="FITTINGS, COPPER ELBOW 1/2 SR"/>
    <s v="IM-000080"/>
    <n v="10"/>
    <n v="40"/>
    <m/>
    <n v="400"/>
    <x v="0"/>
    <n v="31"/>
    <n v="17"/>
    <n v="170"/>
    <n v="175.1"/>
    <n v="224.9"/>
    <n v="0"/>
    <x v="33"/>
    <x v="0"/>
    <e v="#REF!"/>
    <e v="#REF!"/>
    <s v=""/>
    <n v="0.56225000000000003"/>
  </r>
  <r>
    <x v="5"/>
    <x v="127"/>
    <x v="0"/>
    <x v="133"/>
    <m/>
    <m/>
    <s v="FITTINGS, COPPER ELBOW 1/2 LR"/>
    <s v="IM-000079"/>
    <n v="6"/>
    <n v="42"/>
    <m/>
    <n v="252"/>
    <x v="0"/>
    <n v="47"/>
    <n v="26"/>
    <n v="156"/>
    <n v="160.68"/>
    <n v="91.32"/>
    <n v="0"/>
    <x v="33"/>
    <x v="0"/>
    <e v="#REF!"/>
    <e v="#REF!"/>
    <s v=""/>
    <n v="0.36238095238095236"/>
  </r>
  <r>
    <x v="5"/>
    <x v="127"/>
    <x v="0"/>
    <x v="30"/>
    <m/>
    <m/>
    <s v="TAPE_PE, PICUS Polythelene Tape (White)X 4&quot;"/>
    <s v="IM-000247"/>
    <n v="2"/>
    <n v="125"/>
    <m/>
    <n v="250"/>
    <x v="0"/>
    <n v="147"/>
    <n v="75"/>
    <n v="150"/>
    <n v="154.5"/>
    <n v="95.5"/>
    <n v="0"/>
    <x v="29"/>
    <x v="0"/>
    <e v="#REF!"/>
    <e v="#REF!"/>
    <s v=""/>
    <n v="0.38200000000000001"/>
  </r>
  <r>
    <x v="4"/>
    <x v="107"/>
    <x v="2"/>
    <x v="22"/>
    <m/>
    <n v="300"/>
    <s v="CABIN_FILTER, MITSUBISHI MIRAGE"/>
    <s v="CA-001702"/>
    <n v="1"/>
    <n v="270"/>
    <m/>
    <n v="270"/>
    <x v="0"/>
    <n v="473"/>
    <n v="150"/>
    <n v="150"/>
    <n v="157.5"/>
    <n v="112.5"/>
    <n v="33.75"/>
    <x v="12"/>
    <x v="2"/>
    <m/>
    <m/>
    <m/>
    <n v="0.41666666666666669"/>
  </r>
  <r>
    <x v="1"/>
    <x v="25"/>
    <x v="0"/>
    <x v="1"/>
    <m/>
    <m/>
    <s v="HOSE,  DRAIN 3/4 PER METER"/>
    <s v="GE-000001"/>
    <n v="2"/>
    <n v="80"/>
    <m/>
    <n v="160"/>
    <x v="0"/>
    <n v="63"/>
    <n v="34"/>
    <n v="68"/>
    <n v="71.400000000000006"/>
    <n v="88.6"/>
    <n v="0"/>
    <x v="19"/>
    <x v="1"/>
    <e v="#REF!"/>
    <e v="#REF!"/>
    <e v="#REF!"/>
    <n v="0.55374999999999996"/>
  </r>
  <r>
    <x v="2"/>
    <x v="44"/>
    <x v="0"/>
    <x v="32"/>
    <m/>
    <m/>
    <s v="HOSE,  DRAIN 3/4 PER METER"/>
    <s v="GE-000001"/>
    <n v="2"/>
    <n v="70"/>
    <m/>
    <n v="140"/>
    <x v="0"/>
    <n v="63"/>
    <n v="34"/>
    <n v="68"/>
    <n v="71.400000000000006"/>
    <n v="68.599999999999994"/>
    <n v="0"/>
    <x v="19"/>
    <x v="1"/>
    <e v="#REF!"/>
    <e v="#REF!"/>
    <s v=""/>
    <n v="0.48999999999999994"/>
  </r>
  <r>
    <x v="4"/>
    <x v="102"/>
    <x v="0"/>
    <x v="1"/>
    <m/>
    <m/>
    <s v="HOSE,  DRAIN 3/4 PER METER"/>
    <s v="GE-000001"/>
    <n v="2"/>
    <n v="80"/>
    <m/>
    <n v="160"/>
    <x v="0"/>
    <n v="63"/>
    <n v="34"/>
    <n v="68"/>
    <n v="71.400000000000006"/>
    <n v="88.6"/>
    <n v="0"/>
    <x v="19"/>
    <x v="1"/>
    <m/>
    <m/>
    <m/>
    <n v="0.55374999999999996"/>
  </r>
  <r>
    <x v="0"/>
    <x v="2"/>
    <x v="0"/>
    <x v="1"/>
    <m/>
    <m/>
    <s v="RUBBER_INSULATION, M-FLEX 1/2&quot; 1/4"/>
    <s v="IM-000229"/>
    <n v="2"/>
    <n v="45"/>
    <m/>
    <n v="90"/>
    <x v="0"/>
    <n v="47"/>
    <n v="33.6"/>
    <n v="67.2"/>
    <n v="69.216000000000008"/>
    <n v="20.783999999999992"/>
    <n v="0"/>
    <x v="22"/>
    <x v="0"/>
    <m/>
    <m/>
    <s v=""/>
    <n v="0.23093333333333324"/>
  </r>
  <r>
    <x v="0"/>
    <x v="4"/>
    <x v="0"/>
    <x v="1"/>
    <m/>
    <m/>
    <s v="RUBBER_INSULATION, M-FLEX 1/2&quot; 1/4"/>
    <s v="IM-000229"/>
    <n v="2"/>
    <n v="45"/>
    <m/>
    <n v="90"/>
    <x v="0"/>
    <n v="47"/>
    <n v="33.6"/>
    <n v="67.2"/>
    <n v="69.216000000000008"/>
    <n v="20.783999999999992"/>
    <n v="0"/>
    <x v="22"/>
    <x v="0"/>
    <m/>
    <m/>
    <s v=""/>
    <n v="0.23093333333333324"/>
  </r>
  <r>
    <x v="0"/>
    <x v="98"/>
    <x v="0"/>
    <x v="35"/>
    <m/>
    <m/>
    <s v="RUBBER_INSULATION, M-FLEX 1/2&quot; 1/4"/>
    <s v="IM-000229"/>
    <n v="2"/>
    <n v="45"/>
    <m/>
    <n v="90"/>
    <x v="0"/>
    <n v="47"/>
    <n v="33.6"/>
    <n v="67.2"/>
    <n v="69.216000000000008"/>
    <n v="20.783999999999992"/>
    <n v="0"/>
    <x v="22"/>
    <x v="0"/>
    <m/>
    <m/>
    <s v=""/>
    <n v="0.23093333333333324"/>
  </r>
  <r>
    <x v="0"/>
    <x v="99"/>
    <x v="0"/>
    <x v="1"/>
    <m/>
    <m/>
    <s v="RUBBER_INSULATION, M-FLEX 1/2&quot; 1/4"/>
    <s v="IM-000229"/>
    <n v="2"/>
    <n v="45"/>
    <m/>
    <n v="90"/>
    <x v="0"/>
    <n v="47"/>
    <n v="33.6"/>
    <n v="67.2"/>
    <n v="69.216000000000008"/>
    <n v="20.783999999999992"/>
    <n v="0"/>
    <x v="22"/>
    <x v="0"/>
    <m/>
    <m/>
    <s v=""/>
    <n v="0.23093333333333324"/>
  </r>
  <r>
    <x v="0"/>
    <x v="99"/>
    <x v="0"/>
    <x v="19"/>
    <m/>
    <m/>
    <s v="RUBBER_INSULATION, M-FLEX 1/2&quot; 1/4"/>
    <s v="IM-000229"/>
    <n v="2"/>
    <n v="45"/>
    <m/>
    <n v="90"/>
    <x v="0"/>
    <n v="47"/>
    <n v="33.6"/>
    <n v="67.2"/>
    <n v="69.216000000000008"/>
    <n v="20.783999999999992"/>
    <n v="0"/>
    <x v="22"/>
    <x v="0"/>
    <m/>
    <m/>
    <s v=""/>
    <n v="0.23093333333333324"/>
  </r>
  <r>
    <x v="0"/>
    <x v="6"/>
    <x v="0"/>
    <x v="2"/>
    <m/>
    <m/>
    <s v="RUBBER_INSULATION, M-FLEX 1/2&quot; 1/4"/>
    <s v="IM-000229"/>
    <n v="2"/>
    <n v="45"/>
    <m/>
    <n v="90"/>
    <x v="0"/>
    <n v="47"/>
    <n v="33.6"/>
    <n v="67.2"/>
    <n v="69.216000000000008"/>
    <n v="20.783999999999992"/>
    <n v="0"/>
    <x v="22"/>
    <x v="0"/>
    <m/>
    <m/>
    <s v=""/>
    <n v="0.23093333333333324"/>
  </r>
  <r>
    <x v="0"/>
    <x v="8"/>
    <x v="0"/>
    <x v="1"/>
    <m/>
    <m/>
    <s v="RUBBER_INSULATION, M-FLEX 1/2&quot; 1/4"/>
    <s v="IM-000229"/>
    <n v="2"/>
    <n v="45"/>
    <m/>
    <n v="90"/>
    <x v="0"/>
    <n v="47"/>
    <n v="33.6"/>
    <n v="67.2"/>
    <n v="69.216000000000008"/>
    <n v="20.783999999999992"/>
    <n v="0"/>
    <x v="22"/>
    <x v="0"/>
    <m/>
    <m/>
    <s v=""/>
    <n v="0.23093333333333324"/>
  </r>
  <r>
    <x v="0"/>
    <x v="9"/>
    <x v="0"/>
    <x v="1"/>
    <m/>
    <m/>
    <s v="RUBBER_INSULATION, M-FLEX 1/2&quot; 1/4"/>
    <s v="IM-000229"/>
    <n v="2"/>
    <n v="45"/>
    <m/>
    <n v="90"/>
    <x v="0"/>
    <n v="47"/>
    <n v="33.6"/>
    <n v="67.2"/>
    <n v="69.216000000000008"/>
    <n v="20.783999999999992"/>
    <n v="0"/>
    <x v="22"/>
    <x v="0"/>
    <e v="#REF!"/>
    <e v="#REF!"/>
    <s v=""/>
    <n v="0.23093333333333324"/>
  </r>
  <r>
    <x v="0"/>
    <x v="13"/>
    <x v="0"/>
    <x v="1"/>
    <m/>
    <m/>
    <s v="RUBBER_INSULATION, M-FLEX 1/2&quot; 1/4"/>
    <s v="IM-000229"/>
    <n v="2"/>
    <n v="45"/>
    <m/>
    <n v="90"/>
    <x v="0"/>
    <n v="47"/>
    <n v="33.6"/>
    <n v="67.2"/>
    <n v="69.216000000000008"/>
    <n v="20.783999999999992"/>
    <n v="0"/>
    <x v="22"/>
    <x v="0"/>
    <e v="#REF!"/>
    <e v="#REF!"/>
    <s v=""/>
    <n v="0.23093333333333324"/>
  </r>
  <r>
    <x v="0"/>
    <x v="13"/>
    <x v="0"/>
    <x v="1"/>
    <m/>
    <m/>
    <s v="RUBBER_INSULATION, M-FLEX 1/2&quot; 1/4"/>
    <s v="IM-000229"/>
    <n v="2"/>
    <n v="45"/>
    <m/>
    <n v="90"/>
    <x v="0"/>
    <n v="47"/>
    <n v="33.6"/>
    <n v="67.2"/>
    <n v="69.216000000000008"/>
    <n v="20.783999999999992"/>
    <n v="0"/>
    <x v="22"/>
    <x v="0"/>
    <e v="#REF!"/>
    <e v="#REF!"/>
    <s v=""/>
    <n v="0.23093333333333324"/>
  </r>
  <r>
    <x v="1"/>
    <x v="23"/>
    <x v="0"/>
    <x v="19"/>
    <m/>
    <m/>
    <s v="RUBBER_INSULATION, M-FLEX 1/2&quot; 1/4"/>
    <s v="IM-000229"/>
    <n v="2"/>
    <n v="45"/>
    <m/>
    <n v="90"/>
    <x v="0"/>
    <n v="47"/>
    <n v="33.6"/>
    <n v="67.2"/>
    <n v="69.216000000000008"/>
    <n v="20.783999999999992"/>
    <n v="0"/>
    <x v="22"/>
    <x v="0"/>
    <e v="#REF!"/>
    <e v="#REF!"/>
    <e v="#REF!"/>
    <n v="0.23093333333333324"/>
  </r>
  <r>
    <x v="1"/>
    <x v="23"/>
    <x v="0"/>
    <x v="1"/>
    <m/>
    <m/>
    <s v="RUBBER_INSULATION, M-FLEX 1/2&quot; 1/4"/>
    <s v="IM-000229"/>
    <n v="2"/>
    <n v="45"/>
    <m/>
    <n v="90"/>
    <x v="0"/>
    <n v="47"/>
    <n v="33.6"/>
    <n v="67.2"/>
    <n v="69.216000000000008"/>
    <n v="20.783999999999992"/>
    <n v="0"/>
    <x v="22"/>
    <x v="0"/>
    <e v="#REF!"/>
    <e v="#REF!"/>
    <e v="#REF!"/>
    <n v="0.23093333333333324"/>
  </r>
  <r>
    <x v="1"/>
    <x v="24"/>
    <x v="0"/>
    <x v="1"/>
    <m/>
    <m/>
    <s v="RUBBER_INSULATION, M-FLEX 1/2&quot; 1/4"/>
    <s v="IM-000229"/>
    <n v="2"/>
    <n v="45"/>
    <m/>
    <n v="90"/>
    <x v="0"/>
    <n v="47"/>
    <n v="33.6"/>
    <n v="67.2"/>
    <n v="69.216000000000008"/>
    <n v="20.783999999999992"/>
    <n v="0"/>
    <x v="22"/>
    <x v="0"/>
    <e v="#REF!"/>
    <e v="#REF!"/>
    <e v="#REF!"/>
    <n v="0.23093333333333324"/>
  </r>
  <r>
    <x v="1"/>
    <x v="24"/>
    <x v="0"/>
    <x v="1"/>
    <m/>
    <m/>
    <s v="RUBBER_INSULATION, M-FLEX 1/2&quot; 1/4"/>
    <s v="IM-000229"/>
    <n v="2"/>
    <n v="45"/>
    <m/>
    <n v="90"/>
    <x v="0"/>
    <n v="47"/>
    <n v="33.6"/>
    <n v="67.2"/>
    <n v="69.216000000000008"/>
    <n v="20.783999999999992"/>
    <n v="0"/>
    <x v="22"/>
    <x v="0"/>
    <e v="#REF!"/>
    <e v="#REF!"/>
    <e v="#REF!"/>
    <n v="0.23093333333333324"/>
  </r>
  <r>
    <x v="1"/>
    <x v="26"/>
    <x v="0"/>
    <x v="2"/>
    <m/>
    <m/>
    <s v="RUBBER_INSULATION, M-FLEX 1/2&quot; 1/4"/>
    <s v="IM-000229"/>
    <n v="2"/>
    <n v="45"/>
    <m/>
    <n v="90"/>
    <x v="0"/>
    <n v="47"/>
    <n v="33.6"/>
    <n v="67.2"/>
    <n v="69.216000000000008"/>
    <n v="20.783999999999992"/>
    <n v="0"/>
    <x v="22"/>
    <x v="0"/>
    <e v="#REF!"/>
    <e v="#REF!"/>
    <e v="#REF!"/>
    <n v="0.23093333333333324"/>
  </r>
  <r>
    <x v="1"/>
    <x v="33"/>
    <x v="0"/>
    <x v="19"/>
    <m/>
    <m/>
    <s v="RUBBER_INSULATION, M-FLEX 1/2&quot; 1/4"/>
    <s v="IM-000229"/>
    <n v="2"/>
    <n v="45"/>
    <m/>
    <n v="90"/>
    <x v="0"/>
    <n v="47"/>
    <n v="33.6"/>
    <n v="67.2"/>
    <n v="69.216000000000008"/>
    <n v="20.783999999999992"/>
    <n v="0"/>
    <x v="22"/>
    <x v="0"/>
    <e v="#REF!"/>
    <e v="#REF!"/>
    <e v="#REF!"/>
    <n v="0"/>
  </r>
  <r>
    <x v="1"/>
    <x v="33"/>
    <x v="0"/>
    <x v="27"/>
    <m/>
    <m/>
    <s v="RUBBER_INSULATION, M-FLEX 1/2&quot; 1/4"/>
    <s v="IM-000229"/>
    <n v="2"/>
    <n v="45"/>
    <m/>
    <n v="90"/>
    <x v="0"/>
    <n v="47"/>
    <n v="33.6"/>
    <n v="67.2"/>
    <n v="69.216000000000008"/>
    <n v="20.783999999999992"/>
    <n v="0"/>
    <x v="22"/>
    <x v="0"/>
    <e v="#REF!"/>
    <e v="#REF!"/>
    <e v="#REF!"/>
    <n v="0"/>
  </r>
  <r>
    <x v="2"/>
    <x v="36"/>
    <x v="0"/>
    <x v="27"/>
    <m/>
    <m/>
    <s v="RUBBER_INSULATION, M-FLEX 1/2&quot; 1/4"/>
    <s v="IM-000229"/>
    <n v="2"/>
    <n v="45"/>
    <m/>
    <n v="90"/>
    <x v="0"/>
    <n v="47"/>
    <n v="33.6"/>
    <n v="67.2"/>
    <n v="69.216000000000008"/>
    <n v="20.783999999999992"/>
    <n v="0"/>
    <x v="22"/>
    <x v="0"/>
    <e v="#REF!"/>
    <e v="#REF!"/>
    <s v=""/>
    <n v="0.23093333333333324"/>
  </r>
  <r>
    <x v="2"/>
    <x v="38"/>
    <x v="0"/>
    <x v="1"/>
    <m/>
    <m/>
    <s v="RUBBER_INSULATION, M-FLEX 1/2&quot; 1/4"/>
    <s v="IM-000229"/>
    <n v="2"/>
    <n v="45"/>
    <m/>
    <n v="90"/>
    <x v="0"/>
    <n v="47"/>
    <n v="33.6"/>
    <n v="67.2"/>
    <n v="69.216000000000008"/>
    <n v="20.783999999999992"/>
    <n v="0"/>
    <x v="22"/>
    <x v="0"/>
    <e v="#REF!"/>
    <e v="#REF!"/>
    <s v=""/>
    <n v="0.23093333333333324"/>
  </r>
  <r>
    <x v="2"/>
    <x v="42"/>
    <x v="0"/>
    <x v="27"/>
    <m/>
    <m/>
    <s v="RUBBER_INSULATION, M-FLEX 1/2&quot; 1/4"/>
    <s v="IM-000229"/>
    <n v="2"/>
    <n v="45"/>
    <m/>
    <n v="90"/>
    <x v="0"/>
    <n v="47"/>
    <n v="33.6"/>
    <n v="67.2"/>
    <n v="69.216000000000008"/>
    <n v="20.783999999999992"/>
    <n v="0"/>
    <x v="22"/>
    <x v="0"/>
    <e v="#REF!"/>
    <e v="#REF!"/>
    <s v=""/>
    <n v="0.23093333333333324"/>
  </r>
  <r>
    <x v="2"/>
    <x v="44"/>
    <x v="0"/>
    <x v="27"/>
    <m/>
    <m/>
    <s v="RUBBER_INSULATION, M-FLEX 1/2&quot; 1/4"/>
    <s v="IM-000229"/>
    <n v="2"/>
    <n v="45"/>
    <m/>
    <n v="90"/>
    <x v="0"/>
    <n v="47"/>
    <n v="33.6"/>
    <n v="67.2"/>
    <n v="69.216000000000008"/>
    <n v="20.783999999999992"/>
    <n v="0"/>
    <x v="22"/>
    <x v="0"/>
    <e v="#REF!"/>
    <e v="#REF!"/>
    <s v=""/>
    <n v="0.23093333333333324"/>
  </r>
  <r>
    <x v="2"/>
    <x v="52"/>
    <x v="0"/>
    <x v="35"/>
    <m/>
    <m/>
    <s v="RUBBER_INSULATION, M-FLEX 1/2&quot; 1/4"/>
    <s v="IM-000229"/>
    <n v="2"/>
    <n v="45"/>
    <m/>
    <n v="90"/>
    <x v="0"/>
    <n v="47"/>
    <n v="33.6"/>
    <n v="67.2"/>
    <n v="69.216000000000008"/>
    <n v="20.783999999999992"/>
    <n v="0"/>
    <x v="22"/>
    <x v="0"/>
    <e v="#REF!"/>
    <e v="#REF!"/>
    <s v=""/>
    <n v="0.23093333333333324"/>
  </r>
  <r>
    <x v="2"/>
    <x v="52"/>
    <x v="0"/>
    <x v="45"/>
    <m/>
    <m/>
    <s v="RUBBER_INSULATION, M-FLEX 1/2&quot; 1/4"/>
    <s v="IM-000229"/>
    <n v="2"/>
    <n v="45"/>
    <m/>
    <n v="90"/>
    <x v="0"/>
    <n v="47"/>
    <n v="33.6"/>
    <n v="67.2"/>
    <n v="69.216000000000008"/>
    <n v="20.783999999999992"/>
    <n v="0"/>
    <x v="22"/>
    <x v="0"/>
    <e v="#REF!"/>
    <e v="#REF!"/>
    <s v=""/>
    <n v="0.23093333333333324"/>
  </r>
  <r>
    <x v="2"/>
    <x v="53"/>
    <x v="0"/>
    <x v="2"/>
    <m/>
    <m/>
    <s v="RUBBER_INSULATION, M-FLEX 1/2&quot; 1/4"/>
    <s v="IM-000229"/>
    <n v="2"/>
    <n v="45"/>
    <m/>
    <n v="90"/>
    <x v="0"/>
    <n v="47"/>
    <n v="33.6"/>
    <n v="67.2"/>
    <n v="69.216000000000008"/>
    <n v="20.783999999999992"/>
    <n v="0"/>
    <x v="22"/>
    <x v="0"/>
    <e v="#REF!"/>
    <e v="#REF!"/>
    <s v=""/>
    <n v="0.23093333333333324"/>
  </r>
  <r>
    <x v="2"/>
    <x v="54"/>
    <x v="0"/>
    <x v="6"/>
    <m/>
    <m/>
    <s v="RUBBER_INSULATION, M-FLEX 3/4&quot; X 3/8"/>
    <s v="IM-000241"/>
    <n v="1"/>
    <n v="100"/>
    <m/>
    <n v="100"/>
    <x v="0"/>
    <n v="94"/>
    <n v="67.2"/>
    <n v="67.2"/>
    <n v="69.216000000000008"/>
    <n v="30.783999999999992"/>
    <n v="0"/>
    <x v="22"/>
    <x v="0"/>
    <e v="#REF!"/>
    <e v="#REF!"/>
    <s v=""/>
    <n v="0.30783999999999989"/>
  </r>
  <r>
    <x v="2"/>
    <x v="56"/>
    <x v="0"/>
    <x v="2"/>
    <m/>
    <m/>
    <s v="RUBBER_INSULATION, M-FLEX 1/2&quot; 1/4"/>
    <s v="IM-000229"/>
    <n v="2"/>
    <n v="45"/>
    <m/>
    <n v="90"/>
    <x v="0"/>
    <n v="47"/>
    <n v="33.6"/>
    <n v="67.2"/>
    <n v="69.216000000000008"/>
    <n v="20.783999999999992"/>
    <n v="0"/>
    <x v="22"/>
    <x v="0"/>
    <e v="#REF!"/>
    <e v="#REF!"/>
    <s v=""/>
    <n v="0.23093333333333324"/>
  </r>
  <r>
    <x v="3"/>
    <x v="59"/>
    <x v="0"/>
    <x v="27"/>
    <m/>
    <m/>
    <s v="RUBBER_INSULATION, M-FLEX 1/2&quot; 1/4"/>
    <s v="IM-000229"/>
    <n v="2"/>
    <n v="45"/>
    <m/>
    <n v="90"/>
    <x v="0"/>
    <n v="47"/>
    <n v="33.6"/>
    <n v="67.2"/>
    <n v="69.216000000000008"/>
    <n v="20.783999999999992"/>
    <n v="0"/>
    <x v="22"/>
    <x v="0"/>
    <m/>
    <m/>
    <s v=""/>
    <n v="0.23093333333333324"/>
  </r>
  <r>
    <x v="3"/>
    <x v="60"/>
    <x v="0"/>
    <x v="2"/>
    <m/>
    <m/>
    <s v="RUBBER_INSULATION, M-FLEX 1/2&quot; 1/4"/>
    <s v="IM-000229"/>
    <n v="2"/>
    <n v="45"/>
    <m/>
    <n v="90"/>
    <x v="0"/>
    <n v="47"/>
    <n v="33.6"/>
    <n v="67.2"/>
    <n v="69.216000000000008"/>
    <n v="20.783999999999992"/>
    <n v="0"/>
    <x v="22"/>
    <x v="0"/>
    <m/>
    <m/>
    <s v=""/>
    <n v="0.23093333333333324"/>
  </r>
  <r>
    <x v="3"/>
    <x v="61"/>
    <x v="5"/>
    <x v="37"/>
    <m/>
    <m/>
    <s v="RUBBER_INSULATION, M-FLEX 1/2&quot; 1/4"/>
    <s v="IM-000229"/>
    <n v="2"/>
    <n v="45"/>
    <m/>
    <n v="90"/>
    <x v="0"/>
    <n v="47"/>
    <n v="33.6"/>
    <n v="67.2"/>
    <n v="69.216000000000008"/>
    <n v="20.783999999999992"/>
    <n v="6.2351999999999972"/>
    <x v="22"/>
    <x v="0"/>
    <m/>
    <m/>
    <s v=""/>
    <n v="0.23093333333333324"/>
  </r>
  <r>
    <x v="3"/>
    <x v="61"/>
    <x v="6"/>
    <x v="39"/>
    <m/>
    <m/>
    <s v="RUBBER_INSULATION, M-FLEX 1/2&quot; 1/4"/>
    <s v="IM-000229"/>
    <n v="2"/>
    <n v="45"/>
    <m/>
    <n v="90"/>
    <x v="0"/>
    <n v="47"/>
    <n v="33.6"/>
    <n v="67.2"/>
    <n v="69.216000000000008"/>
    <n v="20.783999999999992"/>
    <n v="6.2351999999999972"/>
    <x v="22"/>
    <x v="0"/>
    <m/>
    <m/>
    <s v=""/>
    <n v="0.23093333333333324"/>
  </r>
  <r>
    <x v="3"/>
    <x v="62"/>
    <x v="0"/>
    <x v="32"/>
    <m/>
    <m/>
    <s v="RUBBER_INSULATION, M-FLEX 1/2&quot; 1/4"/>
    <s v="IM-000229"/>
    <n v="2"/>
    <n v="45"/>
    <m/>
    <n v="90"/>
    <x v="0"/>
    <n v="47"/>
    <n v="33.6"/>
    <n v="67.2"/>
    <n v="69.216000000000008"/>
    <n v="20.783999999999992"/>
    <n v="0"/>
    <x v="22"/>
    <x v="0"/>
    <m/>
    <m/>
    <s v=""/>
    <n v="0.23093333333333324"/>
  </r>
  <r>
    <x v="3"/>
    <x v="64"/>
    <x v="0"/>
    <x v="40"/>
    <m/>
    <m/>
    <s v="RUBBER_INSULATION, M-FLEX 1/2&quot; 1/4"/>
    <s v="IM-000229"/>
    <n v="2"/>
    <n v="45"/>
    <m/>
    <n v="90"/>
    <x v="0"/>
    <n v="47"/>
    <n v="33.6"/>
    <n v="67.2"/>
    <n v="69.216000000000008"/>
    <n v="20.783999999999992"/>
    <n v="0"/>
    <x v="22"/>
    <x v="0"/>
    <m/>
    <m/>
    <s v=""/>
    <n v="0.23093333333333324"/>
  </r>
  <r>
    <x v="3"/>
    <x v="66"/>
    <x v="0"/>
    <x v="41"/>
    <m/>
    <m/>
    <s v="RUBBER_INSULATION, M-FLEX 1/2&quot; 1/4"/>
    <s v="IM-000229"/>
    <n v="2"/>
    <n v="45"/>
    <m/>
    <n v="90"/>
    <x v="0"/>
    <n v="47"/>
    <n v="33.6"/>
    <n v="67.2"/>
    <n v="69.216000000000008"/>
    <n v="20.783999999999992"/>
    <n v="0"/>
    <x v="22"/>
    <x v="0"/>
    <m/>
    <m/>
    <s v=""/>
    <n v="0.23093333333333324"/>
  </r>
  <r>
    <x v="3"/>
    <x v="115"/>
    <x v="0"/>
    <x v="1"/>
    <m/>
    <m/>
    <s v="RUBBER_INSULATION, M-FLEX 1/2&quot; 1/4"/>
    <s v="IM-000229"/>
    <n v="2"/>
    <n v="45"/>
    <m/>
    <n v="90"/>
    <x v="0"/>
    <n v="47"/>
    <n v="33.6"/>
    <n v="67.2"/>
    <n v="69.216000000000008"/>
    <n v="20.783999999999992"/>
    <n v="0"/>
    <x v="22"/>
    <x v="0"/>
    <m/>
    <m/>
    <s v=""/>
    <n v="0.23093333333333324"/>
  </r>
  <r>
    <x v="3"/>
    <x v="68"/>
    <x v="0"/>
    <x v="2"/>
    <m/>
    <m/>
    <s v="RUBBER_INSULATION, M-FLEX 1/2&quot; 1/4"/>
    <s v="IM-000229"/>
    <n v="2"/>
    <n v="45"/>
    <m/>
    <n v="90"/>
    <x v="0"/>
    <n v="47"/>
    <n v="33.6"/>
    <n v="67.2"/>
    <n v="69.216000000000008"/>
    <n v="20.783999999999992"/>
    <n v="0"/>
    <x v="22"/>
    <x v="0"/>
    <m/>
    <m/>
    <s v=""/>
    <n v="0.23093333333333324"/>
  </r>
  <r>
    <x v="3"/>
    <x v="69"/>
    <x v="0"/>
    <x v="19"/>
    <m/>
    <n v="45"/>
    <s v="RUBBER_INSULATION, M-FLEX 1/2&quot; 1/4"/>
    <s v="IM-000229"/>
    <n v="2"/>
    <n v="40"/>
    <m/>
    <n v="80"/>
    <x v="0"/>
    <n v="47"/>
    <n v="33.6"/>
    <n v="67.2"/>
    <n v="69.216000000000008"/>
    <n v="10.783999999999992"/>
    <n v="0"/>
    <x v="22"/>
    <x v="0"/>
    <m/>
    <m/>
    <n v="44.800000000000004"/>
    <n v="0.13479999999999989"/>
  </r>
  <r>
    <x v="3"/>
    <x v="119"/>
    <x v="0"/>
    <x v="41"/>
    <m/>
    <m/>
    <s v="RUBBER_INSULATION, M-FLEX 1/2&quot; 1/4"/>
    <s v="IM-000229"/>
    <n v="2"/>
    <n v="45"/>
    <m/>
    <n v="90"/>
    <x v="0"/>
    <n v="47"/>
    <n v="33.6"/>
    <n v="67.2"/>
    <n v="69.216000000000008"/>
    <n v="20.783999999999992"/>
    <n v="0"/>
    <x v="22"/>
    <x v="0"/>
    <m/>
    <m/>
    <s v=""/>
    <n v="0.23093333333333324"/>
  </r>
  <r>
    <x v="3"/>
    <x v="71"/>
    <x v="0"/>
    <x v="44"/>
    <m/>
    <m/>
    <s v="RUBBER_INSULATION, M-FLEX 1/2&quot; 1/4"/>
    <s v="IM-000229"/>
    <n v="2"/>
    <n v="45"/>
    <m/>
    <n v="90"/>
    <x v="0"/>
    <n v="47"/>
    <n v="33.6"/>
    <n v="67.2"/>
    <n v="69.216000000000008"/>
    <n v="20.783999999999992"/>
    <n v="0"/>
    <x v="22"/>
    <x v="0"/>
    <m/>
    <m/>
    <s v=""/>
    <n v="0.23093333333333324"/>
  </r>
  <r>
    <x v="3"/>
    <x v="72"/>
    <x v="0"/>
    <x v="1"/>
    <m/>
    <m/>
    <s v="RUBBER_INSULATION, M-FLEX 1/2&quot; 1/4"/>
    <s v="IM-000229"/>
    <n v="2"/>
    <n v="45"/>
    <m/>
    <n v="90"/>
    <x v="0"/>
    <n v="47"/>
    <n v="33.6"/>
    <n v="67.2"/>
    <n v="69.216000000000008"/>
    <n v="20.783999999999992"/>
    <n v="0"/>
    <x v="22"/>
    <x v="0"/>
    <m/>
    <m/>
    <s v=""/>
    <n v="0.23093333333333324"/>
  </r>
  <r>
    <x v="3"/>
    <x v="101"/>
    <x v="0"/>
    <x v="27"/>
    <m/>
    <m/>
    <s v="RUBBER_INSULATION, M-FLEX 1/2&quot; 1/4"/>
    <s v="IM-000229"/>
    <n v="2"/>
    <n v="45"/>
    <m/>
    <n v="90"/>
    <x v="0"/>
    <n v="47"/>
    <n v="33.6"/>
    <n v="67.2"/>
    <n v="69.216000000000008"/>
    <n v="20.783999999999992"/>
    <n v="0"/>
    <x v="22"/>
    <x v="0"/>
    <m/>
    <m/>
    <s v=""/>
    <n v="0.23093333333333324"/>
  </r>
  <r>
    <x v="3"/>
    <x v="123"/>
    <x v="0"/>
    <x v="102"/>
    <m/>
    <m/>
    <s v="RUBBER_INSULATION, M-FLEX 1/2&quot; 1/4"/>
    <s v="IM-000229"/>
    <n v="2"/>
    <n v="45"/>
    <m/>
    <n v="90"/>
    <x v="0"/>
    <n v="47"/>
    <n v="33.6"/>
    <n v="67.2"/>
    <n v="69.216000000000008"/>
    <n v="20.783999999999992"/>
    <n v="0"/>
    <x v="22"/>
    <x v="0"/>
    <m/>
    <m/>
    <m/>
    <n v="0.23093333333333324"/>
  </r>
  <r>
    <x v="3"/>
    <x v="86"/>
    <x v="0"/>
    <x v="41"/>
    <m/>
    <m/>
    <s v="RUBBER_INSULATION, M-FLEX 1/2&quot; 1/4"/>
    <s v="IM-000229"/>
    <n v="2"/>
    <n v="45"/>
    <m/>
    <n v="90"/>
    <x v="0"/>
    <n v="47"/>
    <n v="33.6"/>
    <n v="67.2"/>
    <n v="69.216000000000008"/>
    <n v="20.783999999999992"/>
    <n v="0"/>
    <x v="22"/>
    <x v="0"/>
    <m/>
    <m/>
    <m/>
    <n v="0.23093333333333324"/>
  </r>
  <r>
    <x v="4"/>
    <x v="102"/>
    <x v="0"/>
    <x v="1"/>
    <m/>
    <m/>
    <s v="RUBBER_INSULATION, M-FLEX 1/2&quot; 1/4"/>
    <s v="IM-000229"/>
    <n v="2"/>
    <n v="50"/>
    <m/>
    <n v="100"/>
    <x v="0"/>
    <n v="47"/>
    <n v="33.6"/>
    <n v="67.2"/>
    <n v="69.216000000000008"/>
    <n v="30.783999999999992"/>
    <n v="0"/>
    <x v="22"/>
    <x v="0"/>
    <m/>
    <m/>
    <m/>
    <n v="0.30783999999999989"/>
  </r>
  <r>
    <x v="4"/>
    <x v="105"/>
    <x v="0"/>
    <x v="1"/>
    <m/>
    <m/>
    <s v="RUBBER_INSULATION, M-FLEX 1/2&quot; 1/4"/>
    <s v="IM-000229"/>
    <n v="2"/>
    <n v="45"/>
    <m/>
    <n v="90"/>
    <x v="0"/>
    <n v="47"/>
    <n v="33.6"/>
    <n v="67.2"/>
    <n v="69.216000000000008"/>
    <n v="20.783999999999992"/>
    <n v="0"/>
    <x v="22"/>
    <x v="0"/>
    <m/>
    <m/>
    <m/>
    <n v="0.23093333333333324"/>
  </r>
  <r>
    <x v="4"/>
    <x v="88"/>
    <x v="0"/>
    <x v="102"/>
    <m/>
    <m/>
    <s v="RUBBER_INSULATION, M-FLEX 1/2&quot; 1/4"/>
    <s v="IM-000229"/>
    <n v="2"/>
    <n v="50"/>
    <m/>
    <n v="100"/>
    <x v="0"/>
    <n v="47"/>
    <n v="33.6"/>
    <n v="67.2"/>
    <n v="69.216000000000008"/>
    <n v="30.783999999999992"/>
    <n v="0"/>
    <x v="22"/>
    <x v="0"/>
    <m/>
    <m/>
    <m/>
    <n v="0.30783999999999989"/>
  </r>
  <r>
    <x v="4"/>
    <x v="113"/>
    <x v="0"/>
    <x v="1"/>
    <m/>
    <m/>
    <s v="RUBBER_INSULATION, M-FLEX 1/2&quot; 1/4"/>
    <s v="IM-000229"/>
    <n v="2"/>
    <n v="50"/>
    <m/>
    <n v="100"/>
    <x v="0"/>
    <n v="47"/>
    <n v="33.6"/>
    <n v="67.2"/>
    <n v="69.216000000000008"/>
    <n v="30.783999999999992"/>
    <n v="0"/>
    <x v="22"/>
    <x v="0"/>
    <m/>
    <m/>
    <m/>
    <n v="0.30783999999999989"/>
  </r>
  <r>
    <x v="4"/>
    <x v="113"/>
    <x v="0"/>
    <x v="99"/>
    <m/>
    <m/>
    <s v="RUBBER_INSULATION, M-FLEX 1/2&quot; 1/4"/>
    <s v="IM-000229"/>
    <n v="2"/>
    <n v="50"/>
    <m/>
    <n v="100"/>
    <x v="0"/>
    <n v="47"/>
    <n v="33.6"/>
    <n v="67.2"/>
    <n v="69.216000000000008"/>
    <n v="30.783999999999992"/>
    <n v="0"/>
    <x v="22"/>
    <x v="0"/>
    <m/>
    <m/>
    <m/>
    <n v="0.30783999999999989"/>
  </r>
  <r>
    <x v="4"/>
    <x v="90"/>
    <x v="0"/>
    <x v="1"/>
    <m/>
    <m/>
    <s v="RUBBER_INSULATION, M-FLEX 1/2&quot; 1/4"/>
    <s v="IM-000229"/>
    <n v="2"/>
    <n v="50"/>
    <m/>
    <n v="100"/>
    <x v="0"/>
    <n v="47"/>
    <n v="33.6"/>
    <n v="67.2"/>
    <n v="69.216000000000008"/>
    <n v="30.783999999999992"/>
    <n v="0"/>
    <x v="22"/>
    <x v="0"/>
    <m/>
    <m/>
    <m/>
    <n v="0.30783999999999989"/>
  </r>
  <r>
    <x v="4"/>
    <x v="90"/>
    <x v="0"/>
    <x v="41"/>
    <m/>
    <m/>
    <s v="RUBBER_INSULATION, M-FLEX 1/2&quot; 1/4"/>
    <s v="IM-000229"/>
    <n v="2"/>
    <n v="50"/>
    <m/>
    <n v="100"/>
    <x v="0"/>
    <n v="47"/>
    <n v="33.6"/>
    <n v="67.2"/>
    <n v="69.216000000000008"/>
    <n v="30.783999999999992"/>
    <n v="0"/>
    <x v="22"/>
    <x v="0"/>
    <m/>
    <m/>
    <m/>
    <n v="0.30783999999999989"/>
  </r>
  <r>
    <x v="4"/>
    <x v="110"/>
    <x v="0"/>
    <x v="41"/>
    <m/>
    <m/>
    <s v="RUBBER_INSULATION, M-FLEX 1/2&quot; 1/4"/>
    <s v="IM-000229"/>
    <n v="2"/>
    <n v="50"/>
    <m/>
    <n v="100"/>
    <x v="0"/>
    <n v="47"/>
    <n v="33.6"/>
    <n v="67.2"/>
    <n v="69.216000000000008"/>
    <n v="30.783999999999992"/>
    <n v="0"/>
    <x v="22"/>
    <x v="0"/>
    <m/>
    <m/>
    <m/>
    <n v="0.30783999999999989"/>
  </r>
  <r>
    <x v="4"/>
    <x v="110"/>
    <x v="0"/>
    <x v="103"/>
    <m/>
    <m/>
    <s v="RUBBER_INSULATION, M-FLEX 1/2&quot; 1/4"/>
    <s v="IM-000229"/>
    <n v="2"/>
    <n v="50"/>
    <m/>
    <n v="100"/>
    <x v="0"/>
    <n v="47"/>
    <n v="33.6"/>
    <n v="67.2"/>
    <n v="69.216000000000008"/>
    <n v="30.783999999999992"/>
    <n v="0"/>
    <x v="22"/>
    <x v="0"/>
    <m/>
    <m/>
    <m/>
    <n v="0.30783999999999989"/>
  </r>
  <r>
    <x v="4"/>
    <x v="95"/>
    <x v="0"/>
    <x v="41"/>
    <m/>
    <m/>
    <s v="RUBBER_INSULATION, M-FLEX 1/2&quot; 1/4"/>
    <s v="IM-000229"/>
    <n v="2"/>
    <n v="50"/>
    <m/>
    <n v="100"/>
    <x v="0"/>
    <n v="47"/>
    <n v="33.6"/>
    <n v="67.2"/>
    <n v="69.216000000000008"/>
    <n v="30.783999999999992"/>
    <n v="0"/>
    <x v="22"/>
    <x v="0"/>
    <m/>
    <m/>
    <m/>
    <n v="0.30783999999999989"/>
  </r>
  <r>
    <x v="4"/>
    <x v="96"/>
    <x v="0"/>
    <x v="41"/>
    <m/>
    <m/>
    <s v="RUBBER_INSULATION, M-FLEX 1/2&quot; 1/4"/>
    <s v="IM-000229"/>
    <n v="2"/>
    <n v="50"/>
    <m/>
    <n v="100"/>
    <x v="0"/>
    <n v="47"/>
    <n v="33.6"/>
    <n v="67.2"/>
    <n v="69.216000000000008"/>
    <n v="30.783999999999992"/>
    <n v="0"/>
    <x v="22"/>
    <x v="0"/>
    <m/>
    <m/>
    <m/>
    <n v="0.30783999999999989"/>
  </r>
  <r>
    <x v="4"/>
    <x v="80"/>
    <x v="0"/>
    <x v="104"/>
    <m/>
    <m/>
    <s v="RUBBER_INSULATION, M-FLEX 1/2&quot; 1/4"/>
    <s v="IM-000229"/>
    <n v="2"/>
    <n v="50"/>
    <m/>
    <n v="100"/>
    <x v="0"/>
    <n v="47"/>
    <n v="33.6"/>
    <n v="67.2"/>
    <n v="69.216000000000008"/>
    <n v="30.783999999999992"/>
    <n v="0"/>
    <x v="22"/>
    <x v="0"/>
    <m/>
    <m/>
    <m/>
    <n v="0.30783999999999989"/>
  </r>
  <r>
    <x v="4"/>
    <x v="80"/>
    <x v="0"/>
    <x v="29"/>
    <m/>
    <m/>
    <s v="RUBBER_INSULATION, M-FLEX 1/2&quot; 1/4"/>
    <s v="IM-000229"/>
    <n v="2"/>
    <n v="50"/>
    <m/>
    <n v="100"/>
    <x v="0"/>
    <n v="47"/>
    <n v="33.6"/>
    <n v="67.2"/>
    <n v="69.216000000000008"/>
    <n v="30.783999999999992"/>
    <n v="0"/>
    <x v="22"/>
    <x v="0"/>
    <m/>
    <m/>
    <m/>
    <n v="0.30783999999999989"/>
  </r>
  <r>
    <x v="4"/>
    <x v="104"/>
    <x v="0"/>
    <x v="1"/>
    <m/>
    <m/>
    <s v="RUBBER_INSULATION, M-FLEX 1/2&quot; 1/4"/>
    <s v="IM-000229"/>
    <n v="2"/>
    <n v="50"/>
    <m/>
    <n v="100"/>
    <x v="0"/>
    <n v="47"/>
    <n v="33.6"/>
    <n v="67.2"/>
    <n v="69.216000000000008"/>
    <n v="30.783999999999992"/>
    <n v="0"/>
    <x v="22"/>
    <x v="0"/>
    <m/>
    <m/>
    <m/>
    <n v="0.30783999999999989"/>
  </r>
  <r>
    <x v="4"/>
    <x v="82"/>
    <x v="0"/>
    <x v="1"/>
    <m/>
    <m/>
    <s v="RUBBER_INSULATION, M-FLEX 1/2&quot; 1/4"/>
    <s v="IM-000229"/>
    <n v="2"/>
    <n v="50"/>
    <m/>
    <n v="100"/>
    <x v="0"/>
    <n v="47"/>
    <n v="33.6"/>
    <n v="67.2"/>
    <n v="69.216000000000008"/>
    <n v="30.783999999999992"/>
    <n v="0"/>
    <x v="22"/>
    <x v="0"/>
    <e v="#REF!"/>
    <e v="#REF!"/>
    <e v="#REF!"/>
    <n v="0"/>
  </r>
  <r>
    <x v="5"/>
    <x v="127"/>
    <x v="0"/>
    <x v="133"/>
    <m/>
    <m/>
    <s v="TAPE ELECTRICAL, ARMAK 0.16 MM X 19 MM X 16 M 04/25/26"/>
    <s v="GE-000491"/>
    <n v="2"/>
    <n v="55"/>
    <m/>
    <n v="110"/>
    <x v="0"/>
    <n v="73"/>
    <n v="42"/>
    <n v="84"/>
    <n v="88.2"/>
    <n v="21.799999999999997"/>
    <n v="0"/>
    <x v="50"/>
    <x v="1"/>
    <e v="#REF!"/>
    <e v="#REF!"/>
    <s v=""/>
    <n v="0.19818181818181815"/>
  </r>
  <r>
    <x v="5"/>
    <x v="127"/>
    <x v="0"/>
    <x v="30"/>
    <m/>
    <m/>
    <s v="RUBBER_INSULATION, M-FLEX 1/2&quot; 3/8"/>
    <s v="IM-000231"/>
    <n v="2"/>
    <n v="60"/>
    <m/>
    <n v="120"/>
    <x v="0"/>
    <n v="53"/>
    <n v="37.6"/>
    <n v="75.2"/>
    <n v="77.456000000000003"/>
    <n v="42.543999999999997"/>
    <n v="0"/>
    <x v="22"/>
    <x v="0"/>
    <e v="#REF!"/>
    <e v="#REF!"/>
    <s v=""/>
    <n v="0.35453333333333331"/>
  </r>
  <r>
    <x v="5"/>
    <x v="127"/>
    <x v="0"/>
    <x v="27"/>
    <m/>
    <m/>
    <s v="RUBBER_INSULATION, M-FLEX 1/2&quot; 3/8"/>
    <s v="IM-000231"/>
    <n v="2"/>
    <n v="60"/>
    <m/>
    <n v="120"/>
    <x v="0"/>
    <n v="53"/>
    <n v="37.6"/>
    <n v="75.2"/>
    <n v="77.456000000000003"/>
    <n v="42.543999999999997"/>
    <n v="0"/>
    <x v="22"/>
    <x v="0"/>
    <e v="#REF!"/>
    <e v="#REF!"/>
    <s v=""/>
    <n v="0.35453333333333331"/>
  </r>
  <r>
    <x v="1"/>
    <x v="15"/>
    <x v="0"/>
    <x v="13"/>
    <m/>
    <m/>
    <s v="BOLT &amp; NUT, GI, SET 3/8"/>
    <s v="IM-000002"/>
    <n v="12"/>
    <n v="14"/>
    <m/>
    <n v="168"/>
    <x v="0"/>
    <n v="10"/>
    <n v="5.43"/>
    <n v="65.16"/>
    <n v="67.114800000000002"/>
    <n v="100.8852"/>
    <n v="0"/>
    <x v="57"/>
    <x v="0"/>
    <e v="#REF!"/>
    <e v="#REF!"/>
    <s v=""/>
    <n v="0.60050714285714279"/>
  </r>
  <r>
    <x v="0"/>
    <x v="31"/>
    <x v="0"/>
    <x v="35"/>
    <m/>
    <m/>
    <s v="SYSTEM_CLEANER, Cleanse GREEN 141B 500 ML"/>
    <s v="GE-000369"/>
    <n v="1"/>
    <n v="120"/>
    <m/>
    <n v="120"/>
    <x v="0"/>
    <n v="113"/>
    <n v="65"/>
    <n v="65"/>
    <n v="68.25"/>
    <n v="51.75"/>
    <n v="0"/>
    <x v="28"/>
    <x v="1"/>
    <m/>
    <m/>
    <s v=""/>
    <n v="0.43125000000000002"/>
  </r>
  <r>
    <x v="0"/>
    <x v="4"/>
    <x v="0"/>
    <x v="11"/>
    <m/>
    <m/>
    <s v="SYSTEM_CLEANER, Cleanse GREEN 141B 500 ML"/>
    <s v="GE-000369"/>
    <n v="1"/>
    <n v="120"/>
    <m/>
    <n v="120"/>
    <x v="0"/>
    <n v="113"/>
    <n v="65"/>
    <n v="65"/>
    <n v="68.25"/>
    <n v="51.75"/>
    <n v="0"/>
    <x v="28"/>
    <x v="1"/>
    <m/>
    <m/>
    <s v=""/>
    <n v="0.43125000000000002"/>
  </r>
  <r>
    <x v="0"/>
    <x v="99"/>
    <x v="0"/>
    <x v="1"/>
    <m/>
    <m/>
    <s v="SYSTEM_CLEANER, Cleanse GREEN 141B 500 ML"/>
    <s v="GE-000369"/>
    <n v="1"/>
    <n v="120"/>
    <m/>
    <n v="120"/>
    <x v="0"/>
    <n v="113"/>
    <n v="65"/>
    <n v="65"/>
    <n v="68.25"/>
    <n v="51.75"/>
    <n v="0"/>
    <x v="28"/>
    <x v="1"/>
    <m/>
    <m/>
    <s v=""/>
    <n v="0.43125000000000002"/>
  </r>
  <r>
    <x v="1"/>
    <x v="20"/>
    <x v="0"/>
    <x v="1"/>
    <m/>
    <m/>
    <s v="SYSTEM_CLEANER, Cleanse GREEN 141B 500 ML"/>
    <s v="GE-000369"/>
    <n v="1"/>
    <n v="120"/>
    <m/>
    <n v="120"/>
    <x v="0"/>
    <n v="113"/>
    <n v="65"/>
    <n v="65"/>
    <n v="68.25"/>
    <n v="51.75"/>
    <n v="0"/>
    <x v="28"/>
    <x v="1"/>
    <e v="#REF!"/>
    <e v="#REF!"/>
    <s v=""/>
    <n v="0.43125000000000002"/>
  </r>
  <r>
    <x v="1"/>
    <x v="25"/>
    <x v="0"/>
    <x v="11"/>
    <m/>
    <m/>
    <s v="SYSTEM_CLEANER, Cleanse GREEN 141B 500 ML"/>
    <s v="GE-000369"/>
    <n v="1"/>
    <n v="120"/>
    <m/>
    <n v="120"/>
    <x v="0"/>
    <n v="113"/>
    <n v="65"/>
    <n v="65"/>
    <n v="68.25"/>
    <n v="51.75"/>
    <n v="0"/>
    <x v="28"/>
    <x v="1"/>
    <e v="#REF!"/>
    <e v="#REF!"/>
    <e v="#REF!"/>
    <n v="0.43125000000000002"/>
  </r>
  <r>
    <x v="1"/>
    <x v="30"/>
    <x v="0"/>
    <x v="11"/>
    <m/>
    <m/>
    <s v="SYSTEM_CLEANER, Cleanse GREEN 141B 500 ML"/>
    <s v="GE-000369"/>
    <n v="1"/>
    <n v="120"/>
    <m/>
    <n v="120"/>
    <x v="0"/>
    <n v="113"/>
    <n v="65"/>
    <n v="65"/>
    <n v="68.25"/>
    <n v="51.75"/>
    <n v="0"/>
    <x v="28"/>
    <x v="1"/>
    <e v="#REF!"/>
    <e v="#REF!"/>
    <e v="#REF!"/>
    <n v="0.43125000000000002"/>
  </r>
  <r>
    <x v="4"/>
    <x v="93"/>
    <x v="2"/>
    <x v="9"/>
    <m/>
    <m/>
    <s v="FITTINGS, STRAIGHT ORING TYPE 1/2"/>
    <s v="CA-000674"/>
    <n v="10"/>
    <n v="40"/>
    <m/>
    <n v="400"/>
    <x v="0"/>
    <n v="30"/>
    <n v="16"/>
    <n v="160"/>
    <n v="168"/>
    <n v="232"/>
    <n v="69.599999999999994"/>
    <x v="33"/>
    <x v="2"/>
    <m/>
    <m/>
    <m/>
    <n v="0.57999999999999996"/>
  </r>
  <r>
    <x v="4"/>
    <x v="96"/>
    <x v="2"/>
    <x v="9"/>
    <m/>
    <m/>
    <s v="FITTINGS, STRAIGHT ORING TYPE 1/2"/>
    <s v="CA-000674"/>
    <n v="10"/>
    <n v="40"/>
    <m/>
    <n v="400"/>
    <x v="0"/>
    <n v="30"/>
    <n v="16"/>
    <n v="160"/>
    <n v="168"/>
    <n v="232"/>
    <n v="69.599999999999994"/>
    <x v="33"/>
    <x v="2"/>
    <m/>
    <m/>
    <m/>
    <n v="0.57999999999999996"/>
  </r>
  <r>
    <x v="4"/>
    <x v="108"/>
    <x v="2"/>
    <x v="7"/>
    <m/>
    <n v="260"/>
    <s v="TAPE, EVER SEAL CORK TAPE"/>
    <s v="GE-000344"/>
    <n v="1"/>
    <n v="232"/>
    <m/>
    <n v="232"/>
    <x v="0"/>
    <n v="226"/>
    <n v="130"/>
    <n v="130"/>
    <n v="136.5"/>
    <n v="95.5"/>
    <n v="28.65"/>
    <x v="41"/>
    <x v="1"/>
    <m/>
    <m/>
    <m/>
    <n v="0.41163793103448276"/>
  </r>
  <r>
    <x v="4"/>
    <x v="110"/>
    <x v="3"/>
    <x v="12"/>
    <m/>
    <m/>
    <s v="SYSTEM_CLEANER, Cleanse GREEN 141B 500 ML"/>
    <s v="GE-000369"/>
    <n v="2"/>
    <n v="120"/>
    <m/>
    <n v="240"/>
    <x v="0"/>
    <n v="113"/>
    <n v="65"/>
    <n v="130"/>
    <n v="136.5"/>
    <n v="103.5"/>
    <n v="31.049999999999997"/>
    <x v="28"/>
    <x v="1"/>
    <m/>
    <m/>
    <m/>
    <n v="0.43125000000000002"/>
  </r>
  <r>
    <x v="4"/>
    <x v="116"/>
    <x v="2"/>
    <x v="22"/>
    <m/>
    <n v="12"/>
    <s v="FERULLE,  5/8&quot;"/>
    <s v="CA-000646"/>
    <n v="20"/>
    <n v="11"/>
    <m/>
    <n v="220"/>
    <x v="0"/>
    <n v="13"/>
    <n v="7"/>
    <n v="140"/>
    <n v="147"/>
    <n v="73"/>
    <n v="21.9"/>
    <x v="42"/>
    <x v="2"/>
    <m/>
    <m/>
    <m/>
    <n v="0.33181818181818185"/>
  </r>
  <r>
    <x v="3"/>
    <x v="118"/>
    <x v="0"/>
    <x v="27"/>
    <m/>
    <m/>
    <s v="SYSTEM_CLEANER, Cleanse GREEN 141B 500 ML"/>
    <s v="GE-000369"/>
    <n v="1"/>
    <n v="120"/>
    <m/>
    <n v="120"/>
    <x v="0"/>
    <n v="113"/>
    <n v="65"/>
    <n v="65"/>
    <n v="68.25"/>
    <n v="51.75"/>
    <n v="0"/>
    <x v="28"/>
    <x v="1"/>
    <m/>
    <m/>
    <s v=""/>
    <n v="0.43125000000000002"/>
  </r>
  <r>
    <x v="3"/>
    <x v="71"/>
    <x v="0"/>
    <x v="11"/>
    <m/>
    <m/>
    <s v="SYSTEM_CLEANER, Cleanse GREEN 141B 500 ML"/>
    <s v="GE-000369"/>
    <n v="1"/>
    <n v="120"/>
    <m/>
    <n v="120"/>
    <x v="0"/>
    <n v="113"/>
    <n v="65"/>
    <n v="65"/>
    <n v="68.25"/>
    <n v="51.75"/>
    <n v="0"/>
    <x v="28"/>
    <x v="1"/>
    <m/>
    <m/>
    <s v=""/>
    <n v="0.43125000000000002"/>
  </r>
  <r>
    <x v="3"/>
    <x v="86"/>
    <x v="0"/>
    <x v="11"/>
    <m/>
    <m/>
    <s v="SYSTEM_CLEANER, Cleanse GREEN 141B 500 ML"/>
    <s v="GE-000369"/>
    <n v="1"/>
    <n v="120"/>
    <m/>
    <n v="120"/>
    <x v="0"/>
    <n v="113"/>
    <n v="65"/>
    <n v="65"/>
    <n v="68.25"/>
    <n v="51.75"/>
    <n v="0"/>
    <x v="28"/>
    <x v="1"/>
    <m/>
    <m/>
    <m/>
    <n v="0.43125000000000002"/>
  </r>
  <r>
    <x v="3"/>
    <x v="86"/>
    <x v="0"/>
    <x v="11"/>
    <m/>
    <m/>
    <s v="SYSTEM_CLEANER, Cleanse GREEN 141B 500 ML"/>
    <s v="GE-000369"/>
    <n v="1"/>
    <n v="120"/>
    <m/>
    <n v="120"/>
    <x v="0"/>
    <n v="113"/>
    <n v="65"/>
    <n v="65"/>
    <n v="68.25"/>
    <n v="51.75"/>
    <n v="0"/>
    <x v="28"/>
    <x v="1"/>
    <m/>
    <m/>
    <m/>
    <n v="0.43125000000000002"/>
  </r>
  <r>
    <x v="3"/>
    <x v="87"/>
    <x v="0"/>
    <x v="11"/>
    <m/>
    <m/>
    <s v="SYSTEM_CLEANER, Cleanse GREEN 141B 500 ML"/>
    <s v="GE-000369"/>
    <n v="1"/>
    <n v="120"/>
    <m/>
    <n v="120"/>
    <x v="0"/>
    <n v="113"/>
    <n v="65"/>
    <n v="65"/>
    <n v="68.25"/>
    <n v="51.75"/>
    <n v="0"/>
    <x v="28"/>
    <x v="1"/>
    <m/>
    <m/>
    <m/>
    <n v="0.43125000000000002"/>
  </r>
  <r>
    <x v="4"/>
    <x v="89"/>
    <x v="0"/>
    <x v="11"/>
    <m/>
    <m/>
    <s v="SYSTEM_CLEANER, Cleanse GREEN 141B 500 ML"/>
    <s v="GE-000369"/>
    <n v="1"/>
    <n v="120"/>
    <m/>
    <n v="120"/>
    <x v="0"/>
    <n v="113"/>
    <n v="65"/>
    <n v="65"/>
    <n v="68.25"/>
    <n v="51.75"/>
    <n v="0"/>
    <x v="28"/>
    <x v="1"/>
    <m/>
    <m/>
    <m/>
    <n v="0.43125000000000002"/>
  </r>
  <r>
    <x v="4"/>
    <x v="113"/>
    <x v="0"/>
    <x v="83"/>
    <m/>
    <m/>
    <s v="SYSTEM_CLEANER, Cleanse GREEN 141B 500 ML"/>
    <s v="GE-000369"/>
    <n v="1"/>
    <n v="120"/>
    <m/>
    <n v="120"/>
    <x v="0"/>
    <n v="113"/>
    <n v="65"/>
    <n v="65"/>
    <n v="68.25"/>
    <n v="51.75"/>
    <n v="0"/>
    <x v="28"/>
    <x v="1"/>
    <m/>
    <m/>
    <m/>
    <n v="0.43125000000000002"/>
  </r>
  <r>
    <x v="4"/>
    <x v="107"/>
    <x v="2"/>
    <x v="22"/>
    <m/>
    <n v="220"/>
    <s v="CABIN_FILTER, TOYOTA INNOVA"/>
    <s v="CA-001294"/>
    <n v="1"/>
    <n v="197"/>
    <m/>
    <n v="197"/>
    <x v="0"/>
    <n v="315"/>
    <n v="100"/>
    <n v="100"/>
    <n v="105"/>
    <n v="92"/>
    <n v="27.599999999999998"/>
    <x v="12"/>
    <x v="2"/>
    <m/>
    <m/>
    <m/>
    <n v="0.46700507614213199"/>
  </r>
  <r>
    <x v="4"/>
    <x v="107"/>
    <x v="2"/>
    <x v="22"/>
    <m/>
    <n v="220"/>
    <s v="CABIN_FILTER, TOYOTA VIOS"/>
    <s v="CA-001295"/>
    <n v="1"/>
    <n v="197"/>
    <m/>
    <n v="197"/>
    <x v="0"/>
    <n v="315"/>
    <n v="100"/>
    <n v="100"/>
    <n v="105"/>
    <n v="92"/>
    <n v="27.599999999999998"/>
    <x v="12"/>
    <x v="2"/>
    <m/>
    <m/>
    <m/>
    <n v="0.46700507614213199"/>
  </r>
  <r>
    <x v="4"/>
    <x v="79"/>
    <x v="0"/>
    <x v="11"/>
    <m/>
    <m/>
    <s v="SYSTEM_CLEANER, Cleanse GREEN 141B 500 ML"/>
    <s v="GE-000369"/>
    <n v="1"/>
    <n v="120"/>
    <m/>
    <n v="120"/>
    <x v="0"/>
    <n v="113"/>
    <n v="65"/>
    <n v="65"/>
    <n v="68.25"/>
    <n v="51.75"/>
    <n v="0"/>
    <x v="28"/>
    <x v="1"/>
    <m/>
    <m/>
    <m/>
    <n v="0.43125000000000002"/>
  </r>
  <r>
    <x v="4"/>
    <x v="82"/>
    <x v="0"/>
    <x v="83"/>
    <m/>
    <m/>
    <s v="SYSTEM_CLEANER, Cleanse GREEN 141B 500 ML"/>
    <s v="GE-000369"/>
    <n v="1"/>
    <n v="120"/>
    <m/>
    <n v="120"/>
    <x v="0"/>
    <n v="113"/>
    <n v="65"/>
    <n v="65"/>
    <n v="68.25"/>
    <n v="51.75"/>
    <n v="0"/>
    <x v="28"/>
    <x v="1"/>
    <e v="#REF!"/>
    <e v="#REF!"/>
    <e v="#REF!"/>
    <n v="0"/>
  </r>
  <r>
    <x v="5"/>
    <x v="127"/>
    <x v="0"/>
    <x v="27"/>
    <m/>
    <m/>
    <s v="TAPE_PE, PICUS Polythelene Tape (White)X 4&quot;"/>
    <s v="IM-000247"/>
    <n v="1"/>
    <n v="125"/>
    <m/>
    <n v="125"/>
    <x v="0"/>
    <n v="147"/>
    <n v="75"/>
    <n v="75"/>
    <n v="77.25"/>
    <n v="47.75"/>
    <n v="0"/>
    <x v="29"/>
    <x v="0"/>
    <e v="#REF!"/>
    <e v="#REF!"/>
    <s v=""/>
    <n v="0.38200000000000001"/>
  </r>
  <r>
    <x v="3"/>
    <x v="62"/>
    <x v="0"/>
    <x v="2"/>
    <m/>
    <m/>
    <s v="HOSE, ELECTRICAL FLEXIBLE ROLL PER METER"/>
    <s v="G-E000235"/>
    <n v="8"/>
    <n v="15"/>
    <m/>
    <n v="120"/>
    <x v="0"/>
    <n v="15"/>
    <n v="8"/>
    <n v="64"/>
    <n v="67.2"/>
    <n v="52.8"/>
    <n v="0"/>
    <x v="19"/>
    <x v="1"/>
    <m/>
    <m/>
    <s v=""/>
    <n v="0.44"/>
  </r>
  <r>
    <x v="4"/>
    <x v="107"/>
    <x v="2"/>
    <x v="22"/>
    <m/>
    <n v="220"/>
    <s v="CABIN_FILTER, TOYOTA WIGO"/>
    <s v="CA-000387"/>
    <n v="1"/>
    <n v="220"/>
    <m/>
    <n v="220"/>
    <x v="0"/>
    <n v="315"/>
    <n v="100"/>
    <n v="100"/>
    <n v="105"/>
    <n v="115"/>
    <n v="34.5"/>
    <x v="12"/>
    <x v="2"/>
    <m/>
    <m/>
    <m/>
    <n v="0.52272727272727271"/>
  </r>
  <r>
    <x v="4"/>
    <x v="77"/>
    <x v="0"/>
    <x v="8"/>
    <m/>
    <m/>
    <s v="FITTINGS, STRAIGHT FLARE TYPE 5/8"/>
    <s v="CA-000673"/>
    <n v="4"/>
    <n v="40"/>
    <m/>
    <n v="160"/>
    <x v="0"/>
    <n v="30"/>
    <n v="16"/>
    <n v="64"/>
    <n v="67.2"/>
    <n v="92.8"/>
    <n v="0"/>
    <x v="33"/>
    <x v="2"/>
    <e v="#REF!"/>
    <e v="#REF!"/>
    <e v="#REF!"/>
    <n v="0"/>
  </r>
  <r>
    <x v="0"/>
    <x v="0"/>
    <x v="0"/>
    <x v="62"/>
    <m/>
    <m/>
    <s v="ACCESS_VALVE, OMNI WELDED TYPE "/>
    <s v="GE-000253"/>
    <n v="3"/>
    <n v="25"/>
    <m/>
    <n v="75"/>
    <x v="0"/>
    <n v="47"/>
    <n v="21"/>
    <n v="63"/>
    <n v="66.150000000000006"/>
    <n v="8.8499999999999943"/>
    <n v="0"/>
    <x v="67"/>
    <x v="1"/>
    <m/>
    <m/>
    <m/>
    <n v="0.11799999999999992"/>
  </r>
  <r>
    <x v="1"/>
    <x v="18"/>
    <x v="0"/>
    <x v="32"/>
    <m/>
    <m/>
    <s v="HOSE,  DRAIN 5/8 PER METER"/>
    <s v="GE-000420"/>
    <n v="2"/>
    <n v="70"/>
    <m/>
    <n v="140"/>
    <x v="0"/>
    <n v="82"/>
    <n v="31"/>
    <n v="62"/>
    <n v="65.100000000000009"/>
    <n v="74.899999999999991"/>
    <n v="0"/>
    <x v="19"/>
    <x v="1"/>
    <e v="#REF!"/>
    <e v="#REF!"/>
    <s v=""/>
    <n v="0.53499999999999992"/>
  </r>
  <r>
    <x v="4"/>
    <x v="107"/>
    <x v="2"/>
    <x v="22"/>
    <m/>
    <n v="200"/>
    <s v="CABIN_FILTER, NISSAN JUKE"/>
    <s v="CA-001709"/>
    <n v="1"/>
    <n v="180"/>
    <m/>
    <n v="180"/>
    <x v="0"/>
    <n v="315"/>
    <n v="100"/>
    <n v="100"/>
    <n v="105"/>
    <n v="75"/>
    <n v="22.5"/>
    <x v="12"/>
    <x v="2"/>
    <m/>
    <m/>
    <m/>
    <n v="0.41666666666666669"/>
  </r>
  <r>
    <x v="4"/>
    <x v="89"/>
    <x v="2"/>
    <x v="22"/>
    <m/>
    <n v="220"/>
    <s v="CABIN_FILTER, FORD ECOSPORT"/>
    <s v="CA-001668"/>
    <n v="1"/>
    <n v="197"/>
    <m/>
    <n v="197"/>
    <x v="0"/>
    <n v="315"/>
    <n v="100"/>
    <n v="100"/>
    <n v="105"/>
    <n v="92"/>
    <n v="27.599999999999998"/>
    <x v="12"/>
    <x v="2"/>
    <m/>
    <m/>
    <m/>
    <n v="0.46700507614213199"/>
  </r>
  <r>
    <x v="4"/>
    <x v="94"/>
    <x v="2"/>
    <x v="22"/>
    <m/>
    <n v="220"/>
    <s v="CABIN_FILTER, TOYOTA INNOVA"/>
    <s v="CA-001294"/>
    <n v="1"/>
    <n v="197"/>
    <m/>
    <n v="197"/>
    <x v="0"/>
    <n v="315"/>
    <n v="100"/>
    <n v="100"/>
    <n v="105"/>
    <n v="92"/>
    <n v="27.599999999999998"/>
    <x v="12"/>
    <x v="2"/>
    <m/>
    <m/>
    <m/>
    <n v="0.46700507614213199"/>
  </r>
  <r>
    <x v="0"/>
    <x v="5"/>
    <x v="0"/>
    <x v="70"/>
    <m/>
    <n v="200"/>
    <s v="SILICA_GEL, DENSO SHORT"/>
    <s v="CA-001229"/>
    <n v="1"/>
    <n v="180"/>
    <m/>
    <n v="180"/>
    <x v="0"/>
    <n v="120"/>
    <n v="60"/>
    <n v="60"/>
    <n v="63"/>
    <n v="117"/>
    <n v="0"/>
    <x v="37"/>
    <x v="2"/>
    <m/>
    <m/>
    <n v="201.60000000000002"/>
    <n v="0.65"/>
  </r>
  <r>
    <x v="0"/>
    <x v="27"/>
    <x v="0"/>
    <x v="11"/>
    <m/>
    <n v="200"/>
    <s v="SILICA_GEL, DENSO LONG"/>
    <s v="CA-001228"/>
    <n v="1"/>
    <n v="180"/>
    <m/>
    <n v="180"/>
    <x v="0"/>
    <n v="189"/>
    <n v="60"/>
    <n v="60"/>
    <n v="63"/>
    <n v="117"/>
    <n v="0"/>
    <x v="37"/>
    <x v="2"/>
    <m/>
    <m/>
    <n v="201.60000000000002"/>
    <n v="0.65"/>
  </r>
  <r>
    <x v="0"/>
    <x v="6"/>
    <x v="0"/>
    <x v="1"/>
    <m/>
    <m/>
    <s v="O_RING, NEK MANIPIS 1/2"/>
    <s v="CA-000844"/>
    <n v="1"/>
    <n v="200"/>
    <m/>
    <n v="200"/>
    <x v="0"/>
    <n v="111"/>
    <n v="60"/>
    <n v="60"/>
    <n v="63"/>
    <n v="137"/>
    <n v="0"/>
    <x v="44"/>
    <x v="2"/>
    <m/>
    <m/>
    <s v=""/>
    <n v="0.68500000000000005"/>
  </r>
  <r>
    <x v="0"/>
    <x v="16"/>
    <x v="0"/>
    <x v="11"/>
    <m/>
    <n v="200"/>
    <s v="SILICA_GEL, DENSO SHORT"/>
    <s v="CA-001229"/>
    <n v="1"/>
    <n v="180"/>
    <m/>
    <n v="180"/>
    <x v="0"/>
    <n v="120"/>
    <n v="60"/>
    <n v="60"/>
    <n v="63"/>
    <n v="117"/>
    <n v="0"/>
    <x v="37"/>
    <x v="2"/>
    <m/>
    <m/>
    <n v="201.60000000000002"/>
    <n v="0.65"/>
  </r>
  <r>
    <x v="0"/>
    <x v="7"/>
    <x v="0"/>
    <x v="17"/>
    <m/>
    <m/>
    <s v="O_RING, NEK MAKAPAL 5/16"/>
    <s v="CA-000842"/>
    <n v="1"/>
    <n v="200"/>
    <m/>
    <n v="200"/>
    <x v="0"/>
    <n v="111"/>
    <n v="60"/>
    <n v="60"/>
    <n v="63"/>
    <n v="137"/>
    <n v="0"/>
    <x v="44"/>
    <x v="2"/>
    <m/>
    <m/>
    <s v=""/>
    <n v="0.68500000000000005"/>
  </r>
  <r>
    <x v="0"/>
    <x v="7"/>
    <x v="0"/>
    <x v="17"/>
    <m/>
    <m/>
    <s v="O_RING, NEK MAKAPAL 3/8"/>
    <s v="CA-000841"/>
    <n v="1"/>
    <n v="200"/>
    <m/>
    <n v="200"/>
    <x v="0"/>
    <n v="111"/>
    <n v="60"/>
    <n v="60"/>
    <n v="63"/>
    <n v="137"/>
    <n v="0"/>
    <x v="44"/>
    <x v="2"/>
    <m/>
    <m/>
    <s v=""/>
    <n v="0.68500000000000005"/>
  </r>
  <r>
    <x v="0"/>
    <x v="9"/>
    <x v="0"/>
    <x v="17"/>
    <m/>
    <m/>
    <s v="O_RING, NEK MAKAPAL 5/16"/>
    <s v="CA-000842"/>
    <n v="1"/>
    <n v="200"/>
    <m/>
    <n v="200"/>
    <x v="0"/>
    <n v="111"/>
    <n v="60"/>
    <n v="60"/>
    <n v="63"/>
    <n v="137"/>
    <n v="0"/>
    <x v="44"/>
    <x v="2"/>
    <e v="#REF!"/>
    <e v="#REF!"/>
    <s v=""/>
    <n v="0.68500000000000005"/>
  </r>
  <r>
    <x v="0"/>
    <x v="9"/>
    <x v="0"/>
    <x v="17"/>
    <m/>
    <m/>
    <s v="O_RING, NEK MAKAPAL 1/2"/>
    <s v="CA-000840"/>
    <n v="1"/>
    <n v="200"/>
    <m/>
    <n v="200"/>
    <x v="0"/>
    <n v="111"/>
    <n v="60"/>
    <n v="60"/>
    <n v="63"/>
    <n v="137"/>
    <n v="0"/>
    <x v="44"/>
    <x v="2"/>
    <e v="#REF!"/>
    <e v="#REF!"/>
    <s v=""/>
    <n v="0.68500000000000005"/>
  </r>
  <r>
    <x v="0"/>
    <x v="10"/>
    <x v="0"/>
    <x v="11"/>
    <m/>
    <m/>
    <s v="SILICA_GEL, DENSO LONG"/>
    <s v="CA-001228"/>
    <n v="1"/>
    <n v="200"/>
    <m/>
    <n v="200"/>
    <x v="0"/>
    <n v="189"/>
    <n v="60"/>
    <n v="60"/>
    <n v="63"/>
    <n v="137"/>
    <n v="0"/>
    <x v="37"/>
    <x v="2"/>
    <e v="#REF!"/>
    <e v="#REF!"/>
    <s v=""/>
    <n v="0.68500000000000005"/>
  </r>
  <r>
    <x v="4"/>
    <x v="79"/>
    <x v="2"/>
    <x v="22"/>
    <m/>
    <n v="220"/>
    <s v="CABIN_FILTER, TOYOTA INNOVA"/>
    <s v="CA-001294"/>
    <n v="1"/>
    <n v="197"/>
    <m/>
    <n v="197"/>
    <x v="0"/>
    <n v="315"/>
    <n v="100"/>
    <n v="100"/>
    <n v="105"/>
    <n v="92"/>
    <n v="27.599999999999998"/>
    <x v="12"/>
    <x v="2"/>
    <m/>
    <m/>
    <m/>
    <n v="0.46700507614213199"/>
  </r>
  <r>
    <x v="4"/>
    <x v="96"/>
    <x v="2"/>
    <x v="9"/>
    <m/>
    <n v="15"/>
    <s v="FERULLE,  5/8&quot;"/>
    <s v="CA-000646"/>
    <n v="10"/>
    <n v="14"/>
    <m/>
    <n v="140"/>
    <x v="0"/>
    <n v="13"/>
    <n v="7"/>
    <n v="70"/>
    <n v="73.5"/>
    <n v="66.5"/>
    <n v="19.95"/>
    <x v="42"/>
    <x v="2"/>
    <m/>
    <m/>
    <m/>
    <n v="0.47499999999999998"/>
  </r>
  <r>
    <x v="4"/>
    <x v="96"/>
    <x v="2"/>
    <x v="9"/>
    <m/>
    <n v="15"/>
    <s v="FERULLE,  1/2&quot;"/>
    <s v="CA-000644"/>
    <n v="10"/>
    <n v="14"/>
    <m/>
    <n v="140"/>
    <x v="0"/>
    <n v="13"/>
    <n v="7"/>
    <n v="70"/>
    <n v="73.5"/>
    <n v="66.5"/>
    <n v="19.95"/>
    <x v="42"/>
    <x v="2"/>
    <m/>
    <m/>
    <m/>
    <n v="0.47499999999999998"/>
  </r>
  <r>
    <x v="1"/>
    <x v="33"/>
    <x v="0"/>
    <x v="1"/>
    <m/>
    <n v="200"/>
    <s v="O_RING, NEK MAKAPAL 3/8"/>
    <s v="CA-000841"/>
    <n v="1"/>
    <n v="178"/>
    <m/>
    <n v="178"/>
    <x v="0"/>
    <n v="111"/>
    <n v="60"/>
    <n v="60"/>
    <n v="63"/>
    <n v="115"/>
    <n v="0"/>
    <x v="44"/>
    <x v="2"/>
    <e v="#REF!"/>
    <e v="#REF!"/>
    <e v="#REF!"/>
    <n v="0"/>
  </r>
  <r>
    <x v="4"/>
    <x v="96"/>
    <x v="1"/>
    <x v="3"/>
    <m/>
    <m/>
    <s v="CONDENSER,  BRACKET"/>
    <s v="CA-000358"/>
    <n v="4"/>
    <n v="25"/>
    <m/>
    <n v="100"/>
    <x v="0"/>
    <n v="17"/>
    <n v="9"/>
    <n v="36"/>
    <n v="37.800000000000004"/>
    <n v="62.199999999999996"/>
    <n v="18.659999999999997"/>
    <x v="8"/>
    <x v="2"/>
    <m/>
    <m/>
    <m/>
    <n v="0.622"/>
  </r>
  <r>
    <x v="3"/>
    <x v="63"/>
    <x v="0"/>
    <x v="49"/>
    <m/>
    <m/>
    <s v="LUBRICANT, SYNXPA 100 ML (134A), OIL COMPRESSOR"/>
    <s v="GE-000139"/>
    <n v="1"/>
    <n v="120"/>
    <m/>
    <n v="120"/>
    <x v="0"/>
    <n v="111"/>
    <n v="60"/>
    <n v="60"/>
    <n v="63"/>
    <n v="57"/>
    <n v="0"/>
    <x v="9"/>
    <x v="1"/>
    <m/>
    <m/>
    <s v=""/>
    <n v="0.47499999999999998"/>
  </r>
  <r>
    <x v="2"/>
    <x v="38"/>
    <x v="0"/>
    <x v="65"/>
    <m/>
    <n v="200"/>
    <s v="O_RING, NEK MAKAPAL 5/8"/>
    <s v="CA-000843"/>
    <n v="1"/>
    <n v="178"/>
    <m/>
    <n v="178"/>
    <x v="0"/>
    <n v="111"/>
    <n v="60"/>
    <n v="60"/>
    <n v="63"/>
    <n v="115"/>
    <n v="0"/>
    <x v="44"/>
    <x v="2"/>
    <e v="#REF!"/>
    <e v="#REF!"/>
    <n v="199.36"/>
    <n v="0.6460674157303371"/>
  </r>
  <r>
    <x v="2"/>
    <x v="38"/>
    <x v="0"/>
    <x v="65"/>
    <m/>
    <n v="200"/>
    <s v="O_RING, NEK MAKAPAL 1/2"/>
    <s v="CA-000840"/>
    <n v="1"/>
    <n v="178"/>
    <m/>
    <n v="178"/>
    <x v="0"/>
    <n v="111"/>
    <n v="60"/>
    <n v="60"/>
    <n v="63"/>
    <n v="115"/>
    <n v="0"/>
    <x v="44"/>
    <x v="2"/>
    <e v="#REF!"/>
    <e v="#REF!"/>
    <n v="199.36"/>
    <n v="0.6460674157303371"/>
  </r>
  <r>
    <x v="2"/>
    <x v="38"/>
    <x v="0"/>
    <x v="65"/>
    <m/>
    <n v="200"/>
    <s v="O_RING, NEK MAKAPAL 3/8"/>
    <s v="CA-000841"/>
    <n v="1"/>
    <n v="178"/>
    <m/>
    <n v="178"/>
    <x v="0"/>
    <n v="111"/>
    <n v="60"/>
    <n v="60"/>
    <n v="63"/>
    <n v="115"/>
    <n v="0"/>
    <x v="44"/>
    <x v="2"/>
    <e v="#REF!"/>
    <e v="#REF!"/>
    <n v="199.36"/>
    <n v="0.6460674157303371"/>
  </r>
  <r>
    <x v="2"/>
    <x v="125"/>
    <x v="0"/>
    <x v="17"/>
    <m/>
    <m/>
    <s v="O_RING, NEK MAKAPAL 5/8"/>
    <s v="CA-000843"/>
    <n v="1"/>
    <n v="200"/>
    <m/>
    <n v="200"/>
    <x v="0"/>
    <n v="111"/>
    <n v="60"/>
    <n v="60"/>
    <n v="63"/>
    <n v="137"/>
    <n v="0"/>
    <x v="44"/>
    <x v="2"/>
    <e v="#REF!"/>
    <e v="#REF!"/>
    <s v=""/>
    <n v="0.68500000000000005"/>
  </r>
  <r>
    <x v="2"/>
    <x v="125"/>
    <x v="0"/>
    <x v="17"/>
    <m/>
    <m/>
    <s v="O_RING, NEK MAKAPAL 3/8"/>
    <s v="CA-000841"/>
    <n v="1"/>
    <n v="200"/>
    <m/>
    <n v="200"/>
    <x v="0"/>
    <n v="111"/>
    <n v="60"/>
    <n v="60"/>
    <n v="63"/>
    <n v="137"/>
    <n v="0"/>
    <x v="44"/>
    <x v="2"/>
    <e v="#REF!"/>
    <e v="#REF!"/>
    <s v=""/>
    <n v="0.68500000000000005"/>
  </r>
  <r>
    <x v="2"/>
    <x v="45"/>
    <x v="0"/>
    <x v="49"/>
    <m/>
    <m/>
    <s v="O_RING, NEK MAKAPAL 5/8"/>
    <s v="CA-000843"/>
    <n v="1"/>
    <n v="200"/>
    <m/>
    <n v="200"/>
    <x v="0"/>
    <n v="111"/>
    <n v="60"/>
    <n v="60"/>
    <n v="63"/>
    <n v="137"/>
    <n v="0"/>
    <x v="44"/>
    <x v="2"/>
    <e v="#REF!"/>
    <e v="#REF!"/>
    <s v=""/>
    <n v="0.68500000000000005"/>
  </r>
  <r>
    <x v="3"/>
    <x v="118"/>
    <x v="0"/>
    <x v="32"/>
    <m/>
    <m/>
    <s v="LUBRICANT, SYNXPA 100 ML (134A), OIL COMPRESSOR"/>
    <s v="GE-000139"/>
    <n v="1"/>
    <n v="120"/>
    <m/>
    <n v="120"/>
    <x v="0"/>
    <n v="111"/>
    <n v="60"/>
    <n v="60"/>
    <n v="63"/>
    <n v="57"/>
    <n v="0"/>
    <x v="9"/>
    <x v="1"/>
    <m/>
    <m/>
    <s v=""/>
    <n v="0.47499999999999998"/>
  </r>
  <r>
    <x v="4"/>
    <x v="77"/>
    <x v="0"/>
    <x v="48"/>
    <m/>
    <m/>
    <s v="LUBRICANT, ND-OIL 8  250 CC (134A),OIL COMPRESSOR"/>
    <s v="GE-000197"/>
    <n v="3"/>
    <n v="200"/>
    <m/>
    <n v="600"/>
    <x v="0"/>
    <n v="188"/>
    <n v="85"/>
    <n v="255"/>
    <n v="267.75"/>
    <n v="332.25"/>
    <n v="0"/>
    <x v="9"/>
    <x v="1"/>
    <e v="#REF!"/>
    <e v="#REF!"/>
    <e v="#REF!"/>
    <n v="0"/>
  </r>
  <r>
    <x v="2"/>
    <x v="55"/>
    <x v="0"/>
    <x v="11"/>
    <m/>
    <m/>
    <s v="O_RING, NEK MAKAPAL 5/8"/>
    <s v="CA-000843"/>
    <n v="1"/>
    <n v="200"/>
    <m/>
    <n v="200"/>
    <x v="0"/>
    <n v="111"/>
    <n v="60"/>
    <n v="60"/>
    <n v="63"/>
    <n v="137"/>
    <n v="0"/>
    <x v="44"/>
    <x v="2"/>
    <e v="#REF!"/>
    <e v="#REF!"/>
    <s v=""/>
    <n v="0.68500000000000005"/>
  </r>
  <r>
    <x v="2"/>
    <x v="55"/>
    <x v="0"/>
    <x v="11"/>
    <m/>
    <m/>
    <s v="O_RING, NEK MAKAPAL 1/2"/>
    <s v="CA-000840"/>
    <n v="1"/>
    <n v="200"/>
    <m/>
    <n v="200"/>
    <x v="0"/>
    <n v="111"/>
    <n v="60"/>
    <n v="60"/>
    <n v="63"/>
    <n v="137"/>
    <n v="0"/>
    <x v="44"/>
    <x v="2"/>
    <e v="#REF!"/>
    <e v="#REF!"/>
    <s v=""/>
    <n v="0.68500000000000005"/>
  </r>
  <r>
    <x v="2"/>
    <x v="57"/>
    <x v="0"/>
    <x v="49"/>
    <m/>
    <m/>
    <s v="O_RING, NEK MANIPIS 5/16"/>
    <s v="CA-000846"/>
    <n v="1"/>
    <n v="200"/>
    <m/>
    <n v="200"/>
    <x v="0"/>
    <n v="111"/>
    <n v="60"/>
    <n v="60"/>
    <n v="63"/>
    <n v="137"/>
    <n v="0"/>
    <x v="44"/>
    <x v="2"/>
    <e v="#REF!"/>
    <e v="#REF!"/>
    <s v=""/>
    <n v="0.68500000000000005"/>
  </r>
  <r>
    <x v="4"/>
    <x v="113"/>
    <x v="0"/>
    <x v="11"/>
    <m/>
    <m/>
    <s v="LUBRICANT, ND-OIL 8  250 CC (134A),OIL COMPRESSOR"/>
    <s v="GE-000197"/>
    <n v="1"/>
    <n v="200"/>
    <m/>
    <n v="200"/>
    <x v="0"/>
    <n v="188"/>
    <n v="85"/>
    <n v="85"/>
    <n v="89.25"/>
    <n v="110.75"/>
    <n v="0"/>
    <x v="9"/>
    <x v="1"/>
    <m/>
    <m/>
    <m/>
    <n v="0.55374999999999996"/>
  </r>
  <r>
    <x v="2"/>
    <x v="111"/>
    <x v="0"/>
    <x v="49"/>
    <m/>
    <m/>
    <s v="O_RING, NEK MAKAPAL 1/2"/>
    <s v="CA-000840"/>
    <n v="1"/>
    <n v="200"/>
    <m/>
    <n v="200"/>
    <x v="0"/>
    <n v="111"/>
    <n v="60"/>
    <n v="60"/>
    <n v="63"/>
    <n v="137"/>
    <n v="0"/>
    <x v="44"/>
    <x v="2"/>
    <e v="#REF!"/>
    <e v="#REF!"/>
    <s v=""/>
    <n v="0.68500000000000005"/>
  </r>
  <r>
    <x v="3"/>
    <x v="60"/>
    <x v="0"/>
    <x v="78"/>
    <m/>
    <n v="200"/>
    <s v="O_RING, NEK MAKAPAL 3/8"/>
    <s v="CA-000841"/>
    <n v="1"/>
    <n v="180"/>
    <m/>
    <n v="180"/>
    <x v="0"/>
    <n v="111"/>
    <n v="60"/>
    <n v="60"/>
    <n v="63"/>
    <n v="117"/>
    <n v="0"/>
    <x v="44"/>
    <x v="2"/>
    <m/>
    <m/>
    <n v="201.60000000000002"/>
    <n v="0.65"/>
  </r>
  <r>
    <x v="4"/>
    <x v="90"/>
    <x v="3"/>
    <x v="12"/>
    <m/>
    <m/>
    <s v="FITTINGS, STRAIGHT FLARE TYPE 5/8"/>
    <s v="CA-000673"/>
    <n v="4"/>
    <n v="40"/>
    <m/>
    <n v="160"/>
    <x v="0"/>
    <n v="30"/>
    <n v="16"/>
    <n v="64"/>
    <n v="67.2"/>
    <n v="92.8"/>
    <n v="27.84"/>
    <x v="33"/>
    <x v="2"/>
    <m/>
    <m/>
    <m/>
    <n v="0.57999999999999996"/>
  </r>
  <r>
    <x v="4"/>
    <x v="90"/>
    <x v="2"/>
    <x v="7"/>
    <m/>
    <n v="200"/>
    <s v="O_RING, NEK MANIPIS 1/2"/>
    <s v="CA-000844"/>
    <n v="1"/>
    <n v="180"/>
    <m/>
    <n v="180"/>
    <x v="0"/>
    <n v="111"/>
    <n v="60"/>
    <n v="60"/>
    <n v="63"/>
    <n v="117"/>
    <n v="35.1"/>
    <x v="44"/>
    <x v="2"/>
    <m/>
    <m/>
    <m/>
    <n v="0.65"/>
  </r>
  <r>
    <x v="4"/>
    <x v="94"/>
    <x v="0"/>
    <x v="61"/>
    <m/>
    <m/>
    <s v="LUBRICANT, ND-OIL 8  250 CC (134A),OIL COMPRESSOR"/>
    <s v="GE-000197"/>
    <n v="1"/>
    <n v="200"/>
    <m/>
    <n v="200"/>
    <x v="0"/>
    <n v="188"/>
    <n v="85"/>
    <n v="85"/>
    <n v="89.25"/>
    <n v="110.75"/>
    <n v="0"/>
    <x v="9"/>
    <x v="1"/>
    <m/>
    <m/>
    <m/>
    <n v="0.55374999999999996"/>
  </r>
  <r>
    <x v="3"/>
    <x v="66"/>
    <x v="0"/>
    <x v="17"/>
    <m/>
    <n v="200"/>
    <s v="O_RING, NEK MAKAPAL 1/2"/>
    <s v="CA-000840"/>
    <n v="1"/>
    <n v="178"/>
    <m/>
    <n v="178"/>
    <x v="0"/>
    <n v="111"/>
    <n v="60"/>
    <n v="60"/>
    <n v="63"/>
    <n v="115"/>
    <n v="0"/>
    <x v="44"/>
    <x v="2"/>
    <m/>
    <m/>
    <n v="199.36"/>
    <n v="0.6460674157303371"/>
  </r>
  <r>
    <x v="3"/>
    <x v="66"/>
    <x v="0"/>
    <x v="17"/>
    <m/>
    <n v="200"/>
    <s v="O_RING, NEK MAKAPAL 5/16"/>
    <s v="CA-000842"/>
    <n v="1"/>
    <n v="178"/>
    <m/>
    <n v="178"/>
    <x v="0"/>
    <n v="111"/>
    <n v="60"/>
    <n v="60"/>
    <n v="63"/>
    <n v="115"/>
    <n v="0"/>
    <x v="44"/>
    <x v="2"/>
    <m/>
    <m/>
    <n v="199.36"/>
    <n v="0.6460674157303371"/>
  </r>
  <r>
    <x v="3"/>
    <x v="66"/>
    <x v="0"/>
    <x v="11"/>
    <m/>
    <n v="200"/>
    <s v="O_RING, NEK MAKAPAL 5/16"/>
    <s v="CA-000842"/>
    <n v="1"/>
    <n v="180"/>
    <m/>
    <n v="180"/>
    <x v="0"/>
    <n v="111"/>
    <n v="60"/>
    <n v="60"/>
    <n v="63"/>
    <n v="117"/>
    <n v="0"/>
    <x v="44"/>
    <x v="2"/>
    <m/>
    <m/>
    <n v="201.60000000000002"/>
    <n v="0.65"/>
  </r>
  <r>
    <x v="4"/>
    <x v="79"/>
    <x v="3"/>
    <x v="12"/>
    <m/>
    <m/>
    <s v="ROD, NIHONWELD ALUMINUM "/>
    <s v="IM-000100"/>
    <n v="6"/>
    <n v="15"/>
    <m/>
    <n v="90"/>
    <x v="0"/>
    <n v="11"/>
    <n v="7"/>
    <n v="42"/>
    <n v="43.26"/>
    <n v="46.74"/>
    <n v="14.022"/>
    <x v="56"/>
    <x v="0"/>
    <m/>
    <m/>
    <m/>
    <n v="0.51933333333333331"/>
  </r>
  <r>
    <x v="4"/>
    <x v="96"/>
    <x v="1"/>
    <x v="3"/>
    <m/>
    <m/>
    <s v="FITTINGS, STRAIGHT ORING TYPE 5/8"/>
    <s v="CA-000677"/>
    <n v="2"/>
    <n v="40"/>
    <m/>
    <n v="80"/>
    <x v="0"/>
    <n v="30"/>
    <n v="16"/>
    <n v="32"/>
    <n v="33.6"/>
    <n v="46.4"/>
    <n v="13.92"/>
    <x v="33"/>
    <x v="2"/>
    <m/>
    <m/>
    <m/>
    <n v="0.57999999999999996"/>
  </r>
  <r>
    <x v="3"/>
    <x v="123"/>
    <x v="0"/>
    <x v="19"/>
    <m/>
    <m/>
    <s v="BOLT &amp; NUT, GI, SET 5/16"/>
    <s v="IM-000003"/>
    <n v="12"/>
    <n v="12"/>
    <m/>
    <n v="144"/>
    <x v="0"/>
    <n v="10"/>
    <n v="5"/>
    <n v="60"/>
    <n v="61.800000000000004"/>
    <n v="82.199999999999989"/>
    <n v="0"/>
    <x v="57"/>
    <x v="0"/>
    <m/>
    <m/>
    <m/>
    <n v="0.5708333333333333"/>
  </r>
  <r>
    <x v="3"/>
    <x v="123"/>
    <x v="0"/>
    <x v="49"/>
    <m/>
    <n v="200"/>
    <s v="O_RING, NEK MANIPIS 5/8"/>
    <s v="CA-000847"/>
    <n v="1"/>
    <n v="180"/>
    <m/>
    <n v="180"/>
    <x v="0"/>
    <n v="111"/>
    <n v="60"/>
    <n v="60"/>
    <n v="63"/>
    <n v="117"/>
    <n v="0"/>
    <x v="44"/>
    <x v="2"/>
    <m/>
    <m/>
    <m/>
    <n v="0.65"/>
  </r>
  <r>
    <x v="3"/>
    <x v="123"/>
    <x v="0"/>
    <x v="49"/>
    <m/>
    <n v="200"/>
    <s v="O_RING, NEK MANIPIS 1/2"/>
    <s v="CA-000844"/>
    <n v="1"/>
    <n v="180"/>
    <m/>
    <n v="180"/>
    <x v="0"/>
    <n v="111"/>
    <n v="60"/>
    <n v="60"/>
    <n v="63"/>
    <n v="117"/>
    <n v="0"/>
    <x v="44"/>
    <x v="2"/>
    <m/>
    <m/>
    <m/>
    <n v="0.65"/>
  </r>
  <r>
    <x v="3"/>
    <x v="85"/>
    <x v="0"/>
    <x v="126"/>
    <m/>
    <m/>
    <s v="FITTINGS, BRASS FLARE NUT 1/4"/>
    <s v="IM-000049"/>
    <n v="5"/>
    <n v="35"/>
    <m/>
    <n v="175"/>
    <x v="0"/>
    <n v="26"/>
    <n v="14"/>
    <n v="70"/>
    <n v="72.100000000000009"/>
    <n v="102.89999999999999"/>
    <n v="0"/>
    <x v="33"/>
    <x v="0"/>
    <m/>
    <m/>
    <m/>
    <n v="0.58799999999999997"/>
  </r>
  <r>
    <x v="4"/>
    <x v="89"/>
    <x v="0"/>
    <x v="61"/>
    <m/>
    <m/>
    <s v="LUBRICANT, SYNXPA 100 ML (134A), OIL COMPRESSOR"/>
    <s v="GE-000139"/>
    <n v="1"/>
    <n v="120"/>
    <m/>
    <n v="120"/>
    <x v="0"/>
    <n v="111"/>
    <n v="60"/>
    <n v="60"/>
    <n v="63"/>
    <n v="57"/>
    <n v="0"/>
    <x v="9"/>
    <x v="1"/>
    <m/>
    <m/>
    <m/>
    <n v="0.47499999999999998"/>
  </r>
  <r>
    <x v="5"/>
    <x v="83"/>
    <x v="0"/>
    <x v="32"/>
    <m/>
    <m/>
    <s v="LUBRICANT, SYNXPA 100 ML (134A), OIL COMPRESSOR"/>
    <s v="GE-000139"/>
    <n v="1"/>
    <n v="120"/>
    <m/>
    <n v="120"/>
    <x v="0"/>
    <n v="111"/>
    <n v="60"/>
    <n v="60"/>
    <n v="63"/>
    <n v="57"/>
    <n v="0"/>
    <x v="9"/>
    <x v="1"/>
    <e v="#REF!"/>
    <e v="#REF!"/>
    <s v=""/>
    <n v="0.47499999999999998"/>
  </r>
  <r>
    <x v="4"/>
    <x v="90"/>
    <x v="3"/>
    <x v="12"/>
    <m/>
    <n v="15"/>
    <s v="FERULLE,  5/8&quot;"/>
    <s v="CA-000646"/>
    <n v="4"/>
    <n v="14"/>
    <m/>
    <n v="56"/>
    <x v="0"/>
    <n v="13"/>
    <n v="7"/>
    <n v="28"/>
    <n v="29.400000000000002"/>
    <n v="26.599999999999998"/>
    <n v="7.9799999999999986"/>
    <x v="42"/>
    <x v="2"/>
    <m/>
    <m/>
    <m/>
    <n v="0.47499999999999998"/>
  </r>
  <r>
    <x v="4"/>
    <x v="78"/>
    <x v="1"/>
    <x v="3"/>
    <m/>
    <m/>
    <s v="CABIN_FILTER, TOYOTA INNOVA"/>
    <s v="CA-001294"/>
    <n v="1"/>
    <n v="300"/>
    <m/>
    <n v="300"/>
    <x v="0"/>
    <n v="315"/>
    <n v="100"/>
    <n v="100"/>
    <n v="105"/>
    <n v="195"/>
    <n v="58.5"/>
    <x v="12"/>
    <x v="2"/>
    <m/>
    <m/>
    <m/>
    <n v="0.65"/>
  </r>
  <r>
    <x v="4"/>
    <x v="92"/>
    <x v="0"/>
    <x v="8"/>
    <m/>
    <n v="200"/>
    <s v="O_RING, NEK MAKAPAL 1/2"/>
    <s v="CA-000840"/>
    <n v="1"/>
    <n v="180"/>
    <m/>
    <n v="180"/>
    <x v="0"/>
    <n v="111"/>
    <n v="60"/>
    <n v="60"/>
    <n v="63"/>
    <n v="117"/>
    <n v="0"/>
    <x v="44"/>
    <x v="2"/>
    <m/>
    <m/>
    <m/>
    <n v="0.65"/>
  </r>
  <r>
    <x v="4"/>
    <x v="92"/>
    <x v="0"/>
    <x v="8"/>
    <m/>
    <n v="200"/>
    <s v="O_RING, NEK MAKAPAL 5/8"/>
    <s v="CA-000843"/>
    <n v="1"/>
    <n v="180"/>
    <m/>
    <n v="180"/>
    <x v="0"/>
    <n v="111"/>
    <n v="60"/>
    <n v="60"/>
    <n v="63"/>
    <n v="117"/>
    <n v="0"/>
    <x v="44"/>
    <x v="2"/>
    <m/>
    <m/>
    <m/>
    <n v="0.65"/>
  </r>
  <r>
    <x v="4"/>
    <x v="103"/>
    <x v="0"/>
    <x v="11"/>
    <m/>
    <m/>
    <s v="O_RING, NEK MAKAPAL 1/2"/>
    <s v="CA-000840"/>
    <n v="1"/>
    <n v="200"/>
    <m/>
    <n v="200"/>
    <x v="0"/>
    <n v="111"/>
    <n v="60"/>
    <n v="60"/>
    <n v="63"/>
    <n v="137"/>
    <n v="0"/>
    <x v="44"/>
    <x v="2"/>
    <m/>
    <m/>
    <m/>
    <n v="0.68500000000000005"/>
  </r>
  <r>
    <x v="4"/>
    <x v="78"/>
    <x v="0"/>
    <x v="11"/>
    <m/>
    <m/>
    <s v="O_RING, NEK MAKAPAL 5/8"/>
    <s v="CA-000843"/>
    <n v="1"/>
    <n v="200"/>
    <m/>
    <n v="200"/>
    <x v="0"/>
    <n v="111"/>
    <n v="60"/>
    <n v="60"/>
    <n v="63"/>
    <n v="137"/>
    <n v="0"/>
    <x v="44"/>
    <x v="2"/>
    <m/>
    <m/>
    <m/>
    <n v="0.68500000000000005"/>
  </r>
  <r>
    <x v="5"/>
    <x v="127"/>
    <x v="0"/>
    <x v="133"/>
    <m/>
    <m/>
    <s v="SPRING BENDER,  .5/8"/>
    <s v="TL-000047"/>
    <n v="1"/>
    <n v="205"/>
    <m/>
    <n v="205"/>
    <x v="0"/>
    <n v="189"/>
    <n v="72"/>
    <n v="72"/>
    <n v="75.600000000000009"/>
    <n v="129.39999999999998"/>
    <n v="0"/>
    <x v="74"/>
    <x v="4"/>
    <e v="#REF!"/>
    <e v="#REF!"/>
    <s v=""/>
    <n v="0.63121951219512185"/>
  </r>
  <r>
    <x v="5"/>
    <x v="127"/>
    <x v="0"/>
    <x v="133"/>
    <m/>
    <m/>
    <s v="TUBE_CUTTER, SMALL CT-127, 1/8&quot; - 5/8&quot;"/>
    <s v="TL-000053"/>
    <n v="1"/>
    <n v="250"/>
    <m/>
    <n v="250"/>
    <x v="0"/>
    <n v="184"/>
    <n v="70"/>
    <n v="70"/>
    <n v="73.5"/>
    <n v="176.5"/>
    <n v="0"/>
    <x v="68"/>
    <x v="4"/>
    <e v="#REF!"/>
    <e v="#REF!"/>
    <s v=""/>
    <n v="0.70599999999999996"/>
  </r>
  <r>
    <x v="5"/>
    <x v="127"/>
    <x v="0"/>
    <x v="27"/>
    <m/>
    <m/>
    <s v="RUBBER_INSULATION, M-FLEX 1/2&quot; 1/4"/>
    <s v="IM-000229"/>
    <n v="2"/>
    <n v="50"/>
    <m/>
    <n v="100"/>
    <x v="0"/>
    <n v="47"/>
    <n v="33.6"/>
    <n v="67.2"/>
    <n v="69.216000000000008"/>
    <n v="30.783999999999992"/>
    <n v="0"/>
    <x v="22"/>
    <x v="0"/>
    <e v="#REF!"/>
    <e v="#REF!"/>
    <s v=""/>
    <n v="0.30783999999999989"/>
  </r>
  <r>
    <x v="5"/>
    <x v="127"/>
    <x v="0"/>
    <x v="133"/>
    <m/>
    <m/>
    <s v="SPRING BENDER,  .3/8"/>
    <s v="TL-000046"/>
    <n v="1"/>
    <n v="175"/>
    <m/>
    <n v="175"/>
    <x v="0"/>
    <n v="145"/>
    <n v="55"/>
    <n v="55"/>
    <n v="57.75"/>
    <n v="117.25"/>
    <n v="0"/>
    <x v="74"/>
    <x v="4"/>
    <e v="#REF!"/>
    <e v="#REF!"/>
    <s v=""/>
    <n v="0.67"/>
  </r>
  <r>
    <x v="5"/>
    <x v="83"/>
    <x v="0"/>
    <x v="36"/>
    <m/>
    <m/>
    <s v="BLOWER_MOTOR, UNIVERSAL 6721"/>
    <s v="CA-000237"/>
    <n v="1"/>
    <n v="1300"/>
    <m/>
    <n v="1300"/>
    <x v="0"/>
    <n v="1379"/>
    <n v="750"/>
    <n v="750"/>
    <n v="787.5"/>
    <n v="512.5"/>
    <n v="0"/>
    <x v="15"/>
    <x v="2"/>
    <e v="#REF!"/>
    <e v="#REF!"/>
    <s v=""/>
    <n v="0.39423076923076922"/>
  </r>
  <r>
    <x v="1"/>
    <x v="100"/>
    <x v="0"/>
    <x v="8"/>
    <m/>
    <m/>
    <s v="FITTINGS, STRAIGHT FLARE TYPE 1/2"/>
    <s v="CA-000671"/>
    <n v="4"/>
    <n v="40"/>
    <m/>
    <n v="160"/>
    <x v="0"/>
    <n v="30"/>
    <n v="16"/>
    <n v="64"/>
    <n v="67.2"/>
    <n v="92.8"/>
    <n v="0"/>
    <x v="33"/>
    <x v="2"/>
    <e v="#REF!"/>
    <e v="#REF!"/>
    <s v=""/>
    <n v="0.57999999999999996"/>
  </r>
  <r>
    <x v="2"/>
    <x v="54"/>
    <x v="0"/>
    <x v="6"/>
    <m/>
    <m/>
    <s v="RUBBER_INSULATION, M-FLEX 3/4&quot; 1/4"/>
    <s v="IM-000235"/>
    <n v="1"/>
    <n v="95"/>
    <m/>
    <n v="95"/>
    <x v="0"/>
    <n v="79"/>
    <n v="56.7"/>
    <n v="56.7"/>
    <n v="58.401000000000003"/>
    <n v="36.598999999999997"/>
    <n v="0"/>
    <x v="22"/>
    <x v="0"/>
    <e v="#REF!"/>
    <e v="#REF!"/>
    <s v=""/>
    <n v="0.38525263157894735"/>
  </r>
  <r>
    <x v="5"/>
    <x v="127"/>
    <x v="0"/>
    <x v="30"/>
    <m/>
    <m/>
    <s v="BOLT &amp; NUT, TOX WITH METAL SCREW #8"/>
    <s v="GE-000404"/>
    <n v="20"/>
    <n v="6"/>
    <m/>
    <n v="120"/>
    <x v="0"/>
    <n v="3"/>
    <n v="1.25"/>
    <n v="25"/>
    <n v="26.25"/>
    <n v="93.75"/>
    <n v="0"/>
    <x v="57"/>
    <x v="1"/>
    <e v="#REF!"/>
    <e v="#REF!"/>
    <s v=""/>
    <n v="0.78125"/>
  </r>
  <r>
    <x v="0"/>
    <x v="0"/>
    <x v="0"/>
    <x v="62"/>
    <m/>
    <m/>
    <s v="REF_DRIER, OMNI WELDED TYPE  SINGLE"/>
    <s v="GE-000005"/>
    <n v="2"/>
    <n v="60"/>
    <m/>
    <n v="120"/>
    <x v="0"/>
    <n v="58.800000000000004"/>
    <n v="28"/>
    <n v="56"/>
    <n v="58.800000000000004"/>
    <n v="61.199999999999996"/>
    <n v="0"/>
    <x v="73"/>
    <x v="1"/>
    <m/>
    <m/>
    <m/>
    <n v="0.51"/>
  </r>
  <r>
    <x v="4"/>
    <x v="79"/>
    <x v="1"/>
    <x v="3"/>
    <m/>
    <m/>
    <s v="AUXFAN ASSEMBLY, MITSUBISHI TRITON"/>
    <s v="CA-001740"/>
    <n v="1"/>
    <n v="2400"/>
    <m/>
    <n v="2400"/>
    <x v="0"/>
    <n v="2481"/>
    <n v="1350"/>
    <n v="1350"/>
    <n v="1417.5"/>
    <n v="982.5"/>
    <n v="294.75"/>
    <x v="36"/>
    <x v="2"/>
    <m/>
    <m/>
    <m/>
    <n v="0.40937499999999999"/>
  </r>
  <r>
    <x v="3"/>
    <x v="119"/>
    <x v="0"/>
    <x v="27"/>
    <m/>
    <m/>
    <s v="REF_DRIER, OMNI WELDED TYPE  SINGLE"/>
    <s v="GE-000005"/>
    <n v="2"/>
    <n v="60"/>
    <m/>
    <n v="120"/>
    <x v="0"/>
    <n v="58.800000000000004"/>
    <n v="28"/>
    <n v="56"/>
    <n v="58.800000000000004"/>
    <n v="61.199999999999996"/>
    <n v="0"/>
    <x v="73"/>
    <x v="1"/>
    <m/>
    <m/>
    <s v=""/>
    <n v="0.51"/>
  </r>
  <r>
    <x v="3"/>
    <x v="72"/>
    <x v="0"/>
    <x v="27"/>
    <m/>
    <m/>
    <s v="AC FILTER DRIER ,  DOUBLE"/>
    <s v="GE-000221"/>
    <n v="2"/>
    <n v="60"/>
    <m/>
    <n v="120"/>
    <x v="0"/>
    <n v="58.800000000000004"/>
    <n v="28"/>
    <n v="56"/>
    <n v="58.800000000000004"/>
    <n v="61.199999999999996"/>
    <n v="0"/>
    <x v="66"/>
    <x v="1"/>
    <m/>
    <m/>
    <s v=""/>
    <n v="0.51"/>
  </r>
  <r>
    <x v="0"/>
    <x v="9"/>
    <x v="0"/>
    <x v="116"/>
    <m/>
    <m/>
    <s v="RUBBER_INSULATION, M-FLEX 1/2&quot; 5/8"/>
    <s v="IM-000232"/>
    <n v="1"/>
    <n v="75"/>
    <m/>
    <n v="75"/>
    <x v="0"/>
    <n v="77"/>
    <n v="55.2"/>
    <n v="55.2"/>
    <n v="56.856000000000002"/>
    <n v="18.143999999999998"/>
    <n v="0"/>
    <x v="22"/>
    <x v="0"/>
    <e v="#REF!"/>
    <e v="#REF!"/>
    <s v=""/>
    <n v="0.24191999999999997"/>
  </r>
  <r>
    <x v="2"/>
    <x v="56"/>
    <x v="0"/>
    <x v="34"/>
    <m/>
    <m/>
    <s v="RUBBER_INSULATION, M-FLEX 1/2&quot; 5/8"/>
    <s v="IM-000232"/>
    <n v="1"/>
    <n v="75"/>
    <m/>
    <n v="75"/>
    <x v="0"/>
    <n v="77"/>
    <n v="55.2"/>
    <n v="55.2"/>
    <n v="56.856000000000002"/>
    <n v="18.143999999999998"/>
    <n v="0"/>
    <x v="22"/>
    <x v="0"/>
    <e v="#REF!"/>
    <e v="#REF!"/>
    <s v=""/>
    <n v="0.24191999999999997"/>
  </r>
  <r>
    <x v="3"/>
    <x v="63"/>
    <x v="0"/>
    <x v="1"/>
    <m/>
    <m/>
    <s v="RUBBER_INSULATION, M-FLEX 1/2&quot; 5/8"/>
    <s v="IM-000232"/>
    <n v="1"/>
    <n v="75"/>
    <m/>
    <n v="75"/>
    <x v="0"/>
    <n v="77"/>
    <n v="55.2"/>
    <n v="55.2"/>
    <n v="56.856000000000002"/>
    <n v="18.143999999999998"/>
    <n v="0"/>
    <x v="22"/>
    <x v="0"/>
    <m/>
    <m/>
    <s v=""/>
    <n v="0.24191999999999997"/>
  </r>
  <r>
    <x v="4"/>
    <x v="102"/>
    <x v="1"/>
    <x v="60"/>
    <m/>
    <m/>
    <s v="RUBBER_INSULATION, M-FLEX 1/2&quot; 5/8"/>
    <s v="IM-000232"/>
    <n v="1"/>
    <n v="75"/>
    <m/>
    <n v="75"/>
    <x v="0"/>
    <n v="77"/>
    <n v="55.2"/>
    <n v="55.2"/>
    <n v="56.856000000000002"/>
    <n v="18.143999999999998"/>
    <n v="5.4431999999999992"/>
    <x v="22"/>
    <x v="0"/>
    <m/>
    <m/>
    <m/>
    <n v="0.24191999999999997"/>
  </r>
  <r>
    <x v="4"/>
    <x v="107"/>
    <x v="0"/>
    <x v="62"/>
    <m/>
    <m/>
    <s v="SPRING BENDER,  .1/4"/>
    <s v="TL-000044"/>
    <n v="1"/>
    <n v="165"/>
    <m/>
    <n v="165"/>
    <x v="0"/>
    <n v="145"/>
    <n v="55"/>
    <n v="55"/>
    <n v="57.75"/>
    <n v="107.25"/>
    <n v="0"/>
    <x v="74"/>
    <x v="4"/>
    <m/>
    <m/>
    <m/>
    <n v="0.65"/>
  </r>
  <r>
    <x v="5"/>
    <x v="127"/>
    <x v="0"/>
    <x v="77"/>
    <m/>
    <m/>
    <s v="SILICA_GEL, STAL LONG"/>
    <s v="CA-001637"/>
    <n v="1"/>
    <n v="200"/>
    <m/>
    <n v="200"/>
    <x v="0"/>
    <n v="50"/>
    <n v="25"/>
    <n v="25"/>
    <n v="26.25"/>
    <n v="173.75"/>
    <n v="0"/>
    <x v="37"/>
    <x v="2"/>
    <e v="#REF!"/>
    <e v="#REF!"/>
    <s v=""/>
    <n v="0.86875000000000002"/>
  </r>
  <r>
    <x v="3"/>
    <x v="63"/>
    <x v="0"/>
    <x v="106"/>
    <m/>
    <m/>
    <s v="ROD, HARRIS SILVER "/>
    <s v="IM-000098"/>
    <n v="3"/>
    <n v="25"/>
    <m/>
    <n v="75"/>
    <x v="0"/>
    <n v="30"/>
    <n v="19"/>
    <n v="57"/>
    <n v="58.71"/>
    <n v="16.29"/>
    <n v="0"/>
    <x v="56"/>
    <x v="0"/>
    <m/>
    <m/>
    <s v=""/>
    <n v="0.21719999999999998"/>
  </r>
  <r>
    <x v="4"/>
    <x v="107"/>
    <x v="0"/>
    <x v="62"/>
    <m/>
    <m/>
    <s v="ROD, HARRIS SILVER "/>
    <s v="IM-000098"/>
    <n v="3"/>
    <n v="28"/>
    <m/>
    <n v="84"/>
    <x v="0"/>
    <n v="30"/>
    <n v="19"/>
    <n v="57"/>
    <n v="58.71"/>
    <n v="25.29"/>
    <n v="0"/>
    <x v="56"/>
    <x v="0"/>
    <m/>
    <m/>
    <m/>
    <n v="0.30107142857142855"/>
  </r>
  <r>
    <x v="4"/>
    <x v="104"/>
    <x v="0"/>
    <x v="8"/>
    <m/>
    <m/>
    <s v="BRACKET,  CONDENSER"/>
    <s v="CA-001666"/>
    <n v="6"/>
    <n v="25"/>
    <m/>
    <n v="150"/>
    <x v="0"/>
    <n v="21"/>
    <n v="9"/>
    <n v="54"/>
    <n v="56.7"/>
    <n v="93.3"/>
    <n v="0"/>
    <x v="3"/>
    <x v="2"/>
    <m/>
    <m/>
    <m/>
    <n v="0.622"/>
  </r>
  <r>
    <x v="4"/>
    <x v="104"/>
    <x v="0"/>
    <x v="1"/>
    <m/>
    <m/>
    <s v="ELECTRICAL WIRE_STRANDED, POWERFLEX THNN STRANDED   #12, MTR"/>
    <s v="GE-000120"/>
    <n v="2"/>
    <n v="45"/>
    <m/>
    <n v="90"/>
    <x v="0"/>
    <n v="50"/>
    <n v="27"/>
    <n v="54"/>
    <n v="56.7"/>
    <n v="33.299999999999997"/>
    <n v="0"/>
    <x v="2"/>
    <x v="1"/>
    <e v="#REF!"/>
    <e v="#REF!"/>
    <e v="#REF!"/>
    <n v="0"/>
  </r>
  <r>
    <x v="2"/>
    <x v="42"/>
    <x v="0"/>
    <x v="27"/>
    <m/>
    <m/>
    <s v="BOLT &amp; NUT, DYNABOLT 3/8&quot;"/>
    <s v="GE-000396"/>
    <n v="6"/>
    <n v="25"/>
    <m/>
    <n v="150"/>
    <x v="0"/>
    <n v="19"/>
    <n v="8.9"/>
    <n v="53.400000000000006"/>
    <n v="56.070000000000007"/>
    <n v="93.929999999999993"/>
    <n v="0"/>
    <x v="57"/>
    <x v="1"/>
    <e v="#REF!"/>
    <e v="#REF!"/>
    <s v=""/>
    <n v="0.62619999999999998"/>
  </r>
  <r>
    <x v="3"/>
    <x v="65"/>
    <x v="0"/>
    <x v="30"/>
    <m/>
    <m/>
    <s v="BOLT &amp; NUT, DYNABOLT 3/8&quot;"/>
    <s v="GE-000396"/>
    <n v="6"/>
    <n v="25"/>
    <m/>
    <n v="150"/>
    <x v="0"/>
    <n v="19"/>
    <n v="8.9"/>
    <n v="53.400000000000006"/>
    <n v="56.070000000000007"/>
    <n v="93.929999999999993"/>
    <n v="0"/>
    <x v="57"/>
    <x v="1"/>
    <m/>
    <m/>
    <s v=""/>
    <n v="0.62619999999999998"/>
  </r>
  <r>
    <x v="4"/>
    <x v="116"/>
    <x v="0"/>
    <x v="20"/>
    <m/>
    <m/>
    <s v="BOLT &amp; NUT, DYNABOLT 3/8&quot;"/>
    <s v="GE-000396"/>
    <n v="6"/>
    <n v="25"/>
    <m/>
    <n v="150"/>
    <x v="0"/>
    <n v="19"/>
    <n v="8.9"/>
    <n v="53.400000000000006"/>
    <n v="56.070000000000007"/>
    <n v="93.929999999999993"/>
    <n v="0"/>
    <x v="57"/>
    <x v="1"/>
    <m/>
    <m/>
    <m/>
    <n v="0.62619999999999998"/>
  </r>
  <r>
    <x v="4"/>
    <x v="107"/>
    <x v="0"/>
    <x v="62"/>
    <m/>
    <m/>
    <s v="BOLT &amp; NUT, DYNABOLT 5/16&quot;"/>
    <s v="GE-000397"/>
    <n v="8"/>
    <n v="20"/>
    <m/>
    <n v="160"/>
    <x v="0"/>
    <n v="14"/>
    <n v="6.5"/>
    <n v="52"/>
    <n v="54.6"/>
    <n v="105.4"/>
    <n v="0"/>
    <x v="57"/>
    <x v="1"/>
    <m/>
    <m/>
    <m/>
    <n v="0.65875000000000006"/>
  </r>
  <r>
    <x v="2"/>
    <x v="54"/>
    <x v="0"/>
    <x v="6"/>
    <m/>
    <m/>
    <s v="RUBBER_INSULATION, M-FLEX 1/2&quot; 3/4"/>
    <s v="IM-000230"/>
    <n v="1"/>
    <n v="80"/>
    <m/>
    <n v="80"/>
    <x v="0"/>
    <n v="67"/>
    <n v="51.8"/>
    <n v="51.8"/>
    <n v="53.353999999999999"/>
    <n v="26.646000000000001"/>
    <n v="0"/>
    <x v="22"/>
    <x v="0"/>
    <e v="#REF!"/>
    <e v="#REF!"/>
    <s v=""/>
    <n v="0.33307500000000001"/>
  </r>
  <r>
    <x v="4"/>
    <x v="80"/>
    <x v="1"/>
    <x v="3"/>
    <m/>
    <m/>
    <s v="CABIN_FILTER, TOYOTA INNOVA"/>
    <s v="CA-001294"/>
    <n v="1"/>
    <n v="300"/>
    <m/>
    <n v="300"/>
    <x v="0"/>
    <n v="315"/>
    <n v="100"/>
    <n v="100"/>
    <n v="105"/>
    <n v="195"/>
    <n v="58.5"/>
    <x v="12"/>
    <x v="2"/>
    <m/>
    <m/>
    <m/>
    <n v="0.65"/>
  </r>
  <r>
    <x v="2"/>
    <x v="44"/>
    <x v="0"/>
    <x v="8"/>
    <m/>
    <m/>
    <s v="FITTINGS, ELBOW R12  WITH VALVE 1/2"/>
    <s v="CA-000662"/>
    <n v="1"/>
    <n v="110"/>
    <m/>
    <n v="110"/>
    <x v="0"/>
    <n v="94"/>
    <n v="51"/>
    <n v="51"/>
    <n v="53.550000000000004"/>
    <n v="56.449999999999996"/>
    <n v="0"/>
    <x v="33"/>
    <x v="2"/>
    <e v="#REF!"/>
    <e v="#REF!"/>
    <s v=""/>
    <n v="0.51318181818181818"/>
  </r>
  <r>
    <x v="2"/>
    <x v="44"/>
    <x v="0"/>
    <x v="8"/>
    <m/>
    <m/>
    <s v="FITTINGS, ELBOW R12  WITH VALVE 5/8"/>
    <s v="CA-000664"/>
    <n v="1"/>
    <n v="110"/>
    <m/>
    <n v="110"/>
    <x v="0"/>
    <n v="94"/>
    <n v="51"/>
    <n v="51"/>
    <n v="53.550000000000004"/>
    <n v="56.449999999999996"/>
    <n v="0"/>
    <x v="33"/>
    <x v="2"/>
    <e v="#REF!"/>
    <e v="#REF!"/>
    <s v=""/>
    <n v="0.51318181818181818"/>
  </r>
  <r>
    <x v="0"/>
    <x v="13"/>
    <x v="0"/>
    <x v="1"/>
    <m/>
    <m/>
    <s v="PASTE_FLUX, NEK SILVER BRAZING 115 GRM"/>
    <s v="IM-000092"/>
    <n v="1"/>
    <n v="150"/>
    <m/>
    <n v="150"/>
    <x v="0"/>
    <n v="186"/>
    <n v="60"/>
    <n v="60"/>
    <n v="61.800000000000004"/>
    <n v="88.199999999999989"/>
    <n v="0"/>
    <x v="60"/>
    <x v="0"/>
    <e v="#REF!"/>
    <e v="#REF!"/>
    <s v=""/>
    <n v="0.58799999999999997"/>
  </r>
  <r>
    <x v="0"/>
    <x v="73"/>
    <x v="0"/>
    <x v="18"/>
    <m/>
    <m/>
    <s v="PASTE_FLUX, NEK SILVER BRAZING 115 GRM"/>
    <s v="IM-000092"/>
    <n v="1"/>
    <n v="150"/>
    <m/>
    <n v="150"/>
    <x v="0"/>
    <n v="186"/>
    <n v="60"/>
    <n v="60"/>
    <n v="61.800000000000004"/>
    <n v="88.199999999999989"/>
    <n v="0"/>
    <x v="60"/>
    <x v="0"/>
    <e v="#REF!"/>
    <e v="#REF!"/>
    <s v=""/>
    <n v="0.58799999999999997"/>
  </r>
  <r>
    <x v="1"/>
    <x v="21"/>
    <x v="0"/>
    <x v="1"/>
    <m/>
    <m/>
    <s v="CAPILLARY TUBE,  2.0MMX0.5MMX1FT"/>
    <s v="GE-000386"/>
    <n v="5"/>
    <n v="25"/>
    <m/>
    <n v="125"/>
    <x v="0"/>
    <n v="16"/>
    <n v="10"/>
    <n v="50"/>
    <n v="52.5"/>
    <n v="72.5"/>
    <n v="0"/>
    <x v="75"/>
    <x v="1"/>
    <e v="#REF!"/>
    <e v="#REF!"/>
    <s v=""/>
    <n v="0.57999999999999996"/>
  </r>
  <r>
    <x v="3"/>
    <x v="68"/>
    <x v="0"/>
    <x v="27"/>
    <m/>
    <m/>
    <s v="PASTE_FLUX, FLUX-4 SILVER BRAZING 115 GRM"/>
    <s v="IM-000219"/>
    <n v="1"/>
    <n v="150"/>
    <m/>
    <n v="150"/>
    <x v="0"/>
    <n v="155"/>
    <n v="50"/>
    <n v="50"/>
    <n v="51.5"/>
    <n v="98.5"/>
    <n v="0"/>
    <x v="60"/>
    <x v="0"/>
    <m/>
    <m/>
    <s v=""/>
    <n v="0.65666666666666662"/>
  </r>
  <r>
    <x v="3"/>
    <x v="71"/>
    <x v="0"/>
    <x v="45"/>
    <m/>
    <m/>
    <s v="FITTINGS, BRASS FLARE NUT 3/4"/>
    <s v="IM-000251"/>
    <n v="1"/>
    <n v="95"/>
    <m/>
    <n v="95"/>
    <x v="0"/>
    <n v="91"/>
    <n v="50"/>
    <n v="50"/>
    <n v="51.5"/>
    <n v="43.5"/>
    <n v="0"/>
    <x v="33"/>
    <x v="0"/>
    <m/>
    <m/>
    <s v=""/>
    <n v="0.45789473684210524"/>
  </r>
  <r>
    <x v="4"/>
    <x v="108"/>
    <x v="0"/>
    <x v="35"/>
    <m/>
    <m/>
    <s v="PASTE_FLUX, NEK SILVER BRAZING 115 GRM"/>
    <s v="IM-000092"/>
    <n v="1"/>
    <n v="150"/>
    <m/>
    <n v="150"/>
    <x v="0"/>
    <n v="186"/>
    <n v="60"/>
    <n v="60"/>
    <n v="61.800000000000004"/>
    <n v="88.199999999999989"/>
    <n v="0"/>
    <x v="60"/>
    <x v="0"/>
    <m/>
    <m/>
    <m/>
    <n v="0.58799999999999997"/>
  </r>
  <r>
    <x v="1"/>
    <x v="17"/>
    <x v="0"/>
    <x v="15"/>
    <m/>
    <m/>
    <s v="FITTINGS, BRASS FLARE NUT 3/8"/>
    <s v="IM-000050"/>
    <n v="2"/>
    <n v="55"/>
    <m/>
    <n v="110"/>
    <x v="0"/>
    <n v="44"/>
    <n v="24"/>
    <n v="48"/>
    <n v="49.44"/>
    <n v="60.56"/>
    <n v="0"/>
    <x v="33"/>
    <x v="0"/>
    <e v="#REF!"/>
    <e v="#REF!"/>
    <s v=""/>
    <n v="0.55054545454545456"/>
  </r>
  <r>
    <x v="1"/>
    <x v="26"/>
    <x v="0"/>
    <x v="2"/>
    <m/>
    <m/>
    <s v="FITTINGS, BRASS FLARE NUT 1/4"/>
    <s v="IM-000049"/>
    <n v="4"/>
    <n v="35"/>
    <m/>
    <n v="140"/>
    <x v="0"/>
    <n v="26"/>
    <n v="14"/>
    <n v="56"/>
    <n v="57.68"/>
    <n v="82.32"/>
    <n v="0"/>
    <x v="33"/>
    <x v="0"/>
    <e v="#REF!"/>
    <e v="#REF!"/>
    <e v="#REF!"/>
    <n v="0"/>
  </r>
  <r>
    <x v="1"/>
    <x v="26"/>
    <x v="0"/>
    <x v="2"/>
    <m/>
    <m/>
    <s v="FITTINGS, BRASS FLARE NUT 1/2"/>
    <s v="IM-000048"/>
    <n v="2"/>
    <n v="65"/>
    <m/>
    <n v="130"/>
    <x v="0"/>
    <n v="51"/>
    <n v="28"/>
    <n v="56"/>
    <n v="57.68"/>
    <n v="72.319999999999993"/>
    <n v="0"/>
    <x v="33"/>
    <x v="0"/>
    <e v="#REF!"/>
    <e v="#REF!"/>
    <e v="#REF!"/>
    <n v="0"/>
  </r>
  <r>
    <x v="1"/>
    <x v="26"/>
    <x v="0"/>
    <x v="2"/>
    <m/>
    <m/>
    <s v="FITTINGS, BRASS FLARE NUT 3/8"/>
    <s v="IM-000050"/>
    <n v="2"/>
    <n v="55"/>
    <m/>
    <n v="110"/>
    <x v="0"/>
    <n v="44"/>
    <n v="24"/>
    <n v="48"/>
    <n v="49.44"/>
    <n v="60.56"/>
    <n v="0"/>
    <x v="33"/>
    <x v="0"/>
    <e v="#REF!"/>
    <e v="#REF!"/>
    <e v="#REF!"/>
    <n v="0"/>
  </r>
  <r>
    <x v="2"/>
    <x v="35"/>
    <x v="0"/>
    <x v="1"/>
    <m/>
    <m/>
    <s v="FITTINGS, BRASS FLARE NUT 1/4"/>
    <s v="IM-000049"/>
    <n v="4"/>
    <n v="35"/>
    <m/>
    <n v="140"/>
    <x v="0"/>
    <n v="26"/>
    <n v="14"/>
    <n v="56"/>
    <n v="57.68"/>
    <n v="82.32"/>
    <n v="0"/>
    <x v="33"/>
    <x v="0"/>
    <e v="#REF!"/>
    <e v="#REF!"/>
    <s v=""/>
    <n v="0.58799999999999997"/>
  </r>
  <r>
    <x v="3"/>
    <x v="61"/>
    <x v="5"/>
    <x v="37"/>
    <m/>
    <m/>
    <s v="FITTINGS, BRASS FLARE NUT 1/2"/>
    <s v="IM-000048"/>
    <n v="2"/>
    <n v="65"/>
    <m/>
    <n v="130"/>
    <x v="0"/>
    <n v="51"/>
    <n v="28"/>
    <n v="56"/>
    <n v="57.68"/>
    <n v="72.319999999999993"/>
    <n v="21.695999999999998"/>
    <x v="33"/>
    <x v="0"/>
    <m/>
    <m/>
    <s v=""/>
    <n v="0.55630769230769228"/>
  </r>
  <r>
    <x v="3"/>
    <x v="85"/>
    <x v="0"/>
    <x v="62"/>
    <m/>
    <m/>
    <s v="FITTINGS, BRASS FLARE NUT 1/2"/>
    <s v="IM-000048"/>
    <n v="2"/>
    <n v="65"/>
    <m/>
    <n v="130"/>
    <x v="0"/>
    <n v="51"/>
    <n v="28"/>
    <n v="56"/>
    <n v="57.68"/>
    <n v="72.319999999999993"/>
    <n v="0"/>
    <x v="33"/>
    <x v="0"/>
    <m/>
    <m/>
    <m/>
    <n v="0.55630769230769228"/>
  </r>
  <r>
    <x v="4"/>
    <x v="102"/>
    <x v="1"/>
    <x v="60"/>
    <m/>
    <m/>
    <s v="HOSE, ELECTRICAL FLEXIBLE ROLL PER METER"/>
    <s v="G-E000235"/>
    <n v="6"/>
    <n v="15"/>
    <m/>
    <n v="90"/>
    <x v="0"/>
    <n v="15"/>
    <n v="8"/>
    <n v="48"/>
    <n v="50.400000000000006"/>
    <n v="39.599999999999994"/>
    <n v="11.879999999999997"/>
    <x v="19"/>
    <x v="1"/>
    <m/>
    <m/>
    <m/>
    <n v="0.43999999999999995"/>
  </r>
  <r>
    <x v="4"/>
    <x v="75"/>
    <x v="0"/>
    <x v="98"/>
    <m/>
    <m/>
    <s v="FITTINGS, BRASS FLARE NUT 1/4"/>
    <s v="IM-000049"/>
    <n v="4"/>
    <n v="35"/>
    <m/>
    <n v="140"/>
    <x v="0"/>
    <n v="26"/>
    <n v="14"/>
    <n v="56"/>
    <n v="57.68"/>
    <n v="82.32"/>
    <n v="0"/>
    <x v="33"/>
    <x v="0"/>
    <e v="#REF!"/>
    <e v="#REF!"/>
    <e v="#REF!"/>
    <n v="0"/>
  </r>
  <r>
    <x v="4"/>
    <x v="75"/>
    <x v="0"/>
    <x v="112"/>
    <m/>
    <m/>
    <s v="FITTINGS, BRASS FLARE NUT 3/8"/>
    <s v="IM-000050"/>
    <n v="2"/>
    <n v="55"/>
    <m/>
    <n v="110"/>
    <x v="0"/>
    <n v="44"/>
    <n v="24"/>
    <n v="48"/>
    <n v="49.44"/>
    <n v="60.56"/>
    <n v="0"/>
    <x v="33"/>
    <x v="0"/>
    <e v="#REF!"/>
    <e v="#REF!"/>
    <e v="#REF!"/>
    <n v="0"/>
  </r>
  <r>
    <x v="4"/>
    <x v="75"/>
    <x v="0"/>
    <x v="112"/>
    <m/>
    <m/>
    <s v="FITTINGS, BRASS FLARE NUT 1/2"/>
    <s v="IM-000048"/>
    <n v="2"/>
    <n v="65"/>
    <m/>
    <n v="130"/>
    <x v="0"/>
    <n v="51"/>
    <n v="28"/>
    <n v="56"/>
    <n v="57.68"/>
    <n v="72.319999999999993"/>
    <n v="0"/>
    <x v="33"/>
    <x v="0"/>
    <e v="#REF!"/>
    <e v="#REF!"/>
    <e v="#REF!"/>
    <n v="0"/>
  </r>
  <r>
    <x v="5"/>
    <x v="130"/>
    <x v="0"/>
    <x v="18"/>
    <m/>
    <m/>
    <s v="EVAPORATOR, TOYOTA HIACE 08 REAR"/>
    <s v="CA-001320"/>
    <n v="1"/>
    <n v="2200"/>
    <m/>
    <n v="2200"/>
    <x v="0"/>
    <n v="2757"/>
    <n v="1500"/>
    <n v="1500"/>
    <n v="1575"/>
    <n v="625"/>
    <n v="0"/>
    <x v="10"/>
    <x v="2"/>
    <e v="#REF!"/>
    <e v="#REF!"/>
    <s v=""/>
    <n v="0.28409090909090912"/>
  </r>
  <r>
    <x v="5"/>
    <x v="130"/>
    <x v="10"/>
    <x v="82"/>
    <m/>
    <m/>
    <s v="BLOWER_MOTOR, TOYOTA INNOVA NEW F"/>
    <s v="CA-000225"/>
    <n v="1"/>
    <n v="2000"/>
    <m/>
    <n v="2000"/>
    <x v="0"/>
    <n v="2665"/>
    <n v="1450"/>
    <n v="1450"/>
    <n v="1522.5"/>
    <n v="477.5"/>
    <n v="143.25"/>
    <x v="15"/>
    <x v="2"/>
    <e v="#REF!"/>
    <e v="#REF!"/>
    <s v=""/>
    <n v="0.23874999999999999"/>
  </r>
  <r>
    <x v="0"/>
    <x v="1"/>
    <x v="0"/>
    <x v="1"/>
    <m/>
    <m/>
    <s v="RUBBER_INSULATION, M-FLEX 1/2&quot; 1/2"/>
    <s v="IM-000227"/>
    <n v="1"/>
    <n v="65"/>
    <m/>
    <n v="65"/>
    <x v="0"/>
    <n v="65"/>
    <n v="46.4"/>
    <n v="46.4"/>
    <n v="47.792000000000002"/>
    <n v="17.207999999999998"/>
    <n v="0"/>
    <x v="22"/>
    <x v="0"/>
    <m/>
    <m/>
    <s v=""/>
    <n v="0.26473846153846153"/>
  </r>
  <r>
    <x v="0"/>
    <x v="9"/>
    <x v="0"/>
    <x v="116"/>
    <m/>
    <m/>
    <s v="RUBBER_INSULATION, M-FLEX 1/2&quot; 1/2"/>
    <s v="IM-000227"/>
    <n v="1"/>
    <n v="65"/>
    <m/>
    <n v="65"/>
    <x v="0"/>
    <n v="65"/>
    <n v="46.4"/>
    <n v="46.4"/>
    <n v="47.792000000000002"/>
    <n v="17.207999999999998"/>
    <n v="0"/>
    <x v="22"/>
    <x v="0"/>
    <e v="#REF!"/>
    <e v="#REF!"/>
    <s v=""/>
    <n v="0.26473846153846153"/>
  </r>
  <r>
    <x v="3"/>
    <x v="66"/>
    <x v="0"/>
    <x v="19"/>
    <m/>
    <m/>
    <s v="RUBBER_INSULATION, M-FLEX 1/2&quot; 1/2"/>
    <s v="IM-000227"/>
    <n v="1"/>
    <n v="65"/>
    <m/>
    <n v="65"/>
    <x v="0"/>
    <n v="65"/>
    <n v="46.4"/>
    <n v="46.4"/>
    <n v="47.792000000000002"/>
    <n v="17.207999999999998"/>
    <n v="0"/>
    <x v="22"/>
    <x v="0"/>
    <m/>
    <m/>
    <s v=""/>
    <n v="0.26473846153846153"/>
  </r>
  <r>
    <x v="3"/>
    <x v="69"/>
    <x v="0"/>
    <x v="1"/>
    <m/>
    <m/>
    <s v="RUBBER_INSULATION, M-FLEX 1/2&quot; 1/2"/>
    <s v="IM-000227"/>
    <n v="1"/>
    <n v="65"/>
    <m/>
    <n v="65"/>
    <x v="0"/>
    <n v="65"/>
    <n v="46.4"/>
    <n v="46.4"/>
    <n v="47.792000000000002"/>
    <n v="17.207999999999998"/>
    <n v="0"/>
    <x v="22"/>
    <x v="0"/>
    <m/>
    <m/>
    <s v=""/>
    <n v="0.26473846153846153"/>
  </r>
  <r>
    <x v="4"/>
    <x v="90"/>
    <x v="0"/>
    <x v="1"/>
    <m/>
    <m/>
    <s v="RUBBER_INSULATION, M-FLEX 1/2&quot; 1/2"/>
    <s v="IM-000227"/>
    <n v="1"/>
    <n v="70"/>
    <m/>
    <n v="70"/>
    <x v="0"/>
    <n v="65"/>
    <n v="46.4"/>
    <n v="46.4"/>
    <n v="47.792000000000002"/>
    <n v="22.207999999999998"/>
    <n v="0"/>
    <x v="22"/>
    <x v="0"/>
    <m/>
    <m/>
    <m/>
    <n v="0.31725714285714285"/>
  </r>
  <r>
    <x v="4"/>
    <x v="104"/>
    <x v="0"/>
    <x v="1"/>
    <m/>
    <m/>
    <s v="RUBBER_INSULATION, M-FLEX 1/2&quot; 1/2"/>
    <s v="IM-000227"/>
    <n v="1"/>
    <n v="70"/>
    <m/>
    <n v="70"/>
    <x v="0"/>
    <n v="65"/>
    <n v="46.4"/>
    <n v="46.4"/>
    <n v="47.792000000000002"/>
    <n v="22.207999999999998"/>
    <n v="0"/>
    <x v="22"/>
    <x v="0"/>
    <m/>
    <m/>
    <m/>
    <n v="0.31725714285714285"/>
  </r>
  <r>
    <x v="5"/>
    <x v="130"/>
    <x v="0"/>
    <x v="134"/>
    <m/>
    <m/>
    <s v="PULLEY_ASSEMBLY, HONDA BRIO"/>
    <s v="CA-001852"/>
    <n v="1"/>
    <n v="2200"/>
    <m/>
    <n v="2200"/>
    <x v="0"/>
    <n v="2665"/>
    <n v="1450"/>
    <n v="1450"/>
    <n v="1522.5"/>
    <n v="677.5"/>
    <n v="0"/>
    <x v="11"/>
    <x v="2"/>
    <e v="#REF!"/>
    <e v="#REF!"/>
    <s v=""/>
    <n v="0.30795454545454548"/>
  </r>
  <r>
    <x v="1"/>
    <x v="34"/>
    <x v="0"/>
    <x v="1"/>
    <m/>
    <m/>
    <s v="CAPILLARY TUBE,  1.6MMX0.5MMx1FT"/>
    <s v="GE-000087"/>
    <n v="9"/>
    <n v="15"/>
    <m/>
    <n v="135"/>
    <x v="0"/>
    <n v="10"/>
    <n v="5"/>
    <n v="45"/>
    <n v="47.25"/>
    <n v="87.75"/>
    <n v="0"/>
    <x v="75"/>
    <x v="1"/>
    <e v="#REF!"/>
    <e v="#REF!"/>
    <e v="#REF!"/>
    <n v="0"/>
  </r>
  <r>
    <x v="2"/>
    <x v="45"/>
    <x v="0"/>
    <x v="1"/>
    <m/>
    <m/>
    <s v="BOLT &amp; NUT, DYNABOLT 3/8&quot;"/>
    <s v="GE-000396"/>
    <n v="5"/>
    <n v="25"/>
    <m/>
    <n v="125"/>
    <x v="0"/>
    <n v="19"/>
    <n v="8.9"/>
    <n v="44.5"/>
    <n v="46.725000000000001"/>
    <n v="78.275000000000006"/>
    <n v="0"/>
    <x v="57"/>
    <x v="1"/>
    <e v="#REF!"/>
    <e v="#REF!"/>
    <s v=""/>
    <n v="0.62620000000000009"/>
  </r>
  <r>
    <x v="2"/>
    <x v="112"/>
    <x v="0"/>
    <x v="2"/>
    <m/>
    <m/>
    <s v="BOLT &amp; NUT, DYNABOLT 3/8&quot;"/>
    <s v="GE-000396"/>
    <n v="5"/>
    <n v="25"/>
    <m/>
    <n v="125"/>
    <x v="0"/>
    <n v="19"/>
    <n v="8.9"/>
    <n v="44.5"/>
    <n v="46.725000000000001"/>
    <n v="78.275000000000006"/>
    <n v="0"/>
    <x v="57"/>
    <x v="1"/>
    <e v="#REF!"/>
    <e v="#REF!"/>
    <s v=""/>
    <n v="0.62620000000000009"/>
  </r>
  <r>
    <x v="4"/>
    <x v="104"/>
    <x v="0"/>
    <x v="1"/>
    <m/>
    <m/>
    <s v="BOLT &amp; NUT, DYNABOLT 3/8&quot;"/>
    <s v="GE-000396"/>
    <n v="5"/>
    <n v="25"/>
    <m/>
    <n v="125"/>
    <x v="0"/>
    <n v="19"/>
    <n v="8.9"/>
    <n v="44.5"/>
    <n v="46.725000000000001"/>
    <n v="78.275000000000006"/>
    <n v="0"/>
    <x v="57"/>
    <x v="1"/>
    <e v="#REF!"/>
    <e v="#REF!"/>
    <e v="#REF!"/>
    <n v="0"/>
  </r>
  <r>
    <x v="3"/>
    <x v="71"/>
    <x v="0"/>
    <x v="6"/>
    <m/>
    <m/>
    <s v="BOLT &amp; NUT, GI, SET 3/8"/>
    <s v="IM-000002"/>
    <n v="8"/>
    <n v="14"/>
    <m/>
    <n v="112"/>
    <x v="0"/>
    <n v="10"/>
    <n v="5.43"/>
    <n v="43.44"/>
    <n v="44.743200000000002"/>
    <n v="67.256799999999998"/>
    <n v="0"/>
    <x v="57"/>
    <x v="0"/>
    <m/>
    <m/>
    <s v=""/>
    <n v="0.60050714285714279"/>
  </r>
  <r>
    <x v="0"/>
    <x v="9"/>
    <x v="0"/>
    <x v="1"/>
    <m/>
    <m/>
    <s v="ROD, HARRIS BRONZE"/>
    <s v="IM-000286"/>
    <n v="2"/>
    <n v="35"/>
    <m/>
    <n v="70"/>
    <x v="0"/>
    <n v="33"/>
    <n v="21"/>
    <n v="42"/>
    <n v="43.26"/>
    <n v="26.740000000000002"/>
    <n v="0"/>
    <x v="56"/>
    <x v="0"/>
    <e v="#REF!"/>
    <e v="#REF!"/>
    <s v=""/>
    <n v="0.38200000000000001"/>
  </r>
  <r>
    <x v="2"/>
    <x v="125"/>
    <x v="0"/>
    <x v="1"/>
    <m/>
    <m/>
    <s v="CAPACITOR_FAN, PS CBB61 5 UF"/>
    <s v="GE-000300"/>
    <n v="1"/>
    <n v="200"/>
    <m/>
    <n v="200"/>
    <x v="0"/>
    <n v="78"/>
    <n v="42"/>
    <n v="42"/>
    <n v="44.1"/>
    <n v="155.9"/>
    <n v="0"/>
    <x v="76"/>
    <x v="1"/>
    <e v="#REF!"/>
    <e v="#REF!"/>
    <s v=""/>
    <n v="0.77950000000000008"/>
  </r>
  <r>
    <x v="2"/>
    <x v="45"/>
    <x v="0"/>
    <x v="2"/>
    <m/>
    <m/>
    <s v="ACCESS_VALVE, OMNI WELDED TYPE "/>
    <s v="GE-000253"/>
    <n v="2"/>
    <n v="50"/>
    <m/>
    <n v="100"/>
    <x v="0"/>
    <n v="47"/>
    <n v="21"/>
    <n v="42"/>
    <n v="44.1"/>
    <n v="55.9"/>
    <n v="0"/>
    <x v="67"/>
    <x v="1"/>
    <e v="#REF!"/>
    <e v="#REF!"/>
    <s v=""/>
    <n v="0.55899999999999994"/>
  </r>
  <r>
    <x v="2"/>
    <x v="49"/>
    <x v="0"/>
    <x v="1"/>
    <m/>
    <m/>
    <s v="ACCESS_VALVE, OMNI WELDED TYPE "/>
    <s v="GE-000253"/>
    <n v="2"/>
    <n v="50"/>
    <m/>
    <n v="100"/>
    <x v="0"/>
    <n v="47"/>
    <n v="21"/>
    <n v="42"/>
    <n v="44.1"/>
    <n v="55.9"/>
    <n v="0"/>
    <x v="67"/>
    <x v="1"/>
    <e v="#REF!"/>
    <e v="#REF!"/>
    <s v=""/>
    <n v="0.55899999999999994"/>
  </r>
  <r>
    <x v="3"/>
    <x v="68"/>
    <x v="0"/>
    <x v="27"/>
    <m/>
    <m/>
    <s v="ACCESS_VALVE, OMNI WELDED TYPE "/>
    <s v="GE-000253"/>
    <n v="2"/>
    <n v="50"/>
    <m/>
    <n v="100"/>
    <x v="0"/>
    <n v="47"/>
    <n v="21"/>
    <n v="42"/>
    <n v="44.1"/>
    <n v="55.9"/>
    <n v="0"/>
    <x v="67"/>
    <x v="1"/>
    <m/>
    <m/>
    <s v=""/>
    <n v="0.55899999999999994"/>
  </r>
  <r>
    <x v="3"/>
    <x v="118"/>
    <x v="0"/>
    <x v="27"/>
    <m/>
    <m/>
    <s v="ACCESS_VALVE, OMNI WELDED TYPE "/>
    <s v="GE-000253"/>
    <n v="2"/>
    <n v="50"/>
    <m/>
    <n v="100"/>
    <x v="0"/>
    <n v="47"/>
    <n v="21"/>
    <n v="42"/>
    <n v="44.1"/>
    <n v="55.9"/>
    <n v="0"/>
    <x v="67"/>
    <x v="1"/>
    <m/>
    <m/>
    <s v=""/>
    <n v="0.55899999999999994"/>
  </r>
  <r>
    <x v="3"/>
    <x v="71"/>
    <x v="0"/>
    <x v="2"/>
    <m/>
    <m/>
    <s v="ACCESS_VALVE, OMNI WELDED TYPE "/>
    <s v="GE-000253"/>
    <n v="2"/>
    <n v="50"/>
    <m/>
    <n v="100"/>
    <x v="0"/>
    <n v="47"/>
    <n v="21"/>
    <n v="42"/>
    <n v="44.1"/>
    <n v="55.9"/>
    <n v="0"/>
    <x v="67"/>
    <x v="1"/>
    <m/>
    <m/>
    <s v=""/>
    <n v="0.55899999999999994"/>
  </r>
  <r>
    <x v="3"/>
    <x v="72"/>
    <x v="0"/>
    <x v="27"/>
    <m/>
    <m/>
    <s v="ACCESS_VALVE, OMNI WELDED TYPE "/>
    <s v="GE-000253"/>
    <n v="2"/>
    <n v="50"/>
    <m/>
    <n v="100"/>
    <x v="0"/>
    <n v="47"/>
    <n v="21"/>
    <n v="42"/>
    <n v="44.1"/>
    <n v="55.9"/>
    <n v="0"/>
    <x v="67"/>
    <x v="1"/>
    <m/>
    <m/>
    <s v=""/>
    <n v="0.55899999999999994"/>
  </r>
  <r>
    <x v="4"/>
    <x v="90"/>
    <x v="0"/>
    <x v="109"/>
    <m/>
    <m/>
    <s v="ACCESS_VALVE, OMNI WELDED TYPE "/>
    <s v="GE-000253"/>
    <n v="2"/>
    <n v="50"/>
    <m/>
    <n v="100"/>
    <x v="0"/>
    <n v="47"/>
    <n v="21"/>
    <n v="42"/>
    <n v="44.1"/>
    <n v="55.9"/>
    <n v="0"/>
    <x v="67"/>
    <x v="1"/>
    <m/>
    <m/>
    <m/>
    <n v="0.55899999999999994"/>
  </r>
  <r>
    <x v="4"/>
    <x v="116"/>
    <x v="0"/>
    <x v="20"/>
    <m/>
    <m/>
    <s v="TAPE ELECTRICAL, ARMAK 0.16 MM X 19 MM X 16 M 04/25/26"/>
    <s v="GE-000491"/>
    <n v="1"/>
    <n v="55"/>
    <m/>
    <n v="55"/>
    <x v="0"/>
    <n v="73"/>
    <n v="42"/>
    <n v="42"/>
    <n v="44.1"/>
    <n v="10.899999999999999"/>
    <n v="0"/>
    <x v="50"/>
    <x v="1"/>
    <m/>
    <m/>
    <m/>
    <n v="0.19818181818181815"/>
  </r>
  <r>
    <x v="5"/>
    <x v="126"/>
    <x v="0"/>
    <x v="36"/>
    <m/>
    <m/>
    <s v="EVAPORATOR, FORD RANGER 12 40A547"/>
    <s v="CA-001833"/>
    <n v="1"/>
    <n v="2200"/>
    <m/>
    <n v="2200"/>
    <x v="0"/>
    <n v="2757"/>
    <n v="1500"/>
    <n v="1500"/>
    <n v="1575"/>
    <n v="625"/>
    <n v="0"/>
    <x v="10"/>
    <x v="2"/>
    <e v="#REF!"/>
    <e v="#REF!"/>
    <s v=""/>
    <n v="0.28409090909090912"/>
  </r>
  <r>
    <x v="4"/>
    <x v="104"/>
    <x v="0"/>
    <x v="27"/>
    <m/>
    <m/>
    <s v="TAPE ELECTRICAL, ARMAK 0.16 MM X 19 MM X 16 M 04/25/26"/>
    <s v="GE-000491"/>
    <n v="1"/>
    <n v="55"/>
    <m/>
    <n v="55"/>
    <x v="0"/>
    <n v="73"/>
    <n v="42"/>
    <n v="42"/>
    <n v="44.1"/>
    <n v="10.899999999999999"/>
    <n v="0"/>
    <x v="50"/>
    <x v="1"/>
    <m/>
    <m/>
    <m/>
    <n v="0.19818181818181815"/>
  </r>
  <r>
    <x v="5"/>
    <x v="130"/>
    <x v="0"/>
    <x v="23"/>
    <m/>
    <m/>
    <s v="EVAPORATOR, TOYOTA WIGO 16-21"/>
    <s v="CA-001497"/>
    <n v="1"/>
    <n v="2000"/>
    <m/>
    <n v="2000"/>
    <x v="0"/>
    <n v="2389"/>
    <n v="1300"/>
    <n v="1300"/>
    <n v="1365"/>
    <n v="635"/>
    <n v="0"/>
    <x v="10"/>
    <x v="2"/>
    <e v="#REF!"/>
    <e v="#REF!"/>
    <s v=""/>
    <n v="0.3175"/>
  </r>
  <r>
    <x v="5"/>
    <x v="126"/>
    <x v="3"/>
    <x v="12"/>
    <m/>
    <m/>
    <s v="EVAPORATOR, HYUNDAI TUCSON 2013"/>
    <s v="CA-001734"/>
    <n v="1"/>
    <n v="2200"/>
    <m/>
    <n v="2200"/>
    <x v="0"/>
    <n v="2665"/>
    <n v="1450"/>
    <n v="1450"/>
    <n v="1522.5"/>
    <n v="677.5"/>
    <n v="203.25"/>
    <x v="10"/>
    <x v="2"/>
    <e v="#REF!"/>
    <e v="#REF!"/>
    <s v=""/>
    <n v="0.30795454545454548"/>
  </r>
  <r>
    <x v="5"/>
    <x v="126"/>
    <x v="0"/>
    <x v="36"/>
    <m/>
    <m/>
    <s v="EXP. VALVE LT, POKKA 9A172 FORD RANGER 12"/>
    <s v="CA-001385"/>
    <n v="1"/>
    <n v="600"/>
    <m/>
    <n v="600"/>
    <x v="0"/>
    <n v="588"/>
    <n v="320"/>
    <n v="320"/>
    <n v="336"/>
    <n v="264"/>
    <n v="0"/>
    <x v="23"/>
    <x v="2"/>
    <e v="#REF!"/>
    <e v="#REF!"/>
    <s v=""/>
    <n v="0.44"/>
  </r>
  <r>
    <x v="0"/>
    <x v="3"/>
    <x v="0"/>
    <x v="1"/>
    <m/>
    <m/>
    <s v="BOLT &amp; NUT, GI, SET 5/16"/>
    <s v="IM-000003"/>
    <n v="8"/>
    <n v="12"/>
    <m/>
    <n v="96"/>
    <x v="0"/>
    <n v="10"/>
    <n v="5"/>
    <n v="40"/>
    <n v="41.2"/>
    <n v="54.8"/>
    <n v="0"/>
    <x v="57"/>
    <x v="0"/>
    <m/>
    <m/>
    <s v=""/>
    <n v="0.5708333333333333"/>
  </r>
  <r>
    <x v="5"/>
    <x v="127"/>
    <x v="0"/>
    <x v="36"/>
    <m/>
    <n v="2200"/>
    <s v="EVAPORATOR, KIA SOUL 2010"/>
    <s v="CA-001739"/>
    <n v="1"/>
    <n v="1964"/>
    <m/>
    <n v="1964"/>
    <x v="0"/>
    <n v="2757"/>
    <n v="1500"/>
    <n v="1500"/>
    <n v="1575"/>
    <n v="389"/>
    <n v="0"/>
    <x v="10"/>
    <x v="2"/>
    <e v="#REF!"/>
    <e v="#REF!"/>
    <n v="2199.6800000000003"/>
    <n v="0.19806517311608962"/>
  </r>
  <r>
    <x v="1"/>
    <x v="124"/>
    <x v="0"/>
    <x v="1"/>
    <m/>
    <m/>
    <s v="ROYAL CORD, BOSTON 4-CORE, #14 1.25 MM, PER METER"/>
    <s v="GE-000463"/>
    <n v="0.5"/>
    <n v="160"/>
    <m/>
    <n v="80"/>
    <x v="0"/>
    <n v="160"/>
    <n v="80"/>
    <n v="40"/>
    <n v="42"/>
    <n v="38"/>
    <n v="0"/>
    <x v="48"/>
    <x v="1"/>
    <e v="#REF!"/>
    <e v="#REF!"/>
    <s v=""/>
    <n v="0.47499999999999998"/>
  </r>
  <r>
    <x v="4"/>
    <x v="104"/>
    <x v="1"/>
    <x v="3"/>
    <m/>
    <m/>
    <s v="CABIN_FILTER, TOYOTA VIOS"/>
    <s v="CA-001295"/>
    <n v="1"/>
    <n v="300"/>
    <m/>
    <n v="300"/>
    <x v="0"/>
    <n v="315"/>
    <n v="100"/>
    <n v="100"/>
    <n v="105"/>
    <n v="195"/>
    <n v="58.5"/>
    <x v="12"/>
    <x v="2"/>
    <m/>
    <m/>
    <m/>
    <n v="0.65"/>
  </r>
  <r>
    <x v="2"/>
    <x v="42"/>
    <x v="0"/>
    <x v="1"/>
    <m/>
    <m/>
    <s v="OVERLOAD, REF IC BLACK AND WHITE"/>
    <s v="GE-000412"/>
    <n v="1"/>
    <n v="90"/>
    <m/>
    <n v="90"/>
    <x v="0"/>
    <n v="74"/>
    <n v="40"/>
    <n v="40"/>
    <n v="42"/>
    <n v="48"/>
    <n v="0"/>
    <x v="77"/>
    <x v="1"/>
    <e v="#REF!"/>
    <e v="#REF!"/>
    <s v=""/>
    <n v="0.53333333333333333"/>
  </r>
  <r>
    <x v="2"/>
    <x v="56"/>
    <x v="0"/>
    <x v="1"/>
    <m/>
    <m/>
    <s v="HOSE, COOLMATE 1/2 DISCHARGE PER FT"/>
    <s v="GE-000179"/>
    <n v="1"/>
    <n v="100"/>
    <m/>
    <n v="100"/>
    <x v="0"/>
    <n v="80"/>
    <n v="43"/>
    <n v="43"/>
    <n v="45.15"/>
    <n v="54.85"/>
    <n v="0"/>
    <x v="19"/>
    <x v="1"/>
    <e v="#REF!"/>
    <e v="#REF!"/>
    <s v=""/>
    <n v="0.54849999999999999"/>
  </r>
  <r>
    <x v="4"/>
    <x v="107"/>
    <x v="0"/>
    <x v="62"/>
    <m/>
    <m/>
    <s v="BOLT &amp; NUT, GI, SET 5/16"/>
    <s v="IM-000003"/>
    <n v="8"/>
    <n v="12"/>
    <m/>
    <n v="96"/>
    <x v="0"/>
    <n v="10"/>
    <n v="5"/>
    <n v="40"/>
    <n v="41.2"/>
    <n v="54.8"/>
    <n v="0"/>
    <x v="57"/>
    <x v="0"/>
    <m/>
    <m/>
    <m/>
    <n v="0.5708333333333333"/>
  </r>
  <r>
    <x v="4"/>
    <x v="88"/>
    <x v="0"/>
    <x v="102"/>
    <m/>
    <m/>
    <s v="HOSE, ELECTRICAL FLEXIBLE ROLL PER METER"/>
    <s v="G-E000235"/>
    <n v="5"/>
    <n v="15"/>
    <m/>
    <n v="75"/>
    <x v="0"/>
    <n v="15"/>
    <n v="8"/>
    <n v="40"/>
    <n v="42"/>
    <n v="33"/>
    <n v="0"/>
    <x v="19"/>
    <x v="1"/>
    <m/>
    <m/>
    <m/>
    <n v="0.44"/>
  </r>
  <r>
    <x v="5"/>
    <x v="130"/>
    <x v="0"/>
    <x v="23"/>
    <m/>
    <m/>
    <s v="EVAPORATOR, TOYOTA INNOVA NEW (F) JBE-0115ZX (STAL)"/>
    <s v="CA-001631"/>
    <n v="1"/>
    <n v="2100"/>
    <m/>
    <n v="2100"/>
    <x v="0"/>
    <n v="1562"/>
    <n v="850"/>
    <n v="850"/>
    <n v="892.5"/>
    <n v="1207.5"/>
    <n v="0"/>
    <x v="10"/>
    <x v="2"/>
    <e v="#REF!"/>
    <e v="#REF!"/>
    <s v=""/>
    <n v="0.57499999999999996"/>
  </r>
  <r>
    <x v="0"/>
    <x v="31"/>
    <x v="0"/>
    <x v="23"/>
    <m/>
    <m/>
    <s v="FERULLE,  1/2&quot;"/>
    <s v="CA-000644"/>
    <n v="6"/>
    <n v="15"/>
    <m/>
    <n v="90"/>
    <x v="0"/>
    <n v="13"/>
    <n v="7"/>
    <n v="42"/>
    <n v="44.1"/>
    <n v="45.9"/>
    <n v="0"/>
    <x v="42"/>
    <x v="2"/>
    <m/>
    <m/>
    <s v=""/>
    <n v="0.51"/>
  </r>
  <r>
    <x v="0"/>
    <x v="6"/>
    <x v="0"/>
    <x v="8"/>
    <m/>
    <m/>
    <s v="FERULLE,  5/8&quot;"/>
    <s v="CA-000646"/>
    <n v="6"/>
    <n v="15"/>
    <m/>
    <n v="90"/>
    <x v="0"/>
    <n v="13"/>
    <n v="7"/>
    <n v="42"/>
    <n v="44.1"/>
    <n v="45.9"/>
    <n v="0"/>
    <x v="42"/>
    <x v="2"/>
    <m/>
    <m/>
    <s v=""/>
    <n v="0.51"/>
  </r>
  <r>
    <x v="5"/>
    <x v="127"/>
    <x v="4"/>
    <x v="25"/>
    <m/>
    <n v="1800"/>
    <s v="AUXFAN_MOTOR, HONDA CITY 2009 (19030)"/>
    <s v="CA-000016"/>
    <n v="1"/>
    <n v="1607"/>
    <m/>
    <n v="1607"/>
    <x v="0"/>
    <n v="2114"/>
    <n v="1150"/>
    <n v="1150"/>
    <n v="1207.5"/>
    <n v="399.5"/>
    <n v="119.85"/>
    <x v="14"/>
    <x v="2"/>
    <e v="#REF!"/>
    <e v="#REF!"/>
    <n v="1799.8400000000001"/>
    <n v="0.24859987554449284"/>
  </r>
  <r>
    <x v="1"/>
    <x v="28"/>
    <x v="0"/>
    <x v="1"/>
    <m/>
    <m/>
    <s v="BOLT &amp; NUT, DYNABOLT 5/16&quot;"/>
    <s v="GE-000397"/>
    <n v="6"/>
    <n v="20"/>
    <m/>
    <n v="120"/>
    <x v="0"/>
    <n v="14"/>
    <n v="6.5"/>
    <n v="39"/>
    <n v="40.950000000000003"/>
    <n v="79.05"/>
    <n v="0"/>
    <x v="57"/>
    <x v="1"/>
    <e v="#REF!"/>
    <e v="#REF!"/>
    <e v="#REF!"/>
    <n v="0.65874999999999995"/>
  </r>
  <r>
    <x v="1"/>
    <x v="33"/>
    <x v="0"/>
    <x v="19"/>
    <m/>
    <m/>
    <s v="BOLT &amp; NUT, DYNABOLT 5/16&quot;"/>
    <s v="GE-000397"/>
    <n v="6"/>
    <n v="20"/>
    <m/>
    <n v="120"/>
    <x v="0"/>
    <n v="14"/>
    <n v="6.5"/>
    <n v="39"/>
    <n v="40.950000000000003"/>
    <n v="79.05"/>
    <n v="0"/>
    <x v="57"/>
    <x v="1"/>
    <e v="#REF!"/>
    <e v="#REF!"/>
    <e v="#REF!"/>
    <n v="0"/>
  </r>
  <r>
    <x v="2"/>
    <x v="52"/>
    <x v="0"/>
    <x v="35"/>
    <m/>
    <m/>
    <s v="BOLT &amp; NUT, DYNABOLT 5/16&quot;"/>
    <s v="GE-000397"/>
    <n v="6"/>
    <n v="20"/>
    <m/>
    <n v="120"/>
    <x v="0"/>
    <n v="14"/>
    <n v="6.5"/>
    <n v="39"/>
    <n v="40.950000000000003"/>
    <n v="79.05"/>
    <n v="0"/>
    <x v="57"/>
    <x v="1"/>
    <e v="#REF!"/>
    <e v="#REF!"/>
    <s v=""/>
    <n v="0.65874999999999995"/>
  </r>
  <r>
    <x v="2"/>
    <x v="55"/>
    <x v="0"/>
    <x v="1"/>
    <m/>
    <m/>
    <s v="BOLT &amp; NUT, DYNABOLT 5/16&quot;"/>
    <s v="GE-000397"/>
    <n v="6"/>
    <n v="20"/>
    <m/>
    <n v="120"/>
    <x v="0"/>
    <n v="14"/>
    <n v="6.5"/>
    <n v="39"/>
    <n v="40.950000000000003"/>
    <n v="79.05"/>
    <n v="0"/>
    <x v="57"/>
    <x v="1"/>
    <e v="#REF!"/>
    <e v="#REF!"/>
    <s v=""/>
    <n v="0.65874999999999995"/>
  </r>
  <r>
    <x v="3"/>
    <x v="66"/>
    <x v="0"/>
    <x v="19"/>
    <m/>
    <m/>
    <s v="BOLT &amp; NUT, DYNABOLT 5/16&quot;"/>
    <s v="GE-000397"/>
    <n v="6"/>
    <n v="20"/>
    <m/>
    <n v="120"/>
    <x v="0"/>
    <n v="14"/>
    <n v="6.5"/>
    <n v="39"/>
    <n v="40.950000000000003"/>
    <n v="79.05"/>
    <n v="0"/>
    <x v="57"/>
    <x v="1"/>
    <m/>
    <m/>
    <s v=""/>
    <n v="0.65874999999999995"/>
  </r>
  <r>
    <x v="3"/>
    <x v="69"/>
    <x v="0"/>
    <x v="19"/>
    <m/>
    <n v="20"/>
    <s v="BOLT &amp; NUT, DYNABOLT 5/16&quot;"/>
    <s v="GE-000397"/>
    <n v="6"/>
    <n v="18"/>
    <m/>
    <n v="108"/>
    <x v="0"/>
    <n v="14"/>
    <n v="6.5"/>
    <n v="39"/>
    <n v="40.950000000000003"/>
    <n v="67.05"/>
    <n v="0"/>
    <x v="57"/>
    <x v="1"/>
    <m/>
    <m/>
    <n v="20.160000000000004"/>
    <n v="0.62083333333333335"/>
  </r>
  <r>
    <x v="3"/>
    <x v="69"/>
    <x v="0"/>
    <x v="35"/>
    <m/>
    <m/>
    <s v="BOLT &amp; NUT, DYNABOLT 5/16&quot;"/>
    <s v="GE-000397"/>
    <n v="6"/>
    <n v="20"/>
    <m/>
    <n v="120"/>
    <x v="0"/>
    <n v="14"/>
    <n v="6.5"/>
    <n v="39"/>
    <n v="40.950000000000003"/>
    <n v="79.05"/>
    <n v="0"/>
    <x v="57"/>
    <x v="1"/>
    <m/>
    <m/>
    <s v=""/>
    <n v="0.65874999999999995"/>
  </r>
  <r>
    <x v="3"/>
    <x v="72"/>
    <x v="0"/>
    <x v="45"/>
    <m/>
    <m/>
    <s v="BOLT &amp; NUT, DYNABOLT 5/16&quot;"/>
    <s v="GE-000397"/>
    <n v="6"/>
    <n v="25"/>
    <m/>
    <n v="150"/>
    <x v="0"/>
    <n v="14"/>
    <n v="6.5"/>
    <n v="39"/>
    <n v="40.950000000000003"/>
    <n v="109.05"/>
    <n v="0"/>
    <x v="57"/>
    <x v="1"/>
    <m/>
    <m/>
    <s v=""/>
    <n v="0.72699999999999998"/>
  </r>
  <r>
    <x v="5"/>
    <x v="127"/>
    <x v="4"/>
    <x v="25"/>
    <m/>
    <n v="1800"/>
    <s v="AUXFAN_MOTOR, HONDA CITY 2016 (38616)"/>
    <s v="CA-000018"/>
    <n v="1"/>
    <n v="1607"/>
    <m/>
    <n v="1607"/>
    <x v="0"/>
    <n v="2114"/>
    <n v="1150"/>
    <n v="1150"/>
    <n v="1207.5"/>
    <n v="399.5"/>
    <n v="119.85"/>
    <x v="14"/>
    <x v="2"/>
    <e v="#REF!"/>
    <e v="#REF!"/>
    <n v="1799.8400000000001"/>
    <n v="0.24859987554449284"/>
  </r>
  <r>
    <x v="4"/>
    <x v="104"/>
    <x v="0"/>
    <x v="1"/>
    <m/>
    <m/>
    <s v="BOLT &amp; NUT, DYNABOLT 5/16&quot;"/>
    <s v="GE-000397"/>
    <n v="6"/>
    <n v="20"/>
    <m/>
    <n v="120"/>
    <x v="0"/>
    <n v="14"/>
    <n v="6.5"/>
    <n v="39"/>
    <n v="40.950000000000003"/>
    <n v="79.05"/>
    <n v="0"/>
    <x v="57"/>
    <x v="1"/>
    <m/>
    <m/>
    <m/>
    <n v="0.65874999999999995"/>
  </r>
  <r>
    <x v="1"/>
    <x v="25"/>
    <x v="0"/>
    <x v="20"/>
    <m/>
    <m/>
    <s v="RUBBER_INSULATION, M-FLEX 1/2&quot; 3/8"/>
    <s v="IM-000231"/>
    <n v="1"/>
    <n v="55"/>
    <m/>
    <n v="55"/>
    <x v="0"/>
    <n v="53"/>
    <n v="37.6"/>
    <n v="37.6"/>
    <n v="38.728000000000002"/>
    <n v="16.271999999999998"/>
    <n v="0"/>
    <x v="22"/>
    <x v="0"/>
    <e v="#REF!"/>
    <e v="#REF!"/>
    <e v="#REF!"/>
    <n v="0.29585454545454543"/>
  </r>
  <r>
    <x v="2"/>
    <x v="44"/>
    <x v="0"/>
    <x v="32"/>
    <m/>
    <m/>
    <s v="RUBBER_INSULATION, M-FLEX 1/2&quot; 3/8"/>
    <s v="IM-000231"/>
    <n v="1"/>
    <n v="55"/>
    <m/>
    <n v="55"/>
    <x v="0"/>
    <n v="53"/>
    <n v="37.6"/>
    <n v="37.6"/>
    <n v="38.728000000000002"/>
    <n v="16.271999999999998"/>
    <n v="0"/>
    <x v="22"/>
    <x v="0"/>
    <e v="#REF!"/>
    <e v="#REF!"/>
    <s v=""/>
    <n v="0.29585454545454543"/>
  </r>
  <r>
    <x v="2"/>
    <x v="51"/>
    <x v="0"/>
    <x v="1"/>
    <m/>
    <m/>
    <s v="RUBBER_INSULATION, M-FLEX 1/2&quot; 3/8"/>
    <s v="IM-000231"/>
    <n v="1"/>
    <n v="55"/>
    <m/>
    <n v="55"/>
    <x v="0"/>
    <n v="53"/>
    <n v="37.6"/>
    <n v="37.6"/>
    <n v="38.728000000000002"/>
    <n v="16.271999999999998"/>
    <n v="0"/>
    <x v="22"/>
    <x v="0"/>
    <e v="#REF!"/>
    <e v="#REF!"/>
    <s v=""/>
    <n v="0.29585454545454543"/>
  </r>
  <r>
    <x v="2"/>
    <x v="56"/>
    <x v="0"/>
    <x v="34"/>
    <m/>
    <m/>
    <s v="RUBBER_INSULATION, M-FLEX 1/2&quot; 3/8"/>
    <s v="IM-000231"/>
    <n v="1"/>
    <n v="55"/>
    <m/>
    <n v="55"/>
    <x v="0"/>
    <n v="53"/>
    <n v="37.6"/>
    <n v="37.6"/>
    <n v="38.728000000000002"/>
    <n v="16.271999999999998"/>
    <n v="0"/>
    <x v="22"/>
    <x v="0"/>
    <e v="#REF!"/>
    <e v="#REF!"/>
    <s v=""/>
    <n v="0.29585454545454543"/>
  </r>
  <r>
    <x v="3"/>
    <x v="63"/>
    <x v="0"/>
    <x v="1"/>
    <m/>
    <m/>
    <s v="RUBBER_INSULATION, M-FLEX 1/2&quot; 3/8"/>
    <s v="IM-000231"/>
    <n v="1"/>
    <n v="55"/>
    <m/>
    <n v="55"/>
    <x v="0"/>
    <n v="53"/>
    <n v="37.6"/>
    <n v="37.6"/>
    <n v="38.728000000000002"/>
    <n v="16.271999999999998"/>
    <n v="0"/>
    <x v="22"/>
    <x v="0"/>
    <m/>
    <m/>
    <s v=""/>
    <n v="0.29585454545454543"/>
  </r>
  <r>
    <x v="3"/>
    <x v="69"/>
    <x v="0"/>
    <x v="1"/>
    <m/>
    <m/>
    <s v="RUBBER_INSULATION, M-FLEX 1/2&quot; 3/8"/>
    <s v="IM-000231"/>
    <n v="1"/>
    <n v="55"/>
    <m/>
    <n v="55"/>
    <x v="0"/>
    <n v="53"/>
    <n v="37.6"/>
    <n v="37.6"/>
    <n v="38.728000000000002"/>
    <n v="16.271999999999998"/>
    <n v="0"/>
    <x v="22"/>
    <x v="0"/>
    <m/>
    <m/>
    <s v=""/>
    <n v="0.29585454545454543"/>
  </r>
  <r>
    <x v="4"/>
    <x v="88"/>
    <x v="0"/>
    <x v="32"/>
    <m/>
    <m/>
    <s v="RUBBER_INSULATION, M-FLEX 1/2&quot; 3/8"/>
    <s v="IM-000231"/>
    <n v="1"/>
    <n v="50"/>
    <m/>
    <n v="50"/>
    <x v="0"/>
    <n v="53"/>
    <n v="37.6"/>
    <n v="37.6"/>
    <n v="38.728000000000002"/>
    <n v="11.271999999999998"/>
    <n v="0"/>
    <x v="22"/>
    <x v="0"/>
    <m/>
    <m/>
    <m/>
    <n v="0.22543999999999997"/>
  </r>
  <r>
    <x v="4"/>
    <x v="79"/>
    <x v="0"/>
    <x v="32"/>
    <m/>
    <m/>
    <s v="RUBBER_INSULATION, M-FLEX 1/2&quot; 3/8"/>
    <s v="IM-000231"/>
    <n v="1"/>
    <n v="60"/>
    <m/>
    <n v="60"/>
    <x v="0"/>
    <n v="53"/>
    <n v="37.6"/>
    <n v="37.6"/>
    <n v="38.728000000000002"/>
    <n v="21.271999999999998"/>
    <n v="0"/>
    <x v="22"/>
    <x v="0"/>
    <m/>
    <m/>
    <m/>
    <n v="0.35453333333333331"/>
  </r>
  <r>
    <x v="4"/>
    <x v="80"/>
    <x v="0"/>
    <x v="29"/>
    <m/>
    <m/>
    <s v="RUBBER_INSULATION, M-FLEX 1/2&quot; 3/8"/>
    <s v="IM-000231"/>
    <n v="1"/>
    <n v="60"/>
    <m/>
    <n v="60"/>
    <x v="0"/>
    <n v="53"/>
    <n v="37.6"/>
    <n v="37.6"/>
    <n v="38.728000000000002"/>
    <n v="21.271999999999998"/>
    <n v="0"/>
    <x v="22"/>
    <x v="0"/>
    <m/>
    <m/>
    <m/>
    <n v="0.35453333333333331"/>
  </r>
  <r>
    <x v="5"/>
    <x v="130"/>
    <x v="0"/>
    <x v="58"/>
    <m/>
    <m/>
    <s v="AUXIALLIARY_FAN, POKKA 12 BLADES X 12VOLTS"/>
    <s v="CA-000108"/>
    <n v="2"/>
    <n v="750"/>
    <m/>
    <n v="1500"/>
    <x v="0"/>
    <n v="827"/>
    <n v="450"/>
    <n v="900"/>
    <n v="945"/>
    <n v="555"/>
    <n v="0"/>
    <x v="16"/>
    <x v="2"/>
    <e v="#REF!"/>
    <e v="#REF!"/>
    <s v=""/>
    <n v="0.37"/>
  </r>
  <r>
    <x v="5"/>
    <x v="130"/>
    <x v="0"/>
    <x v="58"/>
    <m/>
    <m/>
    <s v="AUXIALLIARY_FAN, POKKA 10 BLADES X 12VOLTS"/>
    <s v="CA-000106"/>
    <n v="2"/>
    <n v="800"/>
    <m/>
    <n v="1600"/>
    <x v="0"/>
    <n v="772"/>
    <n v="420"/>
    <n v="840"/>
    <n v="882"/>
    <n v="718"/>
    <n v="0"/>
    <x v="16"/>
    <x v="2"/>
    <e v="#REF!"/>
    <e v="#REF!"/>
    <s v=""/>
    <n v="0.44874999999999998"/>
  </r>
  <r>
    <x v="0"/>
    <x v="2"/>
    <x v="0"/>
    <x v="2"/>
    <m/>
    <m/>
    <s v="TAPE ELECTRICAL, ARMAK 0.16 MM X 19 MM X 16 M"/>
    <s v="GE-000491"/>
    <n v="1"/>
    <n v="50"/>
    <m/>
    <n v="50"/>
    <x v="0"/>
    <n v="73"/>
    <n v="42"/>
    <n v="42"/>
    <n v="44.1"/>
    <n v="5.8999999999999986"/>
    <n v="0"/>
    <x v="50"/>
    <x v="1"/>
    <m/>
    <m/>
    <s v=""/>
    <n v="0.11799999999999997"/>
  </r>
  <r>
    <x v="0"/>
    <x v="5"/>
    <x v="0"/>
    <x v="1"/>
    <m/>
    <m/>
    <s v="TAPE ELECTRICAL, ARMAK 0.16 MM X 19 MM X 16 M"/>
    <s v="GE-000491"/>
    <n v="1"/>
    <n v="50"/>
    <m/>
    <n v="50"/>
    <x v="0"/>
    <n v="73"/>
    <n v="42"/>
    <n v="42"/>
    <n v="44.1"/>
    <n v="5.8999999999999986"/>
    <n v="0"/>
    <x v="50"/>
    <x v="1"/>
    <m/>
    <m/>
    <s v=""/>
    <n v="0.11799999999999997"/>
  </r>
  <r>
    <x v="1"/>
    <x v="17"/>
    <x v="0"/>
    <x v="15"/>
    <m/>
    <m/>
    <s v="TAPE ELECTRICAL, ARMAK 0.16 MM X 19 MM X 16 M"/>
    <s v="GE-000491"/>
    <n v="1"/>
    <n v="50"/>
    <m/>
    <n v="50"/>
    <x v="0"/>
    <n v="73"/>
    <n v="42"/>
    <n v="42"/>
    <n v="44.1"/>
    <n v="5.8999999999999986"/>
    <n v="0"/>
    <x v="50"/>
    <x v="1"/>
    <e v="#REF!"/>
    <e v="#REF!"/>
    <s v=""/>
    <n v="0.11799999999999997"/>
  </r>
  <r>
    <x v="2"/>
    <x v="35"/>
    <x v="0"/>
    <x v="30"/>
    <m/>
    <m/>
    <s v="TAPE ELECTRICAL, ARMAK 0.16 MM X 19 MM X 16 M"/>
    <s v="GE-000491"/>
    <n v="1"/>
    <n v="50"/>
    <m/>
    <n v="50"/>
    <x v="0"/>
    <n v="73"/>
    <n v="42"/>
    <n v="42"/>
    <n v="44.1"/>
    <n v="5.8999999999999986"/>
    <n v="0"/>
    <x v="50"/>
    <x v="1"/>
    <e v="#REF!"/>
    <e v="#REF!"/>
    <s v=""/>
    <n v="0.11799999999999997"/>
  </r>
  <r>
    <x v="2"/>
    <x v="48"/>
    <x v="0"/>
    <x v="53"/>
    <m/>
    <m/>
    <s v="TAPE ELECTRICAL, ARMAK 0.16 MM X 19 MM X 16 M"/>
    <s v="GE-000491"/>
    <n v="1"/>
    <n v="50"/>
    <m/>
    <n v="50"/>
    <x v="0"/>
    <n v="73"/>
    <n v="42"/>
    <n v="42"/>
    <n v="44.1"/>
    <n v="5.8999999999999986"/>
    <n v="0"/>
    <x v="50"/>
    <x v="1"/>
    <e v="#REF!"/>
    <e v="#REF!"/>
    <s v=""/>
    <n v="0.11799999999999997"/>
  </r>
  <r>
    <x v="3"/>
    <x v="62"/>
    <x v="0"/>
    <x v="2"/>
    <m/>
    <m/>
    <s v="TAPE ELECTRICAL, ARMAK 0.16 MM X 19 MM X 16 M"/>
    <s v="GE-000491"/>
    <n v="1"/>
    <n v="50"/>
    <m/>
    <n v="50"/>
    <x v="0"/>
    <n v="73"/>
    <n v="42"/>
    <n v="42"/>
    <n v="44.1"/>
    <n v="5.8999999999999986"/>
    <n v="0"/>
    <x v="50"/>
    <x v="1"/>
    <m/>
    <m/>
    <s v=""/>
    <n v="0.11799999999999997"/>
  </r>
  <r>
    <x v="3"/>
    <x v="65"/>
    <x v="0"/>
    <x v="1"/>
    <m/>
    <m/>
    <s v="TAPE ELECTRICAL, ARMAK 0.16 MM X 19 MM X 16 M"/>
    <s v="GE-000491"/>
    <n v="1"/>
    <n v="50"/>
    <m/>
    <n v="50"/>
    <x v="0"/>
    <n v="73"/>
    <n v="42"/>
    <n v="42"/>
    <n v="44.1"/>
    <n v="5.8999999999999986"/>
    <n v="0"/>
    <x v="50"/>
    <x v="1"/>
    <m/>
    <m/>
    <s v=""/>
    <n v="0.11799999999999997"/>
  </r>
  <r>
    <x v="3"/>
    <x v="119"/>
    <x v="0"/>
    <x v="41"/>
    <m/>
    <m/>
    <s v="TAPE ELECTRICAL, ARMAK 0.16 MM X 19 MM X 16 M"/>
    <s v="GE-000491"/>
    <n v="1"/>
    <n v="50"/>
    <m/>
    <n v="50"/>
    <x v="0"/>
    <n v="73"/>
    <n v="42"/>
    <n v="42"/>
    <n v="44.1"/>
    <n v="5.8999999999999986"/>
    <n v="0"/>
    <x v="50"/>
    <x v="1"/>
    <m/>
    <m/>
    <s v=""/>
    <n v="0.11799999999999997"/>
  </r>
  <r>
    <x v="4"/>
    <x v="107"/>
    <x v="0"/>
    <x v="1"/>
    <m/>
    <m/>
    <s v="TAPE ELECTRICAL, ARMAK 0.16 MM X 19 MM X 16 M"/>
    <s v="GE-000491"/>
    <n v="1"/>
    <n v="55"/>
    <m/>
    <n v="55"/>
    <x v="0"/>
    <n v="73"/>
    <n v="42"/>
    <n v="42"/>
    <n v="44.1"/>
    <n v="10.899999999999999"/>
    <n v="0"/>
    <x v="50"/>
    <x v="1"/>
    <m/>
    <m/>
    <m/>
    <n v="0.19818181818181815"/>
  </r>
  <r>
    <x v="4"/>
    <x v="102"/>
    <x v="1"/>
    <x v="60"/>
    <m/>
    <m/>
    <s v="TAPE ELECTRICAL, ARMAK 0.16 MM X 19 MM X 16 M"/>
    <s v="GE-000491"/>
    <n v="1"/>
    <n v="59"/>
    <m/>
    <n v="59"/>
    <x v="0"/>
    <n v="73"/>
    <n v="42"/>
    <n v="42"/>
    <n v="44.1"/>
    <n v="14.899999999999999"/>
    <n v="4.47"/>
    <x v="50"/>
    <x v="1"/>
    <m/>
    <m/>
    <m/>
    <n v="0.25254237288135589"/>
  </r>
  <r>
    <x v="4"/>
    <x v="88"/>
    <x v="0"/>
    <x v="100"/>
    <m/>
    <m/>
    <s v="TAPE ELECTRICAL, ARMAK 0.16 MM X 19 MM X 16 M"/>
    <s v="GE-000491"/>
    <n v="1"/>
    <n v="55"/>
    <m/>
    <n v="55"/>
    <x v="0"/>
    <n v="73"/>
    <n v="42"/>
    <n v="42"/>
    <n v="44.1"/>
    <n v="10.899999999999999"/>
    <n v="0"/>
    <x v="50"/>
    <x v="1"/>
    <m/>
    <m/>
    <m/>
    <n v="0.19818181818181815"/>
  </r>
  <r>
    <x v="4"/>
    <x v="88"/>
    <x v="0"/>
    <x v="1"/>
    <m/>
    <m/>
    <s v="TAPE ELECTRICAL, ARMAK 0.16 MM X 19 MM X 16 M"/>
    <s v="GE-000491"/>
    <n v="1"/>
    <n v="55"/>
    <m/>
    <n v="55"/>
    <x v="0"/>
    <n v="73"/>
    <n v="42"/>
    <n v="42"/>
    <n v="44.1"/>
    <n v="10.899999999999999"/>
    <n v="0"/>
    <x v="50"/>
    <x v="1"/>
    <m/>
    <m/>
    <m/>
    <n v="0.19818181818181815"/>
  </r>
  <r>
    <x v="4"/>
    <x v="90"/>
    <x v="0"/>
    <x v="41"/>
    <m/>
    <m/>
    <s v="TAPE ELECTRICAL, ARMAK 0.16 MM X 19 MM X 16 M"/>
    <s v="GE-000491"/>
    <n v="1"/>
    <n v="50"/>
    <m/>
    <n v="50"/>
    <x v="0"/>
    <n v="73"/>
    <n v="42"/>
    <n v="42"/>
    <n v="44.1"/>
    <n v="5.8999999999999986"/>
    <n v="0"/>
    <x v="50"/>
    <x v="1"/>
    <m/>
    <m/>
    <m/>
    <n v="0.11799999999999997"/>
  </r>
  <r>
    <x v="4"/>
    <x v="93"/>
    <x v="0"/>
    <x v="20"/>
    <m/>
    <m/>
    <s v="TAPE ELECTRICAL, ARMAK 0.16 MM X 19 MM X 16 M"/>
    <s v="GE-000491"/>
    <n v="1"/>
    <n v="55"/>
    <m/>
    <n v="55"/>
    <x v="0"/>
    <n v="73"/>
    <n v="42"/>
    <n v="42"/>
    <n v="44.1"/>
    <n v="10.899999999999999"/>
    <n v="0"/>
    <x v="50"/>
    <x v="1"/>
    <m/>
    <m/>
    <m/>
    <n v="0.19818181818181815"/>
  </r>
  <r>
    <x v="0"/>
    <x v="8"/>
    <x v="0"/>
    <x v="1"/>
    <m/>
    <m/>
    <s v="ROD, HARRIS SILVER "/>
    <s v="IM-000098"/>
    <n v="2"/>
    <n v="25"/>
    <m/>
    <n v="50"/>
    <x v="0"/>
    <n v="30"/>
    <n v="19"/>
    <n v="38"/>
    <n v="39.14"/>
    <n v="10.86"/>
    <n v="0"/>
    <x v="56"/>
    <x v="0"/>
    <m/>
    <m/>
    <s v=""/>
    <n v="0.21719999999999998"/>
  </r>
  <r>
    <x v="0"/>
    <x v="9"/>
    <x v="0"/>
    <x v="1"/>
    <m/>
    <m/>
    <s v="ROD, HARRIS SILVER "/>
    <s v="IM-000098"/>
    <n v="2"/>
    <n v="25"/>
    <m/>
    <n v="50"/>
    <x v="0"/>
    <n v="30"/>
    <n v="19"/>
    <n v="38"/>
    <n v="39.14"/>
    <n v="10.86"/>
    <n v="0"/>
    <x v="56"/>
    <x v="0"/>
    <e v="#REF!"/>
    <e v="#REF!"/>
    <s v=""/>
    <n v="0.21719999999999998"/>
  </r>
  <r>
    <x v="0"/>
    <x v="73"/>
    <x v="0"/>
    <x v="18"/>
    <m/>
    <m/>
    <s v="ROD, HARRIS SILVER "/>
    <s v="IM-000098"/>
    <n v="2"/>
    <n v="25"/>
    <m/>
    <n v="50"/>
    <x v="0"/>
    <n v="30"/>
    <n v="19"/>
    <n v="38"/>
    <n v="39.14"/>
    <n v="10.86"/>
    <n v="0"/>
    <x v="56"/>
    <x v="0"/>
    <e v="#REF!"/>
    <e v="#REF!"/>
    <s v=""/>
    <n v="0.21719999999999998"/>
  </r>
  <r>
    <x v="1"/>
    <x v="15"/>
    <x v="0"/>
    <x v="13"/>
    <m/>
    <m/>
    <s v="ROD, HARRIS SILVER "/>
    <s v="IM-000098"/>
    <n v="2"/>
    <n v="25"/>
    <m/>
    <n v="50"/>
    <x v="0"/>
    <n v="30"/>
    <n v="19"/>
    <n v="38"/>
    <n v="39.14"/>
    <n v="10.86"/>
    <n v="0"/>
    <x v="56"/>
    <x v="0"/>
    <e v="#REF!"/>
    <e v="#REF!"/>
    <s v=""/>
    <n v="0.21719999999999998"/>
  </r>
  <r>
    <x v="1"/>
    <x v="20"/>
    <x v="0"/>
    <x v="1"/>
    <m/>
    <m/>
    <s v="ROD, HARRIS SILVER "/>
    <s v="IM-000098"/>
    <n v="2"/>
    <n v="25"/>
    <m/>
    <n v="50"/>
    <x v="0"/>
    <n v="30"/>
    <n v="19"/>
    <n v="38"/>
    <n v="39.14"/>
    <n v="10.86"/>
    <n v="0"/>
    <x v="56"/>
    <x v="0"/>
    <e v="#REF!"/>
    <e v="#REF!"/>
    <s v=""/>
    <n v="0.21719999999999998"/>
  </r>
  <r>
    <x v="1"/>
    <x v="32"/>
    <x v="0"/>
    <x v="1"/>
    <m/>
    <m/>
    <s v="ROD, HARRIS SILVER "/>
    <s v="IM-000098"/>
    <n v="2"/>
    <n v="25"/>
    <m/>
    <n v="50"/>
    <x v="0"/>
    <n v="30"/>
    <n v="19"/>
    <n v="38"/>
    <n v="39.14"/>
    <n v="10.86"/>
    <n v="0"/>
    <x v="56"/>
    <x v="0"/>
    <e v="#REF!"/>
    <e v="#REF!"/>
    <e v="#REF!"/>
    <n v="0.21719999999999998"/>
  </r>
  <r>
    <x v="2"/>
    <x v="49"/>
    <x v="0"/>
    <x v="122"/>
    <m/>
    <m/>
    <s v="ROD, HARRIS SILVER "/>
    <s v="IM-000098"/>
    <n v="2"/>
    <n v="25"/>
    <m/>
    <n v="50"/>
    <x v="0"/>
    <n v="30"/>
    <n v="19"/>
    <n v="38"/>
    <n v="39.14"/>
    <n v="10.86"/>
    <n v="0"/>
    <x v="56"/>
    <x v="0"/>
    <e v="#REF!"/>
    <e v="#REF!"/>
    <s v=""/>
    <n v="0.21719999999999998"/>
  </r>
  <r>
    <x v="2"/>
    <x v="56"/>
    <x v="0"/>
    <x v="1"/>
    <m/>
    <m/>
    <s v="ROD, HARRIS SILVER "/>
    <s v="IM-000098"/>
    <n v="2"/>
    <n v="25"/>
    <m/>
    <n v="50"/>
    <x v="0"/>
    <n v="30"/>
    <n v="19"/>
    <n v="38"/>
    <n v="39.14"/>
    <n v="10.86"/>
    <n v="0"/>
    <x v="56"/>
    <x v="0"/>
    <e v="#REF!"/>
    <e v="#REF!"/>
    <s v=""/>
    <n v="0.21719999999999998"/>
  </r>
  <r>
    <x v="3"/>
    <x v="60"/>
    <x v="0"/>
    <x v="1"/>
    <m/>
    <m/>
    <s v="ROD, HARRIS SILVER "/>
    <s v="IM-000098"/>
    <n v="2"/>
    <n v="25"/>
    <m/>
    <n v="50"/>
    <x v="0"/>
    <n v="30"/>
    <n v="19"/>
    <n v="38"/>
    <n v="39.14"/>
    <n v="10.86"/>
    <n v="0"/>
    <x v="56"/>
    <x v="0"/>
    <m/>
    <m/>
    <s v=""/>
    <n v="0.21719999999999998"/>
  </r>
  <r>
    <x v="3"/>
    <x v="115"/>
    <x v="0"/>
    <x v="28"/>
    <m/>
    <m/>
    <s v="BRACKET,  CONDENSER"/>
    <s v="CA-001666"/>
    <n v="4"/>
    <n v="25"/>
    <m/>
    <n v="100"/>
    <x v="0"/>
    <n v="21"/>
    <n v="9"/>
    <n v="36"/>
    <n v="37.800000000000004"/>
    <n v="62.199999999999996"/>
    <n v="0"/>
    <x v="3"/>
    <x v="2"/>
    <m/>
    <m/>
    <s v=""/>
    <n v="0.622"/>
  </r>
  <r>
    <x v="3"/>
    <x v="115"/>
    <x v="0"/>
    <x v="1"/>
    <m/>
    <m/>
    <s v="ROD, HARRIS SILVER "/>
    <s v="IM-000098"/>
    <n v="2"/>
    <n v="25"/>
    <m/>
    <n v="50"/>
    <x v="0"/>
    <n v="30"/>
    <n v="19"/>
    <n v="38"/>
    <n v="39.14"/>
    <n v="10.86"/>
    <n v="0"/>
    <x v="56"/>
    <x v="0"/>
    <m/>
    <m/>
    <s v=""/>
    <n v="0.21719999999999998"/>
  </r>
  <r>
    <x v="3"/>
    <x v="69"/>
    <x v="0"/>
    <x v="63"/>
    <m/>
    <m/>
    <s v="ROD, HARRIS SILVER "/>
    <s v="IM-000098"/>
    <n v="2"/>
    <n v="25"/>
    <m/>
    <n v="50"/>
    <x v="0"/>
    <n v="30"/>
    <n v="19"/>
    <n v="38"/>
    <n v="39.14"/>
    <n v="10.86"/>
    <n v="0"/>
    <x v="56"/>
    <x v="0"/>
    <m/>
    <m/>
    <s v=""/>
    <n v="0.21719999999999998"/>
  </r>
  <r>
    <x v="3"/>
    <x v="118"/>
    <x v="0"/>
    <x v="32"/>
    <m/>
    <m/>
    <s v="ROD, HARRIS SILVER "/>
    <s v="IM-000098"/>
    <n v="2"/>
    <n v="28"/>
    <m/>
    <n v="56"/>
    <x v="0"/>
    <n v="30"/>
    <n v="19"/>
    <n v="38"/>
    <n v="39.14"/>
    <n v="16.86"/>
    <n v="0"/>
    <x v="56"/>
    <x v="0"/>
    <m/>
    <m/>
    <s v=""/>
    <n v="0.30107142857142855"/>
  </r>
  <r>
    <x v="3"/>
    <x v="71"/>
    <x v="0"/>
    <x v="2"/>
    <m/>
    <m/>
    <s v="ROD, HARRIS SILVER "/>
    <s v="IM-000098"/>
    <n v="2"/>
    <n v="28"/>
    <m/>
    <n v="56"/>
    <x v="0"/>
    <n v="30"/>
    <n v="19"/>
    <n v="38"/>
    <n v="39.14"/>
    <n v="16.86"/>
    <n v="0"/>
    <x v="56"/>
    <x v="0"/>
    <m/>
    <m/>
    <s v=""/>
    <n v="0.30107142857142855"/>
  </r>
  <r>
    <x v="3"/>
    <x v="71"/>
    <x v="0"/>
    <x v="44"/>
    <m/>
    <m/>
    <s v="ROD, HARRIS SILVER "/>
    <s v="IM-000098"/>
    <n v="2"/>
    <n v="28"/>
    <m/>
    <n v="56"/>
    <x v="0"/>
    <n v="30"/>
    <n v="19"/>
    <n v="38"/>
    <n v="39.14"/>
    <n v="16.86"/>
    <n v="0"/>
    <x v="56"/>
    <x v="0"/>
    <m/>
    <m/>
    <s v=""/>
    <n v="0.30107142857142855"/>
  </r>
  <r>
    <x v="3"/>
    <x v="123"/>
    <x v="0"/>
    <x v="1"/>
    <m/>
    <m/>
    <s v="ROD, HARRIS SILVER "/>
    <s v="IM-000098"/>
    <n v="2"/>
    <n v="28"/>
    <m/>
    <n v="56"/>
    <x v="0"/>
    <n v="30"/>
    <n v="19"/>
    <n v="38"/>
    <n v="39.14"/>
    <n v="16.86"/>
    <n v="0"/>
    <x v="56"/>
    <x v="0"/>
    <m/>
    <m/>
    <m/>
    <n v="0.30107142857142855"/>
  </r>
  <r>
    <x v="4"/>
    <x v="95"/>
    <x v="0"/>
    <x v="62"/>
    <m/>
    <m/>
    <s v="ROD, HARRIS SILVER "/>
    <s v="IM-000098"/>
    <n v="2"/>
    <n v="28"/>
    <m/>
    <n v="56"/>
    <x v="0"/>
    <n v="30"/>
    <n v="19"/>
    <n v="38"/>
    <n v="39.14"/>
    <n v="16.86"/>
    <n v="0"/>
    <x v="56"/>
    <x v="0"/>
    <m/>
    <m/>
    <m/>
    <n v="0.30107142857142855"/>
  </r>
  <r>
    <x v="4"/>
    <x v="81"/>
    <x v="1"/>
    <x v="3"/>
    <m/>
    <m/>
    <s v="EXP. VALVE LT, POKKA 9A56 INNOVA F"/>
    <s v="CA-000637"/>
    <n v="1"/>
    <n v="550"/>
    <m/>
    <n v="550"/>
    <x v="0"/>
    <n v="460"/>
    <n v="250"/>
    <n v="250"/>
    <n v="262.5"/>
    <n v="287.5"/>
    <n v="86.25"/>
    <x v="23"/>
    <x v="2"/>
    <m/>
    <m/>
    <m/>
    <n v="0.52272727272727271"/>
  </r>
  <r>
    <x v="4"/>
    <x v="75"/>
    <x v="0"/>
    <x v="1"/>
    <m/>
    <m/>
    <s v="ROD, HARRIS SILVER "/>
    <s v="IM-000098"/>
    <n v="2"/>
    <n v="28"/>
    <m/>
    <n v="56"/>
    <x v="0"/>
    <n v="30"/>
    <n v="19"/>
    <n v="38"/>
    <n v="39.14"/>
    <n v="16.86"/>
    <n v="0"/>
    <x v="56"/>
    <x v="0"/>
    <e v="#REF!"/>
    <e v="#REF!"/>
    <e v="#REF!"/>
    <n v="0"/>
  </r>
  <r>
    <x v="5"/>
    <x v="130"/>
    <x v="0"/>
    <x v="23"/>
    <m/>
    <m/>
    <s v="EVAPORATOR, TOYOTA INNOVA NEW (R) JBE-0125ZX (STAL)"/>
    <s v="CA-001632"/>
    <n v="1"/>
    <n v="1900"/>
    <m/>
    <n v="1900"/>
    <x v="0"/>
    <n v="1379"/>
    <n v="750"/>
    <n v="750"/>
    <n v="787.5"/>
    <n v="1112.5"/>
    <n v="0"/>
    <x v="10"/>
    <x v="2"/>
    <e v="#REF!"/>
    <e v="#REF!"/>
    <s v=""/>
    <n v="0.58552631578947367"/>
  </r>
  <r>
    <x v="5"/>
    <x v="127"/>
    <x v="0"/>
    <x v="36"/>
    <m/>
    <m/>
    <s v="EXP. VALVE LT, POKKA 9A129B ACCENT"/>
    <s v="CA-000629"/>
    <n v="1"/>
    <n v="600"/>
    <m/>
    <n v="600"/>
    <x v="0"/>
    <n v="625"/>
    <n v="340"/>
    <n v="340"/>
    <n v="357"/>
    <n v="243"/>
    <n v="0"/>
    <x v="23"/>
    <x v="2"/>
    <e v="#REF!"/>
    <e v="#REF!"/>
    <s v=""/>
    <n v="0.40500000000000003"/>
  </r>
  <r>
    <x v="0"/>
    <x v="13"/>
    <x v="0"/>
    <x v="1"/>
    <m/>
    <m/>
    <s v="BOLT &amp; NUT, DYNABOLT 3/8&quot;"/>
    <s v="GE-000396"/>
    <n v="4"/>
    <n v="25"/>
    <m/>
    <n v="100"/>
    <x v="0"/>
    <n v="19"/>
    <n v="8.9"/>
    <n v="35.6"/>
    <n v="37.380000000000003"/>
    <n v="62.62"/>
    <n v="0"/>
    <x v="57"/>
    <x v="1"/>
    <e v="#REF!"/>
    <e v="#REF!"/>
    <s v=""/>
    <n v="0.62619999999999998"/>
  </r>
  <r>
    <x v="1"/>
    <x v="26"/>
    <x v="0"/>
    <x v="1"/>
    <m/>
    <m/>
    <s v="BOLT &amp; NUT, DYNABOLT 3/8&quot;"/>
    <s v="GE-000396"/>
    <n v="4"/>
    <n v="25"/>
    <m/>
    <n v="100"/>
    <x v="0"/>
    <n v="19"/>
    <n v="8.9"/>
    <n v="35.6"/>
    <n v="37.380000000000003"/>
    <n v="62.62"/>
    <n v="0"/>
    <x v="57"/>
    <x v="1"/>
    <e v="#REF!"/>
    <e v="#REF!"/>
    <e v="#REF!"/>
    <n v="0"/>
  </r>
  <r>
    <x v="2"/>
    <x v="44"/>
    <x v="0"/>
    <x v="32"/>
    <m/>
    <m/>
    <s v="BOLT &amp; NUT, DYNABOLT 3/8&quot;"/>
    <s v="GE-000396"/>
    <n v="4"/>
    <n v="25"/>
    <m/>
    <n v="100"/>
    <x v="0"/>
    <n v="19"/>
    <n v="8.9"/>
    <n v="35.6"/>
    <n v="37.380000000000003"/>
    <n v="62.62"/>
    <n v="0"/>
    <x v="57"/>
    <x v="1"/>
    <e v="#REF!"/>
    <e v="#REF!"/>
    <s v=""/>
    <n v="0.62619999999999998"/>
  </r>
  <r>
    <x v="2"/>
    <x v="44"/>
    <x v="0"/>
    <x v="27"/>
    <m/>
    <m/>
    <s v="BOLT &amp; NUT, DYNABOLT 3/8&quot;"/>
    <s v="GE-000396"/>
    <n v="4"/>
    <n v="25"/>
    <m/>
    <n v="100"/>
    <x v="0"/>
    <n v="19"/>
    <n v="8.9"/>
    <n v="35.6"/>
    <n v="37.380000000000003"/>
    <n v="62.62"/>
    <n v="0"/>
    <x v="57"/>
    <x v="1"/>
    <e v="#REF!"/>
    <e v="#REF!"/>
    <s v=""/>
    <n v="0.62619999999999998"/>
  </r>
  <r>
    <x v="2"/>
    <x v="50"/>
    <x v="0"/>
    <x v="27"/>
    <m/>
    <m/>
    <s v="BOLT &amp; NUT, DYNABOLT 3/8&quot;"/>
    <s v="GE-000396"/>
    <n v="4"/>
    <n v="25"/>
    <m/>
    <n v="100"/>
    <x v="0"/>
    <n v="19"/>
    <n v="8.9"/>
    <n v="35.6"/>
    <n v="37.380000000000003"/>
    <n v="62.62"/>
    <n v="0"/>
    <x v="57"/>
    <x v="1"/>
    <e v="#REF!"/>
    <e v="#REF!"/>
    <s v=""/>
    <n v="0.62619999999999998"/>
  </r>
  <r>
    <x v="2"/>
    <x v="58"/>
    <x v="0"/>
    <x v="1"/>
    <m/>
    <m/>
    <s v="BOLT &amp; NUT, DYNABOLT 3/8&quot;"/>
    <s v="GE-000396"/>
    <n v="4"/>
    <n v="25"/>
    <m/>
    <n v="100"/>
    <x v="0"/>
    <n v="19"/>
    <n v="8.9"/>
    <n v="35.6"/>
    <n v="37.380000000000003"/>
    <n v="62.62"/>
    <n v="0"/>
    <x v="57"/>
    <x v="1"/>
    <e v="#REF!"/>
    <e v="#REF!"/>
    <s v=""/>
    <n v="0.62619999999999998"/>
  </r>
  <r>
    <x v="3"/>
    <x v="59"/>
    <x v="0"/>
    <x v="27"/>
    <m/>
    <m/>
    <s v="BOLT &amp; NUT, DYNABOLT 3/8&quot;"/>
    <s v="GE-000396"/>
    <n v="4"/>
    <n v="25"/>
    <m/>
    <n v="100"/>
    <x v="0"/>
    <n v="19"/>
    <n v="8.9"/>
    <n v="35.6"/>
    <n v="37.380000000000003"/>
    <n v="62.62"/>
    <n v="0"/>
    <x v="57"/>
    <x v="1"/>
    <m/>
    <m/>
    <s v=""/>
    <n v="0.62619999999999998"/>
  </r>
  <r>
    <x v="3"/>
    <x v="60"/>
    <x v="0"/>
    <x v="1"/>
    <m/>
    <n v="25"/>
    <s v="BOLT &amp; NUT, DYNABOLT 3/8&quot;"/>
    <s v="GE-000396"/>
    <n v="4"/>
    <n v="22"/>
    <m/>
    <n v="88"/>
    <x v="0"/>
    <n v="19"/>
    <n v="8.9"/>
    <n v="35.6"/>
    <n v="37.380000000000003"/>
    <n v="50.62"/>
    <n v="0"/>
    <x v="57"/>
    <x v="1"/>
    <m/>
    <m/>
    <n v="24.64"/>
    <n v="0.5752272727272727"/>
  </r>
  <r>
    <x v="3"/>
    <x v="60"/>
    <x v="0"/>
    <x v="2"/>
    <m/>
    <m/>
    <s v="BOLT &amp; NUT, DYNABOLT 3/8&quot;"/>
    <s v="GE-000396"/>
    <n v="4"/>
    <n v="25"/>
    <m/>
    <n v="100"/>
    <x v="0"/>
    <n v="19"/>
    <n v="8.9"/>
    <n v="35.6"/>
    <n v="37.380000000000003"/>
    <n v="62.62"/>
    <n v="0"/>
    <x v="57"/>
    <x v="1"/>
    <m/>
    <m/>
    <s v=""/>
    <n v="0.62619999999999998"/>
  </r>
  <r>
    <x v="3"/>
    <x v="61"/>
    <x v="6"/>
    <x v="39"/>
    <m/>
    <m/>
    <s v="BOLT &amp; NUT, DYNABOLT 3/8&quot;"/>
    <s v="GE-000396"/>
    <n v="4"/>
    <n v="25"/>
    <m/>
    <n v="100"/>
    <x v="0"/>
    <n v="19"/>
    <n v="8.9"/>
    <n v="35.6"/>
    <n v="37.380000000000003"/>
    <n v="62.62"/>
    <n v="18.785999999999998"/>
    <x v="57"/>
    <x v="1"/>
    <m/>
    <m/>
    <s v=""/>
    <n v="0.62619999999999998"/>
  </r>
  <r>
    <x v="3"/>
    <x v="62"/>
    <x v="0"/>
    <x v="32"/>
    <m/>
    <m/>
    <s v="BOLT &amp; NUT, DYNABOLT 3/8&quot;"/>
    <s v="GE-000396"/>
    <n v="4"/>
    <n v="25"/>
    <m/>
    <n v="100"/>
    <x v="0"/>
    <n v="19"/>
    <n v="8.9"/>
    <n v="35.6"/>
    <n v="37.380000000000003"/>
    <n v="62.62"/>
    <n v="0"/>
    <x v="57"/>
    <x v="1"/>
    <m/>
    <m/>
    <s v=""/>
    <n v="0.62619999999999998"/>
  </r>
  <r>
    <x v="3"/>
    <x v="71"/>
    <x v="0"/>
    <x v="44"/>
    <m/>
    <m/>
    <s v="BOLT &amp; NUT, DYNABOLT 3/8&quot;"/>
    <s v="GE-000396"/>
    <n v="4"/>
    <n v="25"/>
    <m/>
    <n v="100"/>
    <x v="0"/>
    <n v="19"/>
    <n v="8.9"/>
    <n v="35.6"/>
    <n v="37.380000000000003"/>
    <n v="62.62"/>
    <n v="0"/>
    <x v="57"/>
    <x v="1"/>
    <m/>
    <m/>
    <s v=""/>
    <n v="0.62619999999999998"/>
  </r>
  <r>
    <x v="3"/>
    <x v="85"/>
    <x v="0"/>
    <x v="1"/>
    <m/>
    <m/>
    <s v="BOLT &amp; NUT, DYNABOLT 3/8&quot;"/>
    <s v="GE-000396"/>
    <n v="4"/>
    <n v="25"/>
    <m/>
    <n v="100"/>
    <x v="0"/>
    <n v="19"/>
    <n v="8.9"/>
    <n v="35.6"/>
    <n v="37.380000000000003"/>
    <n v="62.62"/>
    <n v="0"/>
    <x v="57"/>
    <x v="1"/>
    <m/>
    <m/>
    <m/>
    <n v="0.62619999999999998"/>
  </r>
  <r>
    <x v="4"/>
    <x v="105"/>
    <x v="0"/>
    <x v="1"/>
    <m/>
    <m/>
    <s v="BOLT &amp; NUT, DYNABOLT 3/8&quot;"/>
    <s v="GE-000396"/>
    <n v="4"/>
    <n v="25"/>
    <m/>
    <n v="100"/>
    <x v="0"/>
    <n v="19"/>
    <n v="8.9"/>
    <n v="35.6"/>
    <n v="37.380000000000003"/>
    <n v="62.62"/>
    <n v="0"/>
    <x v="57"/>
    <x v="1"/>
    <m/>
    <m/>
    <m/>
    <n v="0.62619999999999998"/>
  </r>
  <r>
    <x v="4"/>
    <x v="88"/>
    <x v="0"/>
    <x v="100"/>
    <m/>
    <m/>
    <s v="BOLT &amp; NUT, DYNABOLT 3/8&quot;"/>
    <s v="GE-000396"/>
    <n v="4"/>
    <n v="25"/>
    <m/>
    <n v="100"/>
    <x v="0"/>
    <n v="19"/>
    <n v="8.9"/>
    <n v="35.6"/>
    <n v="37.380000000000003"/>
    <n v="62.62"/>
    <n v="0"/>
    <x v="57"/>
    <x v="1"/>
    <m/>
    <m/>
    <m/>
    <n v="0.62619999999999998"/>
  </r>
  <r>
    <x v="4"/>
    <x v="113"/>
    <x v="0"/>
    <x v="2"/>
    <m/>
    <m/>
    <s v="BOLT &amp; NUT, DYNABOLT 3/8&quot;"/>
    <s v="GE-000396"/>
    <n v="4"/>
    <n v="25"/>
    <m/>
    <n v="100"/>
    <x v="0"/>
    <n v="19"/>
    <n v="8.9"/>
    <n v="35.6"/>
    <n v="37.380000000000003"/>
    <n v="62.62"/>
    <n v="0"/>
    <x v="57"/>
    <x v="1"/>
    <m/>
    <m/>
    <m/>
    <n v="0.62619999999999998"/>
  </r>
  <r>
    <x v="4"/>
    <x v="110"/>
    <x v="0"/>
    <x v="103"/>
    <m/>
    <m/>
    <s v="BOLT &amp; NUT, DYNABOLT 3/8&quot;"/>
    <s v="GE-000396"/>
    <n v="4"/>
    <n v="25"/>
    <m/>
    <n v="100"/>
    <x v="0"/>
    <n v="19"/>
    <n v="8.9"/>
    <n v="35.6"/>
    <n v="37.380000000000003"/>
    <n v="62.62"/>
    <n v="0"/>
    <x v="57"/>
    <x v="1"/>
    <m/>
    <m/>
    <m/>
    <n v="0.62619999999999998"/>
  </r>
  <r>
    <x v="5"/>
    <x v="130"/>
    <x v="2"/>
    <x v="9"/>
    <m/>
    <m/>
    <s v="BLOWER_MOTOR, TOYOTA INNOVA OLD F"/>
    <s v="CA-000227"/>
    <n v="1"/>
    <n v="1900"/>
    <m/>
    <n v="1900"/>
    <x v="0"/>
    <n v="2389"/>
    <n v="1300"/>
    <n v="1300"/>
    <n v="1365"/>
    <n v="535"/>
    <n v="160.5"/>
    <x v="15"/>
    <x v="2"/>
    <e v="#REF!"/>
    <e v="#REF!"/>
    <s v=""/>
    <n v="0.28157894736842104"/>
  </r>
  <r>
    <x v="0"/>
    <x v="6"/>
    <x v="0"/>
    <x v="8"/>
    <m/>
    <m/>
    <s v="ROD, NIHONWELD ALUMINUM "/>
    <s v="IM-000100"/>
    <n v="5"/>
    <n v="15"/>
    <m/>
    <n v="75"/>
    <x v="0"/>
    <n v="11"/>
    <n v="7"/>
    <n v="35"/>
    <n v="36.050000000000004"/>
    <n v="38.949999999999996"/>
    <n v="0"/>
    <x v="56"/>
    <x v="0"/>
    <m/>
    <m/>
    <s v=""/>
    <n v="0.51933333333333331"/>
  </r>
  <r>
    <x v="4"/>
    <x v="81"/>
    <x v="1"/>
    <x v="3"/>
    <m/>
    <m/>
    <s v="CABIN_FILTER, TOYOTA INNOVA"/>
    <s v="CA-001294"/>
    <n v="1"/>
    <n v="300"/>
    <m/>
    <n v="300"/>
    <x v="0"/>
    <n v="315"/>
    <n v="100"/>
    <n v="100"/>
    <n v="105"/>
    <n v="195"/>
    <n v="58.5"/>
    <x v="12"/>
    <x v="2"/>
    <m/>
    <m/>
    <m/>
    <n v="0.65"/>
  </r>
  <r>
    <x v="2"/>
    <x v="40"/>
    <x v="0"/>
    <x v="1"/>
    <m/>
    <m/>
    <s v="FITTINGS, BRASS FLARE NUT 5/8"/>
    <s v="IM-000051"/>
    <n v="1"/>
    <n v="75"/>
    <m/>
    <n v="75"/>
    <x v="0"/>
    <n v="64"/>
    <n v="35"/>
    <n v="35"/>
    <n v="36.050000000000004"/>
    <n v="38.949999999999996"/>
    <n v="0"/>
    <x v="33"/>
    <x v="0"/>
    <e v="#REF!"/>
    <e v="#REF!"/>
    <s v=""/>
    <n v="0.51933333333333331"/>
  </r>
  <r>
    <x v="2"/>
    <x v="50"/>
    <x v="0"/>
    <x v="49"/>
    <m/>
    <m/>
    <s v="FITTINGS, ELBOW ORING TYPE  5/8"/>
    <s v="CA-000661"/>
    <n v="2"/>
    <n v="45"/>
    <m/>
    <n v="90"/>
    <x v="0"/>
    <n v="33"/>
    <n v="17.5"/>
    <n v="35"/>
    <n v="36.75"/>
    <n v="53.25"/>
    <n v="0"/>
    <x v="33"/>
    <x v="2"/>
    <e v="#REF!"/>
    <e v="#REF!"/>
    <s v=""/>
    <n v="0.59166666666666667"/>
  </r>
  <r>
    <x v="5"/>
    <x v="130"/>
    <x v="3"/>
    <x v="12"/>
    <m/>
    <n v="2000"/>
    <s v="EVAPORATOR, MITSUBISHI LANCER 2003 (STAL)"/>
    <s v="CA-001759"/>
    <n v="1"/>
    <n v="1786"/>
    <m/>
    <n v="1786"/>
    <x v="0"/>
    <n v="2022"/>
    <n v="1100"/>
    <n v="1100"/>
    <n v="1155"/>
    <n v="631"/>
    <n v="189.29999999999998"/>
    <x v="10"/>
    <x v="2"/>
    <e v="#REF!"/>
    <e v="#REF!"/>
    <n v="2000.3200000000002"/>
    <n v="0.35330347144456886"/>
  </r>
  <r>
    <x v="4"/>
    <x v="107"/>
    <x v="0"/>
    <x v="76"/>
    <m/>
    <m/>
    <s v="HOSE,  DRAIN PUMP PER MTR"/>
    <s v="GE-000242"/>
    <n v="1"/>
    <n v="50"/>
    <m/>
    <n v="50"/>
    <x v="0"/>
    <n v="65"/>
    <n v="35"/>
    <n v="35"/>
    <n v="36.75"/>
    <n v="13.25"/>
    <n v="0"/>
    <x v="19"/>
    <x v="1"/>
    <m/>
    <m/>
    <m/>
    <n v="0.26500000000000001"/>
  </r>
  <r>
    <x v="4"/>
    <x v="75"/>
    <x v="1"/>
    <x v="3"/>
    <m/>
    <m/>
    <s v="BLOWER_MOTOR, TOYOTA REVO"/>
    <s v="CA-000229"/>
    <n v="1"/>
    <n v="1900"/>
    <m/>
    <n v="1900"/>
    <x v="0"/>
    <n v="2205"/>
    <n v="1200"/>
    <n v="1200"/>
    <n v="1260"/>
    <n v="640"/>
    <n v="192"/>
    <x v="15"/>
    <x v="2"/>
    <e v="#REF!"/>
    <e v="#REF!"/>
    <e v="#REF!"/>
    <n v="0"/>
  </r>
  <r>
    <x v="4"/>
    <x v="82"/>
    <x v="1"/>
    <x v="3"/>
    <m/>
    <m/>
    <s v="TAPE, EVER SEAL CORK TAPE"/>
    <s v="GE-000344"/>
    <n v="1"/>
    <n v="260"/>
    <m/>
    <n v="260"/>
    <x v="0"/>
    <n v="226"/>
    <n v="130"/>
    <n v="130"/>
    <n v="136.5"/>
    <n v="123.5"/>
    <n v="37.049999999999997"/>
    <x v="41"/>
    <x v="1"/>
    <e v="#REF!"/>
    <e v="#REF!"/>
    <e v="#REF!"/>
    <n v="0"/>
  </r>
  <r>
    <x v="0"/>
    <x v="27"/>
    <x v="0"/>
    <x v="32"/>
    <m/>
    <m/>
    <s v="HOSE,  DRAIN 3/4 PER METER"/>
    <s v="GE-000001"/>
    <n v="1"/>
    <n v="80"/>
    <m/>
    <n v="80"/>
    <x v="0"/>
    <n v="63"/>
    <n v="34"/>
    <n v="34"/>
    <n v="35.700000000000003"/>
    <n v="44.3"/>
    <n v="0"/>
    <x v="19"/>
    <x v="1"/>
    <m/>
    <m/>
    <s v=""/>
    <n v="0.55374999999999996"/>
  </r>
  <r>
    <x v="1"/>
    <x v="28"/>
    <x v="0"/>
    <x v="1"/>
    <m/>
    <m/>
    <s v="HOSE,  DRAIN 3/4 PER METER"/>
    <s v="GE-000001"/>
    <n v="1"/>
    <n v="80"/>
    <m/>
    <n v="80"/>
    <x v="0"/>
    <n v="63"/>
    <n v="34"/>
    <n v="34"/>
    <n v="35.700000000000003"/>
    <n v="44.3"/>
    <n v="0"/>
    <x v="19"/>
    <x v="1"/>
    <e v="#REF!"/>
    <e v="#REF!"/>
    <e v="#REF!"/>
    <n v="0.55374999999999996"/>
  </r>
  <r>
    <x v="0"/>
    <x v="1"/>
    <x v="0"/>
    <x v="1"/>
    <m/>
    <m/>
    <s v="RUBBER_INSULATION, M-FLEX 1/2&quot; 1/4"/>
    <s v="IM-000229"/>
    <n v="1"/>
    <n v="45"/>
    <m/>
    <n v="45"/>
    <x v="0"/>
    <n v="47"/>
    <n v="33.6"/>
    <n v="33.6"/>
    <n v="34.608000000000004"/>
    <n v="10.391999999999996"/>
    <n v="0"/>
    <x v="22"/>
    <x v="0"/>
    <m/>
    <m/>
    <s v=""/>
    <n v="0.23093333333333324"/>
  </r>
  <r>
    <x v="2"/>
    <x v="44"/>
    <x v="0"/>
    <x v="32"/>
    <m/>
    <m/>
    <s v="RUBBER_INSULATION, M-FLEX 1/2&quot; 1/4"/>
    <s v="IM-000229"/>
    <n v="1"/>
    <n v="45"/>
    <m/>
    <n v="45"/>
    <x v="0"/>
    <n v="47"/>
    <n v="33.6"/>
    <n v="33.6"/>
    <n v="34.608000000000004"/>
    <n v="10.391999999999996"/>
    <n v="0"/>
    <x v="22"/>
    <x v="0"/>
    <e v="#REF!"/>
    <e v="#REF!"/>
    <s v=""/>
    <n v="0.23093333333333324"/>
  </r>
  <r>
    <x v="4"/>
    <x v="88"/>
    <x v="0"/>
    <x v="32"/>
    <m/>
    <m/>
    <s v="RUBBER_INSULATION, M-FLEX 1/2&quot; 1/4"/>
    <s v="IM-000229"/>
    <n v="1"/>
    <n v="60"/>
    <m/>
    <n v="60"/>
    <x v="0"/>
    <n v="47"/>
    <n v="33.6"/>
    <n v="33.6"/>
    <n v="34.608000000000004"/>
    <n v="25.391999999999996"/>
    <n v="0"/>
    <x v="22"/>
    <x v="0"/>
    <m/>
    <m/>
    <m/>
    <n v="0.42319999999999991"/>
  </r>
  <r>
    <x v="4"/>
    <x v="90"/>
    <x v="0"/>
    <x v="63"/>
    <m/>
    <m/>
    <s v="RUBBER_INSULATION, M-FLEX 1/2&quot; 1/4"/>
    <s v="IM-000229"/>
    <n v="1"/>
    <n v="50"/>
    <m/>
    <n v="50"/>
    <x v="0"/>
    <n v="47"/>
    <n v="33.6"/>
    <n v="33.6"/>
    <n v="34.608000000000004"/>
    <n v="15.391999999999996"/>
    <n v="0"/>
    <x v="22"/>
    <x v="0"/>
    <m/>
    <m/>
    <m/>
    <n v="0.30783999999999989"/>
  </r>
  <r>
    <x v="4"/>
    <x v="79"/>
    <x v="0"/>
    <x v="32"/>
    <m/>
    <m/>
    <s v="RUBBER_INSULATION, M-FLEX 1/2&quot; 1/4"/>
    <s v="IM-000229"/>
    <n v="1"/>
    <n v="50"/>
    <m/>
    <n v="50"/>
    <x v="0"/>
    <n v="47"/>
    <n v="33.6"/>
    <n v="33.6"/>
    <n v="34.608000000000004"/>
    <n v="15.391999999999996"/>
    <n v="0"/>
    <x v="22"/>
    <x v="0"/>
    <m/>
    <m/>
    <m/>
    <n v="0.30783999999999989"/>
  </r>
  <r>
    <x v="5"/>
    <x v="130"/>
    <x v="0"/>
    <x v="11"/>
    <m/>
    <m/>
    <s v="TAPE_FOAM, AEROTAPE 3MM X 50 MM X 9.1 MTR  04/02/25"/>
    <s v="IM-000332"/>
    <n v="1"/>
    <n v="380"/>
    <m/>
    <n v="380"/>
    <x v="0"/>
    <n v="510"/>
    <n v="330"/>
    <n v="330"/>
    <n v="339.90000000000003"/>
    <n v="40.099999999999966"/>
    <n v="0"/>
    <x v="25"/>
    <x v="0"/>
    <e v="#REF!"/>
    <e v="#REF!"/>
    <s v=""/>
    <n v="0.10552631578947359"/>
  </r>
  <r>
    <x v="5"/>
    <x v="130"/>
    <x v="0"/>
    <x v="23"/>
    <m/>
    <m/>
    <s v="TAPE_FOAM, AEROTAPE 3MM X 50 MM X 9.1 MTR  04/02/25"/>
    <s v="IM-000332"/>
    <n v="1"/>
    <n v="380"/>
    <m/>
    <n v="380"/>
    <x v="0"/>
    <n v="510"/>
    <n v="330"/>
    <n v="330"/>
    <n v="339.90000000000003"/>
    <n v="40.099999999999966"/>
    <n v="0"/>
    <x v="25"/>
    <x v="0"/>
    <e v="#REF!"/>
    <e v="#REF!"/>
    <s v=""/>
    <n v="0.10552631578947359"/>
  </r>
  <r>
    <x v="5"/>
    <x v="130"/>
    <x v="0"/>
    <x v="1"/>
    <m/>
    <m/>
    <s v="MAPP_GAS, MAP PRO TORCH GAS"/>
    <s v="IM-000218"/>
    <n v="1"/>
    <n v="380"/>
    <m/>
    <n v="380"/>
    <x v="0"/>
    <n v="451"/>
    <n v="250"/>
    <n v="250"/>
    <n v="257.5"/>
    <n v="122.5"/>
    <n v="0"/>
    <x v="45"/>
    <x v="0"/>
    <e v="#REF!"/>
    <e v="#REF!"/>
    <s v=""/>
    <n v="0.32236842105263158"/>
  </r>
  <r>
    <x v="5"/>
    <x v="130"/>
    <x v="0"/>
    <x v="36"/>
    <m/>
    <m/>
    <s v="EXP. VALVE LT, POKKA 9A129B ACCENT"/>
    <s v="CA-000629"/>
    <n v="2"/>
    <n v="600"/>
    <m/>
    <n v="1200"/>
    <x v="0"/>
    <n v="625"/>
    <n v="340"/>
    <n v="680"/>
    <n v="714"/>
    <n v="486"/>
    <n v="0"/>
    <x v="23"/>
    <x v="2"/>
    <e v="#REF!"/>
    <e v="#REF!"/>
    <s v=""/>
    <n v="0.40500000000000003"/>
  </r>
  <r>
    <x v="2"/>
    <x v="44"/>
    <x v="1"/>
    <x v="5"/>
    <m/>
    <m/>
    <s v="FITTINGS, STRAIGHT ORING TYPE 5/8"/>
    <s v="CA-000677"/>
    <n v="2"/>
    <n v="45"/>
    <m/>
    <n v="90"/>
    <x v="0"/>
    <n v="30"/>
    <n v="16"/>
    <n v="32"/>
    <n v="33.6"/>
    <n v="56.4"/>
    <n v="16.919999999999998"/>
    <x v="33"/>
    <x v="2"/>
    <e v="#REF!"/>
    <e v="#REF!"/>
    <s v=""/>
    <n v="0.62666666666666671"/>
  </r>
  <r>
    <x v="2"/>
    <x v="50"/>
    <x v="0"/>
    <x v="49"/>
    <m/>
    <m/>
    <s v="FITTINGS, STRAIGHT ORING TYPE 5/8"/>
    <s v="CA-000677"/>
    <n v="2"/>
    <n v="40"/>
    <m/>
    <n v="80"/>
    <x v="0"/>
    <n v="30"/>
    <n v="16"/>
    <n v="32"/>
    <n v="33.6"/>
    <n v="46.4"/>
    <n v="0"/>
    <x v="33"/>
    <x v="2"/>
    <e v="#REF!"/>
    <e v="#REF!"/>
    <s v=""/>
    <n v="0.57999999999999996"/>
  </r>
  <r>
    <x v="5"/>
    <x v="83"/>
    <x v="1"/>
    <x v="3"/>
    <m/>
    <m/>
    <s v="EVAPORATOR, TOYOTA HIACE 08 REAR"/>
    <s v="CA-001320"/>
    <n v="1"/>
    <n v="2200"/>
    <m/>
    <n v="2200"/>
    <x v="0"/>
    <n v="2757"/>
    <n v="1500"/>
    <n v="1500"/>
    <n v="1575"/>
    <n v="625"/>
    <n v="187.5"/>
    <x v="10"/>
    <x v="2"/>
    <e v="#REF!"/>
    <e v="#REF!"/>
    <s v=""/>
    <n v="0.28409090909090912"/>
  </r>
  <r>
    <x v="1"/>
    <x v="114"/>
    <x v="0"/>
    <x v="1"/>
    <m/>
    <m/>
    <s v="BOLT &amp; NUT, DYNABOLT 5/16&quot;"/>
    <s v="GE-000397"/>
    <n v="5"/>
    <n v="20"/>
    <m/>
    <n v="100"/>
    <x v="0"/>
    <n v="14"/>
    <n v="6.5"/>
    <n v="32.5"/>
    <n v="34.125"/>
    <n v="65.875"/>
    <n v="0"/>
    <x v="57"/>
    <x v="1"/>
    <e v="#REF!"/>
    <e v="#REF!"/>
    <s v=""/>
    <n v="0.65874999999999995"/>
  </r>
  <r>
    <x v="3"/>
    <x v="123"/>
    <x v="0"/>
    <x v="102"/>
    <m/>
    <m/>
    <s v="BOLT &amp; NUT, DYNABOLT 5/16&quot;"/>
    <s v="GE-000397"/>
    <n v="5"/>
    <n v="20"/>
    <m/>
    <n v="100"/>
    <x v="0"/>
    <n v="14"/>
    <n v="6.5"/>
    <n v="32.5"/>
    <n v="34.125"/>
    <n v="65.875"/>
    <n v="0"/>
    <x v="57"/>
    <x v="1"/>
    <m/>
    <m/>
    <m/>
    <n v="0.65874999999999995"/>
  </r>
  <r>
    <x v="3"/>
    <x v="85"/>
    <x v="0"/>
    <x v="102"/>
    <m/>
    <m/>
    <s v="BOLT &amp; NUT, DYNABOLT 5/16&quot;"/>
    <s v="GE-000397"/>
    <n v="5"/>
    <n v="20"/>
    <m/>
    <n v="100"/>
    <x v="0"/>
    <n v="14"/>
    <n v="6.5"/>
    <n v="32.5"/>
    <n v="34.125"/>
    <n v="65.875"/>
    <n v="0"/>
    <x v="57"/>
    <x v="1"/>
    <m/>
    <m/>
    <m/>
    <n v="0.65874999999999995"/>
  </r>
  <r>
    <x v="4"/>
    <x v="88"/>
    <x v="0"/>
    <x v="102"/>
    <m/>
    <m/>
    <s v="BOLT &amp; NUT, DYNABOLT 5/16&quot;"/>
    <s v="GE-000397"/>
    <n v="5"/>
    <n v="20"/>
    <m/>
    <n v="100"/>
    <x v="0"/>
    <n v="14"/>
    <n v="6.5"/>
    <n v="32.5"/>
    <n v="34.125"/>
    <n v="65.875"/>
    <n v="0"/>
    <x v="57"/>
    <x v="1"/>
    <m/>
    <m/>
    <m/>
    <n v="0.65874999999999995"/>
  </r>
  <r>
    <x v="5"/>
    <x v="126"/>
    <x v="1"/>
    <x v="3"/>
    <m/>
    <m/>
    <s v="REFRIGERANT, ENTALPIA EUROPE R134A 13.6   5/19/26 NBO"/>
    <s v=""/>
    <n v="1"/>
    <n v="8700"/>
    <m/>
    <n v="8700"/>
    <x v="0"/>
    <n v="0"/>
    <n v="0"/>
    <n v="0"/>
    <n v="0"/>
    <n v="8700"/>
    <n v="2610"/>
    <x v="13"/>
    <x v="3"/>
    <e v="#REF!"/>
    <e v="#REF!"/>
    <s v=""/>
    <n v="1"/>
  </r>
  <r>
    <x v="3"/>
    <x v="87"/>
    <x v="0"/>
    <x v="49"/>
    <m/>
    <m/>
    <s v="FITTINGS, STRAIGHT FLARE TYPE 5/8"/>
    <s v="CA-000673"/>
    <n v="2"/>
    <n v="40"/>
    <m/>
    <n v="80"/>
    <x v="0"/>
    <n v="30"/>
    <n v="16"/>
    <n v="32"/>
    <n v="33.6"/>
    <n v="46.4"/>
    <n v="0"/>
    <x v="33"/>
    <x v="2"/>
    <m/>
    <m/>
    <m/>
    <n v="0.57999999999999996"/>
  </r>
  <r>
    <x v="4"/>
    <x v="94"/>
    <x v="0"/>
    <x v="49"/>
    <m/>
    <m/>
    <s v="FITTINGS, STRAIGHT FLARE TYPE 5/8"/>
    <s v="CA-000673"/>
    <n v="2"/>
    <n v="40"/>
    <m/>
    <n v="80"/>
    <x v="0"/>
    <n v="30"/>
    <n v="16"/>
    <n v="32"/>
    <n v="33.6"/>
    <n v="46.4"/>
    <n v="0"/>
    <x v="33"/>
    <x v="2"/>
    <m/>
    <m/>
    <m/>
    <n v="0.57999999999999996"/>
  </r>
  <r>
    <x v="5"/>
    <x v="130"/>
    <x v="0"/>
    <x v="1"/>
    <m/>
    <n v="540"/>
    <s v="CAPACITOR_DOUBLE, PS CBB65 30 + 4 UF"/>
    <s v="GE-000279"/>
    <n v="1"/>
    <n v="540"/>
    <m/>
    <n v="540"/>
    <x v="0"/>
    <n v="350"/>
    <n v="190"/>
    <n v="190"/>
    <n v="199.5"/>
    <n v="340.5"/>
    <n v="0"/>
    <x v="65"/>
    <x v="1"/>
    <e v="#REF!"/>
    <e v="#REF!"/>
    <n v="604.80000000000007"/>
    <n v="0.63055555555555554"/>
  </r>
  <r>
    <x v="0"/>
    <x v="0"/>
    <x v="5"/>
    <x v="37"/>
    <m/>
    <m/>
    <s v="PIPE CLAMP , DOUBLE HOLE 1/2"/>
    <s v="GE-000247"/>
    <n v="10"/>
    <n v="15"/>
    <m/>
    <n v="150"/>
    <x v="0"/>
    <n v="6"/>
    <n v="3.1"/>
    <n v="31"/>
    <n v="32.550000000000004"/>
    <n v="117.44999999999999"/>
    <n v="35.234999999999992"/>
    <x v="78"/>
    <x v="1"/>
    <m/>
    <m/>
    <s v=""/>
    <n v="0.78299999999999992"/>
  </r>
  <r>
    <x v="0"/>
    <x v="0"/>
    <x v="0"/>
    <x v="32"/>
    <m/>
    <m/>
    <s v="TAPE ELECTRICAL, CROCO 0.16 MM X 19 MM X 16 M"/>
    <s v="GE-000375"/>
    <n v="1"/>
    <n v="50"/>
    <m/>
    <n v="50"/>
    <x v="0"/>
    <n v="52"/>
    <n v="30"/>
    <n v="30"/>
    <n v="31.5"/>
    <n v="18.5"/>
    <n v="0"/>
    <x v="50"/>
    <x v="1"/>
    <m/>
    <m/>
    <m/>
    <n v="0.37"/>
  </r>
  <r>
    <x v="4"/>
    <x v="102"/>
    <x v="1"/>
    <x v="60"/>
    <m/>
    <m/>
    <s v="BOLT &amp; NUT, GI, SET 5/16"/>
    <s v="IM-000003"/>
    <n v="6"/>
    <n v="14"/>
    <m/>
    <n v="84"/>
    <x v="0"/>
    <n v="10"/>
    <n v="5"/>
    <n v="30"/>
    <n v="30.900000000000002"/>
    <n v="53.099999999999994"/>
    <n v="15.929999999999998"/>
    <x v="57"/>
    <x v="0"/>
    <m/>
    <m/>
    <m/>
    <n v="0.63214285714285712"/>
  </r>
  <r>
    <x v="5"/>
    <x v="126"/>
    <x v="1"/>
    <x v="3"/>
    <m/>
    <m/>
    <s v="EXP. VALVE LT, POKKA 9A129B ACCENT"/>
    <s v="CA-000629"/>
    <n v="1"/>
    <n v="600"/>
    <m/>
    <n v="600"/>
    <x v="0"/>
    <n v="625"/>
    <n v="340"/>
    <n v="340"/>
    <n v="357"/>
    <n v="243"/>
    <n v="72.899999999999991"/>
    <x v="23"/>
    <x v="2"/>
    <e v="#REF!"/>
    <e v="#REF!"/>
    <s v=""/>
    <n v="0.40500000000000003"/>
  </r>
  <r>
    <x v="2"/>
    <x v="44"/>
    <x v="1"/>
    <x v="5"/>
    <m/>
    <m/>
    <s v="FITTINGS, STRAIGHT ORING TYPE 1/2"/>
    <s v="CA-000674"/>
    <n v="2"/>
    <n v="40"/>
    <m/>
    <n v="80"/>
    <x v="0"/>
    <n v="30"/>
    <n v="16"/>
    <n v="32"/>
    <n v="33.6"/>
    <n v="46.4"/>
    <n v="13.92"/>
    <x v="33"/>
    <x v="2"/>
    <e v="#REF!"/>
    <e v="#REF!"/>
    <s v=""/>
    <n v="0.57999999999999996"/>
  </r>
  <r>
    <x v="2"/>
    <x v="50"/>
    <x v="0"/>
    <x v="49"/>
    <m/>
    <m/>
    <s v="FITTINGS, STRAIGHT ORING TYPE 3/8"/>
    <s v="CA-000675"/>
    <n v="2"/>
    <n v="40"/>
    <m/>
    <n v="80"/>
    <x v="0"/>
    <n v="30"/>
    <n v="16"/>
    <n v="32"/>
    <n v="33.6"/>
    <n v="46.4"/>
    <n v="0"/>
    <x v="33"/>
    <x v="2"/>
    <e v="#REF!"/>
    <e v="#REF!"/>
    <s v=""/>
    <n v="0.57999999999999996"/>
  </r>
  <r>
    <x v="2"/>
    <x v="50"/>
    <x v="0"/>
    <x v="49"/>
    <m/>
    <m/>
    <s v="FITTINGS, ELBOW ORING TYPE  3/8"/>
    <s v="CA-000659"/>
    <n v="2"/>
    <n v="40"/>
    <m/>
    <n v="80"/>
    <x v="0"/>
    <n v="27"/>
    <n v="14.5"/>
    <n v="29"/>
    <n v="30.450000000000003"/>
    <n v="49.55"/>
    <n v="0"/>
    <x v="33"/>
    <x v="2"/>
    <e v="#REF!"/>
    <e v="#REF!"/>
    <s v=""/>
    <n v="0.61937500000000001"/>
  </r>
  <r>
    <x v="4"/>
    <x v="89"/>
    <x v="0"/>
    <x v="109"/>
    <m/>
    <m/>
    <s v="REF_DRIER, OMNI WELDED TYPE  DOUBLE"/>
    <s v="GE-000004"/>
    <n v="1"/>
    <n v="60"/>
    <m/>
    <n v="60"/>
    <x v="0"/>
    <n v="60.900000000000006"/>
    <n v="29"/>
    <n v="29"/>
    <n v="30.450000000000003"/>
    <n v="29.549999999999997"/>
    <n v="0"/>
    <x v="73"/>
    <x v="1"/>
    <m/>
    <m/>
    <m/>
    <n v="0.49249999999999994"/>
  </r>
  <r>
    <x v="4"/>
    <x v="90"/>
    <x v="0"/>
    <x v="109"/>
    <m/>
    <m/>
    <s v="REF_DRIER, OMNI WELDED TYPE  DOUBLE"/>
    <s v="GE-000004"/>
    <n v="1"/>
    <n v="60"/>
    <m/>
    <n v="60"/>
    <x v="0"/>
    <n v="60.900000000000006"/>
    <n v="29"/>
    <n v="29"/>
    <n v="30.450000000000003"/>
    <n v="29.549999999999997"/>
    <n v="0"/>
    <x v="73"/>
    <x v="1"/>
    <m/>
    <m/>
    <m/>
    <n v="0.49249999999999994"/>
  </r>
  <r>
    <x v="4"/>
    <x v="94"/>
    <x v="0"/>
    <x v="1"/>
    <m/>
    <m/>
    <s v="REF_DRIER, OMNI WELDED TYPE  DOUBLE"/>
    <s v="GE-000004"/>
    <n v="1"/>
    <n v="60"/>
    <m/>
    <n v="60"/>
    <x v="0"/>
    <n v="60.900000000000006"/>
    <n v="29"/>
    <n v="29"/>
    <n v="30.450000000000003"/>
    <n v="29.549999999999997"/>
    <n v="0"/>
    <x v="73"/>
    <x v="1"/>
    <m/>
    <m/>
    <m/>
    <n v="0.49249999999999994"/>
  </r>
  <r>
    <x v="0"/>
    <x v="31"/>
    <x v="0"/>
    <x v="35"/>
    <m/>
    <m/>
    <s v="REF_DRIER, OMNI WELDED TYPE  SINGLE"/>
    <s v="GE-000005"/>
    <n v="1"/>
    <n v="60"/>
    <m/>
    <n v="60"/>
    <x v="0"/>
    <n v="58.800000000000004"/>
    <n v="28"/>
    <n v="28"/>
    <n v="29.400000000000002"/>
    <n v="30.599999999999998"/>
    <n v="0"/>
    <x v="73"/>
    <x v="1"/>
    <m/>
    <m/>
    <s v=""/>
    <n v="0.51"/>
  </r>
  <r>
    <x v="0"/>
    <x v="47"/>
    <x v="0"/>
    <x v="35"/>
    <m/>
    <m/>
    <s v="REF_DRIER, OMNI WELDED TYPE  SINGLE"/>
    <s v="GE-000005"/>
    <n v="1"/>
    <n v="60"/>
    <m/>
    <n v="60"/>
    <x v="0"/>
    <n v="58.800000000000004"/>
    <n v="28"/>
    <n v="28"/>
    <n v="29.400000000000002"/>
    <n v="30.599999999999998"/>
    <n v="0"/>
    <x v="73"/>
    <x v="1"/>
    <m/>
    <m/>
    <s v=""/>
    <n v="0.51"/>
  </r>
  <r>
    <x v="0"/>
    <x v="99"/>
    <x v="0"/>
    <x v="1"/>
    <m/>
    <m/>
    <s v="REF_DRIER, OMNI WELDED TYPE  SINGLE"/>
    <s v="GE-000005"/>
    <n v="1"/>
    <n v="60"/>
    <m/>
    <n v="60"/>
    <x v="0"/>
    <n v="58.800000000000004"/>
    <n v="28"/>
    <n v="28"/>
    <n v="29.400000000000002"/>
    <n v="30.599999999999998"/>
    <n v="0"/>
    <x v="73"/>
    <x v="1"/>
    <m/>
    <m/>
    <s v=""/>
    <n v="0.51"/>
  </r>
  <r>
    <x v="1"/>
    <x v="20"/>
    <x v="0"/>
    <x v="1"/>
    <m/>
    <m/>
    <s v="AC FILTER DRIER ,  DOUBLE"/>
    <s v="GE-000221"/>
    <n v="1"/>
    <n v="60"/>
    <m/>
    <n v="60"/>
    <x v="0"/>
    <n v="58.800000000000004"/>
    <n v="28"/>
    <n v="28"/>
    <n v="29.400000000000002"/>
    <n v="30.599999999999998"/>
    <n v="0"/>
    <x v="66"/>
    <x v="1"/>
    <e v="#REF!"/>
    <e v="#REF!"/>
    <s v=""/>
    <n v="0.51"/>
  </r>
  <r>
    <x v="1"/>
    <x v="32"/>
    <x v="0"/>
    <x v="1"/>
    <m/>
    <m/>
    <s v="AC FILTER DRIER ,  DOUBLE"/>
    <s v="GE-000221"/>
    <n v="1"/>
    <n v="60"/>
    <m/>
    <n v="60"/>
    <x v="0"/>
    <n v="58.800000000000004"/>
    <n v="28"/>
    <n v="28"/>
    <n v="29.400000000000002"/>
    <n v="30.599999999999998"/>
    <n v="0"/>
    <x v="66"/>
    <x v="1"/>
    <e v="#REF!"/>
    <e v="#REF!"/>
    <e v="#REF!"/>
    <n v="0.51"/>
  </r>
  <r>
    <x v="1"/>
    <x v="34"/>
    <x v="0"/>
    <x v="1"/>
    <m/>
    <m/>
    <s v="AC FILTER DRIER ,  DOUBLE"/>
    <s v="GE-000221"/>
    <n v="1"/>
    <n v="60"/>
    <m/>
    <n v="60"/>
    <x v="0"/>
    <n v="58.800000000000004"/>
    <n v="28"/>
    <n v="28"/>
    <n v="29.400000000000002"/>
    <n v="30.599999999999998"/>
    <n v="0"/>
    <x v="66"/>
    <x v="1"/>
    <e v="#REF!"/>
    <e v="#REF!"/>
    <e v="#REF!"/>
    <n v="0"/>
  </r>
  <r>
    <x v="2"/>
    <x v="45"/>
    <x v="0"/>
    <x v="2"/>
    <m/>
    <m/>
    <s v="AC FILTER DRIER ,  DOUBLE"/>
    <s v="GE-000221"/>
    <n v="1"/>
    <n v="60"/>
    <m/>
    <n v="60"/>
    <x v="0"/>
    <n v="58.800000000000004"/>
    <n v="28"/>
    <n v="28"/>
    <n v="29.400000000000002"/>
    <n v="30.599999999999998"/>
    <n v="0"/>
    <x v="66"/>
    <x v="1"/>
    <e v="#REF!"/>
    <e v="#REF!"/>
    <s v=""/>
    <n v="0.51"/>
  </r>
  <r>
    <x v="4"/>
    <x v="107"/>
    <x v="0"/>
    <x v="1"/>
    <m/>
    <m/>
    <s v="REF_DRIER, OMNI WELDED TYPE  SINGLE"/>
    <s v="GE-000005"/>
    <n v="1"/>
    <n v="60"/>
    <m/>
    <n v="60"/>
    <x v="0"/>
    <n v="58.800000000000004"/>
    <n v="28"/>
    <n v="28"/>
    <n v="29.400000000000002"/>
    <n v="30.599999999999998"/>
    <n v="0"/>
    <x v="73"/>
    <x v="1"/>
    <m/>
    <m/>
    <m/>
    <n v="0.51"/>
  </r>
  <r>
    <x v="4"/>
    <x v="75"/>
    <x v="0"/>
    <x v="1"/>
    <m/>
    <m/>
    <s v="REF_DRIER, OMNI WELDED TYPE  SINGLE"/>
    <s v="GE-000005"/>
    <n v="1"/>
    <n v="60"/>
    <m/>
    <n v="60"/>
    <x v="0"/>
    <n v="58.800000000000004"/>
    <n v="28"/>
    <n v="28"/>
    <n v="29.400000000000002"/>
    <n v="30.599999999999998"/>
    <n v="0"/>
    <x v="73"/>
    <x v="1"/>
    <e v="#REF!"/>
    <e v="#REF!"/>
    <e v="#REF!"/>
    <n v="0"/>
  </r>
  <r>
    <x v="0"/>
    <x v="13"/>
    <x v="0"/>
    <x v="1"/>
    <m/>
    <m/>
    <s v="FITTINGS, COPPER ELBOW 1/2 LR"/>
    <s v="IM-000079"/>
    <n v="1"/>
    <n v="42"/>
    <m/>
    <n v="42"/>
    <x v="0"/>
    <n v="47"/>
    <n v="26"/>
    <n v="26"/>
    <n v="26.78"/>
    <n v="15.219999999999999"/>
    <n v="0"/>
    <x v="33"/>
    <x v="0"/>
    <e v="#REF!"/>
    <e v="#REF!"/>
    <s v=""/>
    <n v="0.36238095238095236"/>
  </r>
  <r>
    <x v="1"/>
    <x v="100"/>
    <x v="0"/>
    <x v="8"/>
    <m/>
    <m/>
    <s v="FERULLE,  1/2&quot;"/>
    <s v="CA-000644"/>
    <n v="4"/>
    <n v="15"/>
    <m/>
    <n v="60"/>
    <x v="0"/>
    <n v="13"/>
    <n v="7"/>
    <n v="28"/>
    <n v="29.400000000000002"/>
    <n v="30.599999999999998"/>
    <n v="0"/>
    <x v="42"/>
    <x v="2"/>
    <e v="#REF!"/>
    <e v="#REF!"/>
    <s v=""/>
    <n v="0.51"/>
  </r>
  <r>
    <x v="2"/>
    <x v="48"/>
    <x v="0"/>
    <x v="1"/>
    <m/>
    <m/>
    <s v="RELAY, REF PTC 3 PINS"/>
    <s v="GE-000166"/>
    <n v="1"/>
    <n v="90"/>
    <m/>
    <n v="90"/>
    <x v="0"/>
    <n v="86"/>
    <n v="26"/>
    <n v="26"/>
    <n v="27.3"/>
    <n v="62.7"/>
    <n v="0"/>
    <x v="79"/>
    <x v="1"/>
    <e v="#REF!"/>
    <e v="#REF!"/>
    <s v=""/>
    <n v="0.69666666666666666"/>
  </r>
  <r>
    <x v="3"/>
    <x v="85"/>
    <x v="0"/>
    <x v="1"/>
    <m/>
    <m/>
    <s v="OVERLOAD, AC 1 HP"/>
    <s v="GE-000142"/>
    <n v="1"/>
    <n v="100"/>
    <m/>
    <n v="100"/>
    <x v="0"/>
    <n v="48"/>
    <n v="26"/>
    <n v="26"/>
    <n v="27.3"/>
    <n v="72.7"/>
    <n v="0"/>
    <x v="77"/>
    <x v="1"/>
    <m/>
    <m/>
    <m/>
    <n v="0.72699999999999998"/>
  </r>
  <r>
    <x v="4"/>
    <x v="102"/>
    <x v="1"/>
    <x v="60"/>
    <m/>
    <m/>
    <s v="BOLT &amp; NUT, DYNABOLT 5/16&quot;"/>
    <s v="GE-000397"/>
    <n v="4"/>
    <n v="20"/>
    <m/>
    <n v="80"/>
    <x v="0"/>
    <n v="14"/>
    <n v="6.5"/>
    <n v="26"/>
    <n v="27.3"/>
    <n v="52.7"/>
    <n v="15.81"/>
    <x v="57"/>
    <x v="1"/>
    <m/>
    <m/>
    <m/>
    <n v="0.65875000000000006"/>
  </r>
  <r>
    <x v="4"/>
    <x v="88"/>
    <x v="0"/>
    <x v="1"/>
    <m/>
    <m/>
    <s v="BOLT &amp; NUT, DYNABOLT 5/16&quot;"/>
    <s v="GE-000397"/>
    <n v="4"/>
    <n v="25"/>
    <m/>
    <n v="100"/>
    <x v="0"/>
    <n v="14"/>
    <n v="6.5"/>
    <n v="26"/>
    <n v="27.3"/>
    <n v="72.7"/>
    <n v="0"/>
    <x v="57"/>
    <x v="1"/>
    <m/>
    <m/>
    <m/>
    <n v="0.72699999999999998"/>
  </r>
  <r>
    <x v="5"/>
    <x v="130"/>
    <x v="2"/>
    <x v="9"/>
    <m/>
    <m/>
    <s v="RECEIVER_DRIER_ALUMINUM, YK 40 X 235 (DMAX)"/>
    <s v="CA-001082"/>
    <n v="2"/>
    <n v="550"/>
    <m/>
    <n v="1100"/>
    <x v="0"/>
    <n v="662"/>
    <n v="280"/>
    <n v="560"/>
    <n v="588"/>
    <n v="512"/>
    <n v="153.6"/>
    <x v="27"/>
    <x v="2"/>
    <e v="#REF!"/>
    <e v="#REF!"/>
    <s v=""/>
    <n v="0.46545454545454545"/>
  </r>
  <r>
    <x v="4"/>
    <x v="77"/>
    <x v="0"/>
    <x v="8"/>
    <m/>
    <m/>
    <s v="FERULLE,  5/8&quot;"/>
    <s v="CA-000646"/>
    <n v="4"/>
    <n v="15"/>
    <m/>
    <n v="60"/>
    <x v="0"/>
    <n v="13"/>
    <n v="7"/>
    <n v="28"/>
    <n v="29.400000000000002"/>
    <n v="30.599999999999998"/>
    <n v="0"/>
    <x v="42"/>
    <x v="2"/>
    <e v="#REF!"/>
    <e v="#REF!"/>
    <e v="#REF!"/>
    <n v="0"/>
  </r>
  <r>
    <x v="4"/>
    <x v="77"/>
    <x v="0"/>
    <x v="35"/>
    <m/>
    <m/>
    <s v="BOLT &amp; NUT, DYNABOLT 5/16&quot;"/>
    <s v="GE-000397"/>
    <n v="4"/>
    <n v="20"/>
    <m/>
    <n v="80"/>
    <x v="0"/>
    <n v="14"/>
    <n v="6.5"/>
    <n v="26"/>
    <n v="27.3"/>
    <n v="52.7"/>
    <n v="0"/>
    <x v="57"/>
    <x v="1"/>
    <e v="#REF!"/>
    <e v="#REF!"/>
    <e v="#REF!"/>
    <n v="0"/>
  </r>
  <r>
    <x v="3"/>
    <x v="62"/>
    <x v="0"/>
    <x v="2"/>
    <m/>
    <n v="8"/>
    <s v="BOLT &amp; NUT, TOX WITH METAL SCREW #8"/>
    <s v="GE-000404"/>
    <n v="20"/>
    <n v="7"/>
    <m/>
    <n v="140"/>
    <x v="0"/>
    <n v="3"/>
    <n v="1.25"/>
    <n v="25"/>
    <n v="26.25"/>
    <n v="113.75"/>
    <n v="0"/>
    <x v="57"/>
    <x v="1"/>
    <m/>
    <m/>
    <n v="7.8400000000000007"/>
    <n v="0.8125"/>
  </r>
  <r>
    <x v="5"/>
    <x v="130"/>
    <x v="0"/>
    <x v="27"/>
    <m/>
    <m/>
    <s v="RUBBER_INSULATION, M-FLEX 1/2&quot; 3/8"/>
    <s v="IM-000231"/>
    <n v="2"/>
    <n v="60"/>
    <m/>
    <n v="120"/>
    <x v="0"/>
    <n v="53"/>
    <n v="37.6"/>
    <n v="75.2"/>
    <n v="77.456000000000003"/>
    <n v="42.543999999999997"/>
    <n v="0"/>
    <x v="22"/>
    <x v="0"/>
    <e v="#REF!"/>
    <e v="#REF!"/>
    <s v=""/>
    <n v="0.35453333333333331"/>
  </r>
  <r>
    <x v="5"/>
    <x v="130"/>
    <x v="0"/>
    <x v="27"/>
    <m/>
    <m/>
    <s v="TAPE_PE, PICUS Polythelene Tape (White)X 4&quot;"/>
    <s v="IM-000247"/>
    <n v="1"/>
    <n v="125"/>
    <m/>
    <n v="125"/>
    <x v="0"/>
    <n v="147"/>
    <n v="75"/>
    <n v="75"/>
    <n v="77.25"/>
    <n v="47.75"/>
    <n v="0"/>
    <x v="29"/>
    <x v="0"/>
    <e v="#REF!"/>
    <e v="#REF!"/>
    <s v=""/>
    <n v="0.38200000000000001"/>
  </r>
  <r>
    <x v="2"/>
    <x v="40"/>
    <x v="0"/>
    <x v="1"/>
    <m/>
    <m/>
    <s v="FITTINGS, BRASS FLARE NUT 3/8"/>
    <s v="IM-000050"/>
    <n v="1"/>
    <n v="55"/>
    <m/>
    <n v="55"/>
    <x v="0"/>
    <n v="44"/>
    <n v="24"/>
    <n v="24"/>
    <n v="24.72"/>
    <n v="30.28"/>
    <n v="0"/>
    <x v="33"/>
    <x v="0"/>
    <e v="#REF!"/>
    <e v="#REF!"/>
    <s v=""/>
    <n v="0.55054545454545456"/>
  </r>
  <r>
    <x v="2"/>
    <x v="49"/>
    <x v="0"/>
    <x v="1"/>
    <m/>
    <m/>
    <s v="FITTINGS, BRASS FLARE NUT 1/4"/>
    <s v="IM-000049"/>
    <n v="2"/>
    <n v="35"/>
    <m/>
    <n v="70"/>
    <x v="0"/>
    <n v="26"/>
    <n v="14"/>
    <n v="28"/>
    <n v="28.84"/>
    <n v="41.16"/>
    <n v="0"/>
    <x v="33"/>
    <x v="0"/>
    <e v="#REF!"/>
    <e v="#REF!"/>
    <s v=""/>
    <n v="0.58799999999999997"/>
  </r>
  <r>
    <x v="3"/>
    <x v="61"/>
    <x v="5"/>
    <x v="37"/>
    <m/>
    <m/>
    <s v="FITTINGS, BRASS FLARE NUT 1/4"/>
    <s v="IM-000049"/>
    <n v="2"/>
    <n v="35"/>
    <m/>
    <n v="70"/>
    <x v="0"/>
    <n v="26"/>
    <n v="14"/>
    <n v="28"/>
    <n v="28.84"/>
    <n v="41.16"/>
    <n v="12.347999999999999"/>
    <x v="33"/>
    <x v="0"/>
    <m/>
    <m/>
    <s v=""/>
    <n v="0.58799999999999997"/>
  </r>
  <r>
    <x v="3"/>
    <x v="61"/>
    <x v="6"/>
    <x v="39"/>
    <m/>
    <m/>
    <s v="HOSE, ELECTRICAL FLEXIBLE ROLL PER METER"/>
    <s v="G-E000235"/>
    <n v="3"/>
    <n v="15"/>
    <m/>
    <n v="45"/>
    <x v="0"/>
    <n v="15"/>
    <n v="8"/>
    <n v="24"/>
    <n v="25.200000000000003"/>
    <n v="19.799999999999997"/>
    <n v="5.9399999999999986"/>
    <x v="19"/>
    <x v="1"/>
    <m/>
    <m/>
    <s v=""/>
    <n v="0.43999999999999995"/>
  </r>
  <r>
    <x v="3"/>
    <x v="71"/>
    <x v="0"/>
    <x v="44"/>
    <m/>
    <m/>
    <s v="FITTINGS, BRASS FLARE NUT 1/4"/>
    <s v="IM-000049"/>
    <n v="2"/>
    <n v="35"/>
    <m/>
    <n v="70"/>
    <x v="0"/>
    <n v="26"/>
    <n v="14"/>
    <n v="28"/>
    <n v="28.84"/>
    <n v="41.16"/>
    <n v="0"/>
    <x v="33"/>
    <x v="0"/>
    <m/>
    <m/>
    <s v=""/>
    <n v="0.58799999999999997"/>
  </r>
  <r>
    <x v="3"/>
    <x v="86"/>
    <x v="0"/>
    <x v="1"/>
    <m/>
    <m/>
    <s v="FITTINGS, BRASS FLARE NUT 3/8"/>
    <s v="IM-000050"/>
    <n v="1"/>
    <n v="55"/>
    <m/>
    <n v="55"/>
    <x v="0"/>
    <n v="44"/>
    <n v="24"/>
    <n v="24"/>
    <n v="24.72"/>
    <n v="30.28"/>
    <n v="0"/>
    <x v="33"/>
    <x v="0"/>
    <m/>
    <m/>
    <m/>
    <n v="0.55054545454545456"/>
  </r>
  <r>
    <x v="4"/>
    <x v="113"/>
    <x v="0"/>
    <x v="57"/>
    <m/>
    <m/>
    <s v="FITTINGS, BRASS FLARE NUT 1/4"/>
    <s v="IM-000049"/>
    <n v="2"/>
    <n v="35"/>
    <m/>
    <n v="70"/>
    <x v="0"/>
    <n v="26"/>
    <n v="14"/>
    <n v="28"/>
    <n v="28.84"/>
    <n v="41.16"/>
    <n v="0"/>
    <x v="33"/>
    <x v="0"/>
    <m/>
    <m/>
    <m/>
    <n v="0.58799999999999997"/>
  </r>
  <r>
    <x v="4"/>
    <x v="75"/>
    <x v="0"/>
    <x v="112"/>
    <m/>
    <m/>
    <s v="FITTINGS, BRASS FLARE NUT 1/4"/>
    <s v="IM-000049"/>
    <n v="2"/>
    <n v="35"/>
    <m/>
    <n v="70"/>
    <x v="0"/>
    <n v="26"/>
    <n v="14"/>
    <n v="28"/>
    <n v="28.84"/>
    <n v="41.16"/>
    <n v="0"/>
    <x v="33"/>
    <x v="0"/>
    <e v="#REF!"/>
    <e v="#REF!"/>
    <e v="#REF!"/>
    <n v="0"/>
  </r>
  <r>
    <x v="0"/>
    <x v="4"/>
    <x v="0"/>
    <x v="11"/>
    <m/>
    <n v="200"/>
    <s v="SILICA_GEL, STAL LONG"/>
    <s v="CA-001637"/>
    <n v="1"/>
    <n v="180"/>
    <m/>
    <n v="180"/>
    <x v="0"/>
    <n v="50"/>
    <n v="25"/>
    <n v="25"/>
    <n v="26.25"/>
    <n v="153.75"/>
    <n v="0"/>
    <x v="37"/>
    <x v="2"/>
    <m/>
    <m/>
    <n v="201.60000000000002"/>
    <n v="0.85416666666666663"/>
  </r>
  <r>
    <x v="0"/>
    <x v="12"/>
    <x v="0"/>
    <x v="11"/>
    <m/>
    <m/>
    <s v="SILICA_GEL, STAL LONG"/>
    <s v="CA-001637"/>
    <n v="1"/>
    <n v="200"/>
    <m/>
    <n v="200"/>
    <x v="0"/>
    <n v="50"/>
    <n v="25"/>
    <n v="25"/>
    <n v="26.25"/>
    <n v="173.75"/>
    <n v="0"/>
    <x v="37"/>
    <x v="2"/>
    <e v="#REF!"/>
    <e v="#REF!"/>
    <s v=""/>
    <n v="0.86875000000000002"/>
  </r>
  <r>
    <x v="1"/>
    <x v="21"/>
    <x v="0"/>
    <x v="11"/>
    <m/>
    <m/>
    <s v="SILICA_GEL, STAL LONG"/>
    <s v="CA-001637"/>
    <n v="1"/>
    <n v="200"/>
    <m/>
    <n v="200"/>
    <x v="0"/>
    <n v="50"/>
    <n v="25"/>
    <n v="25"/>
    <n v="26.25"/>
    <n v="173.75"/>
    <n v="0"/>
    <x v="37"/>
    <x v="2"/>
    <e v="#REF!"/>
    <e v="#REF!"/>
    <e v="#REF!"/>
    <n v="0.86875000000000002"/>
  </r>
  <r>
    <x v="5"/>
    <x v="130"/>
    <x v="3"/>
    <x v="12"/>
    <m/>
    <m/>
    <s v="EXP. VALVE LT, POKKA 9A62 ADVENTURE"/>
    <s v="CA-001413"/>
    <n v="1"/>
    <n v="550"/>
    <m/>
    <n v="550"/>
    <x v="0"/>
    <n v="478"/>
    <n v="260"/>
    <n v="260"/>
    <n v="273"/>
    <n v="277"/>
    <n v="83.1"/>
    <x v="23"/>
    <x v="2"/>
    <e v="#REF!"/>
    <e v="#REF!"/>
    <s v=""/>
    <n v="0.50363636363636366"/>
  </r>
  <r>
    <x v="1"/>
    <x v="33"/>
    <x v="0"/>
    <x v="11"/>
    <m/>
    <m/>
    <s v="SILICA_GEL, STAL LONG"/>
    <s v="CA-001637"/>
    <n v="1"/>
    <n v="200"/>
    <m/>
    <n v="200"/>
    <x v="0"/>
    <n v="50"/>
    <n v="25"/>
    <n v="25"/>
    <n v="26.25"/>
    <n v="173.75"/>
    <n v="0"/>
    <x v="37"/>
    <x v="2"/>
    <e v="#REF!"/>
    <e v="#REF!"/>
    <e v="#REF!"/>
    <n v="0"/>
  </r>
  <r>
    <x v="1"/>
    <x v="33"/>
    <x v="0"/>
    <x v="11"/>
    <m/>
    <m/>
    <s v="SILICA_GEL, STAL LONG"/>
    <s v="CA-001637"/>
    <n v="1"/>
    <n v="200"/>
    <m/>
    <n v="200"/>
    <x v="0"/>
    <n v="50"/>
    <n v="25"/>
    <n v="25"/>
    <n v="26.25"/>
    <n v="173.75"/>
    <n v="0"/>
    <x v="37"/>
    <x v="2"/>
    <e v="#REF!"/>
    <e v="#REF!"/>
    <e v="#REF!"/>
    <n v="0"/>
  </r>
  <r>
    <x v="2"/>
    <x v="35"/>
    <x v="0"/>
    <x v="11"/>
    <m/>
    <n v="200"/>
    <s v="SILICA_GEL, STAL LONG"/>
    <s v="CA-001637"/>
    <n v="1"/>
    <n v="180"/>
    <m/>
    <n v="180"/>
    <x v="0"/>
    <n v="50"/>
    <n v="25"/>
    <n v="25"/>
    <n v="26.25"/>
    <n v="153.75"/>
    <n v="0"/>
    <x v="37"/>
    <x v="2"/>
    <e v="#REF!"/>
    <e v="#REF!"/>
    <n v="201.60000000000002"/>
    <n v="0.85416666666666663"/>
  </r>
  <r>
    <x v="2"/>
    <x v="125"/>
    <x v="0"/>
    <x v="1"/>
    <m/>
    <n v="200"/>
    <s v="SILICA_GEL, STAL LONG"/>
    <s v="CA-001637"/>
    <n v="1"/>
    <n v="180"/>
    <m/>
    <n v="180"/>
    <x v="0"/>
    <n v="50"/>
    <n v="25"/>
    <n v="25"/>
    <n v="26.25"/>
    <n v="153.75"/>
    <n v="0"/>
    <x v="37"/>
    <x v="2"/>
    <e v="#REF!"/>
    <e v="#REF!"/>
    <n v="201.60000000000002"/>
    <n v="0.85416666666666663"/>
  </r>
  <r>
    <x v="2"/>
    <x v="111"/>
    <x v="0"/>
    <x v="49"/>
    <m/>
    <m/>
    <s v="SILICA_GEL, STAL LONG"/>
    <s v="CA-001637"/>
    <n v="1"/>
    <n v="200"/>
    <m/>
    <n v="200"/>
    <x v="0"/>
    <n v="50"/>
    <n v="25"/>
    <n v="25"/>
    <n v="26.25"/>
    <n v="173.75"/>
    <n v="0"/>
    <x v="37"/>
    <x v="2"/>
    <e v="#REF!"/>
    <e v="#REF!"/>
    <s v=""/>
    <n v="0.86875000000000002"/>
  </r>
  <r>
    <x v="3"/>
    <x v="59"/>
    <x v="0"/>
    <x v="79"/>
    <m/>
    <n v="200"/>
    <s v="SILICA_GEL, STAL LONG"/>
    <s v="CA-001637"/>
    <n v="1"/>
    <n v="180"/>
    <m/>
    <n v="180"/>
    <x v="0"/>
    <n v="50"/>
    <n v="25"/>
    <n v="25"/>
    <n v="26.25"/>
    <n v="153.75"/>
    <n v="0"/>
    <x v="37"/>
    <x v="2"/>
    <m/>
    <m/>
    <n v="201.60000000000002"/>
    <n v="0.85416666666666663"/>
  </r>
  <r>
    <x v="3"/>
    <x v="71"/>
    <x v="0"/>
    <x v="11"/>
    <m/>
    <n v="200"/>
    <s v="SILICA_GEL, STAL LONG"/>
    <s v="CA-001637"/>
    <n v="1"/>
    <n v="180"/>
    <m/>
    <n v="180"/>
    <x v="0"/>
    <n v="50"/>
    <n v="25"/>
    <n v="25"/>
    <n v="26.25"/>
    <n v="153.75"/>
    <n v="0"/>
    <x v="37"/>
    <x v="2"/>
    <m/>
    <m/>
    <n v="201.60000000000002"/>
    <n v="0.85416666666666663"/>
  </r>
  <r>
    <x v="3"/>
    <x v="123"/>
    <x v="0"/>
    <x v="83"/>
    <m/>
    <n v="200"/>
    <s v="SILICA_GEL, STAL LONG"/>
    <s v="CA-001637"/>
    <n v="1"/>
    <n v="180"/>
    <m/>
    <n v="180"/>
    <x v="0"/>
    <n v="50"/>
    <n v="25"/>
    <n v="25"/>
    <n v="26.25"/>
    <n v="153.75"/>
    <n v="0"/>
    <x v="37"/>
    <x v="2"/>
    <m/>
    <m/>
    <m/>
    <n v="0.85416666666666663"/>
  </r>
  <r>
    <x v="3"/>
    <x v="123"/>
    <x v="0"/>
    <x v="49"/>
    <m/>
    <n v="200"/>
    <s v="SILICA_GEL, STAL LONG"/>
    <s v="CA-001637"/>
    <n v="1"/>
    <n v="180"/>
    <m/>
    <n v="180"/>
    <x v="0"/>
    <n v="50"/>
    <n v="25"/>
    <n v="25"/>
    <n v="26.25"/>
    <n v="153.75"/>
    <n v="0"/>
    <x v="37"/>
    <x v="2"/>
    <m/>
    <m/>
    <m/>
    <n v="0.85416666666666663"/>
  </r>
  <r>
    <x v="3"/>
    <x v="86"/>
    <x v="0"/>
    <x v="49"/>
    <m/>
    <n v="200"/>
    <s v="SILICA_GEL, STAL LONG"/>
    <s v="CA-001637"/>
    <n v="1"/>
    <n v="180"/>
    <m/>
    <n v="180"/>
    <x v="0"/>
    <n v="50"/>
    <n v="25"/>
    <n v="25"/>
    <n v="26.25"/>
    <n v="153.75"/>
    <n v="0"/>
    <x v="37"/>
    <x v="2"/>
    <m/>
    <m/>
    <m/>
    <n v="0.85416666666666663"/>
  </r>
  <r>
    <x v="3"/>
    <x v="87"/>
    <x v="0"/>
    <x v="11"/>
    <m/>
    <m/>
    <s v="SILICA_GEL, STAL LONG"/>
    <s v="CA-001637"/>
    <n v="1"/>
    <n v="200"/>
    <m/>
    <n v="200"/>
    <x v="0"/>
    <n v="50"/>
    <n v="25"/>
    <n v="25"/>
    <n v="26.25"/>
    <n v="173.75"/>
    <n v="0"/>
    <x v="37"/>
    <x v="2"/>
    <m/>
    <m/>
    <m/>
    <n v="0.86875000000000002"/>
  </r>
  <r>
    <x v="4"/>
    <x v="113"/>
    <x v="0"/>
    <x v="83"/>
    <m/>
    <n v="200"/>
    <s v="SILICA_GEL, STAL LONG"/>
    <s v="CA-001637"/>
    <n v="1"/>
    <n v="180"/>
    <m/>
    <n v="180"/>
    <x v="0"/>
    <n v="50"/>
    <n v="25"/>
    <n v="25"/>
    <n v="26.25"/>
    <n v="153.75"/>
    <n v="0"/>
    <x v="37"/>
    <x v="2"/>
    <m/>
    <m/>
    <m/>
    <n v="0.85416666666666663"/>
  </r>
  <r>
    <x v="4"/>
    <x v="92"/>
    <x v="0"/>
    <x v="17"/>
    <m/>
    <n v="200"/>
    <s v="SILICA_GEL, STAL LONG"/>
    <s v="CA-001637"/>
    <n v="1"/>
    <n v="180"/>
    <m/>
    <n v="180"/>
    <x v="0"/>
    <n v="50"/>
    <n v="25"/>
    <n v="25"/>
    <n v="26.25"/>
    <n v="153.75"/>
    <n v="0"/>
    <x v="37"/>
    <x v="2"/>
    <m/>
    <m/>
    <m/>
    <n v="0.85416666666666663"/>
  </r>
  <r>
    <x v="4"/>
    <x v="93"/>
    <x v="0"/>
    <x v="11"/>
    <m/>
    <n v="200"/>
    <s v="SILICA_GEL, STAL LONG"/>
    <s v="CA-001637"/>
    <n v="1"/>
    <n v="180"/>
    <m/>
    <n v="180"/>
    <x v="0"/>
    <n v="50"/>
    <n v="25"/>
    <n v="25"/>
    <n v="26.25"/>
    <n v="153.75"/>
    <n v="0"/>
    <x v="37"/>
    <x v="2"/>
    <m/>
    <m/>
    <m/>
    <n v="0.85416666666666663"/>
  </r>
  <r>
    <x v="5"/>
    <x v="126"/>
    <x v="1"/>
    <x v="3"/>
    <m/>
    <m/>
    <s v="EXP. VALVE DC, MITSUBISHI ORING TYPE 1/2 (ADVENTURE)"/>
    <s v="CA-000561"/>
    <n v="1"/>
    <n v="700"/>
    <m/>
    <n v="700"/>
    <x v="0"/>
    <n v="588"/>
    <n v="320"/>
    <n v="320"/>
    <n v="336"/>
    <n v="364"/>
    <n v="109.2"/>
    <x v="46"/>
    <x v="2"/>
    <e v="#REF!"/>
    <e v="#REF!"/>
    <s v=""/>
    <n v="0.52"/>
  </r>
  <r>
    <x v="4"/>
    <x v="94"/>
    <x v="0"/>
    <x v="61"/>
    <m/>
    <m/>
    <s v="SILICA_GEL, STAL LONG"/>
    <s v="CA-001637"/>
    <n v="1"/>
    <n v="200"/>
    <m/>
    <n v="200"/>
    <x v="0"/>
    <n v="50"/>
    <n v="25"/>
    <n v="25"/>
    <n v="26.25"/>
    <n v="173.75"/>
    <n v="0"/>
    <x v="37"/>
    <x v="2"/>
    <m/>
    <m/>
    <m/>
    <n v="0.86875000000000002"/>
  </r>
  <r>
    <x v="4"/>
    <x v="116"/>
    <x v="0"/>
    <x v="95"/>
    <m/>
    <n v="200"/>
    <s v="SILICA_GEL, STAL LONG"/>
    <s v="CA-001637"/>
    <n v="1"/>
    <n v="1786"/>
    <m/>
    <n v="1786"/>
    <x v="0"/>
    <n v="50"/>
    <n v="25"/>
    <n v="25"/>
    <n v="26.25"/>
    <n v="1759.75"/>
    <n v="0"/>
    <x v="37"/>
    <x v="2"/>
    <m/>
    <m/>
    <m/>
    <n v="0.98530235162374025"/>
  </r>
  <r>
    <x v="4"/>
    <x v="78"/>
    <x v="0"/>
    <x v="11"/>
    <m/>
    <m/>
    <s v="SILICA_GEL, STAL LONG"/>
    <s v="CA-001637"/>
    <n v="1"/>
    <n v="200"/>
    <m/>
    <n v="200"/>
    <x v="0"/>
    <n v="50"/>
    <n v="25"/>
    <n v="25"/>
    <n v="26.25"/>
    <n v="173.75"/>
    <n v="0"/>
    <x v="37"/>
    <x v="2"/>
    <m/>
    <m/>
    <m/>
    <n v="0.86875000000000002"/>
  </r>
  <r>
    <x v="5"/>
    <x v="130"/>
    <x v="0"/>
    <x v="27"/>
    <m/>
    <m/>
    <s v="TUBE_CUTTER, SMALL CT-127, 1/8&quot; - 5/8&quot;"/>
    <s v="TL-000053"/>
    <n v="1"/>
    <n v="250"/>
    <m/>
    <n v="250"/>
    <x v="0"/>
    <n v="184"/>
    <n v="70"/>
    <n v="70"/>
    <n v="73.5"/>
    <n v="176.5"/>
    <n v="0"/>
    <x v="68"/>
    <x v="4"/>
    <e v="#REF!"/>
    <e v="#REF!"/>
    <s v=""/>
    <n v="0.70599999999999996"/>
  </r>
  <r>
    <x v="4"/>
    <x v="103"/>
    <x v="0"/>
    <x v="30"/>
    <m/>
    <m/>
    <s v="BOLT &amp; NUT, TOX WITH METAL SCREW #6"/>
    <s v="GE-000403"/>
    <n v="20"/>
    <n v="6"/>
    <m/>
    <n v="120"/>
    <x v="0"/>
    <n v="3"/>
    <n v="1.1000000000000001"/>
    <n v="22"/>
    <n v="23.1"/>
    <n v="96.9"/>
    <n v="0"/>
    <x v="57"/>
    <x v="1"/>
    <m/>
    <m/>
    <m/>
    <n v="0.8075"/>
  </r>
  <r>
    <x v="0"/>
    <x v="5"/>
    <x v="0"/>
    <x v="1"/>
    <m/>
    <m/>
    <s v="BOLT &amp; NUT, GI, SET 3/8"/>
    <s v="IM-000002"/>
    <n v="4"/>
    <n v="14"/>
    <m/>
    <n v="56"/>
    <x v="0"/>
    <n v="10"/>
    <n v="5.43"/>
    <n v="21.72"/>
    <n v="22.371600000000001"/>
    <n v="33.628399999999999"/>
    <n v="0"/>
    <x v="57"/>
    <x v="0"/>
    <m/>
    <m/>
    <s v=""/>
    <n v="0.60050714285714279"/>
  </r>
  <r>
    <x v="0"/>
    <x v="98"/>
    <x v="0"/>
    <x v="35"/>
    <m/>
    <m/>
    <s v="BOLT &amp; NUT, GI, SET 3/8"/>
    <s v="IM-000002"/>
    <n v="4"/>
    <n v="14"/>
    <m/>
    <n v="56"/>
    <x v="0"/>
    <n v="10"/>
    <n v="5.43"/>
    <n v="21.72"/>
    <n v="22.371600000000001"/>
    <n v="33.628399999999999"/>
    <n v="0"/>
    <x v="57"/>
    <x v="0"/>
    <m/>
    <m/>
    <s v=""/>
    <n v="0.60050714285714279"/>
  </r>
  <r>
    <x v="0"/>
    <x v="27"/>
    <x v="0"/>
    <x v="1"/>
    <m/>
    <m/>
    <s v="BOLT &amp; NUT, GI, SET 3/8"/>
    <s v="IM-000002"/>
    <n v="4"/>
    <n v="14"/>
    <m/>
    <n v="56"/>
    <x v="0"/>
    <n v="10"/>
    <n v="5.43"/>
    <n v="21.72"/>
    <n v="22.371600000000001"/>
    <n v="33.628399999999999"/>
    <n v="0"/>
    <x v="57"/>
    <x v="0"/>
    <m/>
    <m/>
    <s v=""/>
    <n v="0.60050714285714279"/>
  </r>
  <r>
    <x v="1"/>
    <x v="33"/>
    <x v="0"/>
    <x v="27"/>
    <m/>
    <m/>
    <s v="BOLT &amp; NUT, GI, SET 3/8"/>
    <s v="IM-000002"/>
    <n v="4"/>
    <n v="14"/>
    <m/>
    <n v="56"/>
    <x v="0"/>
    <n v="10"/>
    <n v="5.43"/>
    <n v="21.72"/>
    <n v="22.371600000000001"/>
    <n v="33.628399999999999"/>
    <n v="0"/>
    <x v="57"/>
    <x v="0"/>
    <e v="#REF!"/>
    <e v="#REF!"/>
    <e v="#REF!"/>
    <n v="0"/>
  </r>
  <r>
    <x v="2"/>
    <x v="44"/>
    <x v="0"/>
    <x v="32"/>
    <m/>
    <m/>
    <s v="BOLT &amp; NUT, GI, SET 3/8"/>
    <s v="IM-000002"/>
    <n v="4"/>
    <n v="14"/>
    <m/>
    <n v="56"/>
    <x v="0"/>
    <n v="10"/>
    <n v="5.43"/>
    <n v="21.72"/>
    <n v="22.371600000000001"/>
    <n v="33.628399999999999"/>
    <n v="0"/>
    <x v="57"/>
    <x v="0"/>
    <e v="#REF!"/>
    <e v="#REF!"/>
    <s v=""/>
    <n v="0.60050714285714279"/>
  </r>
  <r>
    <x v="3"/>
    <x v="59"/>
    <x v="0"/>
    <x v="27"/>
    <m/>
    <m/>
    <s v="BOLT &amp; NUT, GI, SET 3/8"/>
    <s v="IM-000002"/>
    <n v="4"/>
    <n v="14"/>
    <m/>
    <n v="56"/>
    <x v="0"/>
    <n v="10"/>
    <n v="5.43"/>
    <n v="21.72"/>
    <n v="22.371600000000001"/>
    <n v="33.628399999999999"/>
    <n v="0"/>
    <x v="57"/>
    <x v="0"/>
    <m/>
    <m/>
    <s v=""/>
    <n v="0.60050714285714279"/>
  </r>
  <r>
    <x v="3"/>
    <x v="61"/>
    <x v="6"/>
    <x v="39"/>
    <m/>
    <m/>
    <s v="BOLT &amp; NUT, GI, SET 3/8"/>
    <s v="IM-000002"/>
    <n v="4"/>
    <n v="14"/>
    <m/>
    <n v="56"/>
    <x v="0"/>
    <n v="10"/>
    <n v="5.43"/>
    <n v="21.72"/>
    <n v="22.371600000000001"/>
    <n v="33.628399999999999"/>
    <n v="10.088519999999999"/>
    <x v="57"/>
    <x v="0"/>
    <m/>
    <m/>
    <s v=""/>
    <n v="0.60050714285714279"/>
  </r>
  <r>
    <x v="3"/>
    <x v="71"/>
    <x v="0"/>
    <x v="44"/>
    <m/>
    <m/>
    <s v="BOLT &amp; NUT, GI, SET 3/8"/>
    <s v="IM-000002"/>
    <n v="4"/>
    <n v="14"/>
    <m/>
    <n v="56"/>
    <x v="0"/>
    <n v="10"/>
    <n v="5.43"/>
    <n v="21.72"/>
    <n v="22.371600000000001"/>
    <n v="33.628399999999999"/>
    <n v="0"/>
    <x v="57"/>
    <x v="0"/>
    <m/>
    <m/>
    <s v=""/>
    <n v="0.60050714285714279"/>
  </r>
  <r>
    <x v="3"/>
    <x v="85"/>
    <x v="0"/>
    <x v="1"/>
    <m/>
    <m/>
    <s v="BOLT &amp; NUT, GI, SET 3/8"/>
    <s v="IM-000002"/>
    <n v="4"/>
    <n v="14"/>
    <m/>
    <n v="56"/>
    <x v="0"/>
    <n v="10"/>
    <n v="5.43"/>
    <n v="21.72"/>
    <n v="22.371600000000001"/>
    <n v="33.628399999999999"/>
    <n v="0"/>
    <x v="57"/>
    <x v="0"/>
    <m/>
    <m/>
    <m/>
    <n v="0.60050714285714279"/>
  </r>
  <r>
    <x v="4"/>
    <x v="105"/>
    <x v="0"/>
    <x v="1"/>
    <m/>
    <m/>
    <s v="BOLT &amp; NUT, GI, SET 3/8"/>
    <s v="IM-000002"/>
    <n v="4"/>
    <n v="14"/>
    <m/>
    <n v="56"/>
    <x v="0"/>
    <n v="10"/>
    <n v="5.43"/>
    <n v="21.72"/>
    <n v="22.371600000000001"/>
    <n v="33.628399999999999"/>
    <n v="0"/>
    <x v="57"/>
    <x v="0"/>
    <m/>
    <m/>
    <m/>
    <n v="0.60050714285714279"/>
  </r>
  <r>
    <x v="4"/>
    <x v="88"/>
    <x v="0"/>
    <x v="1"/>
    <m/>
    <m/>
    <s v="BOLT &amp; NUT, GI, SET 3/8"/>
    <s v="IM-000002"/>
    <n v="4"/>
    <n v="14"/>
    <m/>
    <n v="56"/>
    <x v="0"/>
    <n v="10"/>
    <n v="5.43"/>
    <n v="21.72"/>
    <n v="22.371600000000001"/>
    <n v="33.628399999999999"/>
    <n v="0"/>
    <x v="57"/>
    <x v="0"/>
    <m/>
    <m/>
    <m/>
    <n v="0.60050714285714279"/>
  </r>
  <r>
    <x v="4"/>
    <x v="88"/>
    <x v="0"/>
    <x v="100"/>
    <m/>
    <m/>
    <s v="BOLT &amp; NUT, GI, SET 3/8"/>
    <s v="IM-000002"/>
    <n v="4"/>
    <n v="14"/>
    <m/>
    <n v="56"/>
    <x v="0"/>
    <n v="10"/>
    <n v="5.43"/>
    <n v="21.72"/>
    <n v="22.371600000000001"/>
    <n v="33.628399999999999"/>
    <n v="0"/>
    <x v="57"/>
    <x v="0"/>
    <m/>
    <m/>
    <m/>
    <n v="0.60050714285714279"/>
  </r>
  <r>
    <x v="4"/>
    <x v="116"/>
    <x v="0"/>
    <x v="20"/>
    <m/>
    <m/>
    <s v="BOLT &amp; NUT, GI, SET 3/8"/>
    <s v="IM-000002"/>
    <n v="4"/>
    <n v="14"/>
    <m/>
    <n v="56"/>
    <x v="0"/>
    <n v="10"/>
    <n v="5.43"/>
    <n v="21.72"/>
    <n v="22.371600000000001"/>
    <n v="33.628399999999999"/>
    <n v="0"/>
    <x v="57"/>
    <x v="0"/>
    <m/>
    <m/>
    <m/>
    <n v="0.60050714285714279"/>
  </r>
  <r>
    <x v="4"/>
    <x v="103"/>
    <x v="0"/>
    <x v="30"/>
    <m/>
    <m/>
    <s v="BOLT &amp; NUT, GI, SET 3/8"/>
    <s v="IM-000002"/>
    <n v="4"/>
    <n v="14"/>
    <m/>
    <n v="56"/>
    <x v="0"/>
    <n v="10"/>
    <n v="5.43"/>
    <n v="21.72"/>
    <n v="22.371600000000001"/>
    <n v="33.628399999999999"/>
    <n v="0"/>
    <x v="57"/>
    <x v="0"/>
    <m/>
    <m/>
    <m/>
    <n v="0.60050714285714279"/>
  </r>
  <r>
    <x v="4"/>
    <x v="104"/>
    <x v="0"/>
    <x v="6"/>
    <m/>
    <m/>
    <s v="BOLT &amp; NUT, GI, SET 3/8"/>
    <s v="IM-000002"/>
    <n v="4"/>
    <n v="14"/>
    <m/>
    <n v="56"/>
    <x v="0"/>
    <n v="10"/>
    <n v="5.43"/>
    <n v="21.72"/>
    <n v="22.371600000000001"/>
    <n v="33.628399999999999"/>
    <n v="0"/>
    <x v="57"/>
    <x v="0"/>
    <m/>
    <m/>
    <m/>
    <n v="0.60050714285714279"/>
  </r>
  <r>
    <x v="5"/>
    <x v="130"/>
    <x v="0"/>
    <x v="1"/>
    <m/>
    <m/>
    <s v="REFRIGERANT, FU RYDER R600A CAN, 220 GRAMS"/>
    <s v="GE-000032"/>
    <n v="1"/>
    <n v="180"/>
    <m/>
    <n v="180"/>
    <x v="0"/>
    <n v="177"/>
    <n v="70"/>
    <n v="70"/>
    <n v="73.5"/>
    <n v="106.5"/>
    <n v="0"/>
    <x v="5"/>
    <x v="1"/>
    <e v="#REF!"/>
    <e v="#REF!"/>
    <s v=""/>
    <n v="0.59166666666666667"/>
  </r>
  <r>
    <x v="0"/>
    <x v="31"/>
    <x v="0"/>
    <x v="35"/>
    <m/>
    <m/>
    <s v="ACCESS_VALVE, OMNI WELDED TYPE "/>
    <s v="GE-000253"/>
    <n v="1"/>
    <n v="50"/>
    <m/>
    <n v="50"/>
    <x v="0"/>
    <n v="47"/>
    <n v="21"/>
    <n v="21"/>
    <n v="22.05"/>
    <n v="27.95"/>
    <n v="0"/>
    <x v="67"/>
    <x v="1"/>
    <m/>
    <m/>
    <s v=""/>
    <n v="0.55899999999999994"/>
  </r>
  <r>
    <x v="0"/>
    <x v="47"/>
    <x v="0"/>
    <x v="1"/>
    <m/>
    <m/>
    <s v="ACCESS_VALVE, OMNI WELDED TYPE "/>
    <s v="GE-000253"/>
    <n v="1"/>
    <n v="50"/>
    <m/>
    <n v="50"/>
    <x v="0"/>
    <n v="47"/>
    <n v="21"/>
    <n v="21"/>
    <n v="22.05"/>
    <n v="27.95"/>
    <n v="0"/>
    <x v="67"/>
    <x v="1"/>
    <m/>
    <m/>
    <s v=""/>
    <n v="0.55899999999999994"/>
  </r>
  <r>
    <x v="1"/>
    <x v="29"/>
    <x v="0"/>
    <x v="1"/>
    <m/>
    <m/>
    <s v="ACCESS_VALVE, OMNI WELDED TYPE "/>
    <s v="GE-000253"/>
    <n v="1"/>
    <n v="50"/>
    <m/>
    <n v="50"/>
    <x v="0"/>
    <n v="47"/>
    <n v="21"/>
    <n v="21"/>
    <n v="22.05"/>
    <n v="27.95"/>
    <n v="0"/>
    <x v="67"/>
    <x v="1"/>
    <e v="#REF!"/>
    <e v="#REF!"/>
    <e v="#REF!"/>
    <n v="0.55899999999999994"/>
  </r>
  <r>
    <x v="1"/>
    <x v="33"/>
    <x v="0"/>
    <x v="1"/>
    <m/>
    <m/>
    <s v="ACCESS_VALVE, OMNI WELDED TYPE "/>
    <s v="GE-000253"/>
    <n v="1"/>
    <n v="50"/>
    <m/>
    <n v="50"/>
    <x v="0"/>
    <n v="47"/>
    <n v="21"/>
    <n v="21"/>
    <n v="22.05"/>
    <n v="27.95"/>
    <n v="0"/>
    <x v="67"/>
    <x v="1"/>
    <e v="#REF!"/>
    <e v="#REF!"/>
    <e v="#REF!"/>
    <n v="0.55899999999999994"/>
  </r>
  <r>
    <x v="1"/>
    <x v="34"/>
    <x v="0"/>
    <x v="1"/>
    <m/>
    <m/>
    <s v="ACCESS_VALVE, OMNI WELDED TYPE "/>
    <s v="GE-000253"/>
    <n v="1"/>
    <n v="60"/>
    <m/>
    <n v="60"/>
    <x v="0"/>
    <n v="47"/>
    <n v="21"/>
    <n v="21"/>
    <n v="22.05"/>
    <n v="37.950000000000003"/>
    <n v="0"/>
    <x v="67"/>
    <x v="1"/>
    <e v="#REF!"/>
    <e v="#REF!"/>
    <e v="#REF!"/>
    <n v="0"/>
  </r>
  <r>
    <x v="2"/>
    <x v="45"/>
    <x v="0"/>
    <x v="130"/>
    <m/>
    <m/>
    <s v="ACCESS_VALVE, OMNI WELDED TYPE "/>
    <s v="GE-000253"/>
    <n v="1"/>
    <n v="50"/>
    <m/>
    <n v="50"/>
    <x v="0"/>
    <n v="47"/>
    <n v="21"/>
    <n v="21"/>
    <n v="22.05"/>
    <n v="27.95"/>
    <n v="0"/>
    <x v="67"/>
    <x v="1"/>
    <e v="#REF!"/>
    <e v="#REF!"/>
    <s v=""/>
    <n v="0.55899999999999994"/>
  </r>
  <r>
    <x v="3"/>
    <x v="63"/>
    <x v="0"/>
    <x v="106"/>
    <m/>
    <n v="50"/>
    <s v="ACCESS_VALVE, OMNI WELDED TYPE "/>
    <s v="GE-000253"/>
    <n v="1"/>
    <n v="47"/>
    <m/>
    <n v="47"/>
    <x v="0"/>
    <n v="47"/>
    <n v="21"/>
    <n v="21"/>
    <n v="22.05"/>
    <n v="24.95"/>
    <n v="0"/>
    <x v="67"/>
    <x v="1"/>
    <m/>
    <m/>
    <n v="52.640000000000008"/>
    <n v="0.5308510638297872"/>
  </r>
  <r>
    <x v="3"/>
    <x v="74"/>
    <x v="0"/>
    <x v="1"/>
    <m/>
    <m/>
    <s v="ACCESS_VALVE, OMNI WELDED TYPE "/>
    <s v="GE-000253"/>
    <n v="1"/>
    <n v="50"/>
    <m/>
    <n v="50"/>
    <x v="0"/>
    <n v="47"/>
    <n v="21"/>
    <n v="21"/>
    <n v="22.05"/>
    <n v="27.95"/>
    <n v="0"/>
    <x v="67"/>
    <x v="1"/>
    <m/>
    <m/>
    <m/>
    <n v="0.55899999999999994"/>
  </r>
  <r>
    <x v="4"/>
    <x v="113"/>
    <x v="0"/>
    <x v="1"/>
    <m/>
    <m/>
    <s v="FITTINGS, STRAIGHT 134A 5/8"/>
    <s v="CA-000667"/>
    <n v="1"/>
    <n v="45"/>
    <m/>
    <n v="45"/>
    <x v="0"/>
    <n v="39"/>
    <n v="21"/>
    <n v="21"/>
    <n v="22.05"/>
    <n v="22.95"/>
    <n v="0"/>
    <x v="33"/>
    <x v="2"/>
    <m/>
    <m/>
    <m/>
    <n v="0.51"/>
  </r>
  <r>
    <x v="4"/>
    <x v="89"/>
    <x v="0"/>
    <x v="109"/>
    <m/>
    <m/>
    <s v="ACCESS_VALVE, OMNI WELDED TYPE "/>
    <s v="GE-000253"/>
    <n v="1"/>
    <n v="50"/>
    <m/>
    <n v="50"/>
    <x v="0"/>
    <n v="47"/>
    <n v="21"/>
    <n v="21"/>
    <n v="22.05"/>
    <n v="27.95"/>
    <n v="0"/>
    <x v="67"/>
    <x v="1"/>
    <m/>
    <m/>
    <m/>
    <n v="0.55899999999999994"/>
  </r>
  <r>
    <x v="4"/>
    <x v="92"/>
    <x v="0"/>
    <x v="1"/>
    <m/>
    <m/>
    <s v="ACCESS_VALVE, OMNI WELDED TYPE "/>
    <s v="GE-000253"/>
    <n v="1"/>
    <n v="50"/>
    <m/>
    <n v="50"/>
    <x v="0"/>
    <n v="47"/>
    <n v="21"/>
    <n v="21"/>
    <n v="22.05"/>
    <n v="27.95"/>
    <n v="0"/>
    <x v="67"/>
    <x v="1"/>
    <m/>
    <m/>
    <m/>
    <n v="0.55899999999999994"/>
  </r>
  <r>
    <x v="4"/>
    <x v="94"/>
    <x v="0"/>
    <x v="1"/>
    <m/>
    <m/>
    <s v="ACCESS_VALVE, OMNI WELDED TYPE "/>
    <s v="GE-000253"/>
    <n v="1"/>
    <n v="50"/>
    <m/>
    <n v="50"/>
    <x v="0"/>
    <n v="47"/>
    <n v="21"/>
    <n v="21"/>
    <n v="22.05"/>
    <n v="27.95"/>
    <n v="0"/>
    <x v="67"/>
    <x v="1"/>
    <m/>
    <m/>
    <m/>
    <n v="0.55899999999999994"/>
  </r>
  <r>
    <x v="4"/>
    <x v="116"/>
    <x v="0"/>
    <x v="41"/>
    <m/>
    <m/>
    <s v="ACCESS_VALVE, OMNI WELDED TYPE "/>
    <s v="GE-000253"/>
    <n v="1"/>
    <n v="50"/>
    <m/>
    <n v="50"/>
    <x v="0"/>
    <n v="47"/>
    <n v="21"/>
    <n v="21"/>
    <n v="22.05"/>
    <n v="27.95"/>
    <n v="0"/>
    <x v="67"/>
    <x v="1"/>
    <m/>
    <m/>
    <m/>
    <n v="0.55899999999999994"/>
  </r>
  <r>
    <x v="4"/>
    <x v="116"/>
    <x v="0"/>
    <x v="1"/>
    <m/>
    <m/>
    <s v="ACCESS_VALVE, OMNI WELDED TYPE "/>
    <s v="GE-000253"/>
    <n v="1"/>
    <n v="50"/>
    <m/>
    <n v="50"/>
    <x v="0"/>
    <n v="47"/>
    <n v="21"/>
    <n v="21"/>
    <n v="22.05"/>
    <n v="27.95"/>
    <n v="0"/>
    <x v="67"/>
    <x v="1"/>
    <m/>
    <m/>
    <m/>
    <n v="0.55899999999999994"/>
  </r>
  <r>
    <x v="4"/>
    <x v="104"/>
    <x v="0"/>
    <x v="1"/>
    <m/>
    <m/>
    <s v="ACCESS_VALVE, OMNI WELDED TYPE "/>
    <s v="GE-000253"/>
    <n v="1"/>
    <n v="50"/>
    <m/>
    <n v="50"/>
    <x v="0"/>
    <n v="47"/>
    <n v="21"/>
    <n v="21"/>
    <n v="22.05"/>
    <n v="27.95"/>
    <n v="0"/>
    <x v="67"/>
    <x v="1"/>
    <m/>
    <m/>
    <m/>
    <n v="0.55899999999999994"/>
  </r>
  <r>
    <x v="0"/>
    <x v="6"/>
    <x v="0"/>
    <x v="11"/>
    <m/>
    <n v="200"/>
    <s v="SILICA_GEL, STAL SHORT"/>
    <s v="CA-001638"/>
    <n v="1"/>
    <n v="180"/>
    <m/>
    <n v="180"/>
    <x v="0"/>
    <n v="44"/>
    <n v="22"/>
    <n v="22"/>
    <n v="23.1"/>
    <n v="156.9"/>
    <n v="0"/>
    <x v="37"/>
    <x v="2"/>
    <m/>
    <m/>
    <n v="201.60000000000002"/>
    <n v="0.8716666666666667"/>
  </r>
  <r>
    <x v="0"/>
    <x v="7"/>
    <x v="0"/>
    <x v="11"/>
    <m/>
    <n v="200"/>
    <s v="SILICA_GEL, STAL SHORT"/>
    <s v="CA-001638"/>
    <n v="1"/>
    <n v="180"/>
    <m/>
    <n v="180"/>
    <x v="0"/>
    <n v="44"/>
    <n v="22"/>
    <n v="22"/>
    <n v="23.1"/>
    <n v="156.9"/>
    <n v="0"/>
    <x v="37"/>
    <x v="2"/>
    <m/>
    <m/>
    <n v="201.60000000000002"/>
    <n v="0.8716666666666667"/>
  </r>
  <r>
    <x v="0"/>
    <x v="9"/>
    <x v="0"/>
    <x v="11"/>
    <m/>
    <m/>
    <s v="SILICA_GEL, STAL SHORT"/>
    <s v="CA-001638"/>
    <n v="1"/>
    <n v="200"/>
    <m/>
    <n v="200"/>
    <x v="0"/>
    <n v="44"/>
    <n v="22"/>
    <n v="22"/>
    <n v="23.1"/>
    <n v="176.9"/>
    <n v="0"/>
    <x v="37"/>
    <x v="2"/>
    <e v="#REF!"/>
    <e v="#REF!"/>
    <s v=""/>
    <n v="0.88450000000000006"/>
  </r>
  <r>
    <x v="0"/>
    <x v="10"/>
    <x v="0"/>
    <x v="62"/>
    <m/>
    <m/>
    <s v="BOLT &amp; NUT, GI, SET 5/16"/>
    <s v="IM-000003"/>
    <n v="4"/>
    <n v="12"/>
    <m/>
    <n v="48"/>
    <x v="0"/>
    <n v="10"/>
    <n v="5"/>
    <n v="20"/>
    <n v="20.6"/>
    <n v="27.4"/>
    <n v="0"/>
    <x v="57"/>
    <x v="0"/>
    <e v="#REF!"/>
    <e v="#REF!"/>
    <s v=""/>
    <n v="0.5708333333333333"/>
  </r>
  <r>
    <x v="1"/>
    <x v="14"/>
    <x v="0"/>
    <x v="11"/>
    <m/>
    <n v="200"/>
    <s v="SILICA_GEL, STAL SHORT"/>
    <s v="CA-001638"/>
    <n v="1"/>
    <n v="178"/>
    <m/>
    <n v="178"/>
    <x v="0"/>
    <n v="44"/>
    <n v="22"/>
    <n v="22"/>
    <n v="23.1"/>
    <n v="154.9"/>
    <n v="0"/>
    <x v="37"/>
    <x v="2"/>
    <e v="#REF!"/>
    <e v="#REF!"/>
    <n v="199.36"/>
    <n v="0.87022471910112364"/>
  </r>
  <r>
    <x v="1"/>
    <x v="25"/>
    <x v="0"/>
    <x v="11"/>
    <m/>
    <n v="200"/>
    <s v="SILICA_GEL, STAL SHORT"/>
    <s v="CA-001638"/>
    <n v="1"/>
    <n v="178"/>
    <m/>
    <n v="178"/>
    <x v="0"/>
    <n v="44"/>
    <n v="22"/>
    <n v="22"/>
    <n v="23.1"/>
    <n v="154.9"/>
    <n v="0"/>
    <x v="37"/>
    <x v="2"/>
    <e v="#REF!"/>
    <e v="#REF!"/>
    <e v="#REF!"/>
    <n v="0.87022471910112364"/>
  </r>
  <r>
    <x v="1"/>
    <x v="28"/>
    <x v="0"/>
    <x v="1"/>
    <m/>
    <m/>
    <s v="BOLT &amp; NUT, GI, SET 5/16"/>
    <s v="IM-000003"/>
    <n v="4"/>
    <n v="12"/>
    <m/>
    <n v="48"/>
    <x v="0"/>
    <n v="10"/>
    <n v="5"/>
    <n v="20"/>
    <n v="20.6"/>
    <n v="27.4"/>
    <n v="0"/>
    <x v="57"/>
    <x v="0"/>
    <e v="#REF!"/>
    <e v="#REF!"/>
    <e v="#REF!"/>
    <n v="0.5708333333333333"/>
  </r>
  <r>
    <x v="1"/>
    <x v="32"/>
    <x v="0"/>
    <x v="10"/>
    <m/>
    <n v="200"/>
    <s v="SILICA_GEL, STAL SHORT"/>
    <s v="CA-001638"/>
    <n v="1"/>
    <n v="178"/>
    <m/>
    <n v="178"/>
    <x v="0"/>
    <n v="44"/>
    <n v="22"/>
    <n v="22"/>
    <n v="23.1"/>
    <n v="154.9"/>
    <n v="0"/>
    <x v="37"/>
    <x v="2"/>
    <e v="#REF!"/>
    <e v="#REF!"/>
    <e v="#REF!"/>
    <n v="0.87022471910112364"/>
  </r>
  <r>
    <x v="1"/>
    <x v="33"/>
    <x v="0"/>
    <x v="19"/>
    <m/>
    <m/>
    <s v="BOLT &amp; NUT, GI, SET 5/16"/>
    <s v="IM-000003"/>
    <n v="4"/>
    <n v="12"/>
    <m/>
    <n v="48"/>
    <x v="0"/>
    <n v="10"/>
    <n v="5"/>
    <n v="20"/>
    <n v="20.6"/>
    <n v="27.4"/>
    <n v="0"/>
    <x v="57"/>
    <x v="0"/>
    <e v="#REF!"/>
    <e v="#REF!"/>
    <e v="#REF!"/>
    <n v="0"/>
  </r>
  <r>
    <x v="2"/>
    <x v="117"/>
    <x v="5"/>
    <x v="37"/>
    <m/>
    <n v="200"/>
    <s v="SILICA_GEL, STAL SHORT"/>
    <s v="CA-001638"/>
    <n v="1"/>
    <n v="180"/>
    <m/>
    <n v="180"/>
    <x v="0"/>
    <n v="44"/>
    <n v="22"/>
    <n v="22"/>
    <n v="23.1"/>
    <n v="156.9"/>
    <n v="47.07"/>
    <x v="37"/>
    <x v="2"/>
    <e v="#REF!"/>
    <e v="#REF!"/>
    <n v="201.60000000000002"/>
    <n v="0.8716666666666667"/>
  </r>
  <r>
    <x v="2"/>
    <x v="39"/>
    <x v="0"/>
    <x v="11"/>
    <m/>
    <n v="200"/>
    <s v="SILICA_GEL, STAL SHORT"/>
    <s v="CA-001638"/>
    <n v="1"/>
    <n v="180"/>
    <m/>
    <n v="180"/>
    <x v="0"/>
    <n v="44"/>
    <n v="22"/>
    <n v="22"/>
    <n v="23.1"/>
    <n v="156.9"/>
    <n v="0"/>
    <x v="37"/>
    <x v="2"/>
    <e v="#REF!"/>
    <e v="#REF!"/>
    <n v="201.60000000000002"/>
    <n v="0.8716666666666667"/>
  </r>
  <r>
    <x v="2"/>
    <x v="45"/>
    <x v="0"/>
    <x v="49"/>
    <m/>
    <n v="200"/>
    <s v="SILICA_GEL, STAL SHORT"/>
    <s v="CA-001638"/>
    <n v="1"/>
    <n v="180"/>
    <m/>
    <n v="180"/>
    <x v="0"/>
    <n v="44"/>
    <n v="22"/>
    <n v="22"/>
    <n v="23.1"/>
    <n v="156.9"/>
    <n v="0"/>
    <x v="37"/>
    <x v="2"/>
    <e v="#REF!"/>
    <e v="#REF!"/>
    <n v="201.60000000000002"/>
    <n v="0.8716666666666667"/>
  </r>
  <r>
    <x v="2"/>
    <x v="49"/>
    <x v="0"/>
    <x v="11"/>
    <m/>
    <n v="200"/>
    <s v="SILICA_GEL, STAL SHORT"/>
    <s v="CA-001638"/>
    <n v="1"/>
    <n v="180"/>
    <m/>
    <n v="180"/>
    <x v="0"/>
    <n v="44"/>
    <n v="22"/>
    <n v="22"/>
    <n v="23.1"/>
    <n v="156.9"/>
    <n v="0"/>
    <x v="37"/>
    <x v="2"/>
    <e v="#REF!"/>
    <e v="#REF!"/>
    <n v="201.60000000000002"/>
    <n v="0.8716666666666667"/>
  </r>
  <r>
    <x v="2"/>
    <x v="52"/>
    <x v="0"/>
    <x v="35"/>
    <m/>
    <m/>
    <s v="BOLT &amp; NUT, GI, SET 5/16"/>
    <s v="IM-000003"/>
    <n v="4"/>
    <n v="12"/>
    <m/>
    <n v="48"/>
    <x v="0"/>
    <n v="10"/>
    <n v="5"/>
    <n v="20"/>
    <n v="20.6"/>
    <n v="27.4"/>
    <n v="0"/>
    <x v="57"/>
    <x v="0"/>
    <e v="#REF!"/>
    <e v="#REF!"/>
    <s v=""/>
    <n v="0.5708333333333333"/>
  </r>
  <r>
    <x v="2"/>
    <x v="55"/>
    <x v="0"/>
    <x v="1"/>
    <m/>
    <m/>
    <s v="BOLT &amp; NUT, GI, SET 5/16"/>
    <s v="IM-000003"/>
    <n v="4"/>
    <n v="12"/>
    <m/>
    <n v="48"/>
    <x v="0"/>
    <n v="10"/>
    <n v="5"/>
    <n v="20"/>
    <n v="20.6"/>
    <n v="27.4"/>
    <n v="0"/>
    <x v="57"/>
    <x v="0"/>
    <e v="#REF!"/>
    <e v="#REF!"/>
    <s v=""/>
    <n v="0.5708333333333333"/>
  </r>
  <r>
    <x v="3"/>
    <x v="60"/>
    <x v="0"/>
    <x v="1"/>
    <m/>
    <m/>
    <s v="BOLT &amp; NUT, GI, SET 5/16"/>
    <s v="IM-000003"/>
    <n v="4"/>
    <n v="12"/>
    <m/>
    <n v="48"/>
    <x v="0"/>
    <n v="10"/>
    <n v="5"/>
    <n v="20"/>
    <n v="20.6"/>
    <n v="27.4"/>
    <n v="0"/>
    <x v="57"/>
    <x v="0"/>
    <m/>
    <m/>
    <s v=""/>
    <n v="0.5708333333333333"/>
  </r>
  <r>
    <x v="3"/>
    <x v="63"/>
    <x v="0"/>
    <x v="49"/>
    <m/>
    <n v="200"/>
    <s v="SILICA_GEL, STAL SHORT"/>
    <s v="CA-001638"/>
    <n v="1"/>
    <n v="180"/>
    <m/>
    <n v="180"/>
    <x v="0"/>
    <n v="44"/>
    <n v="22"/>
    <n v="22"/>
    <n v="23.1"/>
    <n v="156.9"/>
    <n v="0"/>
    <x v="37"/>
    <x v="2"/>
    <m/>
    <m/>
    <n v="201.60000000000002"/>
    <n v="0.8716666666666667"/>
  </r>
  <r>
    <x v="3"/>
    <x v="63"/>
    <x v="0"/>
    <x v="11"/>
    <m/>
    <n v="200"/>
    <s v="SILICA_GEL, STAL SHORT"/>
    <s v="CA-001638"/>
    <n v="1"/>
    <n v="180"/>
    <m/>
    <n v="180"/>
    <x v="0"/>
    <n v="44"/>
    <n v="22"/>
    <n v="22"/>
    <n v="23.1"/>
    <n v="156.9"/>
    <n v="0"/>
    <x v="37"/>
    <x v="2"/>
    <m/>
    <m/>
    <n v="201.60000000000002"/>
    <n v="0.8716666666666667"/>
  </r>
  <r>
    <x v="3"/>
    <x v="64"/>
    <x v="0"/>
    <x v="40"/>
    <m/>
    <m/>
    <s v="BOLT &amp; NUT, GI, SET 5/16"/>
    <s v="IM-000003"/>
    <n v="4"/>
    <n v="12"/>
    <m/>
    <n v="48"/>
    <x v="0"/>
    <n v="10"/>
    <n v="5"/>
    <n v="20"/>
    <n v="20.6"/>
    <n v="27.4"/>
    <n v="0"/>
    <x v="57"/>
    <x v="0"/>
    <m/>
    <m/>
    <s v=""/>
    <n v="0.5708333333333333"/>
  </r>
  <r>
    <x v="3"/>
    <x v="66"/>
    <x v="0"/>
    <x v="19"/>
    <m/>
    <m/>
    <s v="BOLT &amp; NUT, GI, SET 5/16"/>
    <s v="IM-000003"/>
    <n v="4"/>
    <n v="12"/>
    <m/>
    <n v="48"/>
    <x v="0"/>
    <n v="10"/>
    <n v="5"/>
    <n v="20"/>
    <n v="20.6"/>
    <n v="27.4"/>
    <n v="0"/>
    <x v="57"/>
    <x v="0"/>
    <m/>
    <m/>
    <s v=""/>
    <n v="0.5708333333333333"/>
  </r>
  <r>
    <x v="3"/>
    <x v="69"/>
    <x v="0"/>
    <x v="19"/>
    <m/>
    <n v="12"/>
    <s v="BOLT &amp; NUT, GI, SET 5/16"/>
    <s v="IM-000003"/>
    <n v="4"/>
    <n v="11"/>
    <m/>
    <n v="44"/>
    <x v="0"/>
    <n v="10"/>
    <n v="5"/>
    <n v="20"/>
    <n v="20.6"/>
    <n v="23.4"/>
    <n v="0"/>
    <x v="57"/>
    <x v="0"/>
    <m/>
    <m/>
    <n v="12.32"/>
    <n v="0.53181818181818175"/>
  </r>
  <r>
    <x v="3"/>
    <x v="69"/>
    <x v="0"/>
    <x v="35"/>
    <m/>
    <m/>
    <s v="BOLT &amp; NUT, GI, SET 5/16"/>
    <s v="IM-000003"/>
    <n v="4"/>
    <n v="12"/>
    <m/>
    <n v="48"/>
    <x v="0"/>
    <n v="10"/>
    <n v="5"/>
    <n v="20"/>
    <n v="20.6"/>
    <n v="27.4"/>
    <n v="0"/>
    <x v="57"/>
    <x v="0"/>
    <m/>
    <m/>
    <s v=""/>
    <n v="0.5708333333333333"/>
  </r>
  <r>
    <x v="3"/>
    <x v="119"/>
    <x v="0"/>
    <x v="45"/>
    <m/>
    <m/>
    <s v="BOLT &amp; NUT, GI, SET 5/16"/>
    <s v="IM-000003"/>
    <n v="4"/>
    <n v="12"/>
    <m/>
    <n v="48"/>
    <x v="0"/>
    <n v="10"/>
    <n v="5"/>
    <n v="20"/>
    <n v="20.6"/>
    <n v="27.4"/>
    <n v="0"/>
    <x v="57"/>
    <x v="0"/>
    <m/>
    <m/>
    <s v=""/>
    <n v="0.5708333333333333"/>
  </r>
  <r>
    <x v="3"/>
    <x v="72"/>
    <x v="0"/>
    <x v="45"/>
    <m/>
    <m/>
    <s v="BOLT &amp; NUT, GI, SET 5/16"/>
    <s v="IM-000003"/>
    <n v="4"/>
    <n v="12"/>
    <m/>
    <n v="48"/>
    <x v="0"/>
    <n v="10"/>
    <n v="5"/>
    <n v="20"/>
    <n v="20.6"/>
    <n v="27.4"/>
    <n v="0"/>
    <x v="57"/>
    <x v="0"/>
    <m/>
    <m/>
    <s v=""/>
    <n v="0.5708333333333333"/>
  </r>
  <r>
    <x v="3"/>
    <x v="72"/>
    <x v="0"/>
    <x v="49"/>
    <m/>
    <n v="200"/>
    <s v="SILICA_GEL, STAL SHORT"/>
    <s v="CA-001638"/>
    <n v="1"/>
    <n v="180"/>
    <m/>
    <n v="180"/>
    <x v="0"/>
    <n v="44"/>
    <n v="22"/>
    <n v="22"/>
    <n v="23.1"/>
    <n v="156.9"/>
    <n v="0"/>
    <x v="37"/>
    <x v="2"/>
    <m/>
    <m/>
    <n v="201.60000000000002"/>
    <n v="0.8716666666666667"/>
  </r>
  <r>
    <x v="3"/>
    <x v="101"/>
    <x v="0"/>
    <x v="93"/>
    <m/>
    <m/>
    <s v="BOLT &amp; NUT, GI, SET 5/16"/>
    <s v="IM-000003"/>
    <n v="4"/>
    <n v="12"/>
    <m/>
    <n v="48"/>
    <x v="0"/>
    <n v="10"/>
    <n v="5"/>
    <n v="20"/>
    <n v="20.6"/>
    <n v="27.4"/>
    <n v="0"/>
    <x v="57"/>
    <x v="0"/>
    <m/>
    <m/>
    <s v=""/>
    <n v="0.5708333333333333"/>
  </r>
  <r>
    <x v="3"/>
    <x v="74"/>
    <x v="0"/>
    <x v="11"/>
    <m/>
    <n v="200"/>
    <s v="SILICA_GEL, STAL SHORT"/>
    <s v="CA-001638"/>
    <n v="1"/>
    <n v="180"/>
    <m/>
    <n v="180"/>
    <x v="0"/>
    <n v="44"/>
    <n v="22"/>
    <n v="22"/>
    <n v="23.1"/>
    <n v="156.9"/>
    <n v="0"/>
    <x v="37"/>
    <x v="2"/>
    <m/>
    <m/>
    <m/>
    <n v="0.8716666666666667"/>
  </r>
  <r>
    <x v="3"/>
    <x v="123"/>
    <x v="0"/>
    <x v="102"/>
    <m/>
    <m/>
    <s v="BOLT &amp; NUT, GI, SET 5/16"/>
    <s v="IM-000003"/>
    <n v="4"/>
    <n v="12"/>
    <m/>
    <n v="48"/>
    <x v="0"/>
    <n v="10"/>
    <n v="5"/>
    <n v="20"/>
    <n v="20.6"/>
    <n v="27.4"/>
    <n v="0"/>
    <x v="57"/>
    <x v="0"/>
    <m/>
    <m/>
    <m/>
    <n v="0.5708333333333333"/>
  </r>
  <r>
    <x v="4"/>
    <x v="107"/>
    <x v="0"/>
    <x v="1"/>
    <m/>
    <m/>
    <s v="BOLT &amp; NUT, TOX WITH METAL SCREW #8"/>
    <s v="GE-000404"/>
    <n v="16"/>
    <n v="4"/>
    <m/>
    <n v="64"/>
    <x v="0"/>
    <n v="3"/>
    <n v="1.25"/>
    <n v="20"/>
    <n v="21"/>
    <n v="43"/>
    <n v="0"/>
    <x v="57"/>
    <x v="1"/>
    <m/>
    <m/>
    <m/>
    <n v="0.671875"/>
  </r>
  <r>
    <x v="4"/>
    <x v="88"/>
    <x v="0"/>
    <x v="32"/>
    <m/>
    <m/>
    <s v="BOLT &amp; NUT, GI, SET 5/16"/>
    <s v="IM-000003"/>
    <n v="4"/>
    <n v="12"/>
    <m/>
    <n v="48"/>
    <x v="0"/>
    <n v="10"/>
    <n v="5"/>
    <n v="20"/>
    <n v="20.6"/>
    <n v="27.4"/>
    <n v="0"/>
    <x v="57"/>
    <x v="0"/>
    <m/>
    <m/>
    <m/>
    <n v="0.5708333333333333"/>
  </r>
  <r>
    <x v="4"/>
    <x v="88"/>
    <x v="0"/>
    <x v="102"/>
    <m/>
    <m/>
    <s v="BOLT &amp; NUT, GI, SET 5/16"/>
    <s v="IM-000003"/>
    <n v="4"/>
    <n v="12"/>
    <m/>
    <n v="48"/>
    <x v="0"/>
    <n v="10"/>
    <n v="5"/>
    <n v="20"/>
    <n v="20.6"/>
    <n v="27.4"/>
    <n v="0"/>
    <x v="57"/>
    <x v="0"/>
    <m/>
    <m/>
    <m/>
    <n v="0.5708333333333333"/>
  </r>
  <r>
    <x v="4"/>
    <x v="113"/>
    <x v="0"/>
    <x v="2"/>
    <m/>
    <m/>
    <s v="BOLT &amp; NUT, GI, SET 5/16"/>
    <s v="IM-000003"/>
    <n v="4"/>
    <n v="16"/>
    <m/>
    <n v="64"/>
    <x v="0"/>
    <n v="10"/>
    <n v="5"/>
    <n v="20"/>
    <n v="20.6"/>
    <n v="43.4"/>
    <n v="0"/>
    <x v="57"/>
    <x v="0"/>
    <m/>
    <m/>
    <m/>
    <n v="0.67812499999999998"/>
  </r>
  <r>
    <x v="4"/>
    <x v="92"/>
    <x v="0"/>
    <x v="17"/>
    <m/>
    <n v="200"/>
    <s v="SILICA_GEL, STAL SHORT"/>
    <s v="CA-001638"/>
    <n v="1"/>
    <n v="180"/>
    <m/>
    <n v="180"/>
    <x v="0"/>
    <n v="44"/>
    <n v="22"/>
    <n v="22"/>
    <n v="23.1"/>
    <n v="156.9"/>
    <n v="0"/>
    <x v="37"/>
    <x v="2"/>
    <m/>
    <m/>
    <m/>
    <n v="0.8716666666666667"/>
  </r>
  <r>
    <x v="4"/>
    <x v="96"/>
    <x v="0"/>
    <x v="23"/>
    <m/>
    <m/>
    <s v="SILICA_GEL, STAL SHORT"/>
    <s v="CA-001638"/>
    <n v="1"/>
    <n v="200"/>
    <m/>
    <n v="200"/>
    <x v="0"/>
    <n v="44"/>
    <n v="22"/>
    <n v="22"/>
    <n v="23.1"/>
    <n v="176.9"/>
    <n v="0"/>
    <x v="37"/>
    <x v="2"/>
    <m/>
    <m/>
    <m/>
    <n v="0.88450000000000006"/>
  </r>
  <r>
    <x v="4"/>
    <x v="79"/>
    <x v="0"/>
    <x v="11"/>
    <m/>
    <m/>
    <s v="SILICA_GEL, STAL SHORT"/>
    <s v="CA-001638"/>
    <n v="1"/>
    <n v="200"/>
    <m/>
    <n v="200"/>
    <x v="0"/>
    <n v="44"/>
    <n v="22"/>
    <n v="22"/>
    <n v="23.1"/>
    <n v="176.9"/>
    <n v="0"/>
    <x v="37"/>
    <x v="2"/>
    <m/>
    <m/>
    <m/>
    <n v="0.88450000000000006"/>
  </r>
  <r>
    <x v="4"/>
    <x v="80"/>
    <x v="0"/>
    <x v="49"/>
    <m/>
    <m/>
    <s v="SILICA_GEL, STAL SHORT"/>
    <s v="CA-001638"/>
    <n v="1"/>
    <n v="200"/>
    <m/>
    <n v="200"/>
    <x v="0"/>
    <n v="44"/>
    <n v="22"/>
    <n v="22"/>
    <n v="23.1"/>
    <n v="176.9"/>
    <n v="0"/>
    <x v="37"/>
    <x v="2"/>
    <m/>
    <m/>
    <m/>
    <n v="0.88450000000000006"/>
  </r>
  <r>
    <x v="4"/>
    <x v="104"/>
    <x v="0"/>
    <x v="11"/>
    <m/>
    <m/>
    <s v="SILICA_GEL, STAL SHORT"/>
    <s v="CA-001638"/>
    <n v="1"/>
    <n v="200"/>
    <m/>
    <n v="200"/>
    <x v="0"/>
    <n v="44"/>
    <n v="22"/>
    <n v="22"/>
    <n v="23.1"/>
    <n v="176.9"/>
    <n v="0"/>
    <x v="37"/>
    <x v="2"/>
    <m/>
    <m/>
    <m/>
    <n v="0.88450000000000006"/>
  </r>
  <r>
    <x v="4"/>
    <x v="77"/>
    <x v="0"/>
    <x v="35"/>
    <m/>
    <m/>
    <s v="BOLT &amp; NUT, GI, SET 5/16"/>
    <s v="IM-000003"/>
    <n v="4"/>
    <n v="12"/>
    <m/>
    <n v="48"/>
    <x v="0"/>
    <n v="10"/>
    <n v="5"/>
    <n v="20"/>
    <n v="20.6"/>
    <n v="27.4"/>
    <n v="0"/>
    <x v="57"/>
    <x v="0"/>
    <e v="#REF!"/>
    <e v="#REF!"/>
    <e v="#REF!"/>
    <n v="0"/>
  </r>
  <r>
    <x v="5"/>
    <x v="130"/>
    <x v="0"/>
    <x v="27"/>
    <m/>
    <m/>
    <s v="RUBBER_INSULATION, M-FLEX 1/2&quot; 1/4"/>
    <s v="IM-000229"/>
    <n v="2"/>
    <n v="50"/>
    <m/>
    <n v="100"/>
    <x v="0"/>
    <n v="47"/>
    <n v="33.6"/>
    <n v="67.2"/>
    <n v="69.216000000000008"/>
    <n v="30.783999999999992"/>
    <n v="0"/>
    <x v="22"/>
    <x v="0"/>
    <e v="#REF!"/>
    <e v="#REF!"/>
    <s v=""/>
    <n v="0.30783999999999989"/>
  </r>
  <r>
    <x v="3"/>
    <x v="60"/>
    <x v="0"/>
    <x v="1"/>
    <m/>
    <n v="8"/>
    <s v="BOLT &amp; NUT, TOX WITH METAL SCREW #8"/>
    <s v="GE-000404"/>
    <n v="15"/>
    <n v="7"/>
    <m/>
    <n v="105"/>
    <x v="0"/>
    <n v="3"/>
    <n v="1.25"/>
    <n v="18.75"/>
    <n v="19.6875"/>
    <n v="85.3125"/>
    <n v="0"/>
    <x v="57"/>
    <x v="1"/>
    <m/>
    <m/>
    <n v="7.8400000000000007"/>
    <n v="0.8125"/>
  </r>
  <r>
    <x v="0"/>
    <x v="1"/>
    <x v="0"/>
    <x v="1"/>
    <m/>
    <m/>
    <s v="ROD, HARRIS SILVER "/>
    <s v="IM-000098"/>
    <n v="1"/>
    <n v="25"/>
    <m/>
    <n v="25"/>
    <x v="0"/>
    <n v="30"/>
    <n v="19"/>
    <n v="19"/>
    <n v="19.57"/>
    <n v="5.43"/>
    <n v="0"/>
    <x v="56"/>
    <x v="0"/>
    <m/>
    <m/>
    <s v=""/>
    <n v="0.21719999999999998"/>
  </r>
  <r>
    <x v="0"/>
    <x v="1"/>
    <x v="0"/>
    <x v="1"/>
    <m/>
    <m/>
    <s v="ROD, HARRIS SILVER "/>
    <s v="IM-000098"/>
    <n v="1"/>
    <n v="25"/>
    <m/>
    <n v="25"/>
    <x v="0"/>
    <n v="30"/>
    <n v="19"/>
    <n v="19"/>
    <n v="19.57"/>
    <n v="5.43"/>
    <n v="0"/>
    <x v="56"/>
    <x v="0"/>
    <m/>
    <m/>
    <s v=""/>
    <n v="0.21719999999999998"/>
  </r>
  <r>
    <x v="0"/>
    <x v="13"/>
    <x v="0"/>
    <x v="1"/>
    <m/>
    <m/>
    <s v="ROD, HARRIS SILVER "/>
    <s v="IM-000098"/>
    <n v="1"/>
    <n v="25"/>
    <m/>
    <n v="25"/>
    <x v="0"/>
    <n v="30"/>
    <n v="19"/>
    <n v="19"/>
    <n v="19.57"/>
    <n v="5.43"/>
    <n v="0"/>
    <x v="56"/>
    <x v="0"/>
    <e v="#REF!"/>
    <e v="#REF!"/>
    <s v=""/>
    <n v="0.21719999999999998"/>
  </r>
  <r>
    <x v="1"/>
    <x v="29"/>
    <x v="0"/>
    <x v="1"/>
    <m/>
    <m/>
    <s v="ROD, HARRIS SILVER "/>
    <s v="IM-000098"/>
    <n v="1"/>
    <n v="25"/>
    <m/>
    <n v="25"/>
    <x v="0"/>
    <n v="30"/>
    <n v="19"/>
    <n v="19"/>
    <n v="19.57"/>
    <n v="5.43"/>
    <n v="0"/>
    <x v="56"/>
    <x v="0"/>
    <e v="#REF!"/>
    <e v="#REF!"/>
    <e v="#REF!"/>
    <n v="0.21719999999999998"/>
  </r>
  <r>
    <x v="2"/>
    <x v="45"/>
    <x v="0"/>
    <x v="130"/>
    <m/>
    <m/>
    <s v="ROD, HARRIS SILVER "/>
    <s v="IM-000098"/>
    <n v="1"/>
    <n v="25"/>
    <m/>
    <n v="25"/>
    <x v="0"/>
    <n v="30"/>
    <n v="19"/>
    <n v="19"/>
    <n v="19.57"/>
    <n v="5.43"/>
    <n v="0"/>
    <x v="56"/>
    <x v="0"/>
    <e v="#REF!"/>
    <e v="#REF!"/>
    <s v=""/>
    <n v="0.21719999999999998"/>
  </r>
  <r>
    <x v="2"/>
    <x v="49"/>
    <x v="0"/>
    <x v="1"/>
    <m/>
    <m/>
    <s v="ROD, HARRIS SILVER "/>
    <s v="IM-000098"/>
    <n v="1"/>
    <n v="25"/>
    <m/>
    <n v="25"/>
    <x v="0"/>
    <n v="30"/>
    <n v="19"/>
    <n v="19"/>
    <n v="19.57"/>
    <n v="5.43"/>
    <n v="0"/>
    <x v="56"/>
    <x v="0"/>
    <e v="#REF!"/>
    <e v="#REF!"/>
    <s v=""/>
    <n v="0.21719999999999998"/>
  </r>
  <r>
    <x v="2"/>
    <x v="53"/>
    <x v="0"/>
    <x v="1"/>
    <m/>
    <m/>
    <s v="ROD, HARRIS SILVER "/>
    <s v="IM-000098"/>
    <n v="1"/>
    <n v="25"/>
    <m/>
    <n v="25"/>
    <x v="0"/>
    <n v="30"/>
    <n v="19"/>
    <n v="19"/>
    <n v="19.57"/>
    <n v="5.43"/>
    <n v="0"/>
    <x v="56"/>
    <x v="0"/>
    <e v="#REF!"/>
    <e v="#REF!"/>
    <s v=""/>
    <n v="0.21719999999999998"/>
  </r>
  <r>
    <x v="2"/>
    <x v="54"/>
    <x v="0"/>
    <x v="6"/>
    <m/>
    <m/>
    <s v="ROD, HARRIS SILVER "/>
    <s v="IM-000098"/>
    <n v="1"/>
    <n v="25"/>
    <m/>
    <n v="25"/>
    <x v="0"/>
    <n v="30"/>
    <n v="19"/>
    <n v="19"/>
    <n v="19.57"/>
    <n v="5.43"/>
    <n v="0"/>
    <x v="56"/>
    <x v="0"/>
    <e v="#REF!"/>
    <e v="#REF!"/>
    <s v=""/>
    <n v="0.21719999999999998"/>
  </r>
  <r>
    <x v="3"/>
    <x v="60"/>
    <x v="0"/>
    <x v="1"/>
    <m/>
    <m/>
    <s v="ROD, HARRIS SILVER "/>
    <s v="IM-000098"/>
    <n v="1"/>
    <n v="25"/>
    <m/>
    <n v="25"/>
    <x v="0"/>
    <n v="30"/>
    <n v="19"/>
    <n v="19"/>
    <n v="19.57"/>
    <n v="5.43"/>
    <n v="0"/>
    <x v="56"/>
    <x v="0"/>
    <m/>
    <m/>
    <s v=""/>
    <n v="0.21719999999999998"/>
  </r>
  <r>
    <x v="4"/>
    <x v="107"/>
    <x v="0"/>
    <x v="1"/>
    <m/>
    <m/>
    <s v="ROD, HARRIS SILVER "/>
    <s v="IM-000098"/>
    <n v="1"/>
    <n v="28"/>
    <m/>
    <n v="28"/>
    <x v="0"/>
    <n v="30"/>
    <n v="19"/>
    <n v="19"/>
    <n v="19.57"/>
    <n v="8.43"/>
    <n v="0"/>
    <x v="56"/>
    <x v="0"/>
    <m/>
    <m/>
    <m/>
    <n v="0.30107142857142855"/>
  </r>
  <r>
    <x v="4"/>
    <x v="108"/>
    <x v="0"/>
    <x v="35"/>
    <m/>
    <m/>
    <s v="ROD, HARRIS SILVER "/>
    <s v="IM-000098"/>
    <n v="1"/>
    <n v="25"/>
    <m/>
    <n v="25"/>
    <x v="0"/>
    <n v="30"/>
    <n v="19"/>
    <n v="19"/>
    <n v="19.57"/>
    <n v="5.43"/>
    <n v="0"/>
    <x v="56"/>
    <x v="0"/>
    <m/>
    <m/>
    <m/>
    <n v="0.21719999999999998"/>
  </r>
  <r>
    <x v="4"/>
    <x v="94"/>
    <x v="0"/>
    <x v="1"/>
    <m/>
    <m/>
    <s v="ROD, HARRIS SILVER "/>
    <s v="IM-000098"/>
    <n v="1"/>
    <n v="28"/>
    <m/>
    <n v="28"/>
    <x v="0"/>
    <n v="30"/>
    <n v="19"/>
    <n v="19"/>
    <n v="19.57"/>
    <n v="8.43"/>
    <n v="0"/>
    <x v="56"/>
    <x v="0"/>
    <m/>
    <m/>
    <m/>
    <n v="0.30107142857142855"/>
  </r>
  <r>
    <x v="4"/>
    <x v="95"/>
    <x v="0"/>
    <x v="1"/>
    <m/>
    <m/>
    <s v="ROD, HARRIS SILVER "/>
    <s v="IM-000098"/>
    <n v="1"/>
    <n v="25"/>
    <m/>
    <n v="25"/>
    <x v="0"/>
    <n v="30"/>
    <n v="19"/>
    <n v="19"/>
    <n v="19.57"/>
    <n v="5.43"/>
    <n v="0"/>
    <x v="56"/>
    <x v="0"/>
    <m/>
    <m/>
    <m/>
    <n v="0.21719999999999998"/>
  </r>
  <r>
    <x v="4"/>
    <x v="104"/>
    <x v="0"/>
    <x v="1"/>
    <m/>
    <m/>
    <s v="ROD, HARRIS SILVER "/>
    <s v="IM-000098"/>
    <n v="1"/>
    <n v="28"/>
    <m/>
    <n v="28"/>
    <x v="0"/>
    <n v="30"/>
    <n v="19"/>
    <n v="19"/>
    <n v="19.57"/>
    <n v="8.43"/>
    <n v="0"/>
    <x v="56"/>
    <x v="0"/>
    <m/>
    <m/>
    <m/>
    <n v="0.30107142857142855"/>
  </r>
  <r>
    <x v="5"/>
    <x v="130"/>
    <x v="0"/>
    <x v="1"/>
    <m/>
    <m/>
    <s v="ACCESS_VALVE, OMNI WELDED TYPE "/>
    <s v="GE-000253"/>
    <n v="2"/>
    <n v="50"/>
    <m/>
    <n v="100"/>
    <x v="0"/>
    <n v="47"/>
    <n v="21"/>
    <n v="42"/>
    <n v="44.1"/>
    <n v="55.9"/>
    <n v="0"/>
    <x v="67"/>
    <x v="1"/>
    <e v="#REF!"/>
    <e v="#REF!"/>
    <s v=""/>
    <n v="0.55899999999999994"/>
  </r>
  <r>
    <x v="4"/>
    <x v="96"/>
    <x v="0"/>
    <x v="1"/>
    <m/>
    <m/>
    <s v="FITTINGS, STRAIGHT ORING TYPE 5/8"/>
    <s v="CA-000677"/>
    <n v="1"/>
    <n v="40"/>
    <m/>
    <n v="40"/>
    <x v="0"/>
    <n v="30"/>
    <n v="16"/>
    <n v="16"/>
    <n v="16.8"/>
    <n v="23.2"/>
    <n v="0"/>
    <x v="33"/>
    <x v="2"/>
    <m/>
    <m/>
    <m/>
    <n v="0.57999999999999996"/>
  </r>
  <r>
    <x v="4"/>
    <x v="116"/>
    <x v="0"/>
    <x v="20"/>
    <m/>
    <m/>
    <s v="HOSE, ELECTRICAL FLEXIBLE ROLL PER METER"/>
    <s v="G-E000235"/>
    <n v="2"/>
    <n v="15"/>
    <m/>
    <n v="30"/>
    <x v="0"/>
    <n v="15"/>
    <n v="8"/>
    <n v="16"/>
    <n v="16.8"/>
    <n v="13.2"/>
    <n v="0"/>
    <x v="19"/>
    <x v="1"/>
    <m/>
    <m/>
    <m/>
    <n v="0.44"/>
  </r>
  <r>
    <x v="5"/>
    <x v="126"/>
    <x v="1"/>
    <x v="3"/>
    <m/>
    <m/>
    <s v="RECEIVER_DRIER_ALUMINUM, YK 8015 (L) (Adventure)"/>
    <s v="CA-001085"/>
    <n v="1"/>
    <n v="550"/>
    <m/>
    <n v="550"/>
    <x v="0"/>
    <n v="615"/>
    <n v="260"/>
    <n v="260"/>
    <n v="273"/>
    <n v="277"/>
    <n v="83.1"/>
    <x v="27"/>
    <x v="2"/>
    <e v="#REF!"/>
    <e v="#REF!"/>
    <s v=""/>
    <n v="0.50363636363636366"/>
  </r>
  <r>
    <x v="5"/>
    <x v="126"/>
    <x v="1"/>
    <x v="3"/>
    <m/>
    <m/>
    <s v="EXP. VALVE LT, POKKA 9A62 ADVENTURE"/>
    <s v="CA-001413"/>
    <n v="1"/>
    <n v="550"/>
    <m/>
    <n v="550"/>
    <x v="0"/>
    <n v="478"/>
    <n v="260"/>
    <n v="260"/>
    <n v="273"/>
    <n v="277"/>
    <n v="83.1"/>
    <x v="23"/>
    <x v="2"/>
    <e v="#REF!"/>
    <e v="#REF!"/>
    <s v=""/>
    <n v="0.50363636363636366"/>
  </r>
  <r>
    <x v="5"/>
    <x v="126"/>
    <x v="1"/>
    <x v="3"/>
    <m/>
    <m/>
    <s v="SYSTEM_CLEANER, Cleanse GREEN 141B 500 ML"/>
    <s v="GE-000369"/>
    <n v="3"/>
    <n v="120"/>
    <m/>
    <n v="360"/>
    <x v="0"/>
    <n v="113"/>
    <n v="65"/>
    <n v="195"/>
    <n v="204.75"/>
    <n v="155.25"/>
    <n v="46.574999999999996"/>
    <x v="28"/>
    <x v="1"/>
    <e v="#REF!"/>
    <e v="#REF!"/>
    <s v=""/>
    <n v="0.43125000000000002"/>
  </r>
  <r>
    <x v="5"/>
    <x v="126"/>
    <x v="1"/>
    <x v="3"/>
    <m/>
    <m/>
    <s v="FITTINGS, STRAIGHT FLARE TYPE 5/8"/>
    <s v="CA-000673"/>
    <n v="3"/>
    <n v="40"/>
    <m/>
    <n v="120"/>
    <x v="0"/>
    <n v="30"/>
    <n v="16"/>
    <n v="48"/>
    <n v="50.400000000000006"/>
    <n v="69.599999999999994"/>
    <n v="20.88"/>
    <x v="33"/>
    <x v="2"/>
    <e v="#REF!"/>
    <e v="#REF!"/>
    <s v=""/>
    <n v="0.57999999999999996"/>
  </r>
  <r>
    <x v="5"/>
    <x v="127"/>
    <x v="1"/>
    <x v="3"/>
    <m/>
    <m/>
    <s v="EXP. VALVE LT, POKKA 9A55 HONDA NEW"/>
    <s v="CA-000636"/>
    <n v="1"/>
    <n v="550"/>
    <m/>
    <n v="550"/>
    <x v="0"/>
    <n v="497"/>
    <n v="270"/>
    <n v="270"/>
    <n v="283.5"/>
    <n v="266.5"/>
    <n v="79.95"/>
    <x v="23"/>
    <x v="2"/>
    <e v="#REF!"/>
    <e v="#REF!"/>
    <s v=""/>
    <n v="0.48454545454545456"/>
  </r>
  <r>
    <x v="4"/>
    <x v="104"/>
    <x v="0"/>
    <x v="8"/>
    <m/>
    <m/>
    <s v="FITTINGS, STRAIGHT ORING TYPE 5/16"/>
    <s v="CA-000676"/>
    <n v="1"/>
    <n v="40"/>
    <m/>
    <n v="40"/>
    <x v="0"/>
    <n v="30"/>
    <n v="16"/>
    <n v="16"/>
    <n v="16.8"/>
    <n v="23.2"/>
    <n v="0"/>
    <x v="33"/>
    <x v="2"/>
    <m/>
    <m/>
    <m/>
    <n v="0.57999999999999996"/>
  </r>
  <r>
    <x v="4"/>
    <x v="96"/>
    <x v="0"/>
    <x v="1"/>
    <m/>
    <m/>
    <s v="FITTINGS, STRAIGHT FLARE TYPE 1/2"/>
    <s v="CA-000671"/>
    <n v="1"/>
    <n v="40"/>
    <m/>
    <n v="40"/>
    <x v="0"/>
    <n v="30"/>
    <n v="16"/>
    <n v="16"/>
    <n v="16.8"/>
    <n v="23.2"/>
    <n v="0"/>
    <x v="33"/>
    <x v="2"/>
    <m/>
    <m/>
    <m/>
    <n v="0.57999999999999996"/>
  </r>
  <r>
    <x v="4"/>
    <x v="104"/>
    <x v="0"/>
    <x v="8"/>
    <m/>
    <m/>
    <s v="FITTINGS, ELBOW ORING TYPE  5/16"/>
    <s v="CA-000660"/>
    <n v="1"/>
    <n v="40"/>
    <m/>
    <n v="40"/>
    <x v="0"/>
    <n v="27"/>
    <n v="14.5"/>
    <n v="14.5"/>
    <n v="15.225000000000001"/>
    <n v="24.774999999999999"/>
    <n v="0"/>
    <x v="33"/>
    <x v="2"/>
    <m/>
    <m/>
    <m/>
    <n v="0.61937500000000001"/>
  </r>
  <r>
    <x v="4"/>
    <x v="104"/>
    <x v="0"/>
    <x v="8"/>
    <m/>
    <m/>
    <s v="FITTINGS, STRAIGHT ORING TYPE 1/2"/>
    <s v="CA-000674"/>
    <n v="1"/>
    <n v="40"/>
    <m/>
    <n v="40"/>
    <x v="0"/>
    <n v="30"/>
    <n v="16"/>
    <n v="16"/>
    <n v="16.8"/>
    <n v="23.2"/>
    <n v="0"/>
    <x v="33"/>
    <x v="2"/>
    <m/>
    <m/>
    <m/>
    <n v="0.57999999999999996"/>
  </r>
  <r>
    <x v="4"/>
    <x v="104"/>
    <x v="0"/>
    <x v="8"/>
    <m/>
    <m/>
    <s v="FITTINGS, ELBOW ORING TYPE  1/2"/>
    <s v="CA-000658"/>
    <n v="1"/>
    <n v="40"/>
    <m/>
    <n v="40"/>
    <x v="0"/>
    <n v="27"/>
    <n v="14.5"/>
    <n v="14.5"/>
    <n v="15.225000000000001"/>
    <n v="24.774999999999999"/>
    <n v="0"/>
    <x v="33"/>
    <x v="2"/>
    <m/>
    <m/>
    <m/>
    <n v="0.61937500000000001"/>
  </r>
  <r>
    <x v="2"/>
    <x v="117"/>
    <x v="0"/>
    <x v="1"/>
    <m/>
    <m/>
    <s v="CAPILLARY TUBE,  3.0MMX.0.5MMx1FT"/>
    <s v="GE-000090"/>
    <n v="1"/>
    <n v="32"/>
    <m/>
    <n v="32"/>
    <x v="0"/>
    <n v="26"/>
    <n v="14"/>
    <n v="14"/>
    <n v="14.700000000000001"/>
    <n v="17.299999999999997"/>
    <n v="0"/>
    <x v="75"/>
    <x v="1"/>
    <e v="#REF!"/>
    <e v="#REF!"/>
    <s v=""/>
    <n v="0.54062499999999991"/>
  </r>
  <r>
    <x v="4"/>
    <x v="102"/>
    <x v="0"/>
    <x v="1"/>
    <m/>
    <m/>
    <s v="ROD, NIHONWELD ALUMINUM "/>
    <s v="IM-000100"/>
    <n v="2"/>
    <n v="28"/>
    <m/>
    <n v="56"/>
    <x v="0"/>
    <n v="11"/>
    <n v="7"/>
    <n v="14"/>
    <n v="14.42"/>
    <n v="41.58"/>
    <n v="0"/>
    <x v="56"/>
    <x v="0"/>
    <m/>
    <m/>
    <m/>
    <n v="0.74249999999999994"/>
  </r>
  <r>
    <x v="0"/>
    <x v="98"/>
    <x v="0"/>
    <x v="35"/>
    <m/>
    <m/>
    <s v="BOLT &amp; NUT, DYNABOLT 5/16&quot;"/>
    <s v="GE-000397"/>
    <n v="2"/>
    <n v="20"/>
    <m/>
    <n v="40"/>
    <x v="0"/>
    <n v="14"/>
    <n v="6.5"/>
    <n v="13"/>
    <n v="13.65"/>
    <n v="26.35"/>
    <n v="0"/>
    <x v="57"/>
    <x v="1"/>
    <m/>
    <m/>
    <s v=""/>
    <n v="0.65875000000000006"/>
  </r>
  <r>
    <x v="2"/>
    <x v="50"/>
    <x v="0"/>
    <x v="49"/>
    <m/>
    <m/>
    <s v="FERULLE,  5/8&quot;"/>
    <s v="CA-000646"/>
    <n v="2"/>
    <n v="15"/>
    <m/>
    <n v="30"/>
    <x v="0"/>
    <n v="13"/>
    <n v="7"/>
    <n v="14"/>
    <n v="14.700000000000001"/>
    <n v="15.299999999999999"/>
    <n v="0"/>
    <x v="42"/>
    <x v="2"/>
    <e v="#REF!"/>
    <e v="#REF!"/>
    <s v=""/>
    <n v="0.51"/>
  </r>
  <r>
    <x v="3"/>
    <x v="87"/>
    <x v="0"/>
    <x v="49"/>
    <m/>
    <m/>
    <s v="FERULLE,  5/8&quot;"/>
    <s v="CA-000646"/>
    <n v="2"/>
    <n v="15"/>
    <m/>
    <n v="30"/>
    <x v="0"/>
    <n v="13"/>
    <n v="7"/>
    <n v="14"/>
    <n v="14.700000000000001"/>
    <n v="15.299999999999999"/>
    <n v="0"/>
    <x v="42"/>
    <x v="2"/>
    <m/>
    <m/>
    <m/>
    <n v="0.51"/>
  </r>
  <r>
    <x v="4"/>
    <x v="94"/>
    <x v="0"/>
    <x v="49"/>
    <m/>
    <m/>
    <s v="FERULLE,  5/8&quot;"/>
    <s v="CA-000646"/>
    <n v="2"/>
    <n v="15"/>
    <m/>
    <n v="30"/>
    <x v="0"/>
    <n v="13"/>
    <n v="7"/>
    <n v="14"/>
    <n v="14.700000000000001"/>
    <n v="15.299999999999999"/>
    <n v="0"/>
    <x v="42"/>
    <x v="2"/>
    <m/>
    <m/>
    <m/>
    <n v="0.51"/>
  </r>
  <r>
    <x v="4"/>
    <x v="104"/>
    <x v="0"/>
    <x v="8"/>
    <m/>
    <m/>
    <s v="FERULLE,  1/2&quot;"/>
    <s v="CA-000644"/>
    <n v="2"/>
    <n v="15"/>
    <m/>
    <n v="30"/>
    <x v="0"/>
    <n v="13"/>
    <n v="7"/>
    <n v="14"/>
    <n v="14.700000000000001"/>
    <n v="15.299999999999999"/>
    <n v="0"/>
    <x v="42"/>
    <x v="2"/>
    <m/>
    <m/>
    <m/>
    <n v="0.51"/>
  </r>
  <r>
    <x v="2"/>
    <x v="55"/>
    <x v="0"/>
    <x v="1"/>
    <m/>
    <m/>
    <s v="BOLT &amp; NUT, TOX WITH METAL SCREW #8"/>
    <s v="GE-000404"/>
    <n v="10"/>
    <n v="8"/>
    <m/>
    <n v="80"/>
    <x v="0"/>
    <n v="3"/>
    <n v="1.25"/>
    <n v="12.5"/>
    <n v="13.125"/>
    <n v="66.875"/>
    <n v="0"/>
    <x v="57"/>
    <x v="1"/>
    <e v="#REF!"/>
    <e v="#REF!"/>
    <s v=""/>
    <n v="0.8359375"/>
  </r>
  <r>
    <x v="3"/>
    <x v="65"/>
    <x v="0"/>
    <x v="30"/>
    <m/>
    <m/>
    <s v="BOLT &amp; NUT, TOX WITH METAL SCREW #8"/>
    <s v="GE-000404"/>
    <n v="10"/>
    <n v="8"/>
    <m/>
    <n v="80"/>
    <x v="0"/>
    <n v="3"/>
    <n v="1.25"/>
    <n v="12.5"/>
    <n v="13.125"/>
    <n v="66.875"/>
    <n v="0"/>
    <x v="57"/>
    <x v="1"/>
    <m/>
    <m/>
    <s v=""/>
    <n v="0.8359375"/>
  </r>
  <r>
    <x v="3"/>
    <x v="101"/>
    <x v="0"/>
    <x v="93"/>
    <m/>
    <m/>
    <s v="BOLT &amp; NUT, TOX WITH METAL SCREW #8"/>
    <s v="GE-000404"/>
    <n v="10"/>
    <n v="8"/>
    <m/>
    <n v="80"/>
    <x v="0"/>
    <n v="3"/>
    <n v="1.25"/>
    <n v="12.5"/>
    <n v="13.125"/>
    <n v="66.875"/>
    <n v="0"/>
    <x v="57"/>
    <x v="1"/>
    <m/>
    <m/>
    <m/>
    <n v="0.8359375"/>
  </r>
  <r>
    <x v="4"/>
    <x v="105"/>
    <x v="0"/>
    <x v="1"/>
    <m/>
    <m/>
    <s v="BOLT &amp; NUT, TOX WITH METAL SCREW #8"/>
    <s v="GE-000404"/>
    <n v="10"/>
    <n v="8"/>
    <m/>
    <n v="80"/>
    <x v="0"/>
    <n v="3"/>
    <n v="1.25"/>
    <n v="12.5"/>
    <n v="13.125"/>
    <n v="66.875"/>
    <n v="0"/>
    <x v="57"/>
    <x v="1"/>
    <m/>
    <m/>
    <m/>
    <n v="0.8359375"/>
  </r>
  <r>
    <x v="5"/>
    <x v="130"/>
    <x v="0"/>
    <x v="1"/>
    <m/>
    <m/>
    <s v="ROD, HARRIS SILVER "/>
    <s v="IM-000098"/>
    <n v="2"/>
    <n v="28"/>
    <m/>
    <n v="56"/>
    <x v="0"/>
    <n v="30"/>
    <n v="19"/>
    <n v="38"/>
    <n v="39.14"/>
    <n v="16.86"/>
    <n v="0"/>
    <x v="56"/>
    <x v="0"/>
    <e v="#REF!"/>
    <e v="#REF!"/>
    <s v=""/>
    <n v="0.30107142857142855"/>
  </r>
  <r>
    <x v="0"/>
    <x v="43"/>
    <x v="0"/>
    <x v="1"/>
    <m/>
    <m/>
    <s v="CHARGING_VALVE CAP,  LOW"/>
    <s v="GE-000417"/>
    <n v="2"/>
    <n v="20"/>
    <m/>
    <n v="40"/>
    <x v="0"/>
    <n v="16"/>
    <n v="6"/>
    <n v="12"/>
    <n v="12.600000000000001"/>
    <n v="27.4"/>
    <n v="0"/>
    <x v="80"/>
    <x v="1"/>
    <e v="#REF!"/>
    <e v="#REF!"/>
    <s v=""/>
    <n v="0.68499999999999994"/>
  </r>
  <r>
    <x v="1"/>
    <x v="14"/>
    <x v="0"/>
    <x v="1"/>
    <m/>
    <m/>
    <s v="FITTINGS, BRASS FLARE NUT 1/4"/>
    <s v="IM-000049"/>
    <n v="1"/>
    <n v="35"/>
    <m/>
    <n v="35"/>
    <x v="0"/>
    <n v="26"/>
    <n v="14"/>
    <n v="14"/>
    <n v="14.42"/>
    <n v="20.58"/>
    <n v="0"/>
    <x v="33"/>
    <x v="0"/>
    <e v="#REF!"/>
    <e v="#REF!"/>
    <s v=""/>
    <n v="0.58799999999999997"/>
  </r>
  <r>
    <x v="4"/>
    <x v="95"/>
    <x v="0"/>
    <x v="62"/>
    <m/>
    <m/>
    <s v="FITTINGS, BRASS FLARE NUT 1/4"/>
    <s v="IM-000049"/>
    <n v="1"/>
    <n v="35"/>
    <m/>
    <n v="35"/>
    <x v="0"/>
    <n v="26"/>
    <n v="14"/>
    <n v="14"/>
    <n v="14.42"/>
    <n v="20.58"/>
    <n v="0"/>
    <x v="33"/>
    <x v="0"/>
    <m/>
    <m/>
    <m/>
    <n v="0.58799999999999997"/>
  </r>
  <r>
    <x v="0"/>
    <x v="5"/>
    <x v="0"/>
    <x v="1"/>
    <m/>
    <m/>
    <s v="BOLT &amp; NUT, TOX WITH METAL SCREW #8"/>
    <s v="GE-000404"/>
    <n v="8"/>
    <n v="8"/>
    <m/>
    <n v="64"/>
    <x v="0"/>
    <n v="3"/>
    <n v="1.25"/>
    <n v="10"/>
    <n v="10.5"/>
    <n v="53.5"/>
    <n v="0"/>
    <x v="57"/>
    <x v="1"/>
    <m/>
    <m/>
    <s v=""/>
    <n v="0.8359375"/>
  </r>
  <r>
    <x v="2"/>
    <x v="38"/>
    <x v="0"/>
    <x v="28"/>
    <m/>
    <m/>
    <s v="O_RING, NEK MAKAPAL 1/2  TINGI"/>
    <s v="CA-001491"/>
    <n v="10"/>
    <n v="4"/>
    <m/>
    <n v="40"/>
    <x v="0"/>
    <n v="2"/>
    <n v="1"/>
    <n v="10"/>
    <n v="10.5"/>
    <n v="29.5"/>
    <n v="0"/>
    <x v="44"/>
    <x v="2"/>
    <e v="#REF!"/>
    <e v="#REF!"/>
    <s v=""/>
    <n v="0.73750000000000004"/>
  </r>
  <r>
    <x v="2"/>
    <x v="56"/>
    <x v="0"/>
    <x v="1"/>
    <m/>
    <m/>
    <s v="O_RING, NEK MAKAPAL 3/8 TINGI"/>
    <s v="CA-001492"/>
    <n v="10"/>
    <n v="2.5"/>
    <m/>
    <n v="25"/>
    <x v="0"/>
    <n v="2"/>
    <n v="1"/>
    <n v="10"/>
    <n v="10.5"/>
    <n v="14.5"/>
    <n v="0"/>
    <x v="44"/>
    <x v="2"/>
    <e v="#REF!"/>
    <e v="#REF!"/>
    <s v=""/>
    <n v="0.57999999999999996"/>
  </r>
  <r>
    <x v="2"/>
    <x v="56"/>
    <x v="0"/>
    <x v="1"/>
    <m/>
    <m/>
    <s v="O_RING, NEK MAKAPAL 1/2  TINGI"/>
    <s v="CA-001491"/>
    <n v="10"/>
    <n v="7"/>
    <m/>
    <n v="70"/>
    <x v="0"/>
    <n v="2"/>
    <n v="1"/>
    <n v="10"/>
    <n v="10.5"/>
    <n v="59.5"/>
    <n v="0"/>
    <x v="44"/>
    <x v="2"/>
    <e v="#REF!"/>
    <e v="#REF!"/>
    <s v=""/>
    <n v="0.85"/>
  </r>
  <r>
    <x v="2"/>
    <x v="56"/>
    <x v="0"/>
    <x v="1"/>
    <m/>
    <m/>
    <s v="O_RING, NEK MAKAPAL 5/8 TINGI"/>
    <s v="CA-001494"/>
    <n v="10"/>
    <n v="7.5"/>
    <m/>
    <n v="75"/>
    <x v="0"/>
    <n v="2"/>
    <n v="1"/>
    <n v="10"/>
    <n v="10.5"/>
    <n v="64.5"/>
    <n v="0"/>
    <x v="44"/>
    <x v="2"/>
    <e v="#REF!"/>
    <e v="#REF!"/>
    <s v=""/>
    <n v="0.86"/>
  </r>
  <r>
    <x v="4"/>
    <x v="116"/>
    <x v="0"/>
    <x v="95"/>
    <m/>
    <m/>
    <s v="O_RING, NEK MAKAPAL 1/2  TINGI"/>
    <s v="CA-001491"/>
    <n v="10"/>
    <n v="7"/>
    <m/>
    <n v="70"/>
    <x v="0"/>
    <n v="2"/>
    <n v="1"/>
    <n v="10"/>
    <n v="10.5"/>
    <n v="59.5"/>
    <n v="0"/>
    <x v="44"/>
    <x v="2"/>
    <m/>
    <m/>
    <m/>
    <n v="0.85"/>
  </r>
  <r>
    <x v="4"/>
    <x v="116"/>
    <x v="0"/>
    <x v="95"/>
    <m/>
    <m/>
    <s v="O_RING, NEK MAKAPAL 3/8 TINGI"/>
    <s v="CA-001492"/>
    <n v="10"/>
    <n v="5"/>
    <m/>
    <n v="50"/>
    <x v="0"/>
    <n v="2"/>
    <n v="1"/>
    <n v="10"/>
    <n v="10.5"/>
    <n v="39.5"/>
    <n v="0"/>
    <x v="44"/>
    <x v="2"/>
    <m/>
    <m/>
    <m/>
    <n v="0.79"/>
  </r>
  <r>
    <x v="4"/>
    <x v="116"/>
    <x v="0"/>
    <x v="95"/>
    <m/>
    <m/>
    <s v="O_RING, NEK MAKAPAL 5/8 TINGI"/>
    <s v="CA-001494"/>
    <n v="10"/>
    <n v="7"/>
    <m/>
    <n v="70"/>
    <x v="0"/>
    <n v="2"/>
    <n v="1"/>
    <n v="10"/>
    <n v="10.5"/>
    <n v="59.5"/>
    <n v="0"/>
    <x v="44"/>
    <x v="2"/>
    <m/>
    <m/>
    <m/>
    <n v="0.85"/>
  </r>
  <r>
    <x v="5"/>
    <x v="130"/>
    <x v="1"/>
    <x v="3"/>
    <m/>
    <m/>
    <s v="HALF_UNION, R12 (O) 3/8&quot;"/>
    <s v="CA-000686"/>
    <n v="2"/>
    <n v="30"/>
    <m/>
    <n v="60"/>
    <x v="0"/>
    <n v="30"/>
    <n v="16"/>
    <n v="32"/>
    <n v="33.6"/>
    <n v="26.4"/>
    <n v="7.919999999999999"/>
    <x v="6"/>
    <x v="2"/>
    <e v="#REF!"/>
    <e v="#REF!"/>
    <s v=""/>
    <n v="0.44"/>
  </r>
  <r>
    <x v="1"/>
    <x v="28"/>
    <x v="0"/>
    <x v="1"/>
    <m/>
    <m/>
    <s v="BOLT &amp; NUT, TOX WITH METAL SCREW #8"/>
    <s v="GE-000404"/>
    <n v="6"/>
    <n v="8"/>
    <m/>
    <n v="48"/>
    <x v="0"/>
    <n v="3"/>
    <n v="1.25"/>
    <n v="7.5"/>
    <n v="7.875"/>
    <n v="40.125"/>
    <n v="0"/>
    <x v="57"/>
    <x v="1"/>
    <e v="#REF!"/>
    <e v="#REF!"/>
    <e v="#REF!"/>
    <n v="0.8359375"/>
  </r>
  <r>
    <x v="2"/>
    <x v="48"/>
    <x v="0"/>
    <x v="11"/>
    <m/>
    <m/>
    <s v="ROD, NIHONWELD ALUMINUM "/>
    <s v="IM-000100"/>
    <n v="1"/>
    <n v="15"/>
    <m/>
    <n v="15"/>
    <x v="0"/>
    <n v="11"/>
    <n v="7"/>
    <n v="7"/>
    <n v="7.21"/>
    <n v="7.79"/>
    <n v="0"/>
    <x v="56"/>
    <x v="0"/>
    <e v="#REF!"/>
    <e v="#REF!"/>
    <s v=""/>
    <n v="0.51933333333333331"/>
  </r>
  <r>
    <x v="4"/>
    <x v="104"/>
    <x v="0"/>
    <x v="1"/>
    <m/>
    <m/>
    <s v="BOLT &amp; NUT, TOX WITH METAL SCREW #6"/>
    <s v="GE-000403"/>
    <n v="6"/>
    <n v="5"/>
    <m/>
    <n v="30"/>
    <x v="0"/>
    <n v="3"/>
    <n v="1.1000000000000001"/>
    <n v="6.6000000000000005"/>
    <n v="6.9300000000000006"/>
    <n v="23.07"/>
    <n v="0"/>
    <x v="57"/>
    <x v="1"/>
    <e v="#REF!"/>
    <e v="#REF!"/>
    <e v="#REF!"/>
    <n v="0"/>
  </r>
  <r>
    <x v="3"/>
    <x v="69"/>
    <x v="0"/>
    <x v="35"/>
    <m/>
    <m/>
    <s v="BOLT &amp; NUT, TOX WITH METAL SCREW #8"/>
    <s v="GE-000404"/>
    <n v="5"/>
    <n v="8"/>
    <m/>
    <n v="40"/>
    <x v="0"/>
    <n v="3"/>
    <n v="1.25"/>
    <n v="6.25"/>
    <n v="6.5625"/>
    <n v="33.4375"/>
    <n v="0"/>
    <x v="57"/>
    <x v="1"/>
    <m/>
    <m/>
    <s v=""/>
    <n v="0.8359375"/>
  </r>
  <r>
    <x v="4"/>
    <x v="77"/>
    <x v="0"/>
    <x v="35"/>
    <m/>
    <m/>
    <s v="BOLT &amp; NUT, TOX WITH METAL SCREW #8"/>
    <s v="GE-000404"/>
    <n v="5"/>
    <n v="6"/>
    <m/>
    <n v="30"/>
    <x v="0"/>
    <n v="3"/>
    <n v="1.25"/>
    <n v="6.25"/>
    <n v="6.5625"/>
    <n v="23.4375"/>
    <n v="0"/>
    <x v="57"/>
    <x v="1"/>
    <e v="#REF!"/>
    <e v="#REF!"/>
    <e v="#REF!"/>
    <n v="0"/>
  </r>
  <r>
    <x v="0"/>
    <x v="10"/>
    <x v="0"/>
    <x v="62"/>
    <m/>
    <m/>
    <s v="BOLT &amp; NUT, TOX WITH METAL SCREW #8"/>
    <s v="GE-000404"/>
    <n v="4"/>
    <n v="8"/>
    <m/>
    <n v="32"/>
    <x v="0"/>
    <n v="3"/>
    <n v="1.25"/>
    <n v="5"/>
    <n v="5.25"/>
    <n v="26.75"/>
    <n v="0"/>
    <x v="57"/>
    <x v="1"/>
    <e v="#REF!"/>
    <e v="#REF!"/>
    <s v=""/>
    <n v="0.8359375"/>
  </r>
  <r>
    <x v="2"/>
    <x v="48"/>
    <x v="0"/>
    <x v="110"/>
    <m/>
    <m/>
    <s v="O_RING, NEK MAKAPAL 5/8 TINGI"/>
    <s v="CA-001494"/>
    <n v="5"/>
    <n v="7"/>
    <m/>
    <n v="35"/>
    <x v="0"/>
    <n v="2"/>
    <n v="1"/>
    <n v="5"/>
    <n v="5.25"/>
    <n v="29.75"/>
    <n v="0"/>
    <x v="44"/>
    <x v="2"/>
    <e v="#REF!"/>
    <e v="#REF!"/>
    <s v=""/>
    <n v="0.85"/>
  </r>
  <r>
    <x v="2"/>
    <x v="48"/>
    <x v="0"/>
    <x v="110"/>
    <m/>
    <m/>
    <s v="O_RING, NEK MAKAPAL 1/2  TINGI"/>
    <s v="CA-001491"/>
    <n v="5"/>
    <n v="7"/>
    <m/>
    <n v="35"/>
    <x v="0"/>
    <n v="2"/>
    <n v="1"/>
    <n v="5"/>
    <n v="5.25"/>
    <n v="29.75"/>
    <n v="0"/>
    <x v="44"/>
    <x v="2"/>
    <e v="#REF!"/>
    <e v="#REF!"/>
    <s v=""/>
    <n v="0.85"/>
  </r>
  <r>
    <x v="2"/>
    <x v="48"/>
    <x v="0"/>
    <x v="110"/>
    <m/>
    <m/>
    <s v="O_RING, NEK MAKAPAL 3/8 TINGI"/>
    <s v="CA-001492"/>
    <n v="5"/>
    <n v="5"/>
    <m/>
    <n v="25"/>
    <x v="0"/>
    <n v="2"/>
    <n v="1"/>
    <n v="5"/>
    <n v="5.25"/>
    <n v="19.75"/>
    <n v="0"/>
    <x v="44"/>
    <x v="2"/>
    <e v="#REF!"/>
    <e v="#REF!"/>
    <s v=""/>
    <n v="0.79"/>
  </r>
  <r>
    <x v="2"/>
    <x v="50"/>
    <x v="0"/>
    <x v="35"/>
    <m/>
    <m/>
    <s v="BOLT &amp; NUT, TOX WITH METAL SCREW #8"/>
    <s v="GE-000404"/>
    <n v="4"/>
    <n v="8"/>
    <m/>
    <n v="32"/>
    <x v="0"/>
    <n v="3"/>
    <n v="1.25"/>
    <n v="5"/>
    <n v="5.25"/>
    <n v="26.75"/>
    <n v="0"/>
    <x v="57"/>
    <x v="1"/>
    <e v="#REF!"/>
    <e v="#REF!"/>
    <s v=""/>
    <n v="0.8359375"/>
  </r>
  <r>
    <x v="4"/>
    <x v="95"/>
    <x v="0"/>
    <x v="71"/>
    <m/>
    <m/>
    <s v="O_RING, NEK MAKAPAL 5/16 TINGI"/>
    <s v="CA-001493"/>
    <n v="5"/>
    <n v="5"/>
    <m/>
    <n v="25"/>
    <x v="0"/>
    <n v="2"/>
    <n v="1"/>
    <n v="5"/>
    <n v="5.25"/>
    <n v="19.75"/>
    <n v="0"/>
    <x v="44"/>
    <x v="2"/>
    <m/>
    <m/>
    <m/>
    <n v="0.79"/>
  </r>
  <r>
    <x v="0"/>
    <x v="10"/>
    <x v="0"/>
    <x v="62"/>
    <m/>
    <m/>
    <s v="BOLT &amp; NUT, TOX WITH METAL SCREW #6"/>
    <s v="GE-000403"/>
    <n v="4"/>
    <n v="6"/>
    <m/>
    <n v="24"/>
    <x v="0"/>
    <n v="3"/>
    <n v="1.1000000000000001"/>
    <n v="4.4000000000000004"/>
    <n v="4.620000000000001"/>
    <n v="19.38"/>
    <n v="0"/>
    <x v="57"/>
    <x v="1"/>
    <e v="#REF!"/>
    <e v="#REF!"/>
    <s v=""/>
    <n v="0.8075"/>
  </r>
  <r>
    <x v="3"/>
    <x v="69"/>
    <x v="0"/>
    <x v="19"/>
    <m/>
    <m/>
    <s v="BOLT &amp; NUT, WASHER 5/16"/>
    <s v="GE-000407"/>
    <n v="6"/>
    <n v="2"/>
    <m/>
    <n v="12"/>
    <x v="0"/>
    <n v="1"/>
    <n v="0.34"/>
    <n v="2.04"/>
    <n v="2.1420000000000003"/>
    <n v="9.8580000000000005"/>
    <n v="0"/>
    <x v="57"/>
    <x v="1"/>
    <m/>
    <m/>
    <s v=""/>
    <n v="0.82150000000000001"/>
  </r>
  <r>
    <x v="0"/>
    <x v="131"/>
    <x v="7"/>
    <x v="135"/>
    <m/>
    <m/>
    <m/>
    <s v=""/>
    <m/>
    <m/>
    <m/>
    <n v="0"/>
    <x v="0"/>
    <n v="0"/>
    <n v="0"/>
    <n v="0"/>
    <n v="0"/>
    <n v="0"/>
    <n v="0"/>
    <x v="13"/>
    <x v="3"/>
    <s v=""/>
    <s v=""/>
    <s v=""/>
    <n v="0"/>
  </r>
  <r>
    <x v="0"/>
    <x v="132"/>
    <x v="7"/>
    <x v="135"/>
    <m/>
    <m/>
    <m/>
    <m/>
    <m/>
    <m/>
    <m/>
    <n v="0"/>
    <x v="0"/>
    <n v="0"/>
    <n v="0"/>
    <n v="0"/>
    <n v="0"/>
    <n v="0"/>
    <n v="0"/>
    <x v="13"/>
    <x v="3"/>
    <m/>
    <m/>
    <s v=""/>
    <n v="0"/>
  </r>
  <r>
    <x v="1"/>
    <x v="133"/>
    <x v="7"/>
    <x v="135"/>
    <m/>
    <m/>
    <m/>
    <s v=""/>
    <m/>
    <m/>
    <m/>
    <n v="0"/>
    <x v="0"/>
    <n v="0"/>
    <n v="0"/>
    <n v="0"/>
    <n v="0"/>
    <n v="0"/>
    <n v="0"/>
    <x v="13"/>
    <x v="3"/>
    <m/>
    <m/>
    <s v=""/>
    <n v="0"/>
  </r>
  <r>
    <x v="0"/>
    <x v="134"/>
    <x v="7"/>
    <x v="135"/>
    <m/>
    <m/>
    <m/>
    <s v=""/>
    <m/>
    <m/>
    <m/>
    <n v="0"/>
    <x v="0"/>
    <n v="0"/>
    <n v="0"/>
    <n v="0"/>
    <n v="0"/>
    <n v="0"/>
    <n v="0"/>
    <x v="13"/>
    <x v="3"/>
    <m/>
    <m/>
    <s v=""/>
    <n v="0"/>
  </r>
  <r>
    <x v="0"/>
    <x v="27"/>
    <x v="7"/>
    <x v="135"/>
    <m/>
    <m/>
    <m/>
    <s v=""/>
    <m/>
    <m/>
    <m/>
    <n v="0"/>
    <x v="0"/>
    <n v="0"/>
    <n v="0"/>
    <n v="0"/>
    <n v="0"/>
    <n v="0"/>
    <n v="0"/>
    <x v="13"/>
    <x v="3"/>
    <m/>
    <m/>
    <s v=""/>
    <n v="0"/>
  </r>
  <r>
    <x v="0"/>
    <x v="99"/>
    <x v="7"/>
    <x v="135"/>
    <m/>
    <m/>
    <m/>
    <s v=""/>
    <m/>
    <m/>
    <m/>
    <n v="0"/>
    <x v="0"/>
    <n v="0"/>
    <n v="0"/>
    <n v="0"/>
    <n v="0"/>
    <n v="0"/>
    <n v="0"/>
    <x v="13"/>
    <x v="3"/>
    <m/>
    <m/>
    <s v=""/>
    <n v="0"/>
  </r>
  <r>
    <x v="0"/>
    <x v="135"/>
    <x v="7"/>
    <x v="135"/>
    <m/>
    <m/>
    <m/>
    <s v=""/>
    <m/>
    <m/>
    <m/>
    <n v="0"/>
    <x v="0"/>
    <n v="0"/>
    <n v="0"/>
    <n v="0"/>
    <n v="0"/>
    <n v="0"/>
    <n v="0"/>
    <x v="13"/>
    <x v="3"/>
    <m/>
    <m/>
    <s v=""/>
    <n v="0"/>
  </r>
  <r>
    <x v="1"/>
    <x v="136"/>
    <x v="11"/>
    <x v="135"/>
    <m/>
    <m/>
    <m/>
    <s v=""/>
    <m/>
    <m/>
    <m/>
    <n v="0"/>
    <x v="0"/>
    <n v="0"/>
    <n v="0"/>
    <n v="0"/>
    <n v="0"/>
    <n v="0"/>
    <n v="0"/>
    <x v="13"/>
    <x v="3"/>
    <s v=""/>
    <s v=""/>
    <s v=""/>
    <n v="0"/>
  </r>
  <r>
    <x v="1"/>
    <x v="137"/>
    <x v="7"/>
    <x v="135"/>
    <m/>
    <m/>
    <m/>
    <s v=""/>
    <m/>
    <m/>
    <m/>
    <n v="0"/>
    <x v="0"/>
    <n v="0"/>
    <n v="0"/>
    <n v="0"/>
    <n v="0"/>
    <n v="0"/>
    <n v="0"/>
    <x v="13"/>
    <x v="3"/>
    <e v="#REF!"/>
    <e v="#REF!"/>
    <e v="#REF!"/>
    <n v="0"/>
  </r>
  <r>
    <x v="2"/>
    <x v="138"/>
    <x v="7"/>
    <x v="135"/>
    <m/>
    <m/>
    <m/>
    <s v=""/>
    <m/>
    <m/>
    <m/>
    <n v="0"/>
    <x v="0"/>
    <n v="0"/>
    <n v="0"/>
    <n v="0"/>
    <n v="0"/>
    <n v="0"/>
    <n v="0"/>
    <x v="13"/>
    <x v="3"/>
    <s v=""/>
    <s v=""/>
    <s v=""/>
    <n v="0"/>
  </r>
  <r>
    <x v="2"/>
    <x v="139"/>
    <x v="7"/>
    <x v="135"/>
    <m/>
    <m/>
    <m/>
    <s v=""/>
    <m/>
    <m/>
    <m/>
    <n v="0"/>
    <x v="0"/>
    <n v="0"/>
    <n v="0"/>
    <n v="0"/>
    <n v="0"/>
    <n v="0"/>
    <n v="0"/>
    <x v="13"/>
    <x v="3"/>
    <s v=""/>
    <s v=""/>
    <s v=""/>
    <n v="0"/>
  </r>
  <r>
    <x v="2"/>
    <x v="140"/>
    <x v="7"/>
    <x v="135"/>
    <m/>
    <m/>
    <m/>
    <s v=""/>
    <m/>
    <m/>
    <m/>
    <n v="0"/>
    <x v="0"/>
    <n v="0"/>
    <n v="0"/>
    <n v="0"/>
    <n v="0"/>
    <n v="0"/>
    <n v="0"/>
    <x v="13"/>
    <x v="3"/>
    <s v=""/>
    <s v=""/>
    <s v=""/>
    <n v="0"/>
  </r>
  <r>
    <x v="2"/>
    <x v="141"/>
    <x v="11"/>
    <x v="135"/>
    <m/>
    <m/>
    <m/>
    <s v=""/>
    <m/>
    <m/>
    <m/>
    <n v="0"/>
    <x v="0"/>
    <n v="0"/>
    <n v="0"/>
    <n v="0"/>
    <n v="0"/>
    <n v="0"/>
    <n v="0"/>
    <x v="13"/>
    <x v="3"/>
    <s v=""/>
    <s v=""/>
    <s v=""/>
    <n v="0"/>
  </r>
  <r>
    <x v="3"/>
    <x v="142"/>
    <x v="11"/>
    <x v="135"/>
    <m/>
    <m/>
    <m/>
    <s v=""/>
    <m/>
    <m/>
    <m/>
    <n v="0"/>
    <x v="0"/>
    <n v="0"/>
    <n v="0"/>
    <n v="0"/>
    <n v="0"/>
    <n v="0"/>
    <n v="0"/>
    <x v="13"/>
    <x v="3"/>
    <m/>
    <m/>
    <s v=""/>
    <n v="0"/>
  </r>
  <r>
    <x v="3"/>
    <x v="143"/>
    <x v="11"/>
    <x v="135"/>
    <m/>
    <m/>
    <m/>
    <s v=""/>
    <m/>
    <m/>
    <m/>
    <n v="0"/>
    <x v="0"/>
    <n v="0"/>
    <n v="0"/>
    <n v="0"/>
    <n v="0"/>
    <n v="0"/>
    <n v="0"/>
    <x v="13"/>
    <x v="3"/>
    <m/>
    <m/>
    <s v=""/>
    <n v="0"/>
  </r>
  <r>
    <x v="3"/>
    <x v="144"/>
    <x v="7"/>
    <x v="135"/>
    <m/>
    <m/>
    <m/>
    <s v=""/>
    <m/>
    <m/>
    <m/>
    <n v="0"/>
    <x v="0"/>
    <n v="0"/>
    <n v="0"/>
    <n v="0"/>
    <n v="0"/>
    <n v="0"/>
    <n v="0"/>
    <x v="13"/>
    <x v="3"/>
    <m/>
    <m/>
    <s v=""/>
    <n v="0"/>
  </r>
  <r>
    <x v="3"/>
    <x v="145"/>
    <x v="11"/>
    <x v="135"/>
    <m/>
    <m/>
    <m/>
    <s v=""/>
    <m/>
    <m/>
    <m/>
    <n v="0"/>
    <x v="0"/>
    <n v="0"/>
    <n v="0"/>
    <n v="0"/>
    <n v="0"/>
    <n v="0"/>
    <n v="0"/>
    <x v="13"/>
    <x v="3"/>
    <m/>
    <m/>
    <s v=""/>
    <n v="0"/>
  </r>
  <r>
    <x v="3"/>
    <x v="115"/>
    <x v="7"/>
    <x v="135"/>
    <m/>
    <m/>
    <m/>
    <s v=""/>
    <m/>
    <m/>
    <m/>
    <n v="0"/>
    <x v="0"/>
    <n v="0"/>
    <n v="0"/>
    <n v="0"/>
    <n v="0"/>
    <n v="0"/>
    <n v="0"/>
    <x v="13"/>
    <x v="3"/>
    <m/>
    <m/>
    <s v=""/>
    <n v="0"/>
  </r>
  <r>
    <x v="3"/>
    <x v="146"/>
    <x v="7"/>
    <x v="135"/>
    <m/>
    <m/>
    <m/>
    <s v=""/>
    <m/>
    <m/>
    <m/>
    <n v="0"/>
    <x v="0"/>
    <n v="0"/>
    <n v="0"/>
    <n v="0"/>
    <n v="0"/>
    <n v="0"/>
    <n v="0"/>
    <x v="13"/>
    <x v="3"/>
    <m/>
    <m/>
    <m/>
    <n v="0"/>
  </r>
  <r>
    <x v="4"/>
    <x v="147"/>
    <x v="7"/>
    <x v="135"/>
    <m/>
    <m/>
    <m/>
    <s v=""/>
    <m/>
    <m/>
    <m/>
    <n v="0"/>
    <x v="0"/>
    <n v="0"/>
    <n v="0"/>
    <n v="0"/>
    <n v="0"/>
    <n v="0"/>
    <n v="0"/>
    <x v="13"/>
    <x v="3"/>
    <m/>
    <m/>
    <m/>
    <n v="0"/>
  </r>
  <r>
    <x v="4"/>
    <x v="148"/>
    <x v="7"/>
    <x v="135"/>
    <m/>
    <m/>
    <m/>
    <s v=""/>
    <m/>
    <m/>
    <m/>
    <n v="0"/>
    <x v="0"/>
    <n v="0"/>
    <n v="0"/>
    <n v="0"/>
    <n v="0"/>
    <n v="0"/>
    <n v="0"/>
    <x v="13"/>
    <x v="3"/>
    <m/>
    <m/>
    <m/>
    <n v="0"/>
  </r>
  <r>
    <x v="4"/>
    <x v="149"/>
    <x v="7"/>
    <x v="135"/>
    <m/>
    <m/>
    <m/>
    <s v=""/>
    <m/>
    <m/>
    <m/>
    <n v="0"/>
    <x v="0"/>
    <n v="0"/>
    <n v="0"/>
    <n v="0"/>
    <n v="0"/>
    <n v="0"/>
    <n v="0"/>
    <x v="13"/>
    <x v="3"/>
    <m/>
    <m/>
    <m/>
    <n v="0"/>
  </r>
  <r>
    <x v="4"/>
    <x v="150"/>
    <x v="7"/>
    <x v="135"/>
    <m/>
    <m/>
    <m/>
    <s v=""/>
    <m/>
    <m/>
    <m/>
    <n v="0"/>
    <x v="0"/>
    <n v="0"/>
    <n v="0"/>
    <n v="0"/>
    <n v="0"/>
    <n v="0"/>
    <n v="0"/>
    <x v="13"/>
    <x v="3"/>
    <m/>
    <m/>
    <m/>
    <n v="0"/>
  </r>
  <r>
    <x v="4"/>
    <x v="151"/>
    <x v="7"/>
    <x v="135"/>
    <m/>
    <m/>
    <m/>
    <s v=""/>
    <m/>
    <m/>
    <m/>
    <n v="0"/>
    <x v="0"/>
    <n v="0"/>
    <n v="0"/>
    <n v="0"/>
    <n v="0"/>
    <n v="0"/>
    <n v="0"/>
    <x v="13"/>
    <x v="3"/>
    <m/>
    <m/>
    <m/>
    <n v="0"/>
  </r>
  <r>
    <x v="4"/>
    <x v="152"/>
    <x v="7"/>
    <x v="135"/>
    <m/>
    <m/>
    <m/>
    <s v=""/>
    <m/>
    <m/>
    <m/>
    <n v="0"/>
    <x v="0"/>
    <n v="0"/>
    <n v="0"/>
    <n v="0"/>
    <n v="0"/>
    <n v="0"/>
    <n v="0"/>
    <x v="13"/>
    <x v="3"/>
    <m/>
    <m/>
    <m/>
    <n v="0"/>
  </r>
  <r>
    <x v="5"/>
    <x v="153"/>
    <x v="0"/>
    <x v="11"/>
    <m/>
    <m/>
    <s v="EVAPORATOR, TOYOTA INNOVA OLD (F) JBE-0103ZX (STAL)"/>
    <s v="CA-001633"/>
    <n v="1"/>
    <n v="2000"/>
    <m/>
    <n v="2000"/>
    <x v="0"/>
    <n v="1654"/>
    <n v="900"/>
    <n v="900"/>
    <n v="945"/>
    <n v="1055"/>
    <n v="0"/>
    <x v="10"/>
    <x v="2"/>
    <e v="#REF!"/>
    <e v="#REF!"/>
    <s v=""/>
    <n v="0.52749999999999997"/>
  </r>
  <r>
    <x v="5"/>
    <x v="153"/>
    <x v="0"/>
    <x v="11"/>
    <m/>
    <m/>
    <s v="EXP. VALVE LT, POKKA 9A55 HONDA NEW"/>
    <s v="CA-000636"/>
    <n v="1"/>
    <n v="550"/>
    <m/>
    <n v="550"/>
    <x v="0"/>
    <n v="497"/>
    <n v="270"/>
    <n v="270"/>
    <n v="283.5"/>
    <n v="266.5"/>
    <n v="0"/>
    <x v="23"/>
    <x v="2"/>
    <e v="#REF!"/>
    <e v="#REF!"/>
    <s v=""/>
    <n v="0.48454545454545456"/>
  </r>
  <r>
    <x v="5"/>
    <x v="153"/>
    <x v="0"/>
    <x v="11"/>
    <m/>
    <m/>
    <s v="SILICA_GEL, STAL LONG"/>
    <s v="CA-001637"/>
    <n v="1"/>
    <n v="200"/>
    <m/>
    <n v="200"/>
    <x v="0"/>
    <n v="50"/>
    <n v="25"/>
    <n v="25"/>
    <n v="26.25"/>
    <n v="173.75"/>
    <n v="0"/>
    <x v="37"/>
    <x v="2"/>
    <e v="#REF!"/>
    <e v="#REF!"/>
    <s v=""/>
    <n v="0.86875000000000002"/>
  </r>
  <r>
    <x v="5"/>
    <x v="153"/>
    <x v="0"/>
    <x v="11"/>
    <m/>
    <m/>
    <s v="SYSTEM_CLEANER, Cleanse GREEN 141B 500 ML"/>
    <s v="GE-000369"/>
    <n v="2"/>
    <n v="120"/>
    <m/>
    <n v="240"/>
    <x v="0"/>
    <n v="113"/>
    <n v="65"/>
    <n v="130"/>
    <n v="136.5"/>
    <n v="103.5"/>
    <n v="0"/>
    <x v="28"/>
    <x v="1"/>
    <e v="#REF!"/>
    <e v="#REF!"/>
    <s v=""/>
    <n v="0.43125000000000002"/>
  </r>
  <r>
    <x v="5"/>
    <x v="153"/>
    <x v="0"/>
    <x v="11"/>
    <m/>
    <m/>
    <s v="LUBRICANT, ND-OIL 8  250 CC (134A),OIL COMPRESSOR"/>
    <s v="GE-000197"/>
    <n v="1"/>
    <n v="200"/>
    <m/>
    <n v="200"/>
    <x v="0"/>
    <n v="188"/>
    <n v="85"/>
    <n v="85"/>
    <n v="89.25"/>
    <n v="110.75"/>
    <n v="0"/>
    <x v="9"/>
    <x v="1"/>
    <e v="#REF!"/>
    <e v="#REF!"/>
    <s v=""/>
    <n v="0.55374999999999996"/>
  </r>
  <r>
    <x v="5"/>
    <x v="153"/>
    <x v="1"/>
    <x v="3"/>
    <m/>
    <m/>
    <s v="PULLEY_ASSEMBLY, HONDA CIVIC 3410 1.8"/>
    <s v="CA-000999"/>
    <n v="1"/>
    <n v="2200"/>
    <m/>
    <n v="2200"/>
    <x v="0"/>
    <n v="0"/>
    <n v="0"/>
    <n v="0"/>
    <n v="0"/>
    <n v="2200"/>
    <n v="660"/>
    <x v="11"/>
    <x v="2"/>
    <e v="#REF!"/>
    <e v="#REF!"/>
    <s v=""/>
    <n v="1"/>
  </r>
  <r>
    <x v="5"/>
    <x v="153"/>
    <x v="0"/>
    <x v="27"/>
    <m/>
    <m/>
    <s v="BRACKET , GB 2HP, COATED"/>
    <s v="IM-000011"/>
    <n v="3"/>
    <n v="460"/>
    <m/>
    <n v="1380"/>
    <x v="0"/>
    <n v="532"/>
    <n v="295"/>
    <n v="885"/>
    <n v="911.55000000000007"/>
    <n v="468.44999999999993"/>
    <n v="0"/>
    <x v="1"/>
    <x v="0"/>
    <e v="#REF!"/>
    <e v="#REF!"/>
    <s v=""/>
    <n v="0.33945652173913038"/>
  </r>
  <r>
    <x v="5"/>
    <x v="153"/>
    <x v="0"/>
    <x v="27"/>
    <m/>
    <m/>
    <s v="TAPE_FOAM, AEROTAPE 3MM X 50 MM X 9.1 MTR  04/02/25"/>
    <s v="IM-000332"/>
    <n v="3"/>
    <n v="380"/>
    <m/>
    <n v="1140"/>
    <x v="0"/>
    <n v="510"/>
    <n v="330"/>
    <n v="990"/>
    <n v="1019.7"/>
    <n v="120.29999999999995"/>
    <n v="0"/>
    <x v="25"/>
    <x v="0"/>
    <e v="#REF!"/>
    <e v="#REF!"/>
    <s v=""/>
    <n v="0.10552631578947365"/>
  </r>
  <r>
    <x v="5"/>
    <x v="153"/>
    <x v="0"/>
    <x v="27"/>
    <m/>
    <m/>
    <s v="ELECTRICAL WIRE_STRANDED, POWERFLEX THNN STRANDED   #14, ROLL 06/13/26"/>
    <s v="GE-000514"/>
    <n v="1"/>
    <n v="2875"/>
    <m/>
    <n v="2875"/>
    <x v="0"/>
    <n v="4317"/>
    <n v="2349"/>
    <n v="2349"/>
    <n v="2466.4500000000003"/>
    <n v="408.54999999999973"/>
    <n v="0"/>
    <x v="2"/>
    <x v="1"/>
    <e v="#REF!"/>
    <e v="#REF!"/>
    <s v=""/>
    <n v="0.14210434782608686"/>
  </r>
  <r>
    <x v="5"/>
    <x v="153"/>
    <x v="0"/>
    <x v="26"/>
    <m/>
    <m/>
    <s v="COPPER_TUBE_SOFTDRAWN, HAILIANG 0.028 X 1/2 x 15 mtr 06/02/26"/>
    <s v="IM-000328"/>
    <n v="1"/>
    <n v="3950"/>
    <m/>
    <n v="3950"/>
    <x v="0"/>
    <n v="6554"/>
    <n v="3636"/>
    <n v="3636"/>
    <n v="3745.08"/>
    <n v="204.92000000000007"/>
    <n v="0"/>
    <x v="0"/>
    <x v="0"/>
    <e v="#REF!"/>
    <e v="#REF!"/>
    <s v=""/>
    <n v="5.1878481012658247E-2"/>
  </r>
  <r>
    <x v="5"/>
    <x v="153"/>
    <x v="0"/>
    <x v="26"/>
    <m/>
    <m/>
    <s v="COPPER_TUBE_SOFTDRAWN, EXZEL 0.028 X 1/4 x 15 mtr  05/28/26"/>
    <s v="IM-000329"/>
    <n v="1"/>
    <n v="1950"/>
    <m/>
    <n v="1950"/>
    <x v="0"/>
    <n v="3063"/>
    <n v="1699"/>
    <n v="1699"/>
    <n v="1749.97"/>
    <n v="200.02999999999997"/>
    <n v="0"/>
    <x v="0"/>
    <x v="0"/>
    <e v="#REF!"/>
    <e v="#REF!"/>
    <s v=""/>
    <n v="0.10257948717948717"/>
  </r>
  <r>
    <x v="5"/>
    <x v="153"/>
    <x v="0"/>
    <x v="26"/>
    <m/>
    <m/>
    <s v="RUBBER_INSULATION, M-FLEX 3/4&quot; X 3/4"/>
    <s v="IM-000240"/>
    <n v="9"/>
    <n v="140"/>
    <m/>
    <n v="1260"/>
    <x v="0"/>
    <n v="151"/>
    <n v="108"/>
    <n v="972"/>
    <n v="1001.1600000000001"/>
    <n v="258.83999999999992"/>
    <n v="0"/>
    <x v="22"/>
    <x v="0"/>
    <e v="#REF!"/>
    <e v="#REF!"/>
    <s v=""/>
    <n v="0.20542857142857138"/>
  </r>
  <r>
    <x v="5"/>
    <x v="153"/>
    <x v="0"/>
    <x v="26"/>
    <m/>
    <m/>
    <s v="TAPE_PE, PICUS Polythelene Tape (White)X 4&quot;"/>
    <s v="IM-000247"/>
    <n v="10"/>
    <n v="125"/>
    <m/>
    <n v="1250"/>
    <x v="0"/>
    <n v="147"/>
    <n v="75"/>
    <n v="750"/>
    <n v="772.5"/>
    <n v="477.5"/>
    <n v="0"/>
    <x v="29"/>
    <x v="0"/>
    <e v="#REF!"/>
    <e v="#REF!"/>
    <s v=""/>
    <n v="0.38200000000000001"/>
  </r>
  <r>
    <x v="5"/>
    <x v="153"/>
    <x v="0"/>
    <x v="26"/>
    <m/>
    <m/>
    <s v="TAPE_FOAM, AEROTAPE 3MM X 50 MM X 9.1 MTR  04/02/25"/>
    <s v="IM-000332"/>
    <n v="1"/>
    <n v="380"/>
    <m/>
    <n v="380"/>
    <x v="0"/>
    <n v="510"/>
    <n v="330"/>
    <n v="330"/>
    <n v="339.90000000000003"/>
    <n v="40.099999999999966"/>
    <n v="0"/>
    <x v="25"/>
    <x v="0"/>
    <e v="#REF!"/>
    <e v="#REF!"/>
    <s v=""/>
    <n v="0.10552631578947359"/>
  </r>
  <r>
    <x v="5"/>
    <x v="153"/>
    <x v="2"/>
    <x v="7"/>
    <m/>
    <m/>
    <s v="ECV, HYUNDAI ACCENT, 8-22A"/>
    <s v="CA-000454"/>
    <n v="1"/>
    <n v="1900"/>
    <m/>
    <n v="1900"/>
    <x v="0"/>
    <n v="1838"/>
    <n v="1000"/>
    <n v="1000"/>
    <n v="1050"/>
    <n v="850"/>
    <n v="255"/>
    <x v="26"/>
    <x v="2"/>
    <e v="#REF!"/>
    <e v="#REF!"/>
    <s v=""/>
    <n v="0.44736842105263158"/>
  </r>
  <r>
    <x v="5"/>
    <x v="153"/>
    <x v="2"/>
    <x v="7"/>
    <m/>
    <m/>
    <s v="MAGNETIC_CLUTCH, HYUNDAI EON"/>
    <s v="CA-000773"/>
    <n v="1"/>
    <n v="800"/>
    <m/>
    <n v="800"/>
    <x v="0"/>
    <n v="772"/>
    <n v="420"/>
    <n v="420"/>
    <n v="441"/>
    <n v="359"/>
    <n v="107.7"/>
    <x v="4"/>
    <x v="2"/>
    <e v="#REF!"/>
    <e v="#REF!"/>
    <s v=""/>
    <n v="0.44874999999999998"/>
  </r>
  <r>
    <x v="5"/>
    <x v="153"/>
    <x v="2"/>
    <x v="22"/>
    <m/>
    <m/>
    <s v="PULLEY_ASSEMBLY, MITSUBISHI MIRAGE SHORT"/>
    <s v="CA-001305"/>
    <n v="1"/>
    <n v="2100"/>
    <m/>
    <n v="2100"/>
    <x v="0"/>
    <n v="2520"/>
    <n v="1500"/>
    <n v="1500"/>
    <n v="1575"/>
    <n v="525"/>
    <n v="157.5"/>
    <x v="11"/>
    <x v="2"/>
    <e v="#REF!"/>
    <e v="#REF!"/>
    <s v=""/>
    <n v="0.25"/>
  </r>
  <r>
    <x v="5"/>
    <x v="153"/>
    <x v="0"/>
    <x v="17"/>
    <m/>
    <m/>
    <s v="RECEIVER_DRIER_ALUMINUM, YK 8015 (S) (Lancer)"/>
    <s v="CA-001086"/>
    <n v="1"/>
    <n v="550"/>
    <m/>
    <n v="550"/>
    <x v="0"/>
    <n v="532"/>
    <n v="225"/>
    <n v="225"/>
    <n v="236.25"/>
    <n v="313.75"/>
    <n v="0"/>
    <x v="27"/>
    <x v="2"/>
    <e v="#REF!"/>
    <e v="#REF!"/>
    <s v=""/>
    <n v="0.57045454545454544"/>
  </r>
  <r>
    <x v="5"/>
    <x v="153"/>
    <x v="0"/>
    <x v="17"/>
    <m/>
    <m/>
    <s v="EXP. VALVE DC, MITSUBISHI ORING TYPE 5/16"/>
    <s v="CA-000562"/>
    <n v="1"/>
    <n v="700"/>
    <m/>
    <n v="700"/>
    <x v="0"/>
    <n v="588"/>
    <n v="320"/>
    <n v="320"/>
    <n v="336"/>
    <n v="364"/>
    <n v="0"/>
    <x v="46"/>
    <x v="2"/>
    <e v="#REF!"/>
    <e v="#REF!"/>
    <s v=""/>
    <n v="0.52"/>
  </r>
  <r>
    <x v="5"/>
    <x v="153"/>
    <x v="0"/>
    <x v="17"/>
    <m/>
    <m/>
    <s v="SYSTEM_CLEANER, Cleanse GREEN 141B 500 ML"/>
    <s v="GE-000369"/>
    <n v="4"/>
    <n v="120"/>
    <m/>
    <n v="480"/>
    <x v="0"/>
    <n v="113"/>
    <n v="65"/>
    <n v="260"/>
    <n v="273"/>
    <n v="207"/>
    <n v="0"/>
    <x v="28"/>
    <x v="1"/>
    <e v="#REF!"/>
    <e v="#REF!"/>
    <s v=""/>
    <n v="0.43125000000000002"/>
  </r>
  <r>
    <x v="5"/>
    <x v="153"/>
    <x v="1"/>
    <x v="3"/>
    <m/>
    <m/>
    <s v="CABIN_FILTER, HYUNDAI ACCENT 2013"/>
    <s v="CA-001681"/>
    <n v="1"/>
    <n v="300"/>
    <m/>
    <n v="300"/>
    <x v="0"/>
    <n v="315"/>
    <n v="100"/>
    <n v="100"/>
    <n v="105"/>
    <n v="195"/>
    <n v="58.5"/>
    <x v="12"/>
    <x v="2"/>
    <e v="#REF!"/>
    <e v="#REF!"/>
    <s v=""/>
    <n v="0.65"/>
  </r>
  <r>
    <x v="5"/>
    <x v="153"/>
    <x v="0"/>
    <x v="1"/>
    <m/>
    <m/>
    <s v="REFRIGERANT, FU RYDER R600A CAN, 220 GRAMS"/>
    <s v="GE-000032"/>
    <n v="1"/>
    <n v="180"/>
    <m/>
    <n v="180"/>
    <x v="0"/>
    <n v="177"/>
    <n v="70"/>
    <n v="70"/>
    <n v="73.5"/>
    <n v="106.5"/>
    <n v="0"/>
    <x v="5"/>
    <x v="1"/>
    <e v="#REF!"/>
    <e v="#REF!"/>
    <s v=""/>
    <n v="0.59166666666666667"/>
  </r>
  <r>
    <x v="5"/>
    <x v="153"/>
    <x v="0"/>
    <x v="58"/>
    <m/>
    <m/>
    <s v="RECEIVER_DRIER_ALUMINUM, YK 8793 (MAZDA 3)"/>
    <s v="CA-001122"/>
    <n v="1"/>
    <n v="550"/>
    <m/>
    <n v="550"/>
    <x v="0"/>
    <n v="567"/>
    <n v="240"/>
    <n v="240"/>
    <n v="252"/>
    <n v="298"/>
    <n v="0"/>
    <x v="27"/>
    <x v="2"/>
    <e v="#REF!"/>
    <e v="#REF!"/>
    <s v=""/>
    <n v="0.54181818181818187"/>
  </r>
  <r>
    <x v="5"/>
    <x v="154"/>
    <x v="0"/>
    <x v="11"/>
    <m/>
    <m/>
    <s v="EVAPORATOR, TOYOTA INNOVA NEW (F) JBE-0115ZX (STAL)"/>
    <s v="CA-001631"/>
    <n v="1"/>
    <n v="2100"/>
    <m/>
    <n v="2100"/>
    <x v="0"/>
    <n v="1562"/>
    <n v="850"/>
    <n v="850"/>
    <n v="892.5"/>
    <n v="1207.5"/>
    <n v="0"/>
    <x v="10"/>
    <x v="2"/>
    <e v="#REF!"/>
    <e v="#REF!"/>
    <s v=""/>
    <n v="0.57499999999999996"/>
  </r>
  <r>
    <x v="5"/>
    <x v="154"/>
    <x v="0"/>
    <x v="1"/>
    <m/>
    <m/>
    <s v="ACCESS_VALVE, OMNI WELDED TYPE "/>
    <s v="GE-000253"/>
    <n v="2"/>
    <n v="50"/>
    <m/>
    <n v="100"/>
    <x v="0"/>
    <n v="47"/>
    <n v="21"/>
    <n v="42"/>
    <n v="44.1"/>
    <n v="55.9"/>
    <n v="0"/>
    <x v="67"/>
    <x v="1"/>
    <e v="#REF!"/>
    <e v="#REF!"/>
    <s v=""/>
    <n v="0.55899999999999994"/>
  </r>
  <r>
    <x v="5"/>
    <x v="154"/>
    <x v="0"/>
    <x v="1"/>
    <m/>
    <m/>
    <s v="ADAPTOR,  R410A, BRASS"/>
    <s v="TL-000007"/>
    <n v="1"/>
    <n v="300"/>
    <m/>
    <n v="300"/>
    <x v="0"/>
    <n v="308"/>
    <n v="150"/>
    <n v="150"/>
    <n v="157.5"/>
    <n v="142.5"/>
    <n v="0"/>
    <x v="71"/>
    <x v="4"/>
    <e v="#REF!"/>
    <e v="#REF!"/>
    <s v=""/>
    <n v="0.47499999999999998"/>
  </r>
  <r>
    <x v="5"/>
    <x v="154"/>
    <x v="1"/>
    <x v="3"/>
    <m/>
    <m/>
    <s v="EVAPORATOR, HONDA CIVIC 2017"/>
    <s v="CA-001369"/>
    <n v="1"/>
    <n v="2100"/>
    <m/>
    <n v="2100"/>
    <x v="0"/>
    <n v="2573"/>
    <n v="1400"/>
    <n v="1400"/>
    <n v="1470"/>
    <n v="630"/>
    <n v="189"/>
    <x v="10"/>
    <x v="2"/>
    <e v="#REF!"/>
    <e v="#REF!"/>
    <s v=""/>
    <n v="0.3"/>
  </r>
  <r>
    <x v="5"/>
    <x v="154"/>
    <x v="0"/>
    <x v="1"/>
    <m/>
    <m/>
    <s v="TEMPERATURE,  PIPE SENSOR 5k"/>
    <s v="GE-000351"/>
    <n v="1"/>
    <n v="550"/>
    <m/>
    <n v="550"/>
    <x v="0"/>
    <n v="656.25"/>
    <n v="250"/>
    <n v="250"/>
    <n v="262.5"/>
    <n v="287.5"/>
    <n v="0"/>
    <x v="81"/>
    <x v="1"/>
    <e v="#REF!"/>
    <e v="#REF!"/>
    <s v=""/>
    <n v="0.52272727272727271"/>
  </r>
  <r>
    <x v="5"/>
    <x v="154"/>
    <x v="0"/>
    <x v="11"/>
    <m/>
    <m/>
    <s v="AUXFAN_MOTOR, HONDA CITY 2009 (19030)"/>
    <s v="CA-000016"/>
    <n v="1"/>
    <n v="1800"/>
    <m/>
    <n v="1800"/>
    <x v="0"/>
    <n v="2114"/>
    <n v="1150"/>
    <n v="1150"/>
    <n v="1207.5"/>
    <n v="592.5"/>
    <n v="0"/>
    <x v="14"/>
    <x v="2"/>
    <e v="#REF!"/>
    <e v="#REF!"/>
    <s v=""/>
    <n v="0.32916666666666666"/>
  </r>
  <r>
    <x v="5"/>
    <x v="154"/>
    <x v="0"/>
    <x v="11"/>
    <m/>
    <m/>
    <s v="SILICA_GEL, STAL SHORT"/>
    <s v="CA-001638"/>
    <n v="1"/>
    <n v="200"/>
    <m/>
    <n v="200"/>
    <x v="0"/>
    <n v="44"/>
    <n v="22"/>
    <n v="22"/>
    <n v="23.1"/>
    <n v="176.9"/>
    <n v="0"/>
    <x v="37"/>
    <x v="2"/>
    <e v="#REF!"/>
    <e v="#REF!"/>
    <s v=""/>
    <n v="0.88450000000000006"/>
  </r>
  <r>
    <x v="5"/>
    <x v="154"/>
    <x v="0"/>
    <x v="8"/>
    <m/>
    <m/>
    <s v="EVAPORATOR, ISUZU TRAVIS /NHR DC 40A492"/>
    <s v="CA-001836"/>
    <n v="1"/>
    <n v="2000"/>
    <m/>
    <n v="2000"/>
    <x v="0"/>
    <n v="2389"/>
    <n v="1300"/>
    <n v="1300"/>
    <n v="1365"/>
    <n v="635"/>
    <n v="0"/>
    <x v="10"/>
    <x v="2"/>
    <e v="#REF!"/>
    <e v="#REF!"/>
    <s v=""/>
    <n v="0.3175"/>
  </r>
  <r>
    <x v="5"/>
    <x v="154"/>
    <x v="2"/>
    <x v="22"/>
    <m/>
    <n v="1820"/>
    <s v="EVAPORATOR, TOYOTA INNOVA OLD (F) JBE-0103ZX (STAL)"/>
    <s v="CA-001633"/>
    <n v="1"/>
    <n v="1625"/>
    <m/>
    <n v="1625"/>
    <x v="0"/>
    <n v="1654"/>
    <n v="900"/>
    <n v="900"/>
    <n v="945"/>
    <n v="680"/>
    <n v="204"/>
    <x v="10"/>
    <x v="2"/>
    <e v="#REF!"/>
    <e v="#REF!"/>
    <e v="#REF!"/>
    <n v="0.41846153846153844"/>
  </r>
  <r>
    <x v="5"/>
    <x v="154"/>
    <x v="2"/>
    <x v="22"/>
    <m/>
    <n v="1820"/>
    <s v="EVAPORATOR, MITSUBISHI MONTERO 2008 (F) (STAL)"/>
    <s v="CA-001744"/>
    <n v="1"/>
    <n v="1625"/>
    <m/>
    <n v="1625"/>
    <x v="0"/>
    <n v="1930"/>
    <n v="1050"/>
    <n v="1050"/>
    <n v="1102.5"/>
    <n v="522.5"/>
    <n v="156.75"/>
    <x v="10"/>
    <x v="2"/>
    <e v="#REF!"/>
    <e v="#REF!"/>
    <e v="#REF!"/>
    <n v="0.32153846153846155"/>
  </r>
  <r>
    <x v="5"/>
    <x v="154"/>
    <x v="2"/>
    <x v="22"/>
    <m/>
    <n v="220"/>
    <s v="CABIN_FILTER, TOYOTA WIGO"/>
    <s v="CA-000387"/>
    <n v="1"/>
    <n v="197"/>
    <m/>
    <n v="197"/>
    <x v="0"/>
    <n v="315"/>
    <n v="100"/>
    <n v="100"/>
    <n v="105"/>
    <n v="92"/>
    <n v="27.599999999999998"/>
    <x v="12"/>
    <x v="2"/>
    <e v="#REF!"/>
    <e v="#REF!"/>
    <n v="220.64000000000001"/>
    <n v="0.46700507614213199"/>
  </r>
  <r>
    <x v="5"/>
    <x v="154"/>
    <x v="2"/>
    <x v="22"/>
    <m/>
    <n v="220"/>
    <s v="CABIN_FILTER, TOYOTA INNOVA"/>
    <s v="CA-001294"/>
    <n v="1"/>
    <n v="197"/>
    <m/>
    <n v="197"/>
    <x v="0"/>
    <n v="315"/>
    <n v="100"/>
    <n v="100"/>
    <n v="105"/>
    <n v="92"/>
    <n v="27.599999999999998"/>
    <x v="12"/>
    <x v="2"/>
    <e v="#REF!"/>
    <e v="#REF!"/>
    <n v="220.64000000000001"/>
    <n v="0.46700507614213199"/>
  </r>
  <r>
    <x v="5"/>
    <x v="154"/>
    <x v="2"/>
    <x v="22"/>
    <m/>
    <n v="220"/>
    <s v="CABIN_FILTER, TOYOTA HI-ACE"/>
    <s v="CA-001292"/>
    <n v="3"/>
    <n v="197"/>
    <m/>
    <n v="591"/>
    <x v="0"/>
    <n v="331"/>
    <n v="105"/>
    <n v="315"/>
    <n v="330.75"/>
    <n v="260.25"/>
    <n v="78.075000000000003"/>
    <x v="12"/>
    <x v="2"/>
    <e v="#REF!"/>
    <e v="#REF!"/>
    <n v="220.64000000000001"/>
    <n v="0.44035532994923859"/>
  </r>
  <r>
    <x v="5"/>
    <x v="154"/>
    <x v="2"/>
    <x v="22"/>
    <m/>
    <n v="350"/>
    <s v="CABIN_FILTER, MITSUBISHI MONTERO OLD"/>
    <s v="CA-001704"/>
    <n v="1"/>
    <n v="313"/>
    <m/>
    <n v="313"/>
    <x v="0"/>
    <n v="567"/>
    <n v="180"/>
    <n v="180"/>
    <n v="189"/>
    <n v="124"/>
    <n v="37.199999999999996"/>
    <x v="12"/>
    <x v="2"/>
    <e v="#REF!"/>
    <e v="#REF!"/>
    <n v="350.56000000000006"/>
    <n v="0.3961661341853035"/>
  </r>
  <r>
    <x v="5"/>
    <x v="154"/>
    <x v="2"/>
    <x v="22"/>
    <m/>
    <n v="220"/>
    <s v="CABIN_FILTER, NISSAN ALMERA"/>
    <s v="CA-001707"/>
    <n v="2"/>
    <n v="220"/>
    <m/>
    <n v="440"/>
    <x v="0"/>
    <n v="315"/>
    <n v="100"/>
    <n v="200"/>
    <n v="210"/>
    <n v="230"/>
    <n v="69"/>
    <x v="12"/>
    <x v="2"/>
    <e v="#REF!"/>
    <e v="#REF!"/>
    <n v="246.40000000000003"/>
    <n v="0.52272727272727271"/>
  </r>
  <r>
    <x v="5"/>
    <x v="154"/>
    <x v="2"/>
    <x v="22"/>
    <m/>
    <m/>
    <s v="SYSTEM_CLEANER, Cleanse GREEN 141B 500 ML"/>
    <s v="GE-000369"/>
    <n v="5"/>
    <n v="95"/>
    <m/>
    <n v="475"/>
    <x v="0"/>
    <n v="113"/>
    <n v="65"/>
    <n v="325"/>
    <n v="341.25"/>
    <n v="133.75"/>
    <n v="40.125"/>
    <x v="28"/>
    <x v="1"/>
    <e v="#REF!"/>
    <e v="#REF!"/>
    <s v=""/>
    <n v="0.28157894736842104"/>
  </r>
  <r>
    <x v="5"/>
    <x v="154"/>
    <x v="2"/>
    <x v="22"/>
    <m/>
    <m/>
    <s v="LUBRICANT, EMKARATE RL 68H, 1 LITER"/>
    <s v="GE-000135"/>
    <n v="1"/>
    <n v="380"/>
    <m/>
    <n v="380"/>
    <x v="0"/>
    <n v="331"/>
    <n v="180"/>
    <n v="180"/>
    <n v="189"/>
    <n v="191"/>
    <n v="57.3"/>
    <x v="9"/>
    <x v="1"/>
    <e v="#REF!"/>
    <e v="#REF!"/>
    <s v=""/>
    <n v="0.50263157894736843"/>
  </r>
  <r>
    <x v="5"/>
    <x v="154"/>
    <x v="0"/>
    <x v="78"/>
    <m/>
    <m/>
    <s v="EXP. VALVE DC, NISSAN "/>
    <s v="CA-001321"/>
    <n v="1"/>
    <n v="700"/>
    <m/>
    <n v="700"/>
    <x v="0"/>
    <n v="699"/>
    <n v="380"/>
    <n v="380"/>
    <n v="399"/>
    <n v="301"/>
    <n v="0"/>
    <x v="46"/>
    <x v="2"/>
    <e v="#REF!"/>
    <e v="#REF!"/>
    <s v=""/>
    <n v="0.43"/>
  </r>
  <r>
    <x v="5"/>
    <x v="154"/>
    <x v="4"/>
    <x v="25"/>
    <m/>
    <m/>
    <s v="EVAPORATOR, CHEVROLET SPIN 13"/>
    <s v="CA-000460"/>
    <n v="1"/>
    <n v="2100"/>
    <m/>
    <n v="2100"/>
    <x v="0"/>
    <n v="2757"/>
    <n v="1500"/>
    <n v="1500"/>
    <n v="1575"/>
    <n v="525"/>
    <n v="157.5"/>
    <x v="10"/>
    <x v="2"/>
    <e v="#REF!"/>
    <e v="#REF!"/>
    <s v=""/>
    <n v="0.25"/>
  </r>
  <r>
    <x v="5"/>
    <x v="154"/>
    <x v="0"/>
    <x v="27"/>
    <m/>
    <m/>
    <s v="COPPER_TUBE_SOFTDRAWN, HAILIANG 0.028 X 3/8 x 15 mtr 06/02/26"/>
    <s v="IM-000327"/>
    <n v="2"/>
    <n v="2970"/>
    <m/>
    <n v="5940"/>
    <x v="0"/>
    <n v="4774"/>
    <n v="2648"/>
    <n v="5296"/>
    <n v="5454.88"/>
    <n v="485.11999999999989"/>
    <n v="0"/>
    <x v="0"/>
    <x v="0"/>
    <e v="#REF!"/>
    <e v="#REF!"/>
    <s v=""/>
    <n v="8.1670033670033657E-2"/>
  </r>
  <r>
    <x v="5"/>
    <x v="154"/>
    <x v="0"/>
    <x v="27"/>
    <m/>
    <m/>
    <s v="COPPER_TUBE_SOFTDRAWN, HAILIANG 0.028 X 5/8 x 15 mtr 04/25/26"/>
    <s v=""/>
    <n v="1"/>
    <n v="5000"/>
    <m/>
    <n v="5000"/>
    <x v="0"/>
    <n v="0"/>
    <n v="0"/>
    <n v="0"/>
    <n v="0"/>
    <n v="5000"/>
    <n v="0"/>
    <x v="13"/>
    <x v="3"/>
    <e v="#REF!"/>
    <e v="#REF!"/>
    <s v=""/>
    <n v="1"/>
  </r>
  <r>
    <x v="5"/>
    <x v="154"/>
    <x v="0"/>
    <x v="27"/>
    <m/>
    <m/>
    <s v="RUBBER_INSULATION, M-FLEX 1/2&quot; 3/8"/>
    <s v="IM-000231"/>
    <n v="15"/>
    <n v="60"/>
    <m/>
    <n v="900"/>
    <x v="0"/>
    <n v="53"/>
    <n v="37.6"/>
    <n v="564"/>
    <n v="580.91999999999996"/>
    <n v="319.08000000000004"/>
    <n v="0"/>
    <x v="22"/>
    <x v="0"/>
    <e v="#REF!"/>
    <e v="#REF!"/>
    <s v=""/>
    <n v="0.35453333333333337"/>
  </r>
  <r>
    <x v="5"/>
    <x v="154"/>
    <x v="0"/>
    <x v="27"/>
    <m/>
    <m/>
    <s v="RUBBER_INSULATION, M-FLEX 1/2&quot; 5/8"/>
    <s v="IM-000232"/>
    <n v="15"/>
    <n v="80"/>
    <m/>
    <n v="1200"/>
    <x v="0"/>
    <n v="77"/>
    <n v="55.2"/>
    <n v="828"/>
    <n v="852.84"/>
    <n v="347.15999999999997"/>
    <n v="0"/>
    <x v="22"/>
    <x v="0"/>
    <e v="#REF!"/>
    <e v="#REF!"/>
    <s v=""/>
    <n v="0.28929999999999995"/>
  </r>
  <r>
    <x v="5"/>
    <x v="154"/>
    <x v="0"/>
    <x v="1"/>
    <m/>
    <m/>
    <s v="TAPE_FOAM, AEROTAPE 3MM X 50 MM X 9.1 MTR  04/02/25"/>
    <s v="IM-000332"/>
    <n v="2"/>
    <n v="380"/>
    <m/>
    <n v="760"/>
    <x v="0"/>
    <n v="510"/>
    <n v="330"/>
    <n v="660"/>
    <n v="679.80000000000007"/>
    <n v="80.199999999999932"/>
    <n v="0"/>
    <x v="25"/>
    <x v="0"/>
    <e v="#REF!"/>
    <e v="#REF!"/>
    <s v=""/>
    <n v="0.10552631578947359"/>
  </r>
  <r>
    <x v="5"/>
    <x v="154"/>
    <x v="0"/>
    <x v="1"/>
    <m/>
    <m/>
    <s v="TAPE_PE, PICUS Polythelene Tape (White)X 4&quot;"/>
    <s v="IM-000247"/>
    <n v="1"/>
    <n v="125"/>
    <m/>
    <n v="125"/>
    <x v="0"/>
    <n v="147"/>
    <n v="75"/>
    <n v="75"/>
    <n v="77.25"/>
    <n v="47.75"/>
    <n v="0"/>
    <x v="29"/>
    <x v="0"/>
    <e v="#REF!"/>
    <e v="#REF!"/>
    <s v=""/>
    <n v="0.38200000000000001"/>
  </r>
  <r>
    <x v="5"/>
    <x v="155"/>
    <x v="7"/>
    <x v="135"/>
    <m/>
    <m/>
    <m/>
    <s v=""/>
    <m/>
    <m/>
    <m/>
    <n v="0"/>
    <x v="0"/>
    <n v="0"/>
    <n v="0"/>
    <n v="0"/>
    <n v="0"/>
    <n v="0"/>
    <n v="0"/>
    <x v="13"/>
    <x v="3"/>
    <s v=""/>
    <s v=""/>
    <s v=""/>
    <n v="0"/>
  </r>
  <r>
    <x v="5"/>
    <x v="156"/>
    <x v="0"/>
    <x v="19"/>
    <m/>
    <m/>
    <s v="RUBBER_INSULATION, M-FLEX 1/2&quot; 3/8"/>
    <s v="IM-000231"/>
    <n v="6"/>
    <n v="60"/>
    <m/>
    <n v="360"/>
    <x v="0"/>
    <n v="53"/>
    <n v="37.6"/>
    <n v="225.60000000000002"/>
    <n v="232.36800000000002"/>
    <n v="127.63199999999998"/>
    <n v="0"/>
    <x v="22"/>
    <x v="0"/>
    <e v="#REF!"/>
    <e v="#REF!"/>
    <s v=""/>
    <n v="0.35453333333333326"/>
  </r>
  <r>
    <x v="5"/>
    <x v="156"/>
    <x v="0"/>
    <x v="19"/>
    <m/>
    <m/>
    <s v="TAPE_FOAM, AEROTAPE 3MM X 50 MM X 9.1 MTR  04/02/25"/>
    <s v="IM-000332"/>
    <n v="1"/>
    <n v="380"/>
    <m/>
    <n v="380"/>
    <x v="0"/>
    <n v="510"/>
    <n v="330"/>
    <n v="330"/>
    <n v="339.90000000000003"/>
    <n v="40.099999999999966"/>
    <n v="0"/>
    <x v="25"/>
    <x v="0"/>
    <e v="#REF!"/>
    <e v="#REF!"/>
    <s v=""/>
    <n v="0.10552631578947359"/>
  </r>
  <r>
    <x v="5"/>
    <x v="156"/>
    <x v="0"/>
    <x v="19"/>
    <m/>
    <m/>
    <s v="TAPE_PE, PICUS Polythelene Tape (White)X 4&quot;"/>
    <s v="IM-000247"/>
    <n v="2"/>
    <n v="125"/>
    <m/>
    <n v="250"/>
    <x v="0"/>
    <n v="147"/>
    <n v="75"/>
    <n v="150"/>
    <n v="154.5"/>
    <n v="95.5"/>
    <n v="0"/>
    <x v="29"/>
    <x v="0"/>
    <e v="#REF!"/>
    <e v="#REF!"/>
    <s v=""/>
    <n v="0.38200000000000001"/>
  </r>
  <r>
    <x v="5"/>
    <x v="156"/>
    <x v="0"/>
    <x v="19"/>
    <m/>
    <m/>
    <s v="ROYAL CORD, POWERFLEX 4-CORE, #16 1.2 MM, METER"/>
    <s v="GE-000485"/>
    <n v="9"/>
    <n v="125"/>
    <m/>
    <n v="1125"/>
    <x v="0"/>
    <n v="90"/>
    <n v="72"/>
    <n v="648"/>
    <n v="680.4"/>
    <n v="444.6"/>
    <n v="0"/>
    <x v="48"/>
    <x v="1"/>
    <e v="#REF!"/>
    <e v="#REF!"/>
    <s v=""/>
    <n v="0.3952"/>
  </r>
  <r>
    <x v="5"/>
    <x v="156"/>
    <x v="0"/>
    <x v="19"/>
    <m/>
    <m/>
    <s v="BOLT &amp; NUT, DYNABOLT 5/16&quot;"/>
    <s v="GE-000397"/>
    <n v="6"/>
    <n v="20"/>
    <m/>
    <n v="120"/>
    <x v="0"/>
    <n v="14"/>
    <n v="6.5"/>
    <n v="39"/>
    <n v="40.950000000000003"/>
    <n v="79.05"/>
    <n v="0"/>
    <x v="57"/>
    <x v="1"/>
    <e v="#REF!"/>
    <e v="#REF!"/>
    <s v=""/>
    <n v="0.65874999999999995"/>
  </r>
  <r>
    <x v="5"/>
    <x v="156"/>
    <x v="0"/>
    <x v="1"/>
    <m/>
    <n v="680"/>
    <s v="REFRIGERANT, POKKA R32, 600 GRMS  05/09/26"/>
    <s v="GE-000509"/>
    <n v="2"/>
    <n v="680"/>
    <m/>
    <n v="1360"/>
    <x v="0"/>
    <n v="756"/>
    <n v="480"/>
    <n v="960"/>
    <n v="1008"/>
    <n v="352"/>
    <n v="0"/>
    <x v="5"/>
    <x v="1"/>
    <e v="#REF!"/>
    <e v="#REF!"/>
    <n v="761.6"/>
    <n v="0.25882352941176473"/>
  </r>
  <r>
    <x v="5"/>
    <x v="156"/>
    <x v="0"/>
    <x v="48"/>
    <m/>
    <m/>
    <s v="BLOWER_MOTOR, ISUZU D-MAX 2013 / MUX"/>
    <s v="CA-000171"/>
    <n v="1"/>
    <n v="1900"/>
    <m/>
    <n v="1900"/>
    <x v="0"/>
    <n v="2389"/>
    <n v="1300"/>
    <n v="1300"/>
    <n v="1365"/>
    <n v="535"/>
    <n v="0"/>
    <x v="15"/>
    <x v="2"/>
    <e v="#REF!"/>
    <e v="#REF!"/>
    <s v=""/>
    <n v="0.28157894736842104"/>
  </r>
  <r>
    <x v="5"/>
    <x v="156"/>
    <x v="0"/>
    <x v="18"/>
    <m/>
    <m/>
    <s v="EXP. VALVE SC, MITSUBISHI ORING TYPE 3/8"/>
    <s v="CA-000566"/>
    <n v="2"/>
    <n v="500"/>
    <m/>
    <n v="1000"/>
    <x v="0"/>
    <n v="478"/>
    <n v="260"/>
    <n v="520"/>
    <n v="546"/>
    <n v="454"/>
    <n v="0"/>
    <x v="34"/>
    <x v="2"/>
    <e v="#REF!"/>
    <e v="#REF!"/>
    <s v=""/>
    <n v="0.45400000000000001"/>
  </r>
  <r>
    <x v="5"/>
    <x v="156"/>
    <x v="1"/>
    <x v="3"/>
    <m/>
    <m/>
    <s v="EVAPORATOR, MITSUBISHI ADVENTURE OLD / SERPENTINE (STAL)"/>
    <s v="CA-001656"/>
    <n v="1"/>
    <n v="2000"/>
    <m/>
    <n v="2000"/>
    <x v="0"/>
    <n v="2205"/>
    <n v="1200"/>
    <n v="1200"/>
    <n v="1260"/>
    <n v="740"/>
    <n v="222"/>
    <x v="10"/>
    <x v="2"/>
    <e v="#REF!"/>
    <e v="#REF!"/>
    <s v=""/>
    <n v="0.37"/>
  </r>
  <r>
    <x v="5"/>
    <x v="156"/>
    <x v="1"/>
    <x v="3"/>
    <m/>
    <m/>
    <s v="EXP. VALVE DC, MITSUBISHI ORING TYPE 1/2 (ADVENTURE)"/>
    <s v="CA-000561"/>
    <n v="1"/>
    <n v="700"/>
    <m/>
    <n v="700"/>
    <x v="0"/>
    <n v="588"/>
    <n v="320"/>
    <n v="320"/>
    <n v="336"/>
    <n v="364"/>
    <n v="109.2"/>
    <x v="46"/>
    <x v="2"/>
    <e v="#REF!"/>
    <e v="#REF!"/>
    <s v=""/>
    <n v="0.52"/>
  </r>
  <r>
    <x v="5"/>
    <x v="156"/>
    <x v="1"/>
    <x v="3"/>
    <m/>
    <m/>
    <s v="EXP. VALVE SC, HONDA OVERSIZE / FX R134A"/>
    <s v="CA-000569"/>
    <n v="1"/>
    <n v="500"/>
    <m/>
    <n v="500"/>
    <x v="0"/>
    <n v="478"/>
    <n v="260"/>
    <n v="260"/>
    <n v="273"/>
    <n v="227"/>
    <n v="68.099999999999994"/>
    <x v="34"/>
    <x v="2"/>
    <e v="#REF!"/>
    <e v="#REF!"/>
    <s v=""/>
    <n v="0.45400000000000001"/>
  </r>
  <r>
    <x v="5"/>
    <x v="156"/>
    <x v="1"/>
    <x v="3"/>
    <m/>
    <n v="200"/>
    <s v="O_RING, NEK MAKAPAL 3/8"/>
    <s v="CA-000841"/>
    <n v="1"/>
    <n v="180"/>
    <m/>
    <n v="180"/>
    <x v="0"/>
    <n v="111"/>
    <n v="60"/>
    <n v="60"/>
    <n v="63"/>
    <n v="117"/>
    <n v="35.1"/>
    <x v="44"/>
    <x v="2"/>
    <e v="#REF!"/>
    <e v="#REF!"/>
    <n v="201.60000000000002"/>
    <n v="0.65"/>
  </r>
  <r>
    <x v="5"/>
    <x v="156"/>
    <x v="0"/>
    <x v="136"/>
    <m/>
    <m/>
    <s v="RUBBER_INSULATION, M-FLEX 1/2&quot; 3/8"/>
    <s v="IM-000231"/>
    <n v="2"/>
    <n v="60"/>
    <m/>
    <n v="120"/>
    <x v="0"/>
    <n v="53"/>
    <n v="37.6"/>
    <n v="75.2"/>
    <n v="77.456000000000003"/>
    <n v="42.543999999999997"/>
    <n v="0"/>
    <x v="22"/>
    <x v="0"/>
    <e v="#REF!"/>
    <e v="#REF!"/>
    <s v=""/>
    <n v="0.35453333333333331"/>
  </r>
  <r>
    <x v="5"/>
    <x v="156"/>
    <x v="0"/>
    <x v="49"/>
    <m/>
    <m/>
    <s v="RECEIVER_DRIER_ALUMINUM, YK 8227  (Montero)"/>
    <s v="CA-001108"/>
    <n v="1"/>
    <n v="550"/>
    <m/>
    <n v="550"/>
    <x v="0"/>
    <n v="532"/>
    <n v="225"/>
    <n v="225"/>
    <n v="236.25"/>
    <n v="313.75"/>
    <n v="0"/>
    <x v="27"/>
    <x v="2"/>
    <e v="#REF!"/>
    <e v="#REF!"/>
    <s v=""/>
    <n v="0.57045454545454544"/>
  </r>
  <r>
    <x v="5"/>
    <x v="156"/>
    <x v="0"/>
    <x v="49"/>
    <m/>
    <m/>
    <s v="CABIN_FILTER, MITSUBISHI MONTERO OLD"/>
    <s v="CA-001704"/>
    <n v="1"/>
    <n v="400"/>
    <m/>
    <n v="400"/>
    <x v="0"/>
    <n v="567"/>
    <n v="180"/>
    <n v="180"/>
    <n v="189"/>
    <n v="211"/>
    <n v="0"/>
    <x v="12"/>
    <x v="2"/>
    <e v="#REF!"/>
    <e v="#REF!"/>
    <s v=""/>
    <n v="0.52749999999999997"/>
  </r>
  <r>
    <x v="5"/>
    <x v="156"/>
    <x v="0"/>
    <x v="49"/>
    <m/>
    <n v="200"/>
    <s v="O_RING, NEK MAKAPAL 5/8"/>
    <s v="CA-000843"/>
    <n v="1"/>
    <n v="180"/>
    <m/>
    <n v="180"/>
    <x v="0"/>
    <n v="111"/>
    <n v="60"/>
    <n v="60"/>
    <n v="63"/>
    <n v="117"/>
    <n v="0"/>
    <x v="44"/>
    <x v="2"/>
    <e v="#REF!"/>
    <e v="#REF!"/>
    <n v="201.60000000000002"/>
    <n v="0.65"/>
  </r>
  <r>
    <x v="5"/>
    <x v="156"/>
    <x v="1"/>
    <x v="3"/>
    <m/>
    <m/>
    <s v="EXP. VALVE SC, HONDA OVERSIZE / FX R134A"/>
    <s v="CA-000569"/>
    <n v="1"/>
    <n v="500"/>
    <m/>
    <n v="500"/>
    <x v="0"/>
    <n v="478"/>
    <n v="260"/>
    <n v="260"/>
    <n v="273"/>
    <n v="227"/>
    <n v="68.099999999999994"/>
    <x v="34"/>
    <x v="2"/>
    <e v="#REF!"/>
    <e v="#REF!"/>
    <s v=""/>
    <n v="0.45400000000000001"/>
  </r>
  <r>
    <x v="5"/>
    <x v="156"/>
    <x v="0"/>
    <x v="1"/>
    <m/>
    <m/>
    <s v="RUBBER_INSULATION, M-FLEX 1/2&quot; 1/4"/>
    <s v="IM-000229"/>
    <n v="1"/>
    <n v="50"/>
    <m/>
    <n v="50"/>
    <x v="0"/>
    <n v="47"/>
    <n v="33.6"/>
    <n v="33.6"/>
    <n v="34.608000000000004"/>
    <n v="15.391999999999996"/>
    <n v="0"/>
    <x v="22"/>
    <x v="0"/>
    <e v="#REF!"/>
    <e v="#REF!"/>
    <s v=""/>
    <n v="0.30783999999999989"/>
  </r>
  <r>
    <x v="5"/>
    <x v="156"/>
    <x v="0"/>
    <x v="1"/>
    <m/>
    <m/>
    <s v="RUBBER_INSULATION, M-FLEX 1/2&quot; 3/8"/>
    <s v="IM-000231"/>
    <n v="1"/>
    <n v="60"/>
    <m/>
    <n v="60"/>
    <x v="0"/>
    <n v="53"/>
    <n v="37.6"/>
    <n v="37.6"/>
    <n v="38.728000000000002"/>
    <n v="21.271999999999998"/>
    <n v="0"/>
    <x v="22"/>
    <x v="0"/>
    <e v="#REF!"/>
    <e v="#REF!"/>
    <s v=""/>
    <n v="0.35453333333333331"/>
  </r>
  <r>
    <x v="5"/>
    <x v="156"/>
    <x v="0"/>
    <x v="1"/>
    <m/>
    <m/>
    <s v="TAPE_PE, PICUS Polythelene Tape (White)X 4&quot;"/>
    <s v="IM-000247"/>
    <n v="1"/>
    <n v="125"/>
    <m/>
    <n v="125"/>
    <x v="0"/>
    <n v="147"/>
    <n v="75"/>
    <n v="75"/>
    <n v="77.25"/>
    <n v="47.75"/>
    <n v="0"/>
    <x v="29"/>
    <x v="0"/>
    <e v="#REF!"/>
    <e v="#REF!"/>
    <s v=""/>
    <n v="0.38200000000000001"/>
  </r>
  <r>
    <x v="5"/>
    <x v="156"/>
    <x v="0"/>
    <x v="1"/>
    <m/>
    <m/>
    <s v="BRACKET , GB 1HP, COATED"/>
    <s v="IM-000008"/>
    <n v="1"/>
    <n v="360"/>
    <m/>
    <n v="360"/>
    <x v="0"/>
    <n v="334"/>
    <n v="185"/>
    <n v="185"/>
    <n v="190.55"/>
    <n v="169.45"/>
    <n v="0"/>
    <x v="1"/>
    <x v="0"/>
    <e v="#REF!"/>
    <e v="#REF!"/>
    <s v=""/>
    <n v="0.47069444444444442"/>
  </r>
  <r>
    <x v="5"/>
    <x v="156"/>
    <x v="0"/>
    <x v="1"/>
    <m/>
    <m/>
    <s v="BOLT &amp; NUT, DYNABOLT 5/16&quot;"/>
    <s v="GE-000397"/>
    <n v="6"/>
    <n v="20"/>
    <m/>
    <n v="120"/>
    <x v="0"/>
    <n v="14"/>
    <n v="6.5"/>
    <n v="39"/>
    <n v="40.950000000000003"/>
    <n v="79.05"/>
    <n v="0"/>
    <x v="57"/>
    <x v="1"/>
    <e v="#REF!"/>
    <e v="#REF!"/>
    <s v=""/>
    <n v="0.65874999999999995"/>
  </r>
  <r>
    <x v="5"/>
    <x v="156"/>
    <x v="0"/>
    <x v="1"/>
    <m/>
    <m/>
    <s v="BOLT &amp; NUT, GI, SET 5/16"/>
    <s v="IM-000003"/>
    <n v="4"/>
    <n v="12"/>
    <m/>
    <n v="48"/>
    <x v="0"/>
    <n v="10"/>
    <n v="5"/>
    <n v="20"/>
    <n v="20.6"/>
    <n v="27.4"/>
    <n v="0"/>
    <x v="57"/>
    <x v="0"/>
    <e v="#REF!"/>
    <e v="#REF!"/>
    <s v=""/>
    <n v="0.5708333333333333"/>
  </r>
  <r>
    <x v="5"/>
    <x v="156"/>
    <x v="0"/>
    <x v="1"/>
    <m/>
    <m/>
    <s v="BOLT &amp; NUT, TOX WITH METAL SCREW #8"/>
    <s v="GE-000404"/>
    <n v="5"/>
    <n v="6"/>
    <m/>
    <n v="30"/>
    <x v="0"/>
    <n v="3"/>
    <n v="1.25"/>
    <n v="6.25"/>
    <n v="6.5625"/>
    <n v="23.4375"/>
    <n v="0"/>
    <x v="57"/>
    <x v="1"/>
    <e v="#REF!"/>
    <e v="#REF!"/>
    <s v=""/>
    <n v="0.78125"/>
  </r>
  <r>
    <x v="5"/>
    <x v="156"/>
    <x v="1"/>
    <x v="137"/>
    <m/>
    <m/>
    <s v="BAG_WASH, JINSHENG Q-565 BOX"/>
    <s v="GE-000390"/>
    <n v="1"/>
    <n v="1000"/>
    <m/>
    <n v="1000"/>
    <x v="0"/>
    <n v="919"/>
    <n v="500"/>
    <n v="500"/>
    <n v="525"/>
    <n v="475"/>
    <n v="142.5"/>
    <x v="82"/>
    <x v="1"/>
    <e v="#REF!"/>
    <e v="#REF!"/>
    <s v=""/>
    <n v="0.47499999999999998"/>
  </r>
  <r>
    <x v="5"/>
    <x v="156"/>
    <x v="0"/>
    <x v="17"/>
    <m/>
    <m/>
    <s v="THERMOSTAT, NEK CAR"/>
    <s v="CA-001647"/>
    <n v="1"/>
    <n v="250"/>
    <m/>
    <n v="250"/>
    <x v="0"/>
    <n v="180"/>
    <n v="90"/>
    <n v="90"/>
    <n v="94.5"/>
    <n v="155.5"/>
    <n v="0"/>
    <x v="31"/>
    <x v="2"/>
    <e v="#REF!"/>
    <e v="#REF!"/>
    <s v=""/>
    <n v="0.622"/>
  </r>
  <r>
    <x v="5"/>
    <x v="156"/>
    <x v="0"/>
    <x v="1"/>
    <m/>
    <m/>
    <s v="CAPACITOR_DOUBLE, PS CBB65 25 + 3 UF"/>
    <s v="GE-000276"/>
    <n v="1"/>
    <n v="450"/>
    <m/>
    <n v="450"/>
    <x v="0"/>
    <n v="331"/>
    <n v="180"/>
    <n v="180"/>
    <n v="189"/>
    <n v="261"/>
    <n v="0"/>
    <x v="65"/>
    <x v="1"/>
    <e v="#REF!"/>
    <e v="#REF!"/>
    <s v=""/>
    <n v="0.57999999999999996"/>
  </r>
  <r>
    <x v="5"/>
    <x v="156"/>
    <x v="0"/>
    <x v="11"/>
    <m/>
    <m/>
    <s v="RELAY, BOSCH MINI"/>
    <s v="CA-001135"/>
    <n v="1"/>
    <n v="150"/>
    <m/>
    <n v="150"/>
    <x v="0"/>
    <n v="84"/>
    <n v="40"/>
    <n v="40"/>
    <n v="42"/>
    <n v="108"/>
    <n v="0"/>
    <x v="79"/>
    <x v="2"/>
    <e v="#REF!"/>
    <e v="#REF!"/>
    <s v=""/>
    <n v="0.72"/>
  </r>
  <r>
    <x v="5"/>
    <x v="156"/>
    <x v="0"/>
    <x v="11"/>
    <m/>
    <m/>
    <s v="AUXIALLIARY_FAN, POKKA 10 BLADES X 12VOLTS"/>
    <s v="CA-000106"/>
    <n v="1"/>
    <n v="650"/>
    <m/>
    <n v="650"/>
    <x v="0"/>
    <n v="772"/>
    <n v="420"/>
    <n v="420"/>
    <n v="441"/>
    <n v="209"/>
    <n v="0"/>
    <x v="16"/>
    <x v="2"/>
    <e v="#REF!"/>
    <e v="#REF!"/>
    <s v=""/>
    <n v="0.32153846153846155"/>
  </r>
  <r>
    <x v="5"/>
    <x v="156"/>
    <x v="0"/>
    <x v="36"/>
    <m/>
    <n v="2100"/>
    <s v="PULLEY_ASSEMBLY, TOYOTA VIOS 2017/ WIGO  6PK"/>
    <s v="CA-001788"/>
    <n v="1"/>
    <n v="1875"/>
    <m/>
    <n v="1875"/>
    <x v="0"/>
    <n v="2016"/>
    <n v="1200"/>
    <n v="1200"/>
    <n v="1260"/>
    <n v="615"/>
    <n v="0"/>
    <x v="11"/>
    <x v="2"/>
    <e v="#REF!"/>
    <e v="#REF!"/>
    <n v="2100"/>
    <n v="0.32800000000000001"/>
  </r>
  <r>
    <x v="5"/>
    <x v="156"/>
    <x v="0"/>
    <x v="36"/>
    <m/>
    <n v="550"/>
    <s v="EXP. VALVE LT, POKKA 9A55 HONDA NEW"/>
    <s v="CA-000636"/>
    <n v="1"/>
    <n v="491"/>
    <m/>
    <n v="491"/>
    <x v="0"/>
    <n v="497"/>
    <n v="270"/>
    <n v="270"/>
    <n v="283.5"/>
    <n v="207.5"/>
    <n v="0"/>
    <x v="23"/>
    <x v="2"/>
    <e v="#REF!"/>
    <e v="#REF!"/>
    <n v="549.92000000000007"/>
    <n v="0.42260692464358451"/>
  </r>
  <r>
    <x v="5"/>
    <x v="156"/>
    <x v="4"/>
    <x v="25"/>
    <m/>
    <m/>
    <s v="AUXFAN_MOTOR, TOYOTA VIOS BATMAN 2370"/>
    <s v="CA-000094"/>
    <n v="1"/>
    <n v="1800"/>
    <m/>
    <n v="1800"/>
    <x v="0"/>
    <n v="2022"/>
    <n v="1100"/>
    <n v="1100"/>
    <n v="1155"/>
    <n v="645"/>
    <n v="193.5"/>
    <x v="14"/>
    <x v="2"/>
    <e v="#REF!"/>
    <e v="#REF!"/>
    <s v=""/>
    <n v="0.35833333333333334"/>
  </r>
  <r>
    <x v="5"/>
    <x v="157"/>
    <x v="5"/>
    <x v="37"/>
    <m/>
    <n v="400"/>
    <s v="CABIN_FILTER, HONDA LARGE"/>
    <s v="CA-001422"/>
    <n v="1"/>
    <n v="358"/>
    <m/>
    <n v="358"/>
    <x v="0"/>
    <n v="378"/>
    <n v="120"/>
    <n v="120"/>
    <n v="126"/>
    <n v="232"/>
    <n v="69.599999999999994"/>
    <x v="12"/>
    <x v="2"/>
    <e v="#REF!"/>
    <e v="#REF!"/>
    <n v="400.96000000000004"/>
    <n v="0.64804469273743015"/>
  </r>
  <r>
    <x v="5"/>
    <x v="157"/>
    <x v="1"/>
    <x v="3"/>
    <m/>
    <m/>
    <s v="FITTINGS, STRAIGHT ORING TYPE 5/8"/>
    <s v="CA-000677"/>
    <n v="6"/>
    <n v="125"/>
    <m/>
    <n v="750"/>
    <x v="0"/>
    <n v="30"/>
    <n v="16"/>
    <n v="96"/>
    <n v="100.80000000000001"/>
    <n v="649.20000000000005"/>
    <n v="194.76000000000002"/>
    <x v="33"/>
    <x v="2"/>
    <e v="#REF!"/>
    <e v="#REF!"/>
    <s v=""/>
    <n v="0.86560000000000004"/>
  </r>
  <r>
    <x v="5"/>
    <x v="157"/>
    <x v="0"/>
    <x v="138"/>
    <m/>
    <m/>
    <s v="TAPE_PE, PICUS Polythelene Tape (White)X 4&quot;"/>
    <s v="IM-000247"/>
    <n v="2"/>
    <n v="125"/>
    <m/>
    <n v="250"/>
    <x v="0"/>
    <n v="147"/>
    <n v="75"/>
    <n v="150"/>
    <n v="154.5"/>
    <n v="95.5"/>
    <n v="0"/>
    <x v="29"/>
    <x v="0"/>
    <e v="#REF!"/>
    <e v="#REF!"/>
    <s v=""/>
    <n v="0.38200000000000001"/>
  </r>
  <r>
    <x v="5"/>
    <x v="157"/>
    <x v="0"/>
    <x v="138"/>
    <m/>
    <m/>
    <s v="RUBBER_INSULATION, M-FLEX 3/4&quot; 1/2"/>
    <s v="IM-000234"/>
    <n v="6"/>
    <n v="110"/>
    <m/>
    <n v="660"/>
    <x v="0"/>
    <n v="103"/>
    <n v="73.5"/>
    <n v="441"/>
    <n v="454.23"/>
    <n v="205.76999999999998"/>
    <n v="0"/>
    <x v="22"/>
    <x v="0"/>
    <e v="#REF!"/>
    <e v="#REF!"/>
    <s v=""/>
    <n v="0.31177272727272726"/>
  </r>
  <r>
    <x v="5"/>
    <x v="157"/>
    <x v="0"/>
    <x v="138"/>
    <m/>
    <m/>
    <s v="RUBBER_INSULATION, M-FLEX 3/4&quot; 1/4"/>
    <s v="IM-000235"/>
    <n v="6"/>
    <n v="95"/>
    <m/>
    <n v="570"/>
    <x v="0"/>
    <n v="79"/>
    <n v="56.7"/>
    <n v="340.20000000000005"/>
    <n v="350.40600000000006"/>
    <n v="219.59399999999994"/>
    <n v="0"/>
    <x v="22"/>
    <x v="0"/>
    <e v="#REF!"/>
    <e v="#REF!"/>
    <s v=""/>
    <n v="0.38525263157894724"/>
  </r>
  <r>
    <x v="5"/>
    <x v="157"/>
    <x v="0"/>
    <x v="23"/>
    <m/>
    <m/>
    <s v="EVAPORATOR, MITSUBISHI MONTERO 2016 (F)  (STAL)"/>
    <s v="CA-000341"/>
    <n v="1"/>
    <n v="2100"/>
    <m/>
    <n v="2100"/>
    <x v="0"/>
    <n v="1930"/>
    <n v="1050"/>
    <n v="1050"/>
    <n v="1102.5"/>
    <n v="997.5"/>
    <n v="0"/>
    <x v="10"/>
    <x v="2"/>
    <e v="#REF!"/>
    <e v="#REF!"/>
    <s v=""/>
    <n v="0.47499999999999998"/>
  </r>
  <r>
    <x v="5"/>
    <x v="157"/>
    <x v="0"/>
    <x v="1"/>
    <m/>
    <m/>
    <s v="CAPACITOR_DOUBLE, PS CBB65 15 + 3 UF"/>
    <s v="GE-000341"/>
    <n v="1"/>
    <n v="360"/>
    <m/>
    <n v="360"/>
    <x v="0"/>
    <n v="276"/>
    <n v="150"/>
    <n v="150"/>
    <n v="157.5"/>
    <n v="202.5"/>
    <n v="0"/>
    <x v="65"/>
    <x v="1"/>
    <e v="#REF!"/>
    <e v="#REF!"/>
    <s v=""/>
    <n v="0.5625"/>
  </r>
  <r>
    <x v="5"/>
    <x v="157"/>
    <x v="0"/>
    <x v="1"/>
    <m/>
    <m/>
    <s v="REF_DRIER, OMNI WELDED TYPE  SINGLE"/>
    <s v="GE-000005"/>
    <n v="1"/>
    <n v="50"/>
    <m/>
    <n v="50"/>
    <x v="0"/>
    <n v="58.800000000000004"/>
    <n v="28"/>
    <n v="28"/>
    <n v="29.400000000000002"/>
    <n v="20.599999999999998"/>
    <n v="0"/>
    <x v="73"/>
    <x v="1"/>
    <e v="#REF!"/>
    <e v="#REF!"/>
    <s v=""/>
    <n v="0.41199999999999998"/>
  </r>
  <r>
    <x v="5"/>
    <x v="157"/>
    <x v="0"/>
    <x v="1"/>
    <m/>
    <m/>
    <s v="ROD, HARRIS SILVER "/>
    <s v="IM-000098"/>
    <n v="1"/>
    <n v="28"/>
    <m/>
    <n v="28"/>
    <x v="0"/>
    <n v="30"/>
    <n v="19"/>
    <n v="19"/>
    <n v="19.57"/>
    <n v="8.43"/>
    <n v="0"/>
    <x v="56"/>
    <x v="0"/>
    <e v="#REF!"/>
    <e v="#REF!"/>
    <s v=""/>
    <n v="0.30107142857142855"/>
  </r>
  <r>
    <x v="5"/>
    <x v="157"/>
    <x v="2"/>
    <x v="7"/>
    <m/>
    <m/>
    <s v="BLOWER_MOTOR, NISSAN ALMERA"/>
    <s v="CA-000194"/>
    <n v="1"/>
    <n v="1900"/>
    <m/>
    <n v="1900"/>
    <x v="0"/>
    <n v="2481"/>
    <n v="1350"/>
    <n v="1350"/>
    <n v="1417.5"/>
    <n v="482.5"/>
    <n v="144.75"/>
    <x v="15"/>
    <x v="2"/>
    <e v="#REF!"/>
    <e v="#REF!"/>
    <s v=""/>
    <n v="0.25394736842105264"/>
  </r>
  <r>
    <x v="5"/>
    <x v="157"/>
    <x v="0"/>
    <x v="84"/>
    <m/>
    <m/>
    <s v="AUXFAN_MOTOR, HONDA CRV (3070 / 3130)"/>
    <s v="CA-000007"/>
    <n v="1"/>
    <n v="1600"/>
    <m/>
    <n v="1600"/>
    <x v="0"/>
    <n v="1654"/>
    <n v="900"/>
    <n v="900"/>
    <n v="945"/>
    <n v="655"/>
    <n v="0"/>
    <x v="14"/>
    <x v="2"/>
    <e v="#REF!"/>
    <e v="#REF!"/>
    <s v=""/>
    <n v="0.40937499999999999"/>
  </r>
  <r>
    <x v="5"/>
    <x v="157"/>
    <x v="1"/>
    <x v="5"/>
    <m/>
    <m/>
    <s v="REFRIGERANT, ENTALPIA EUROPE R134A 13.6   5/19/26 NBO"/>
    <s v=""/>
    <n v="1"/>
    <n v="8700"/>
    <m/>
    <n v="8700"/>
    <x v="0"/>
    <n v="0"/>
    <n v="0"/>
    <n v="0"/>
    <n v="0"/>
    <n v="8700"/>
    <n v="2610"/>
    <x v="13"/>
    <x v="3"/>
    <e v="#REF!"/>
    <e v="#REF!"/>
    <s v=""/>
    <n v="1"/>
  </r>
  <r>
    <x v="5"/>
    <x v="157"/>
    <x v="0"/>
    <x v="1"/>
    <m/>
    <m/>
    <s v="BRACKET , GB 1HP, COATED"/>
    <s v="IM-000008"/>
    <n v="1"/>
    <n v="360"/>
    <m/>
    <n v="360"/>
    <x v="0"/>
    <n v="334"/>
    <n v="185"/>
    <n v="185"/>
    <n v="190.55"/>
    <n v="169.45"/>
    <n v="0"/>
    <x v="1"/>
    <x v="0"/>
    <e v="#REF!"/>
    <e v="#REF!"/>
    <s v=""/>
    <n v="0.47069444444444442"/>
  </r>
  <r>
    <x v="5"/>
    <x v="157"/>
    <x v="0"/>
    <x v="1"/>
    <m/>
    <m/>
    <s v="BOLT &amp; NUT, DYNABOLT 3/8&quot;"/>
    <s v="GE-000396"/>
    <n v="4"/>
    <n v="25"/>
    <m/>
    <n v="100"/>
    <x v="0"/>
    <n v="19"/>
    <n v="8.9"/>
    <n v="35.6"/>
    <n v="37.380000000000003"/>
    <n v="62.62"/>
    <n v="0"/>
    <x v="57"/>
    <x v="1"/>
    <e v="#REF!"/>
    <e v="#REF!"/>
    <s v=""/>
    <n v="0.62619999999999998"/>
  </r>
  <r>
    <x v="5"/>
    <x v="157"/>
    <x v="0"/>
    <x v="78"/>
    <m/>
    <m/>
    <s v="EXP. VALVE LT, POKKA 9A56 INNOVA F"/>
    <s v="CA-000637"/>
    <n v="1"/>
    <n v="550"/>
    <m/>
    <n v="550"/>
    <x v="0"/>
    <n v="460"/>
    <n v="250"/>
    <n v="250"/>
    <n v="262.5"/>
    <n v="287.5"/>
    <n v="0"/>
    <x v="23"/>
    <x v="2"/>
    <e v="#REF!"/>
    <e v="#REF!"/>
    <s v=""/>
    <n v="0.52272727272727271"/>
  </r>
  <r>
    <x v="5"/>
    <x v="157"/>
    <x v="0"/>
    <x v="17"/>
    <m/>
    <m/>
    <s v="RECEIVER_DRIER_ALUMINUM, YK 8732 (SERIES 3)"/>
    <s v="CA-001113"/>
    <n v="1"/>
    <n v="550"/>
    <m/>
    <n v="550"/>
    <x v="0"/>
    <n v="544"/>
    <n v="230"/>
    <n v="230"/>
    <n v="241.5"/>
    <n v="308.5"/>
    <n v="0"/>
    <x v="27"/>
    <x v="2"/>
    <e v="#REF!"/>
    <e v="#REF!"/>
    <s v=""/>
    <n v="0.56090909090909091"/>
  </r>
  <r>
    <x v="5"/>
    <x v="157"/>
    <x v="0"/>
    <x v="17"/>
    <m/>
    <m/>
    <s v="EXP. VALVE DC, NISSAN "/>
    <s v="CA-001321"/>
    <n v="1"/>
    <n v="700"/>
    <m/>
    <n v="700"/>
    <x v="0"/>
    <n v="699"/>
    <n v="380"/>
    <n v="380"/>
    <n v="399"/>
    <n v="301"/>
    <n v="0"/>
    <x v="46"/>
    <x v="2"/>
    <e v="#REF!"/>
    <e v="#REF!"/>
    <s v=""/>
    <n v="0.43"/>
  </r>
  <r>
    <x v="5"/>
    <x v="157"/>
    <x v="0"/>
    <x v="10"/>
    <m/>
    <m/>
    <s v="EVAPORATOR, HONDA CIVIC 2017"/>
    <s v="CA-001369"/>
    <n v="1"/>
    <n v="2100"/>
    <m/>
    <n v="2100"/>
    <x v="0"/>
    <n v="2573"/>
    <n v="1400"/>
    <n v="1400"/>
    <n v="1470"/>
    <n v="630"/>
    <n v="0"/>
    <x v="10"/>
    <x v="2"/>
    <e v="#REF!"/>
    <e v="#REF!"/>
    <s v=""/>
    <n v="0.3"/>
  </r>
  <r>
    <x v="5"/>
    <x v="157"/>
    <x v="2"/>
    <x v="22"/>
    <m/>
    <m/>
    <s v="EXP. VALVE LT, POKKA 9A60 / 9A233 EXTRAIL"/>
    <s v="CA-001829"/>
    <n v="1"/>
    <n v="420"/>
    <m/>
    <n v="420"/>
    <x v="0"/>
    <n v="478"/>
    <n v="260"/>
    <n v="260"/>
    <n v="273"/>
    <n v="147"/>
    <n v="44.1"/>
    <x v="23"/>
    <x v="2"/>
    <e v="#REF!"/>
    <e v="#REF!"/>
    <s v=""/>
    <n v="0.35"/>
  </r>
  <r>
    <x v="5"/>
    <x v="157"/>
    <x v="2"/>
    <x v="22"/>
    <m/>
    <n v="200"/>
    <s v="O_RING, NEK MAKAPAL 5/8"/>
    <s v="CA-000843"/>
    <n v="2"/>
    <n v="180"/>
    <m/>
    <n v="360"/>
    <x v="0"/>
    <n v="111"/>
    <n v="60"/>
    <n v="120"/>
    <n v="126"/>
    <n v="234"/>
    <n v="70.2"/>
    <x v="44"/>
    <x v="2"/>
    <e v="#REF!"/>
    <e v="#REF!"/>
    <n v="201.60000000000002"/>
    <n v="0.65"/>
  </r>
  <r>
    <x v="5"/>
    <x v="157"/>
    <x v="2"/>
    <x v="22"/>
    <m/>
    <n v="200"/>
    <s v="O_RING, NEK MAKAPAL 3/8"/>
    <s v="CA-000841"/>
    <n v="1"/>
    <n v="180"/>
    <m/>
    <n v="180"/>
    <x v="0"/>
    <n v="111"/>
    <n v="60"/>
    <n v="60"/>
    <n v="63"/>
    <n v="117"/>
    <n v="35.1"/>
    <x v="44"/>
    <x v="2"/>
    <e v="#REF!"/>
    <e v="#REF!"/>
    <n v="201.60000000000002"/>
    <n v="0.65"/>
  </r>
  <r>
    <x v="5"/>
    <x v="157"/>
    <x v="2"/>
    <x v="22"/>
    <m/>
    <n v="200"/>
    <s v="O_RING, NEK MAKAPAL 5/16"/>
    <s v="CA-000842"/>
    <n v="2"/>
    <n v="180"/>
    <m/>
    <n v="360"/>
    <x v="0"/>
    <n v="111"/>
    <n v="60"/>
    <n v="120"/>
    <n v="126"/>
    <n v="234"/>
    <n v="70.2"/>
    <x v="44"/>
    <x v="2"/>
    <e v="#REF!"/>
    <e v="#REF!"/>
    <n v="201.60000000000002"/>
    <n v="0.65"/>
  </r>
  <r>
    <x v="5"/>
    <x v="157"/>
    <x v="2"/>
    <x v="22"/>
    <m/>
    <m/>
    <s v="RECEIVER_DRIER_ALUMINUM, YK 40 X 235 (DMAX)"/>
    <s v="CA-001082"/>
    <n v="2"/>
    <n v="370"/>
    <m/>
    <n v="740"/>
    <x v="0"/>
    <n v="662"/>
    <n v="280"/>
    <n v="560"/>
    <n v="588"/>
    <n v="152"/>
    <n v="45.6"/>
    <x v="27"/>
    <x v="2"/>
    <e v="#REF!"/>
    <e v="#REF!"/>
    <s v=""/>
    <n v="0.20540540540540542"/>
  </r>
  <r>
    <x v="5"/>
    <x v="157"/>
    <x v="0"/>
    <x v="125"/>
    <m/>
    <m/>
    <s v="CAPACITOR_DOUBLE, PS CBB65 15 + 1.5 UF"/>
    <s v="GE-000350"/>
    <n v="1"/>
    <n v="340"/>
    <m/>
    <n v="340"/>
    <x v="0"/>
    <n v="276"/>
    <n v="150"/>
    <n v="150"/>
    <n v="157.5"/>
    <n v="182.5"/>
    <n v="0"/>
    <x v="65"/>
    <x v="1"/>
    <e v="#REF!"/>
    <e v="#REF!"/>
    <s v=""/>
    <n v="0.53676470588235292"/>
  </r>
  <r>
    <x v="5"/>
    <x v="157"/>
    <x v="0"/>
    <x v="1"/>
    <m/>
    <m/>
    <s v="COPPER_TUBE_SOFTDRAWN, HAILIANG 0.028 X 3/8 x 15 mtr 06/02/26"/>
    <s v="IM-000327"/>
    <n v="0.2"/>
    <n v="3500"/>
    <m/>
    <n v="700"/>
    <x v="0"/>
    <n v="4774"/>
    <n v="2648"/>
    <n v="529.6"/>
    <n v="545.48800000000006"/>
    <n v="154.51199999999994"/>
    <n v="0"/>
    <x v="0"/>
    <x v="0"/>
    <e v="#REF!"/>
    <e v="#REF!"/>
    <s v=""/>
    <n v="0.2207314285714285"/>
  </r>
  <r>
    <x v="5"/>
    <x v="157"/>
    <x v="0"/>
    <x v="1"/>
    <m/>
    <m/>
    <s v="COPPER_TUBE_SOFTDRAWN, HAILIANG 0.028 X 1/4 x 15 mtr 04/25/26"/>
    <s v=""/>
    <n v="0.2"/>
    <n v="2500"/>
    <m/>
    <n v="500"/>
    <x v="0"/>
    <n v="0"/>
    <n v="0"/>
    <n v="0"/>
    <n v="0"/>
    <n v="500"/>
    <n v="0"/>
    <x v="13"/>
    <x v="3"/>
    <e v="#REF!"/>
    <e v="#REF!"/>
    <s v=""/>
    <n v="1"/>
  </r>
  <r>
    <x v="5"/>
    <x v="157"/>
    <x v="0"/>
    <x v="1"/>
    <m/>
    <m/>
    <s v="RUBBER_INSULATION, M-FLEX 1/2&quot; 3/8"/>
    <s v="IM-000231"/>
    <n v="2"/>
    <n v="60"/>
    <m/>
    <n v="120"/>
    <x v="0"/>
    <n v="53"/>
    <n v="37.6"/>
    <n v="75.2"/>
    <n v="77.456000000000003"/>
    <n v="42.543999999999997"/>
    <n v="0"/>
    <x v="22"/>
    <x v="0"/>
    <e v="#REF!"/>
    <e v="#REF!"/>
    <s v=""/>
    <n v="0.35453333333333331"/>
  </r>
  <r>
    <x v="5"/>
    <x v="157"/>
    <x v="0"/>
    <x v="1"/>
    <m/>
    <m/>
    <s v="RUBBER_INSULATION, M-FLEX 1/2&quot; 1/4"/>
    <s v="IM-000229"/>
    <n v="2"/>
    <n v="50"/>
    <m/>
    <n v="100"/>
    <x v="0"/>
    <n v="47"/>
    <n v="33.6"/>
    <n v="67.2"/>
    <n v="69.216000000000008"/>
    <n v="30.783999999999992"/>
    <n v="0"/>
    <x v="22"/>
    <x v="0"/>
    <e v="#REF!"/>
    <e v="#REF!"/>
    <s v=""/>
    <n v="0.30783999999999989"/>
  </r>
  <r>
    <x v="5"/>
    <x v="157"/>
    <x v="0"/>
    <x v="1"/>
    <m/>
    <m/>
    <s v="TAPE_PE, PICUS Polythelene Tape (White)X 4&quot;"/>
    <s v="IM-000247"/>
    <n v="1"/>
    <n v="125"/>
    <m/>
    <n v="125"/>
    <x v="0"/>
    <n v="147"/>
    <n v="75"/>
    <n v="75"/>
    <n v="77.25"/>
    <n v="47.75"/>
    <n v="0"/>
    <x v="29"/>
    <x v="0"/>
    <e v="#REF!"/>
    <e v="#REF!"/>
    <s v=""/>
    <n v="0.38200000000000001"/>
  </r>
  <r>
    <x v="5"/>
    <x v="157"/>
    <x v="0"/>
    <x v="1"/>
    <m/>
    <m/>
    <s v="ROYAL CORD, POWERFLEX 4-CORE, #16 1.2 MM, METER"/>
    <s v="GE-000485"/>
    <n v="3"/>
    <n v="125"/>
    <m/>
    <n v="375"/>
    <x v="0"/>
    <n v="90"/>
    <n v="72"/>
    <n v="216"/>
    <n v="226.8"/>
    <n v="148.19999999999999"/>
    <n v="0"/>
    <x v="48"/>
    <x v="1"/>
    <e v="#REF!"/>
    <e v="#REF!"/>
    <s v=""/>
    <n v="0.3952"/>
  </r>
  <r>
    <x v="5"/>
    <x v="157"/>
    <x v="0"/>
    <x v="48"/>
    <m/>
    <m/>
    <s v="AUXFAN_MOTOR, TOYOTA VIOS 14 8030"/>
    <s v="CA-000093"/>
    <n v="1"/>
    <n v="1900"/>
    <m/>
    <n v="1900"/>
    <x v="0"/>
    <n v="2022"/>
    <n v="1100"/>
    <n v="1100"/>
    <n v="1155"/>
    <n v="745"/>
    <n v="0"/>
    <x v="14"/>
    <x v="2"/>
    <e v="#REF!"/>
    <e v="#REF!"/>
    <s v=""/>
    <n v="0.39210526315789473"/>
  </r>
  <r>
    <x v="5"/>
    <x v="157"/>
    <x v="0"/>
    <x v="72"/>
    <m/>
    <m/>
    <s v="AUXFAN_MOTOR, HYUNDAI EON"/>
    <s v="CA-000027"/>
    <n v="1"/>
    <n v="1750"/>
    <m/>
    <n v="1750"/>
    <x v="0"/>
    <n v="2114"/>
    <n v="1150"/>
    <n v="1150"/>
    <n v="1207.5"/>
    <n v="542.5"/>
    <n v="0"/>
    <x v="14"/>
    <x v="2"/>
    <e v="#REF!"/>
    <e v="#REF!"/>
    <s v=""/>
    <n v="0.31"/>
  </r>
  <r>
    <x v="5"/>
    <x v="157"/>
    <x v="0"/>
    <x v="11"/>
    <m/>
    <m/>
    <s v="BLOWER_MOTOR, TOYOTA VIOS ROBIN"/>
    <s v="CA-000231"/>
    <n v="1"/>
    <n v="2000"/>
    <m/>
    <n v="2000"/>
    <x v="0"/>
    <n v="2205"/>
    <n v="1200"/>
    <n v="1200"/>
    <n v="1260"/>
    <n v="740"/>
    <n v="0"/>
    <x v="15"/>
    <x v="2"/>
    <e v="#REF!"/>
    <e v="#REF!"/>
    <s v=""/>
    <n v="0.37"/>
  </r>
  <r>
    <x v="5"/>
    <x v="157"/>
    <x v="0"/>
    <x v="11"/>
    <m/>
    <m/>
    <s v="REFRIGERANT, ENTALPIA EUROPE R134A 13.6   5/19/26 NBO"/>
    <s v=""/>
    <n v="1"/>
    <n v="8700"/>
    <m/>
    <n v="8700"/>
    <x v="0"/>
    <n v="0"/>
    <n v="0"/>
    <n v="0"/>
    <n v="0"/>
    <n v="8700"/>
    <n v="0"/>
    <x v="13"/>
    <x v="3"/>
    <e v="#REF!"/>
    <e v="#REF!"/>
    <s v=""/>
    <n v="1"/>
  </r>
  <r>
    <x v="5"/>
    <x v="157"/>
    <x v="0"/>
    <x v="23"/>
    <m/>
    <m/>
    <s v="EVAPORATOR, HYUNDAI EON"/>
    <s v="CA-000485"/>
    <n v="1"/>
    <n v="2100"/>
    <m/>
    <n v="2100"/>
    <x v="0"/>
    <n v="2573"/>
    <n v="1400"/>
    <n v="1400"/>
    <n v="1470"/>
    <n v="630"/>
    <n v="0"/>
    <x v="10"/>
    <x v="2"/>
    <e v="#REF!"/>
    <e v="#REF!"/>
    <s v=""/>
    <n v="0.3"/>
  </r>
  <r>
    <x v="5"/>
    <x v="157"/>
    <x v="0"/>
    <x v="36"/>
    <m/>
    <m/>
    <s v="TEMPERATURE_RESISTANCE, HYUNDAI ACCENT 97143"/>
    <s v="CA-001825"/>
    <n v="2"/>
    <n v="700"/>
    <m/>
    <n v="1400"/>
    <x v="0"/>
    <n v="699"/>
    <n v="350"/>
    <n v="700"/>
    <n v="735"/>
    <n v="665"/>
    <n v="0"/>
    <x v="32"/>
    <x v="2"/>
    <e v="#REF!"/>
    <e v="#REF!"/>
    <s v=""/>
    <n v="0.47499999999999998"/>
  </r>
  <r>
    <x v="5"/>
    <x v="157"/>
    <x v="0"/>
    <x v="139"/>
    <m/>
    <m/>
    <s v="COPPER_TUBE_SOFTDRAWN, HAILIANG 0.028 X 3/8 x 15 mtr 06/02/26"/>
    <s v="IM-000327"/>
    <n v="0.4"/>
    <n v="3500"/>
    <m/>
    <n v="1400"/>
    <x v="0"/>
    <n v="4774"/>
    <n v="2648"/>
    <n v="1059.2"/>
    <n v="1090.9760000000001"/>
    <n v="309.02399999999989"/>
    <n v="0"/>
    <x v="0"/>
    <x v="0"/>
    <e v="#REF!"/>
    <e v="#REF!"/>
    <s v=""/>
    <n v="0.2207314285714285"/>
  </r>
  <r>
    <x v="5"/>
    <x v="158"/>
    <x v="0"/>
    <x v="11"/>
    <m/>
    <m/>
    <s v="EXP. VALVE LT, POKKA 9A55 HONDA NEW"/>
    <s v="CA-000636"/>
    <n v="1"/>
    <n v="550"/>
    <m/>
    <n v="550"/>
    <x v="0"/>
    <n v="497"/>
    <n v="270"/>
    <n v="270"/>
    <n v="283.5"/>
    <n v="266.5"/>
    <n v="0"/>
    <x v="23"/>
    <x v="2"/>
    <e v="#REF!"/>
    <e v="#REF!"/>
    <s v=""/>
    <n v="0.48454545454545456"/>
  </r>
  <r>
    <x v="5"/>
    <x v="158"/>
    <x v="0"/>
    <x v="11"/>
    <m/>
    <m/>
    <s v="SILICA_GEL, STAL SHORT"/>
    <s v="CA-001638"/>
    <n v="1"/>
    <n v="200"/>
    <m/>
    <n v="200"/>
    <x v="0"/>
    <n v="44"/>
    <n v="22"/>
    <n v="22"/>
    <n v="23.1"/>
    <n v="176.9"/>
    <n v="0"/>
    <x v="37"/>
    <x v="2"/>
    <e v="#REF!"/>
    <e v="#REF!"/>
    <s v=""/>
    <n v="0.88450000000000006"/>
  </r>
  <r>
    <x v="5"/>
    <x v="158"/>
    <x v="0"/>
    <x v="61"/>
    <m/>
    <m/>
    <s v="SILICA_GEL, STAL LONG"/>
    <s v="CA-001637"/>
    <n v="2"/>
    <n v="200"/>
    <m/>
    <n v="400"/>
    <x v="0"/>
    <n v="50"/>
    <n v="25"/>
    <n v="50"/>
    <n v="52.5"/>
    <n v="347.5"/>
    <n v="0"/>
    <x v="37"/>
    <x v="2"/>
    <e v="#REF!"/>
    <e v="#REF!"/>
    <s v=""/>
    <n v="0.86875000000000002"/>
  </r>
  <r>
    <x v="5"/>
    <x v="158"/>
    <x v="0"/>
    <x v="61"/>
    <m/>
    <m/>
    <s v="EXP. VALVE LT, POKKA 9A128 VIOS '14"/>
    <s v="CA-000628"/>
    <n v="1"/>
    <n v="550"/>
    <m/>
    <n v="550"/>
    <x v="0"/>
    <n v="497"/>
    <n v="270"/>
    <n v="270"/>
    <n v="283.5"/>
    <n v="266.5"/>
    <n v="0"/>
    <x v="23"/>
    <x v="2"/>
    <e v="#REF!"/>
    <e v="#REF!"/>
    <s v=""/>
    <n v="0.48454545454545456"/>
  </r>
  <r>
    <x v="5"/>
    <x v="158"/>
    <x v="0"/>
    <x v="1"/>
    <m/>
    <m/>
    <s v="THERMOSTAT, NEK CAR"/>
    <s v="CA-001647"/>
    <n v="1"/>
    <n v="250"/>
    <m/>
    <n v="250"/>
    <x v="0"/>
    <n v="180"/>
    <n v="90"/>
    <n v="90"/>
    <n v="94.5"/>
    <n v="155.5"/>
    <n v="0"/>
    <x v="31"/>
    <x v="2"/>
    <e v="#REF!"/>
    <e v="#REF!"/>
    <s v=""/>
    <n v="0.622"/>
  </r>
  <r>
    <x v="5"/>
    <x v="158"/>
    <x v="0"/>
    <x v="23"/>
    <m/>
    <m/>
    <s v="AUXFAN_MOTOR, MITSUBISHI MIRAGE 4 PIN 7030"/>
    <s v="CA-000054"/>
    <n v="1"/>
    <n v="1800"/>
    <m/>
    <n v="1800"/>
    <x v="0"/>
    <n v="2114"/>
    <n v="1150"/>
    <n v="1150"/>
    <n v="1207.5"/>
    <n v="592.5"/>
    <n v="0"/>
    <x v="14"/>
    <x v="2"/>
    <e v="#REF!"/>
    <e v="#REF!"/>
    <s v=""/>
    <n v="0.32916666666666666"/>
  </r>
  <r>
    <x v="5"/>
    <x v="158"/>
    <x v="0"/>
    <x v="23"/>
    <m/>
    <m/>
    <s v="FITTINGS, STRAIGHT FLARE TYPE 1/2"/>
    <s v="CA-000671"/>
    <n v="30"/>
    <n v="40"/>
    <m/>
    <n v="1200"/>
    <x v="0"/>
    <n v="30"/>
    <n v="16"/>
    <n v="480"/>
    <n v="504"/>
    <n v="696"/>
    <n v="0"/>
    <x v="33"/>
    <x v="2"/>
    <e v="#REF!"/>
    <e v="#REF!"/>
    <s v=""/>
    <n v="0.57999999999999996"/>
  </r>
  <r>
    <x v="5"/>
    <x v="158"/>
    <x v="0"/>
    <x v="23"/>
    <m/>
    <m/>
    <s v="FERULLE,  1/2&quot;"/>
    <s v="CA-000644"/>
    <n v="30"/>
    <n v="15"/>
    <m/>
    <n v="450"/>
    <x v="0"/>
    <n v="13"/>
    <n v="7"/>
    <n v="210"/>
    <n v="220.5"/>
    <n v="229.5"/>
    <n v="0"/>
    <x v="42"/>
    <x v="2"/>
    <e v="#REF!"/>
    <e v="#REF!"/>
    <s v=""/>
    <n v="0.51"/>
  </r>
  <r>
    <x v="5"/>
    <x v="158"/>
    <x v="0"/>
    <x v="23"/>
    <m/>
    <m/>
    <s v="HOSE, COOLMATE 1/2 DISCHARGE PER FT"/>
    <s v="GE-000179"/>
    <n v="10"/>
    <n v="90"/>
    <m/>
    <n v="900"/>
    <x v="0"/>
    <n v="80"/>
    <n v="43"/>
    <n v="430"/>
    <n v="451.5"/>
    <n v="448.5"/>
    <n v="0"/>
    <x v="19"/>
    <x v="1"/>
    <e v="#REF!"/>
    <e v="#REF!"/>
    <s v=""/>
    <n v="0.49833333333333335"/>
  </r>
  <r>
    <x v="5"/>
    <x v="158"/>
    <x v="0"/>
    <x v="23"/>
    <m/>
    <m/>
    <s v="EVAPORATOR, TOYOTA INNOVA NEW (R) JBE-0125ZX (STAL)"/>
    <s v="CA-001632"/>
    <n v="1"/>
    <n v="1900"/>
    <m/>
    <n v="1900"/>
    <x v="0"/>
    <n v="1379"/>
    <n v="750"/>
    <n v="750"/>
    <n v="787.5"/>
    <n v="1112.5"/>
    <n v="0"/>
    <x v="10"/>
    <x v="2"/>
    <e v="#REF!"/>
    <e v="#REF!"/>
    <s v=""/>
    <n v="0.58552631578947367"/>
  </r>
  <r>
    <x v="5"/>
    <x v="158"/>
    <x v="0"/>
    <x v="140"/>
    <m/>
    <m/>
    <s v="ACCESS_VALVE, OMNI WELDED TYPE "/>
    <s v="GE-000253"/>
    <n v="1"/>
    <n v="50"/>
    <m/>
    <n v="50"/>
    <x v="0"/>
    <n v="47"/>
    <n v="21"/>
    <n v="21"/>
    <n v="22.05"/>
    <n v="27.95"/>
    <n v="0"/>
    <x v="67"/>
    <x v="1"/>
    <e v="#REF!"/>
    <e v="#REF!"/>
    <s v=""/>
    <n v="0.55899999999999994"/>
  </r>
  <r>
    <x v="5"/>
    <x v="158"/>
    <x v="2"/>
    <x v="22"/>
    <m/>
    <m/>
    <s v="AUXFAN_MOTOR, MITSUBISHI MONTERO (ORIG) SILVER"/>
    <s v="CA-000055"/>
    <n v="1"/>
    <n v="1400"/>
    <m/>
    <n v="1400"/>
    <x v="0"/>
    <n v="1838"/>
    <n v="1000"/>
    <n v="1000"/>
    <n v="1050"/>
    <n v="350"/>
    <n v="105"/>
    <x v="14"/>
    <x v="2"/>
    <e v="#REF!"/>
    <e v="#REF!"/>
    <s v=""/>
    <n v="0.25"/>
  </r>
  <r>
    <x v="5"/>
    <x v="158"/>
    <x v="0"/>
    <x v="139"/>
    <m/>
    <m/>
    <s v="COPPER_TUBE_SOFTDRAWN, HAILIANG 0.028 X 5/8 x 15 mtr 04/25/26"/>
    <s v=""/>
    <n v="0.4"/>
    <n v="5500"/>
    <m/>
    <n v="2200"/>
    <x v="0"/>
    <n v="0"/>
    <n v="0"/>
    <n v="0"/>
    <n v="0"/>
    <n v="2200"/>
    <n v="0"/>
    <x v="13"/>
    <x v="3"/>
    <e v="#REF!"/>
    <e v="#REF!"/>
    <s v=""/>
    <n v="1"/>
  </r>
  <r>
    <x v="5"/>
    <x v="158"/>
    <x v="0"/>
    <x v="59"/>
    <m/>
    <n v="140"/>
    <s v="TAPE_PE, WINFLEX Polythelene Tape (BLUE)X 4&quot;"/>
    <s v="IM-000325"/>
    <n v="15"/>
    <n v="140"/>
    <m/>
    <n v="2100"/>
    <x v="0"/>
    <n v="147"/>
    <n v="75"/>
    <n v="1125"/>
    <n v="1158.75"/>
    <n v="941.25"/>
    <n v="0"/>
    <x v="29"/>
    <x v="0"/>
    <e v="#REF!"/>
    <e v="#REF!"/>
    <n v="156.80000000000001"/>
    <n v="0.44821428571428573"/>
  </r>
  <r>
    <x v="5"/>
    <x v="158"/>
    <x v="0"/>
    <x v="141"/>
    <m/>
    <m/>
    <s v="ROYAL CORD, POWERFLEX 4-CORE, #14 2.0 MM, METER"/>
    <s v="GE-000487"/>
    <n v="1"/>
    <n v="160"/>
    <m/>
    <n v="160"/>
    <x v="0"/>
    <n v="131"/>
    <n v="105"/>
    <n v="105"/>
    <n v="110.25"/>
    <n v="49.75"/>
    <n v="0"/>
    <x v="48"/>
    <x v="1"/>
    <e v="#REF!"/>
    <e v="#REF!"/>
    <s v=""/>
    <n v="0.31093749999999998"/>
  </r>
  <r>
    <x v="5"/>
    <x v="158"/>
    <x v="0"/>
    <x v="141"/>
    <m/>
    <m/>
    <s v="ELECTRICAL WIRE_STRANDED, POWERFLEX THNN STRANDED   #12, MTR"/>
    <s v="GE-000120"/>
    <n v="6"/>
    <n v="45"/>
    <m/>
    <n v="270"/>
    <x v="0"/>
    <n v="50"/>
    <n v="27"/>
    <n v="162"/>
    <n v="170.1"/>
    <n v="99.9"/>
    <n v="0"/>
    <x v="2"/>
    <x v="1"/>
    <e v="#REF!"/>
    <e v="#REF!"/>
    <s v=""/>
    <n v="0.37"/>
  </r>
  <r>
    <x v="5"/>
    <x v="158"/>
    <x v="0"/>
    <x v="141"/>
    <m/>
    <m/>
    <s v="RUBBER_INSULATION, M-FLEX 1/2&quot; 1/4"/>
    <s v="IM-000229"/>
    <n v="2"/>
    <n v="50"/>
    <m/>
    <n v="100"/>
    <x v="0"/>
    <n v="47"/>
    <n v="33.6"/>
    <n v="67.2"/>
    <n v="69.216000000000008"/>
    <n v="30.783999999999992"/>
    <n v="0"/>
    <x v="22"/>
    <x v="0"/>
    <e v="#REF!"/>
    <e v="#REF!"/>
    <s v=""/>
    <n v="0.30783999999999989"/>
  </r>
  <r>
    <x v="5"/>
    <x v="158"/>
    <x v="0"/>
    <x v="141"/>
    <m/>
    <m/>
    <s v="RUBBER_INSULATION, M-FLEX 1/2&quot; 1/2"/>
    <s v="IM-000227"/>
    <n v="2"/>
    <n v="70"/>
    <m/>
    <n v="140"/>
    <x v="0"/>
    <n v="65"/>
    <n v="46.4"/>
    <n v="92.8"/>
    <n v="95.584000000000003"/>
    <n v="44.415999999999997"/>
    <n v="0"/>
    <x v="22"/>
    <x v="0"/>
    <e v="#REF!"/>
    <e v="#REF!"/>
    <s v=""/>
    <n v="0.31725714285714285"/>
  </r>
  <r>
    <x v="5"/>
    <x v="158"/>
    <x v="0"/>
    <x v="27"/>
    <m/>
    <m/>
    <s v="COPPER_TUBE_SOFTDRAWN, HAILIANG 0.028 X 5/8 x 15 mtr 04/25/26"/>
    <s v=""/>
    <n v="1"/>
    <n v="5000"/>
    <m/>
    <n v="5000"/>
    <x v="0"/>
    <n v="0"/>
    <n v="0"/>
    <n v="0"/>
    <n v="0"/>
    <n v="5000"/>
    <n v="0"/>
    <x v="13"/>
    <x v="3"/>
    <e v="#REF!"/>
    <e v="#REF!"/>
    <s v=""/>
    <n v="1"/>
  </r>
  <r>
    <x v="5"/>
    <x v="158"/>
    <x v="0"/>
    <x v="27"/>
    <m/>
    <m/>
    <s v="COPPER_TUBE_SOFTDRAWN, HAILIANG 0.028 X 3/8 x 15 mtr 06/02/26"/>
    <s v="IM-000327"/>
    <n v="1"/>
    <n v="2950"/>
    <m/>
    <n v="2950"/>
    <x v="0"/>
    <n v="4774"/>
    <n v="2648"/>
    <n v="2648"/>
    <n v="2727.44"/>
    <n v="222.55999999999995"/>
    <n v="0"/>
    <x v="0"/>
    <x v="0"/>
    <e v="#REF!"/>
    <e v="#REF!"/>
    <s v=""/>
    <n v="7.5444067796610156E-2"/>
  </r>
  <r>
    <x v="5"/>
    <x v="158"/>
    <x v="0"/>
    <x v="27"/>
    <m/>
    <m/>
    <s v="RUBBER_INSULATION, M-FLEX 1/2&quot; 5/8"/>
    <s v="IM-000232"/>
    <n v="4"/>
    <n v="60"/>
    <m/>
    <n v="240"/>
    <x v="0"/>
    <n v="77"/>
    <n v="55.2"/>
    <n v="220.8"/>
    <n v="227.42400000000001"/>
    <n v="12.575999999999993"/>
    <n v="0"/>
    <x v="22"/>
    <x v="0"/>
    <e v="#REF!"/>
    <e v="#REF!"/>
    <s v=""/>
    <n v="5.2399999999999974E-2"/>
  </r>
  <r>
    <x v="5"/>
    <x v="158"/>
    <x v="0"/>
    <x v="27"/>
    <m/>
    <m/>
    <s v="RUBBER_INSULATION, M-FLEX 1/2&quot; 3/8"/>
    <s v="IM-000231"/>
    <n v="4"/>
    <n v="80"/>
    <m/>
    <n v="320"/>
    <x v="0"/>
    <n v="53"/>
    <n v="37.6"/>
    <n v="150.4"/>
    <n v="154.91200000000001"/>
    <n v="165.08799999999999"/>
    <n v="0"/>
    <x v="22"/>
    <x v="0"/>
    <e v="#REF!"/>
    <e v="#REF!"/>
    <s v=""/>
    <n v="0.51590000000000003"/>
  </r>
  <r>
    <x v="5"/>
    <x v="158"/>
    <x v="0"/>
    <x v="27"/>
    <m/>
    <m/>
    <s v="BOLT &amp; NUT, TOX WITH METAL SCREW #8"/>
    <s v="GE-000404"/>
    <n v="10"/>
    <n v="6"/>
    <m/>
    <n v="60"/>
    <x v="0"/>
    <n v="3"/>
    <n v="1.25"/>
    <n v="12.5"/>
    <n v="13.125"/>
    <n v="46.875"/>
    <n v="0"/>
    <x v="57"/>
    <x v="1"/>
    <e v="#REF!"/>
    <e v="#REF!"/>
    <s v=""/>
    <n v="0.78125"/>
  </r>
  <r>
    <x v="5"/>
    <x v="158"/>
    <x v="0"/>
    <x v="27"/>
    <m/>
    <m/>
    <s v="BOLT &amp; NUT, TOX WITH METAL SCREW #6"/>
    <s v="GE-000403"/>
    <n v="10"/>
    <n v="5"/>
    <m/>
    <n v="50"/>
    <x v="0"/>
    <n v="3"/>
    <n v="1.1000000000000001"/>
    <n v="11"/>
    <n v="11.55"/>
    <n v="38.450000000000003"/>
    <n v="0"/>
    <x v="57"/>
    <x v="1"/>
    <e v="#REF!"/>
    <e v="#REF!"/>
    <s v=""/>
    <n v="0.76900000000000002"/>
  </r>
  <r>
    <x v="5"/>
    <x v="158"/>
    <x v="0"/>
    <x v="48"/>
    <m/>
    <m/>
    <s v="RECEIVER_DRIER_ALUMINUM, YK 2020-1  (ECO SPORT)"/>
    <s v="CA-001080"/>
    <n v="1"/>
    <n v="550"/>
    <m/>
    <n v="550"/>
    <x v="0"/>
    <n v="662"/>
    <n v="280"/>
    <n v="280"/>
    <n v="294"/>
    <n v="256"/>
    <n v="0"/>
    <x v="27"/>
    <x v="2"/>
    <e v="#REF!"/>
    <e v="#REF!"/>
    <s v=""/>
    <n v="0.46545454545454545"/>
  </r>
  <r>
    <x v="5"/>
    <x v="158"/>
    <x v="0"/>
    <x v="36"/>
    <m/>
    <n v="2200"/>
    <s v="EVAPORATOR, SUZUKI SPRESSO JY4594"/>
    <s v="CA-001820"/>
    <n v="1"/>
    <n v="1964"/>
    <m/>
    <n v="1964"/>
    <x v="0"/>
    <n v="3032"/>
    <n v="1650"/>
    <n v="1650"/>
    <n v="1732.5"/>
    <n v="231.5"/>
    <n v="0"/>
    <x v="10"/>
    <x v="2"/>
    <e v="#REF!"/>
    <e v="#REF!"/>
    <n v="2199.6800000000003"/>
    <n v="0.11787169042769857"/>
  </r>
  <r>
    <x v="5"/>
    <x v="158"/>
    <x v="0"/>
    <x v="17"/>
    <m/>
    <n v="250"/>
    <s v="THERMOSTAT, NEK CAR"/>
    <s v="CA-001647"/>
    <n v="1"/>
    <n v="223"/>
    <m/>
    <n v="223"/>
    <x v="0"/>
    <n v="180"/>
    <n v="90"/>
    <n v="90"/>
    <n v="94.5"/>
    <n v="128.5"/>
    <n v="0"/>
    <x v="31"/>
    <x v="2"/>
    <e v="#REF!"/>
    <e v="#REF!"/>
    <n v="249.76000000000002"/>
    <n v="0.57623318385650224"/>
  </r>
  <r>
    <x v="5"/>
    <x v="158"/>
    <x v="0"/>
    <x v="17"/>
    <m/>
    <n v="300"/>
    <s v="CABIN_FILTER, HONDA MEDIUM"/>
    <s v="CA-001679"/>
    <n v="1"/>
    <n v="268"/>
    <m/>
    <n v="268"/>
    <x v="0"/>
    <n v="315"/>
    <n v="100"/>
    <n v="100"/>
    <n v="105"/>
    <n v="163"/>
    <n v="0"/>
    <x v="12"/>
    <x v="2"/>
    <e v="#REF!"/>
    <e v="#REF!"/>
    <n v="300.16000000000003"/>
    <n v="0.60820895522388063"/>
  </r>
  <r>
    <x v="5"/>
    <x v="158"/>
    <x v="0"/>
    <x v="1"/>
    <m/>
    <m/>
    <s v="CAPACITOR_DOUBLE, PS CBB65 15 + 4 UF"/>
    <s v="GE-000376"/>
    <n v="1"/>
    <n v="340"/>
    <m/>
    <n v="340"/>
    <x v="0"/>
    <n v="276"/>
    <n v="150"/>
    <n v="150"/>
    <n v="157.5"/>
    <n v="182.5"/>
    <n v="0"/>
    <x v="65"/>
    <x v="1"/>
    <e v="#REF!"/>
    <e v="#REF!"/>
    <s v=""/>
    <n v="0.53676470588235292"/>
  </r>
  <r>
    <x v="5"/>
    <x v="158"/>
    <x v="0"/>
    <x v="79"/>
    <m/>
    <m/>
    <s v="ECV, FORD ECOSPORT 10A25"/>
    <s v="CA-001624"/>
    <n v="1"/>
    <n v="1500"/>
    <m/>
    <n v="1500"/>
    <x v="0"/>
    <n v="1103"/>
    <n v="600"/>
    <n v="600"/>
    <n v="630"/>
    <n v="870"/>
    <n v="0"/>
    <x v="26"/>
    <x v="2"/>
    <e v="#REF!"/>
    <e v="#REF!"/>
    <s v=""/>
    <n v="0.57999999999999996"/>
  </r>
  <r>
    <x v="5"/>
    <x v="159"/>
    <x v="0"/>
    <x v="141"/>
    <m/>
    <m/>
    <s v="MAPP_GAS, COOLIB (ISHABELLA) TORCH GAS"/>
    <s v="IM-000317"/>
    <n v="1"/>
    <n v="380"/>
    <m/>
    <n v="380"/>
    <x v="0"/>
    <n v="451"/>
    <n v="250"/>
    <n v="250"/>
    <n v="257.5"/>
    <n v="122.5"/>
    <n v="0"/>
    <x v="45"/>
    <x v="0"/>
    <e v="#REF!"/>
    <e v="#REF!"/>
    <s v=""/>
    <n v="0.32236842105263158"/>
  </r>
  <r>
    <x v="5"/>
    <x v="159"/>
    <x v="0"/>
    <x v="141"/>
    <m/>
    <m/>
    <s v="ROD, HARRIS SILVER "/>
    <s v="IM-000098"/>
    <n v="1"/>
    <n v="28"/>
    <m/>
    <n v="28"/>
    <x v="0"/>
    <n v="30"/>
    <n v="19"/>
    <n v="19"/>
    <n v="19.57"/>
    <n v="8.43"/>
    <n v="0"/>
    <x v="56"/>
    <x v="0"/>
    <e v="#REF!"/>
    <e v="#REF!"/>
    <s v=""/>
    <n v="0.30107142857142855"/>
  </r>
  <r>
    <x v="5"/>
    <x v="159"/>
    <x v="0"/>
    <x v="141"/>
    <m/>
    <m/>
    <s v="RUBBER_INSULATION, M-FLEX 1/2&quot; 1/4"/>
    <s v="IM-000229"/>
    <n v="1"/>
    <n v="50"/>
    <m/>
    <n v="50"/>
    <x v="0"/>
    <n v="47"/>
    <n v="33.6"/>
    <n v="33.6"/>
    <n v="34.608000000000004"/>
    <n v="15.391999999999996"/>
    <n v="0"/>
    <x v="22"/>
    <x v="0"/>
    <e v="#REF!"/>
    <e v="#REF!"/>
    <s v=""/>
    <n v="0.30783999999999989"/>
  </r>
  <r>
    <x v="5"/>
    <x v="159"/>
    <x v="0"/>
    <x v="141"/>
    <m/>
    <m/>
    <s v="RUBBER_INSULATION, M-FLEX 1/2&quot; 1/2"/>
    <s v="IM-000227"/>
    <n v="1"/>
    <n v="70"/>
    <m/>
    <n v="70"/>
    <x v="0"/>
    <n v="65"/>
    <n v="46.4"/>
    <n v="46.4"/>
    <n v="47.792000000000002"/>
    <n v="22.207999999999998"/>
    <n v="0"/>
    <x v="22"/>
    <x v="0"/>
    <e v="#REF!"/>
    <e v="#REF!"/>
    <s v=""/>
    <n v="0.31725714285714285"/>
  </r>
  <r>
    <x v="5"/>
    <x v="159"/>
    <x v="0"/>
    <x v="11"/>
    <m/>
    <m/>
    <s v="EXP. VALVE SC, HONDA OVERSIZE / FX R134A"/>
    <s v="CA-000569"/>
    <n v="1"/>
    <n v="500"/>
    <m/>
    <n v="500"/>
    <x v="0"/>
    <n v="478"/>
    <n v="260"/>
    <n v="260"/>
    <n v="273"/>
    <n v="227"/>
    <n v="0"/>
    <x v="34"/>
    <x v="2"/>
    <e v="#REF!"/>
    <e v="#REF!"/>
    <s v=""/>
    <n v="0.45400000000000001"/>
  </r>
  <r>
    <x v="5"/>
    <x v="159"/>
    <x v="0"/>
    <x v="11"/>
    <m/>
    <m/>
    <s v="SYSTEM_CLEANER, Cleanse GREEN 141B 500 ML"/>
    <s v="GE-000369"/>
    <n v="2"/>
    <n v="120"/>
    <m/>
    <n v="240"/>
    <x v="0"/>
    <n v="113"/>
    <n v="65"/>
    <n v="130"/>
    <n v="136.5"/>
    <n v="103.5"/>
    <n v="0"/>
    <x v="28"/>
    <x v="1"/>
    <e v="#REF!"/>
    <e v="#REF!"/>
    <s v=""/>
    <n v="0.43125000000000002"/>
  </r>
  <r>
    <x v="5"/>
    <x v="159"/>
    <x v="0"/>
    <x v="8"/>
    <m/>
    <m/>
    <s v="BLOWER_MOTOR, HONDA CITY 2009"/>
    <s v="CA-000140"/>
    <n v="1"/>
    <n v="2100"/>
    <m/>
    <n v="2100"/>
    <x v="0"/>
    <n v="2481"/>
    <n v="1350"/>
    <n v="1350"/>
    <n v="1417.5"/>
    <n v="682.5"/>
    <n v="0"/>
    <x v="15"/>
    <x v="2"/>
    <e v="#REF!"/>
    <e v="#REF!"/>
    <s v=""/>
    <n v="0.32500000000000001"/>
  </r>
  <r>
    <x v="5"/>
    <x v="159"/>
    <x v="0"/>
    <x v="49"/>
    <m/>
    <m/>
    <s v="EVAPORATOR, HONDA CIVIC 2017 (STAL)"/>
    <s v="CA-001718"/>
    <n v="1"/>
    <n v="2100"/>
    <m/>
    <n v="2100"/>
    <x v="0"/>
    <n v="2114"/>
    <n v="1150"/>
    <n v="1150"/>
    <n v="1207.5"/>
    <n v="892.5"/>
    <n v="0"/>
    <x v="10"/>
    <x v="2"/>
    <e v="#REF!"/>
    <e v="#REF!"/>
    <s v=""/>
    <n v="0.42499999999999999"/>
  </r>
  <r>
    <x v="5"/>
    <x v="159"/>
    <x v="0"/>
    <x v="142"/>
    <m/>
    <m/>
    <s v="COPPER_TUBE_SOFTDRAWN, HAILIANG 0.028 X 3/8 x 15 mtr 06/02/26"/>
    <s v="IM-000327"/>
    <n v="0.2"/>
    <n v="3500"/>
    <m/>
    <n v="700"/>
    <x v="0"/>
    <n v="4774"/>
    <n v="2648"/>
    <n v="529.6"/>
    <n v="545.48800000000006"/>
    <n v="154.51199999999994"/>
    <n v="0"/>
    <x v="0"/>
    <x v="0"/>
    <e v="#REF!"/>
    <e v="#REF!"/>
    <s v=""/>
    <n v="0.2207314285714285"/>
  </r>
  <r>
    <x v="5"/>
    <x v="159"/>
    <x v="0"/>
    <x v="142"/>
    <m/>
    <m/>
    <s v="COPPER_TUBE_SOFTDRAWN, HAILIANG 0.028 X 1/2 x 15 mtr 06/02/26"/>
    <s v="IM-000328"/>
    <n v="0.4"/>
    <n v="4500"/>
    <m/>
    <n v="1800"/>
    <x v="0"/>
    <n v="6554"/>
    <n v="3636"/>
    <n v="1454.4"/>
    <n v="1498.0320000000002"/>
    <n v="301.96799999999985"/>
    <n v="0"/>
    <x v="0"/>
    <x v="0"/>
    <e v="#REF!"/>
    <e v="#REF!"/>
    <s v=""/>
    <n v="0.16775999999999991"/>
  </r>
  <r>
    <x v="5"/>
    <x v="159"/>
    <x v="0"/>
    <x v="142"/>
    <m/>
    <m/>
    <s v="COPPER_TUBE_SOFTDRAWN, EXZEL 0.028 X 1/4 x 15 mtr  05/28/26"/>
    <s v="IM-000329"/>
    <n v="0.6"/>
    <n v="2500"/>
    <m/>
    <n v="1500"/>
    <x v="0"/>
    <n v="3063"/>
    <n v="1699"/>
    <n v="1019.4"/>
    <n v="1049.982"/>
    <n v="450.01800000000003"/>
    <n v="0"/>
    <x v="0"/>
    <x v="0"/>
    <e v="#REF!"/>
    <e v="#REF!"/>
    <s v=""/>
    <n v="0.300012"/>
  </r>
  <r>
    <x v="5"/>
    <x v="159"/>
    <x v="0"/>
    <x v="142"/>
    <m/>
    <m/>
    <s v="RUBBER_INSULATION, M-FLEX 1/2&quot; 3/8"/>
    <s v="IM-000231"/>
    <n v="2"/>
    <n v="60"/>
    <m/>
    <n v="120"/>
    <x v="0"/>
    <n v="53"/>
    <n v="37.6"/>
    <n v="75.2"/>
    <n v="77.456000000000003"/>
    <n v="42.543999999999997"/>
    <n v="0"/>
    <x v="22"/>
    <x v="0"/>
    <e v="#REF!"/>
    <e v="#REF!"/>
    <s v=""/>
    <n v="0.35453333333333331"/>
  </r>
  <r>
    <x v="5"/>
    <x v="159"/>
    <x v="0"/>
    <x v="142"/>
    <m/>
    <m/>
    <s v="RUBBER_INSULATION, M-FLEX 1/2&quot; 1/2"/>
    <s v="IM-000227"/>
    <n v="3"/>
    <n v="70"/>
    <m/>
    <n v="210"/>
    <x v="0"/>
    <n v="65"/>
    <n v="46.4"/>
    <n v="139.19999999999999"/>
    <n v="143.376"/>
    <n v="66.623999999999995"/>
    <n v="0"/>
    <x v="22"/>
    <x v="0"/>
    <e v="#REF!"/>
    <e v="#REF!"/>
    <s v=""/>
    <n v="0.31725714285714285"/>
  </r>
  <r>
    <x v="5"/>
    <x v="159"/>
    <x v="0"/>
    <x v="142"/>
    <m/>
    <m/>
    <s v="RUBBER_INSULATION, M-FLEX 1/2&quot; 1/4"/>
    <s v="IM-000229"/>
    <n v="5"/>
    <n v="50"/>
    <m/>
    <n v="250"/>
    <x v="0"/>
    <n v="47"/>
    <n v="33.6"/>
    <n v="168"/>
    <n v="173.04"/>
    <n v="76.960000000000008"/>
    <n v="0"/>
    <x v="22"/>
    <x v="0"/>
    <e v="#REF!"/>
    <e v="#REF!"/>
    <s v=""/>
    <n v="0.30784000000000006"/>
  </r>
  <r>
    <x v="5"/>
    <x v="159"/>
    <x v="0"/>
    <x v="142"/>
    <m/>
    <m/>
    <s v="MAPP_GAS, COOLIB (ISHABELLA) TORCH GAS"/>
    <s v="IM-000317"/>
    <n v="1"/>
    <n v="380"/>
    <m/>
    <n v="380"/>
    <x v="0"/>
    <n v="451"/>
    <n v="250"/>
    <n v="250"/>
    <n v="257.5"/>
    <n v="122.5"/>
    <n v="0"/>
    <x v="45"/>
    <x v="0"/>
    <e v="#REF!"/>
    <e v="#REF!"/>
    <s v=""/>
    <n v="0.32236842105263158"/>
  </r>
  <r>
    <x v="5"/>
    <x v="159"/>
    <x v="0"/>
    <x v="142"/>
    <m/>
    <m/>
    <s v="BRACKET , GB 1HP, COATED"/>
    <s v="IM-000008"/>
    <n v="1"/>
    <n v="360"/>
    <m/>
    <n v="360"/>
    <x v="0"/>
    <n v="334"/>
    <n v="185"/>
    <n v="185"/>
    <n v="190.55"/>
    <n v="169.45"/>
    <n v="0"/>
    <x v="1"/>
    <x v="0"/>
    <e v="#REF!"/>
    <e v="#REF!"/>
    <s v=""/>
    <n v="0.47069444444444442"/>
  </r>
  <r>
    <x v="5"/>
    <x v="159"/>
    <x v="0"/>
    <x v="142"/>
    <m/>
    <m/>
    <s v="BRACKET , GB 2HP, COATED"/>
    <s v="IM-000011"/>
    <n v="1"/>
    <n v="460"/>
    <m/>
    <n v="460"/>
    <x v="0"/>
    <n v="532"/>
    <n v="295"/>
    <n v="295"/>
    <n v="303.85000000000002"/>
    <n v="156.14999999999998"/>
    <n v="0"/>
    <x v="1"/>
    <x v="0"/>
    <e v="#REF!"/>
    <e v="#REF!"/>
    <s v=""/>
    <n v="0.33945652173913038"/>
  </r>
  <r>
    <x v="5"/>
    <x v="159"/>
    <x v="0"/>
    <x v="142"/>
    <m/>
    <m/>
    <s v="HOSE, ELECTRICAL FLEXIBLE ROLL PER METER"/>
    <s v="G-E000235"/>
    <n v="12"/>
    <n v="15"/>
    <m/>
    <n v="180"/>
    <x v="0"/>
    <n v="15"/>
    <n v="8"/>
    <n v="96"/>
    <n v="100.80000000000001"/>
    <n v="79.199999999999989"/>
    <n v="0"/>
    <x v="19"/>
    <x v="1"/>
    <e v="#REF!"/>
    <e v="#REF!"/>
    <s v=""/>
    <n v="0.43999999999999995"/>
  </r>
  <r>
    <x v="5"/>
    <x v="159"/>
    <x v="0"/>
    <x v="142"/>
    <m/>
    <m/>
    <s v="TAPE_PE, PICUS Polythelene Tape (White)X 4&quot;"/>
    <s v="IM-000247"/>
    <n v="2"/>
    <n v="125"/>
    <m/>
    <n v="250"/>
    <x v="0"/>
    <n v="147"/>
    <n v="75"/>
    <n v="150"/>
    <n v="154.5"/>
    <n v="95.5"/>
    <n v="0"/>
    <x v="29"/>
    <x v="0"/>
    <e v="#REF!"/>
    <e v="#REF!"/>
    <s v=""/>
    <n v="0.38200000000000001"/>
  </r>
  <r>
    <x v="5"/>
    <x v="159"/>
    <x v="0"/>
    <x v="142"/>
    <m/>
    <m/>
    <s v="ELECTRICAL_PANEL, AMERICA NEMA 3R, 2P"/>
    <s v="GE-000418"/>
    <n v="2"/>
    <n v="500"/>
    <m/>
    <n v="1000"/>
    <x v="0"/>
    <n v="478"/>
    <n v="260"/>
    <n v="520"/>
    <n v="546"/>
    <n v="454"/>
    <n v="0"/>
    <x v="39"/>
    <x v="1"/>
    <e v="#REF!"/>
    <e v="#REF!"/>
    <s v=""/>
    <n v="0.45400000000000001"/>
  </r>
  <r>
    <x v="5"/>
    <x v="159"/>
    <x v="0"/>
    <x v="142"/>
    <m/>
    <m/>
    <s v="ELECTRICAL CIRCUIT_BREAKER, AMERICA 20 AMP, 2P"/>
    <s v="GE-000469"/>
    <n v="1"/>
    <n v="450"/>
    <m/>
    <n v="450"/>
    <x v="0"/>
    <n v="380"/>
    <n v="190"/>
    <n v="190"/>
    <n v="199.5"/>
    <n v="250.5"/>
    <n v="0"/>
    <x v="59"/>
    <x v="1"/>
    <e v="#REF!"/>
    <e v="#REF!"/>
    <s v=""/>
    <n v="0.55666666666666664"/>
  </r>
  <r>
    <x v="5"/>
    <x v="159"/>
    <x v="0"/>
    <x v="142"/>
    <m/>
    <m/>
    <s v="ELECTRICAL CIRCUIT_BREAKER, AMERICA 30 AMP, 2P"/>
    <s v="GE-000470"/>
    <n v="1"/>
    <n v="450"/>
    <m/>
    <n v="450"/>
    <x v="0"/>
    <n v="380"/>
    <n v="190"/>
    <n v="190"/>
    <n v="199.5"/>
    <n v="250.5"/>
    <n v="0"/>
    <x v="59"/>
    <x v="1"/>
    <e v="#REF!"/>
    <e v="#REF!"/>
    <s v=""/>
    <n v="0.55666666666666664"/>
  </r>
  <r>
    <x v="5"/>
    <x v="159"/>
    <x v="0"/>
    <x v="142"/>
    <m/>
    <m/>
    <s v="PIPE CLAMP , DOUBLE HOLE 1/2"/>
    <s v="GE-000247"/>
    <n v="5"/>
    <n v="15"/>
    <m/>
    <n v="75"/>
    <x v="0"/>
    <n v="6"/>
    <n v="3.1"/>
    <n v="15.5"/>
    <n v="16.275000000000002"/>
    <n v="58.724999999999994"/>
    <n v="0"/>
    <x v="78"/>
    <x v="1"/>
    <e v="#REF!"/>
    <e v="#REF!"/>
    <s v=""/>
    <n v="0.78299999999999992"/>
  </r>
  <r>
    <x v="5"/>
    <x v="159"/>
    <x v="0"/>
    <x v="142"/>
    <m/>
    <m/>
    <s v="BOLT &amp; NUT, TOX WITH METAL SCREW #8"/>
    <s v="GE-000404"/>
    <n v="30"/>
    <n v="6"/>
    <m/>
    <n v="180"/>
    <x v="0"/>
    <n v="3"/>
    <n v="1.25"/>
    <n v="37.5"/>
    <n v="39.375"/>
    <n v="140.625"/>
    <n v="0"/>
    <x v="57"/>
    <x v="1"/>
    <e v="#REF!"/>
    <e v="#REF!"/>
    <s v=""/>
    <n v="0.78125"/>
  </r>
  <r>
    <x v="5"/>
    <x v="159"/>
    <x v="0"/>
    <x v="142"/>
    <m/>
    <m/>
    <s v="BOLT &amp; NUT, GI, SET 3/8"/>
    <s v="IM-000002"/>
    <n v="10"/>
    <n v="14"/>
    <m/>
    <n v="140"/>
    <x v="0"/>
    <n v="10"/>
    <n v="5.43"/>
    <n v="54.3"/>
    <n v="55.929000000000002"/>
    <n v="84.070999999999998"/>
    <n v="0"/>
    <x v="57"/>
    <x v="0"/>
    <e v="#REF!"/>
    <e v="#REF!"/>
    <s v=""/>
    <n v="0.60050714285714279"/>
  </r>
  <r>
    <x v="5"/>
    <x v="159"/>
    <x v="0"/>
    <x v="142"/>
    <m/>
    <m/>
    <s v="BOLT &amp; NUT, DYNABOLT 3/8&quot;"/>
    <s v="GE-000396"/>
    <n v="9"/>
    <n v="25"/>
    <m/>
    <n v="225"/>
    <x v="0"/>
    <n v="19"/>
    <n v="8.9"/>
    <n v="80.100000000000009"/>
    <n v="84.105000000000018"/>
    <n v="140.89499999999998"/>
    <n v="0"/>
    <x v="57"/>
    <x v="1"/>
    <e v="#REF!"/>
    <e v="#REF!"/>
    <s v=""/>
    <n v="0.62619999999999987"/>
  </r>
  <r>
    <x v="5"/>
    <x v="159"/>
    <x v="0"/>
    <x v="78"/>
    <m/>
    <m/>
    <s v="EXP. VALVE SC, HONDA OVERSIZE / FX R134A"/>
    <s v="CA-000569"/>
    <n v="1"/>
    <n v="500"/>
    <m/>
    <n v="500"/>
    <x v="0"/>
    <n v="478"/>
    <n v="260"/>
    <n v="260"/>
    <n v="273"/>
    <n v="227"/>
    <n v="0"/>
    <x v="34"/>
    <x v="2"/>
    <e v="#REF!"/>
    <e v="#REF!"/>
    <s v=""/>
    <n v="0.45400000000000001"/>
  </r>
  <r>
    <x v="5"/>
    <x v="159"/>
    <x v="0"/>
    <x v="21"/>
    <m/>
    <m/>
    <s v="REFRIGERANT, ENTALPIA EUROPE R134A 13.6   5/19/26 NBO"/>
    <s v=""/>
    <n v="1"/>
    <n v="8900"/>
    <m/>
    <n v="8900"/>
    <x v="0"/>
    <n v="0"/>
    <n v="0"/>
    <n v="0"/>
    <n v="0"/>
    <n v="8900"/>
    <n v="0"/>
    <x v="13"/>
    <x v="3"/>
    <e v="#REF!"/>
    <e v="#REF!"/>
    <s v=""/>
    <n v="1"/>
  </r>
  <r>
    <x v="5"/>
    <x v="159"/>
    <x v="0"/>
    <x v="1"/>
    <m/>
    <m/>
    <s v="REFRIGERANT, POKKA R32, 600 GRMS  05/09/26"/>
    <s v="GE-000509"/>
    <n v="1"/>
    <n v="680"/>
    <m/>
    <n v="680"/>
    <x v="0"/>
    <n v="756"/>
    <n v="480"/>
    <n v="480"/>
    <n v="504"/>
    <n v="176"/>
    <n v="0"/>
    <x v="5"/>
    <x v="1"/>
    <e v="#REF!"/>
    <e v="#REF!"/>
    <s v=""/>
    <n v="0.25882352941176473"/>
  </r>
  <r>
    <x v="5"/>
    <x v="160"/>
    <x v="0"/>
    <x v="125"/>
    <m/>
    <m/>
    <s v="CAPACITOR_DOUBLE, PS CBB65 15 + 3 UF"/>
    <s v="GE-000341"/>
    <n v="1"/>
    <n v="340"/>
    <m/>
    <n v="340"/>
    <x v="0"/>
    <n v="276"/>
    <n v="150"/>
    <n v="150"/>
    <n v="157.5"/>
    <n v="182.5"/>
    <n v="0"/>
    <x v="65"/>
    <x v="1"/>
    <e v="#REF!"/>
    <e v="#REF!"/>
    <s v=""/>
    <n v="0.53676470588235292"/>
  </r>
  <r>
    <x v="5"/>
    <x v="160"/>
    <x v="0"/>
    <x v="1"/>
    <m/>
    <m/>
    <s v="REFRIGERANT, FU RYDER R600A CAN, 220 GRAMS"/>
    <s v="GE-000032"/>
    <n v="1"/>
    <n v="180"/>
    <m/>
    <n v="180"/>
    <x v="0"/>
    <n v="177"/>
    <n v="70"/>
    <n v="70"/>
    <n v="73.5"/>
    <n v="106.5"/>
    <n v="0"/>
    <x v="5"/>
    <x v="1"/>
    <e v="#REF!"/>
    <e v="#REF!"/>
    <s v=""/>
    <n v="0.59166666666666667"/>
  </r>
  <r>
    <x v="5"/>
    <x v="160"/>
    <x v="0"/>
    <x v="63"/>
    <m/>
    <m/>
    <s v="TAPE_FOAM, AEROTAPE 3MM X 50 MM X 9.1 MTR  04/02/25"/>
    <s v="IM-000332"/>
    <n v="1"/>
    <n v="430"/>
    <m/>
    <n v="430"/>
    <x v="0"/>
    <n v="510"/>
    <n v="330"/>
    <n v="330"/>
    <n v="339.90000000000003"/>
    <n v="90.099999999999966"/>
    <n v="0"/>
    <x v="25"/>
    <x v="0"/>
    <e v="#REF!"/>
    <e v="#REF!"/>
    <s v=""/>
    <n v="0.20953488372093015"/>
  </r>
  <r>
    <x v="5"/>
    <x v="160"/>
    <x v="0"/>
    <x v="17"/>
    <m/>
    <m/>
    <s v="REFRIGERANT, ENTALPIA EUROPE R134A 13.6   5/19/26 NBO"/>
    <s v=""/>
    <n v="1"/>
    <n v="8700"/>
    <m/>
    <n v="8700"/>
    <x v="0"/>
    <n v="0"/>
    <n v="0"/>
    <n v="0"/>
    <n v="0"/>
    <n v="8700"/>
    <n v="0"/>
    <x v="13"/>
    <x v="3"/>
    <e v="#REF!"/>
    <e v="#REF!"/>
    <s v=""/>
    <n v="1"/>
  </r>
  <r>
    <x v="5"/>
    <x v="160"/>
    <x v="0"/>
    <x v="84"/>
    <m/>
    <m/>
    <s v="AUXFAN_MOTOR, NISSAN NAVARRA 2007"/>
    <s v="CA-000064"/>
    <n v="1"/>
    <n v="1900"/>
    <m/>
    <n v="1900"/>
    <x v="0"/>
    <n v="1838"/>
    <n v="1000"/>
    <n v="1000"/>
    <n v="1050"/>
    <n v="850"/>
    <n v="0"/>
    <x v="14"/>
    <x v="2"/>
    <e v="#REF!"/>
    <e v="#REF!"/>
    <s v=""/>
    <n v="0.44736842105263158"/>
  </r>
  <r>
    <x v="5"/>
    <x v="160"/>
    <x v="0"/>
    <x v="143"/>
    <m/>
    <m/>
    <s v="RECEIVER_DRIER_ALUMINUM, YK 8742 (CITY 03)"/>
    <s v="CA-001119"/>
    <n v="1"/>
    <n v="550"/>
    <m/>
    <n v="550"/>
    <x v="0"/>
    <n v="615"/>
    <n v="260"/>
    <n v="260"/>
    <n v="273"/>
    <n v="277"/>
    <n v="0"/>
    <x v="27"/>
    <x v="2"/>
    <e v="#REF!"/>
    <e v="#REF!"/>
    <s v=""/>
    <n v="0.50363636363636366"/>
  </r>
  <r>
    <x v="5"/>
    <x v="160"/>
    <x v="0"/>
    <x v="143"/>
    <m/>
    <m/>
    <s v="EXP. VALVE LT, POKKA 9A56 INNOVA F"/>
    <s v="CA-000637"/>
    <n v="1"/>
    <n v="550"/>
    <m/>
    <n v="550"/>
    <x v="0"/>
    <n v="460"/>
    <n v="250"/>
    <n v="250"/>
    <n v="262.5"/>
    <n v="287.5"/>
    <n v="0"/>
    <x v="23"/>
    <x v="2"/>
    <e v="#REF!"/>
    <e v="#REF!"/>
    <s v=""/>
    <n v="0.52272727272727271"/>
  </r>
  <r>
    <x v="5"/>
    <x v="160"/>
    <x v="0"/>
    <x v="143"/>
    <m/>
    <m/>
    <s v="O_RING, NEK MAKAPAL 3/8 TINGI"/>
    <s v="CA-001492"/>
    <n v="10"/>
    <n v="5"/>
    <m/>
    <n v="50"/>
    <x v="0"/>
    <n v="2"/>
    <n v="1"/>
    <n v="10"/>
    <n v="10.5"/>
    <n v="39.5"/>
    <n v="0"/>
    <x v="44"/>
    <x v="2"/>
    <e v="#REF!"/>
    <e v="#REF!"/>
    <s v=""/>
    <n v="0.79"/>
  </r>
  <r>
    <x v="5"/>
    <x v="160"/>
    <x v="0"/>
    <x v="143"/>
    <m/>
    <m/>
    <s v="O_RING, NEK MAKAPAL 1/2  TINGI"/>
    <s v="CA-001491"/>
    <n v="5"/>
    <n v="7"/>
    <m/>
    <n v="35"/>
    <x v="0"/>
    <n v="2"/>
    <n v="1"/>
    <n v="5"/>
    <n v="5.25"/>
    <n v="29.75"/>
    <n v="0"/>
    <x v="44"/>
    <x v="2"/>
    <e v="#REF!"/>
    <e v="#REF!"/>
    <s v=""/>
    <n v="0.85"/>
  </r>
  <r>
    <x v="5"/>
    <x v="160"/>
    <x v="0"/>
    <x v="143"/>
    <m/>
    <m/>
    <s v="O_RING, NEK MAKAPAL 5/8 TINGI"/>
    <s v="CA-001494"/>
    <n v="5"/>
    <n v="7"/>
    <m/>
    <n v="35"/>
    <x v="0"/>
    <n v="2"/>
    <n v="1"/>
    <n v="5"/>
    <n v="5.25"/>
    <n v="29.75"/>
    <n v="0"/>
    <x v="44"/>
    <x v="2"/>
    <e v="#REF!"/>
    <e v="#REF!"/>
    <s v=""/>
    <n v="0.85"/>
  </r>
  <r>
    <x v="5"/>
    <x v="160"/>
    <x v="0"/>
    <x v="10"/>
    <m/>
    <m/>
    <s v="REFRIGERANT, ENTALPIA EUROPE R134A 13.6   5/19/26 NBO"/>
    <s v=""/>
    <n v="1"/>
    <n v="8700"/>
    <m/>
    <n v="8700"/>
    <x v="0"/>
    <n v="0"/>
    <n v="0"/>
    <n v="0"/>
    <n v="0"/>
    <n v="8700"/>
    <n v="0"/>
    <x v="13"/>
    <x v="3"/>
    <e v="#REF!"/>
    <e v="#REF!"/>
    <s v=""/>
    <n v="1"/>
  </r>
  <r>
    <x v="5"/>
    <x v="160"/>
    <x v="4"/>
    <x v="25"/>
    <m/>
    <m/>
    <s v="HOSE, COOLMATE 1/2 DISCHARGE PER FT"/>
    <s v="GE-000179"/>
    <n v="1.5"/>
    <n v="90"/>
    <m/>
    <n v="135"/>
    <x v="0"/>
    <n v="80"/>
    <n v="43"/>
    <n v="64.5"/>
    <n v="67.725000000000009"/>
    <n v="67.274999999999991"/>
    <n v="20.182499999999997"/>
    <x v="19"/>
    <x v="1"/>
    <e v="#REF!"/>
    <e v="#REF!"/>
    <s v=""/>
    <n v="0.49833333333333329"/>
  </r>
  <r>
    <x v="5"/>
    <x v="160"/>
    <x v="4"/>
    <x v="25"/>
    <m/>
    <m/>
    <s v="FERULLE,  1/2&quot;"/>
    <s v="CA-000644"/>
    <n v="2"/>
    <n v="15"/>
    <m/>
    <n v="30"/>
    <x v="0"/>
    <n v="13"/>
    <n v="7"/>
    <n v="14"/>
    <n v="14.700000000000001"/>
    <n v="15.299999999999999"/>
    <n v="4.59"/>
    <x v="42"/>
    <x v="2"/>
    <e v="#REF!"/>
    <e v="#REF!"/>
    <s v=""/>
    <n v="0.51"/>
  </r>
  <r>
    <x v="5"/>
    <x v="160"/>
    <x v="0"/>
    <x v="49"/>
    <m/>
    <m/>
    <s v="RECEIVER_DRIER_ALUMINUM, YK 8732 (SERIES 3)"/>
    <s v="CA-001113"/>
    <n v="1"/>
    <n v="550"/>
    <m/>
    <n v="550"/>
    <x v="0"/>
    <n v="544"/>
    <n v="230"/>
    <n v="230"/>
    <n v="241.5"/>
    <n v="308.5"/>
    <n v="0"/>
    <x v="27"/>
    <x v="2"/>
    <e v="#REF!"/>
    <e v="#REF!"/>
    <s v=""/>
    <n v="0.56090909090909091"/>
  </r>
  <r>
    <x v="5"/>
    <x v="160"/>
    <x v="0"/>
    <x v="49"/>
    <m/>
    <m/>
    <s v="SYSTEM_CLEANER, Cleanse GREEN 141B 500 ML"/>
    <s v="GE-000369"/>
    <n v="2"/>
    <n v="120"/>
    <m/>
    <n v="240"/>
    <x v="0"/>
    <n v="113"/>
    <n v="65"/>
    <n v="130"/>
    <n v="136.5"/>
    <n v="103.5"/>
    <n v="0"/>
    <x v="28"/>
    <x v="1"/>
    <e v="#REF!"/>
    <e v="#REF!"/>
    <s v=""/>
    <n v="0.43125000000000002"/>
  </r>
  <r>
    <x v="5"/>
    <x v="160"/>
    <x v="0"/>
    <x v="144"/>
    <m/>
    <m/>
    <s v="BRACKET,  CONDENSER"/>
    <s v="CA-001666"/>
    <n v="4"/>
    <n v="25"/>
    <m/>
    <n v="100"/>
    <x v="0"/>
    <n v="21"/>
    <n v="9"/>
    <n v="36"/>
    <n v="37.800000000000004"/>
    <n v="62.199999999999996"/>
    <n v="0"/>
    <x v="3"/>
    <x v="2"/>
    <e v="#REF!"/>
    <e v="#REF!"/>
    <s v=""/>
    <n v="0.622"/>
  </r>
  <r>
    <x v="5"/>
    <x v="160"/>
    <x v="0"/>
    <x v="17"/>
    <m/>
    <m/>
    <s v="EXP. VALVE LT, POKKA 9A83 ECOSPORT"/>
    <s v="CA-001621"/>
    <n v="1"/>
    <n v="550"/>
    <m/>
    <n v="550"/>
    <x v="0"/>
    <n v="662"/>
    <n v="360"/>
    <n v="360"/>
    <n v="378"/>
    <n v="172"/>
    <n v="0"/>
    <x v="23"/>
    <x v="2"/>
    <e v="#REF!"/>
    <e v="#REF!"/>
    <s v=""/>
    <n v="0.31272727272727274"/>
  </r>
  <r>
    <x v="5"/>
    <x v="160"/>
    <x v="0"/>
    <x v="8"/>
    <m/>
    <m/>
    <s v="REFRIGERANT, ENTALPIA EUROPE R134A 13.6   5/19/26 NBO"/>
    <s v=""/>
    <n v="1"/>
    <n v="8700"/>
    <m/>
    <n v="8700"/>
    <x v="0"/>
    <n v="0"/>
    <n v="0"/>
    <n v="0"/>
    <n v="0"/>
    <n v="8700"/>
    <n v="0"/>
    <x v="13"/>
    <x v="3"/>
    <e v="#REF!"/>
    <e v="#REF!"/>
    <s v=""/>
    <n v="1"/>
  </r>
  <r>
    <x v="5"/>
    <x v="160"/>
    <x v="0"/>
    <x v="1"/>
    <m/>
    <m/>
    <s v="REFRIGERANT, FU RYDER R600A CAN, 220 GRAMS"/>
    <s v="GE-000032"/>
    <n v="3"/>
    <n v="180"/>
    <m/>
    <n v="540"/>
    <x v="0"/>
    <n v="177"/>
    <n v="70"/>
    <n v="210"/>
    <n v="220.5"/>
    <n v="319.5"/>
    <n v="0"/>
    <x v="5"/>
    <x v="1"/>
    <e v="#REF!"/>
    <e v="#REF!"/>
    <s v=""/>
    <n v="0.59166666666666667"/>
  </r>
  <r>
    <x v="5"/>
    <x v="160"/>
    <x v="0"/>
    <x v="1"/>
    <m/>
    <m/>
    <s v="RUBBER_INSULATION, M-FLEX 1/2&quot; 1/4"/>
    <s v="IM-000229"/>
    <n v="1"/>
    <n v="50"/>
    <m/>
    <n v="50"/>
    <x v="0"/>
    <n v="47"/>
    <n v="33.6"/>
    <n v="33.6"/>
    <n v="34.608000000000004"/>
    <n v="15.391999999999996"/>
    <n v="0"/>
    <x v="22"/>
    <x v="0"/>
    <e v="#REF!"/>
    <e v="#REF!"/>
    <s v=""/>
    <n v="0.30783999999999989"/>
  </r>
  <r>
    <x v="5"/>
    <x v="160"/>
    <x v="0"/>
    <x v="1"/>
    <m/>
    <m/>
    <s v="ROD, HARRIS SILVER "/>
    <s v="IM-000098"/>
    <n v="1"/>
    <n v="28"/>
    <m/>
    <n v="28"/>
    <x v="0"/>
    <n v="30"/>
    <n v="19"/>
    <n v="19"/>
    <n v="19.57"/>
    <n v="8.43"/>
    <n v="0"/>
    <x v="56"/>
    <x v="0"/>
    <e v="#REF!"/>
    <e v="#REF!"/>
    <s v=""/>
    <n v="0.30107142857142855"/>
  </r>
  <r>
    <x v="5"/>
    <x v="160"/>
    <x v="0"/>
    <x v="1"/>
    <m/>
    <m/>
    <s v="FITTINGS, BRASS FLARE NUT 3/8"/>
    <s v="IM-000050"/>
    <n v="2"/>
    <n v="55"/>
    <m/>
    <n v="110"/>
    <x v="0"/>
    <n v="44"/>
    <n v="24"/>
    <n v="48"/>
    <n v="49.44"/>
    <n v="60.56"/>
    <n v="0"/>
    <x v="33"/>
    <x v="0"/>
    <e v="#REF!"/>
    <e v="#REF!"/>
    <s v=""/>
    <n v="0.55054545454545456"/>
  </r>
  <r>
    <x v="5"/>
    <x v="160"/>
    <x v="4"/>
    <x v="25"/>
    <m/>
    <m/>
    <s v="EVAPORATOR, SUZUKI SPRESSO JY4594"/>
    <s v="CA-001820"/>
    <n v="1"/>
    <n v="2200"/>
    <m/>
    <n v="2200"/>
    <x v="0"/>
    <n v="3032"/>
    <n v="1650"/>
    <n v="1650"/>
    <n v="1732.5"/>
    <n v="467.5"/>
    <n v="140.25"/>
    <x v="10"/>
    <x v="2"/>
    <e v="#REF!"/>
    <e v="#REF!"/>
    <s v=""/>
    <n v="0.21249999999999999"/>
  </r>
  <r>
    <x v="5"/>
    <x v="160"/>
    <x v="2"/>
    <x v="22"/>
    <m/>
    <m/>
    <s v="EXP. VALVE LT, POKKA 9A60 / 9A233 EXTRAIL"/>
    <s v="CA-001829"/>
    <n v="1"/>
    <n v="420"/>
    <m/>
    <n v="420"/>
    <x v="0"/>
    <n v="478"/>
    <n v="260"/>
    <n v="260"/>
    <n v="273"/>
    <n v="147"/>
    <n v="44.1"/>
    <x v="23"/>
    <x v="2"/>
    <e v="#REF!"/>
    <e v="#REF!"/>
    <s v=""/>
    <n v="0.35"/>
  </r>
  <r>
    <x v="5"/>
    <x v="160"/>
    <x v="0"/>
    <x v="1"/>
    <m/>
    <m/>
    <s v="REFRIGERANT, POKKA R32, 600 GRMS  05/09/26"/>
    <s v="GE-000509"/>
    <n v="2"/>
    <n v="680"/>
    <m/>
    <n v="1360"/>
    <x v="0"/>
    <n v="756"/>
    <n v="480"/>
    <n v="960"/>
    <n v="1008"/>
    <n v="352"/>
    <n v="0"/>
    <x v="5"/>
    <x v="1"/>
    <e v="#REF!"/>
    <e v="#REF!"/>
    <s v=""/>
    <n v="0.25882352941176473"/>
  </r>
  <r>
    <x v="5"/>
    <x v="160"/>
    <x v="0"/>
    <x v="125"/>
    <m/>
    <m/>
    <s v="CAPACITOR_SINGLE, PS CBB65 25 UF"/>
    <s v="GE-000066"/>
    <n v="1"/>
    <n v="360"/>
    <m/>
    <n v="360"/>
    <x v="0"/>
    <n v="258"/>
    <n v="140"/>
    <n v="140"/>
    <n v="147"/>
    <n v="213"/>
    <n v="0"/>
    <x v="38"/>
    <x v="1"/>
    <e v="#REF!"/>
    <e v="#REF!"/>
    <s v=""/>
    <n v="0.59166666666666667"/>
  </r>
  <r>
    <x v="5"/>
    <x v="160"/>
    <x v="0"/>
    <x v="1"/>
    <m/>
    <m/>
    <s v="REFRIGERANT, POKKA R32, 600 GRMS  05/09/26"/>
    <s v="GE-000509"/>
    <n v="1"/>
    <n v="680"/>
    <m/>
    <n v="680"/>
    <x v="0"/>
    <n v="756"/>
    <n v="480"/>
    <n v="480"/>
    <n v="504"/>
    <n v="176"/>
    <n v="0"/>
    <x v="5"/>
    <x v="1"/>
    <e v="#REF!"/>
    <e v="#REF!"/>
    <s v=""/>
    <n v="0.25882352941176473"/>
  </r>
  <r>
    <x v="5"/>
    <x v="161"/>
    <x v="2"/>
    <x v="7"/>
    <m/>
    <m/>
    <s v="BLOWER_MOTOR, TOYOTA VIOS BATMAN/ AVANZA"/>
    <s v="CA-000230"/>
    <n v="1"/>
    <n v="2000"/>
    <m/>
    <n v="2000"/>
    <x v="0"/>
    <n v="2389"/>
    <n v="1300"/>
    <n v="1300"/>
    <n v="1365"/>
    <n v="635"/>
    <n v="190.5"/>
    <x v="15"/>
    <x v="2"/>
    <e v="#REF!"/>
    <e v="#REF!"/>
    <s v=""/>
    <n v="0.3175"/>
  </r>
  <r>
    <x v="5"/>
    <x v="161"/>
    <x v="0"/>
    <x v="34"/>
    <m/>
    <m/>
    <s v="COPPER_TUBE_SOFTDRAWN, EXZEL 0.028 X 1/4 x 15 mtr  05/28/26"/>
    <s v="IM-000329"/>
    <n v="1"/>
    <n v="1950"/>
    <m/>
    <n v="1950"/>
    <x v="0"/>
    <n v="3063"/>
    <n v="1699"/>
    <n v="1699"/>
    <n v="1749.97"/>
    <n v="200.02999999999997"/>
    <n v="0"/>
    <x v="0"/>
    <x v="0"/>
    <e v="#REF!"/>
    <e v="#REF!"/>
    <s v=""/>
    <n v="0.10257948717948717"/>
  </r>
  <r>
    <x v="5"/>
    <x v="161"/>
    <x v="0"/>
    <x v="34"/>
    <m/>
    <m/>
    <s v="COPPER_TUBE_SOFTDRAWN, HAILIANG 0.028 X 3/8 x 15 mtr 06/02/26"/>
    <s v="IM-000327"/>
    <n v="1"/>
    <n v="2950"/>
    <m/>
    <n v="2950"/>
    <x v="0"/>
    <n v="4774"/>
    <n v="2648"/>
    <n v="2648"/>
    <n v="2727.44"/>
    <n v="222.55999999999995"/>
    <n v="0"/>
    <x v="0"/>
    <x v="0"/>
    <e v="#REF!"/>
    <e v="#REF!"/>
    <s v=""/>
    <n v="7.5444067796610156E-2"/>
  </r>
  <r>
    <x v="5"/>
    <x v="161"/>
    <x v="0"/>
    <x v="34"/>
    <m/>
    <m/>
    <s v="RUBBER_INSULATION, M-FLEX 3/4&quot; 1/4"/>
    <s v="IM-000235"/>
    <n v="5"/>
    <n v="95"/>
    <m/>
    <n v="475"/>
    <x v="0"/>
    <n v="79"/>
    <n v="56.7"/>
    <n v="283.5"/>
    <n v="292.005"/>
    <n v="182.995"/>
    <n v="0"/>
    <x v="22"/>
    <x v="0"/>
    <e v="#REF!"/>
    <e v="#REF!"/>
    <s v=""/>
    <n v="0.3852526315789474"/>
  </r>
  <r>
    <x v="5"/>
    <x v="161"/>
    <x v="0"/>
    <x v="34"/>
    <m/>
    <m/>
    <s v="RUBBER_INSULATION, M-FLEX 3/4&quot; X 3/8"/>
    <s v="IM-000241"/>
    <n v="5"/>
    <n v="100"/>
    <m/>
    <n v="500"/>
    <x v="0"/>
    <n v="94"/>
    <n v="67.2"/>
    <n v="336"/>
    <n v="346.08"/>
    <n v="153.92000000000002"/>
    <n v="0"/>
    <x v="22"/>
    <x v="0"/>
    <e v="#REF!"/>
    <e v="#REF!"/>
    <s v=""/>
    <n v="0.30784000000000006"/>
  </r>
  <r>
    <x v="5"/>
    <x v="161"/>
    <x v="0"/>
    <x v="34"/>
    <m/>
    <m/>
    <s v="RUBBER_INSULATION, M-FLEX 3/4&quot; 1/2"/>
    <s v="IM-000234"/>
    <n v="5"/>
    <n v="110"/>
    <m/>
    <n v="550"/>
    <x v="0"/>
    <n v="103"/>
    <n v="73.5"/>
    <n v="367.5"/>
    <n v="378.52500000000003"/>
    <n v="171.47499999999997"/>
    <n v="0"/>
    <x v="22"/>
    <x v="0"/>
    <e v="#REF!"/>
    <e v="#REF!"/>
    <s v=""/>
    <n v="0.3117727272727272"/>
  </r>
  <r>
    <x v="5"/>
    <x v="161"/>
    <x v="0"/>
    <x v="34"/>
    <m/>
    <m/>
    <s v="TAPE_PE, PICUS Polythelene Tape (White)X 4&quot;"/>
    <s v="IM-000247"/>
    <n v="2"/>
    <n v="125"/>
    <m/>
    <n v="250"/>
    <x v="0"/>
    <n v="147"/>
    <n v="75"/>
    <n v="150"/>
    <n v="154.5"/>
    <n v="95.5"/>
    <n v="0"/>
    <x v="29"/>
    <x v="0"/>
    <e v="#REF!"/>
    <e v="#REF!"/>
    <s v=""/>
    <n v="0.38200000000000001"/>
  </r>
  <r>
    <x v="5"/>
    <x v="161"/>
    <x v="0"/>
    <x v="49"/>
    <m/>
    <m/>
    <s v="BLOWER_MOTOR, TOYOTA VIOS BATMAN/ AVANZA"/>
    <s v="CA-000230"/>
    <n v="1"/>
    <n v="2000"/>
    <m/>
    <n v="2000"/>
    <x v="0"/>
    <n v="2389"/>
    <n v="1300"/>
    <n v="1300"/>
    <n v="1365"/>
    <n v="635"/>
    <n v="0"/>
    <x v="15"/>
    <x v="2"/>
    <e v="#REF!"/>
    <e v="#REF!"/>
    <s v=""/>
    <n v="0.3175"/>
  </r>
  <r>
    <x v="5"/>
    <x v="161"/>
    <x v="0"/>
    <x v="36"/>
    <m/>
    <m/>
    <s v="RECEIVER_DRIER_ALUMINUM, YK 9096 (EXTRAIL)"/>
    <s v="CA-001128"/>
    <n v="1"/>
    <n v="550"/>
    <m/>
    <n v="550"/>
    <x v="0"/>
    <n v="615"/>
    <n v="260"/>
    <n v="260"/>
    <n v="273"/>
    <n v="277"/>
    <n v="0"/>
    <x v="27"/>
    <x v="2"/>
    <e v="#REF!"/>
    <e v="#REF!"/>
    <s v=""/>
    <n v="0.50363636363636366"/>
  </r>
  <r>
    <x v="5"/>
    <x v="161"/>
    <x v="0"/>
    <x v="8"/>
    <m/>
    <m/>
    <s v="TAPE_FOAM, AEROTAPE 3MM X 50 MM X 9.1 MTR  04/02/25"/>
    <s v="IM-000332"/>
    <n v="1"/>
    <n v="430"/>
    <m/>
    <n v="430"/>
    <x v="0"/>
    <n v="510"/>
    <n v="330"/>
    <n v="330"/>
    <n v="339.90000000000003"/>
    <n v="90.099999999999966"/>
    <n v="0"/>
    <x v="25"/>
    <x v="0"/>
    <e v="#REF!"/>
    <e v="#REF!"/>
    <s v=""/>
    <n v="0.20953488372093015"/>
  </r>
  <r>
    <x v="5"/>
    <x v="161"/>
    <x v="0"/>
    <x v="8"/>
    <m/>
    <m/>
    <s v="EVAPORATOR, TOYOTA INNOVA OLD (R) JBE-0102X (STAL)"/>
    <s v="CA-001634"/>
    <n v="1"/>
    <n v="1900"/>
    <m/>
    <n v="1900"/>
    <x v="0"/>
    <n v="1470"/>
    <n v="800"/>
    <n v="800"/>
    <n v="840"/>
    <n v="1060"/>
    <n v="0"/>
    <x v="10"/>
    <x v="2"/>
    <e v="#REF!"/>
    <e v="#REF!"/>
    <s v=""/>
    <n v="0.55789473684210522"/>
  </r>
  <r>
    <x v="5"/>
    <x v="161"/>
    <x v="0"/>
    <x v="8"/>
    <m/>
    <m/>
    <s v="EVAPORATOR, TOYOTA INNOVA NEW (F) JBE-0115ZX (STAL)"/>
    <s v="CA-001631"/>
    <n v="1"/>
    <n v="2100"/>
    <m/>
    <n v="2100"/>
    <x v="0"/>
    <n v="1562"/>
    <n v="850"/>
    <n v="850"/>
    <n v="892.5"/>
    <n v="1207.5"/>
    <n v="0"/>
    <x v="10"/>
    <x v="2"/>
    <e v="#REF!"/>
    <e v="#REF!"/>
    <s v=""/>
    <n v="0.57499999999999996"/>
  </r>
  <r>
    <x v="5"/>
    <x v="161"/>
    <x v="0"/>
    <x v="18"/>
    <m/>
    <m/>
    <s v="EXP. VALVE LT, POKKA 9A56 INNOVA F"/>
    <s v="CA-000637"/>
    <n v="1"/>
    <n v="550"/>
    <m/>
    <n v="550"/>
    <x v="0"/>
    <n v="460"/>
    <n v="250"/>
    <n v="250"/>
    <n v="262.5"/>
    <n v="287.5"/>
    <n v="0"/>
    <x v="23"/>
    <x v="2"/>
    <e v="#REF!"/>
    <e v="#REF!"/>
    <s v=""/>
    <n v="0.52272727272727271"/>
  </r>
  <r>
    <x v="5"/>
    <x v="161"/>
    <x v="2"/>
    <x v="7"/>
    <m/>
    <m/>
    <s v="EVAPORATOR, TOYOTA AVANZA 14 HS-40A523"/>
    <s v="CA-000536"/>
    <n v="1"/>
    <n v="2000"/>
    <m/>
    <n v="2000"/>
    <x v="0"/>
    <n v="2389"/>
    <n v="1300"/>
    <n v="1300"/>
    <n v="1365"/>
    <n v="635"/>
    <n v="190.5"/>
    <x v="10"/>
    <x v="2"/>
    <e v="#REF!"/>
    <e v="#REF!"/>
    <s v=""/>
    <n v="0.3175"/>
  </r>
  <r>
    <x v="5"/>
    <x v="161"/>
    <x v="0"/>
    <x v="11"/>
    <m/>
    <m/>
    <s v="BLOWER_MOTOR, MITSUBISHI MONTERO 2008"/>
    <s v="CA-000191"/>
    <n v="1"/>
    <n v="2000"/>
    <m/>
    <n v="2000"/>
    <x v="0"/>
    <n v="2389"/>
    <n v="1300"/>
    <n v="1300"/>
    <n v="1365"/>
    <n v="635"/>
    <n v="0"/>
    <x v="15"/>
    <x v="2"/>
    <e v="#REF!"/>
    <e v="#REF!"/>
    <s v=""/>
    <n v="0.3175"/>
  </r>
  <r>
    <x v="5"/>
    <x v="161"/>
    <x v="2"/>
    <x v="9"/>
    <m/>
    <n v="620"/>
    <s v="AUXIALLIARY_FAN, STAL 10 BLADES X 12VOLTS"/>
    <s v="CA-000117"/>
    <n v="5"/>
    <n v="554"/>
    <m/>
    <n v="2770"/>
    <x v="0"/>
    <n v="625"/>
    <n v="340"/>
    <n v="1700"/>
    <n v="1785"/>
    <n v="985"/>
    <n v="295.5"/>
    <x v="16"/>
    <x v="2"/>
    <e v="#REF!"/>
    <e v="#REF!"/>
    <n v="620.48"/>
    <n v="0.3555956678700361"/>
  </r>
  <r>
    <x v="5"/>
    <x v="161"/>
    <x v="2"/>
    <x v="9"/>
    <m/>
    <m/>
    <s v="EXP. VALVE LT, POKKA 9A128 VIOS '14"/>
    <s v="CA-000628"/>
    <n v="5"/>
    <n v="550"/>
    <m/>
    <n v="2750"/>
    <x v="0"/>
    <n v="497"/>
    <n v="270"/>
    <n v="1350"/>
    <n v="1417.5"/>
    <n v="1332.5"/>
    <n v="399.75"/>
    <x v="23"/>
    <x v="2"/>
    <e v="#REF!"/>
    <e v="#REF!"/>
    <s v=""/>
    <n v="0.48454545454545456"/>
  </r>
  <r>
    <x v="5"/>
    <x v="161"/>
    <x v="7"/>
    <x v="43"/>
    <m/>
    <m/>
    <s v="COPPER_TUBE_SOFTDRAWN, EXZEL 0.028 X 1/4 x 15 mtr  05/28/26"/>
    <s v="IM-000329"/>
    <n v="0.4"/>
    <n v="2500"/>
    <m/>
    <n v="1000"/>
    <x v="0"/>
    <n v="3063"/>
    <n v="1699"/>
    <n v="679.6"/>
    <n v="699.98800000000006"/>
    <n v="300.01199999999994"/>
    <n v="90.003599999999977"/>
    <x v="0"/>
    <x v="0"/>
    <e v="#REF!"/>
    <e v="#REF!"/>
    <s v=""/>
    <n v="0.30001199999999995"/>
  </r>
  <r>
    <x v="5"/>
    <x v="161"/>
    <x v="7"/>
    <x v="43"/>
    <m/>
    <m/>
    <s v="COPPER_TUBE_SOFTDRAWN, HAILIANG 0.028 X 1/2 x 15 mtr 06/02/26"/>
    <s v="IM-000328"/>
    <n v="0.4"/>
    <n v="4500"/>
    <m/>
    <n v="1800"/>
    <x v="0"/>
    <n v="6554"/>
    <n v="3636"/>
    <n v="1454.4"/>
    <n v="1498.0320000000002"/>
    <n v="301.96799999999985"/>
    <n v="90.590399999999946"/>
    <x v="0"/>
    <x v="0"/>
    <e v="#REF!"/>
    <e v="#REF!"/>
    <s v=""/>
    <n v="0.16775999999999991"/>
  </r>
  <r>
    <x v="5"/>
    <x v="161"/>
    <x v="7"/>
    <x v="43"/>
    <m/>
    <m/>
    <s v="RUBBER_INSULATION, M-FLEX 1/2&quot; 1/4"/>
    <s v="IM-000229"/>
    <n v="4"/>
    <n v="50"/>
    <m/>
    <n v="200"/>
    <x v="0"/>
    <n v="47"/>
    <n v="33.6"/>
    <n v="134.4"/>
    <n v="138.43200000000002"/>
    <n v="61.567999999999984"/>
    <n v="18.470399999999994"/>
    <x v="22"/>
    <x v="0"/>
    <e v="#REF!"/>
    <e v="#REF!"/>
    <s v=""/>
    <n v="0.30783999999999989"/>
  </r>
  <r>
    <x v="5"/>
    <x v="161"/>
    <x v="7"/>
    <x v="43"/>
    <m/>
    <m/>
    <s v="RUBBER_INSULATION, M-FLEX 1/2&quot; 1/2"/>
    <s v="IM-000227"/>
    <n v="4"/>
    <n v="70"/>
    <m/>
    <n v="280"/>
    <x v="0"/>
    <n v="65"/>
    <n v="46.4"/>
    <n v="185.6"/>
    <n v="191.16800000000001"/>
    <n v="88.831999999999994"/>
    <n v="26.649599999999996"/>
    <x v="22"/>
    <x v="0"/>
    <e v="#REF!"/>
    <e v="#REF!"/>
    <s v=""/>
    <n v="0.31725714285714285"/>
  </r>
  <r>
    <x v="5"/>
    <x v="161"/>
    <x v="7"/>
    <x v="43"/>
    <m/>
    <m/>
    <s v="TAPE_PE, PICUS Polythelene Tape (White)X 4&quot;"/>
    <s v="IM-000247"/>
    <n v="2"/>
    <n v="125"/>
    <m/>
    <n v="250"/>
    <x v="0"/>
    <n v="147"/>
    <n v="75"/>
    <n v="150"/>
    <n v="154.5"/>
    <n v="95.5"/>
    <n v="28.65"/>
    <x v="29"/>
    <x v="0"/>
    <e v="#REF!"/>
    <e v="#REF!"/>
    <s v=""/>
    <n v="0.38200000000000001"/>
  </r>
  <r>
    <x v="5"/>
    <x v="161"/>
    <x v="1"/>
    <x v="5"/>
    <m/>
    <m/>
    <s v="REFRIGERANT, ENTALPIA EUROPE R134A 13.6   5/19/26 NBO"/>
    <s v=""/>
    <n v="1"/>
    <n v="8700"/>
    <m/>
    <n v="8700"/>
    <x v="0"/>
    <n v="0"/>
    <n v="0"/>
    <n v="0"/>
    <n v="0"/>
    <n v="8700"/>
    <n v="2610"/>
    <x v="13"/>
    <x v="3"/>
    <e v="#REF!"/>
    <e v="#REF!"/>
    <s v=""/>
    <n v="1"/>
  </r>
  <r>
    <x v="5"/>
    <x v="161"/>
    <x v="1"/>
    <x v="5"/>
    <m/>
    <m/>
    <s v="AC FILTER DRIER , GENESSO 5/8 FLARE TYPE 165FT"/>
    <s v="GE-000010"/>
    <n v="1"/>
    <n v="650"/>
    <m/>
    <n v="650"/>
    <x v="0"/>
    <n v="621"/>
    <n v="215"/>
    <n v="215"/>
    <n v="225.75"/>
    <n v="424.25"/>
    <n v="127.27499999999999"/>
    <x v="66"/>
    <x v="1"/>
    <e v="#REF!"/>
    <e v="#REF!"/>
    <s v=""/>
    <n v="0.65269230769230768"/>
  </r>
  <r>
    <x v="5"/>
    <x v="161"/>
    <x v="0"/>
    <x v="145"/>
    <m/>
    <m/>
    <s v="REFRIGERANT, ENTALPIA EUROPE R134A 13.6   5/19/26 NBO"/>
    <s v=""/>
    <n v="1"/>
    <n v="8700"/>
    <m/>
    <n v="8700"/>
    <x v="0"/>
    <n v="0"/>
    <n v="0"/>
    <n v="0"/>
    <n v="0"/>
    <n v="8700"/>
    <n v="0"/>
    <x v="13"/>
    <x v="3"/>
    <e v="#REF!"/>
    <e v="#REF!"/>
    <s v=""/>
    <n v="1"/>
  </r>
  <r>
    <x v="5"/>
    <x v="161"/>
    <x v="0"/>
    <x v="1"/>
    <m/>
    <m/>
    <s v="REFRIGERANT, FU RYDER R600A CAN, 220 GRAMS"/>
    <s v="GE-000032"/>
    <n v="1"/>
    <n v="220"/>
    <m/>
    <n v="220"/>
    <x v="0"/>
    <n v="177"/>
    <n v="70"/>
    <n v="70"/>
    <n v="73.5"/>
    <n v="146.5"/>
    <n v="0"/>
    <x v="5"/>
    <x v="1"/>
    <e v="#REF!"/>
    <e v="#REF!"/>
    <s v=""/>
    <n v="0.66590909090909089"/>
  </r>
  <r>
    <x v="5"/>
    <x v="161"/>
    <x v="0"/>
    <x v="11"/>
    <m/>
    <m/>
    <s v="THERMOSTAT, NEK CAR"/>
    <s v="CA-001647"/>
    <n v="1"/>
    <n v="250"/>
    <m/>
    <n v="250"/>
    <x v="0"/>
    <n v="180"/>
    <n v="90"/>
    <n v="90"/>
    <n v="94.5"/>
    <n v="155.5"/>
    <n v="0"/>
    <x v="31"/>
    <x v="2"/>
    <e v="#REF!"/>
    <e v="#REF!"/>
    <s v=""/>
    <n v="0.622"/>
  </r>
  <r>
    <x v="5"/>
    <x v="161"/>
    <x v="4"/>
    <x v="25"/>
    <m/>
    <m/>
    <s v="AUXFAN_MOTOR, MITSUBISHI MIRAGE 2 PIN / WIGO 1030"/>
    <s v="CA-000053"/>
    <n v="1"/>
    <n v="1800"/>
    <m/>
    <n v="1800"/>
    <x v="0"/>
    <n v="2022"/>
    <n v="1100"/>
    <n v="1100"/>
    <n v="1155"/>
    <n v="645"/>
    <n v="193.5"/>
    <x v="14"/>
    <x v="2"/>
    <e v="#REF!"/>
    <e v="#REF!"/>
    <s v=""/>
    <n v="0.35833333333333334"/>
  </r>
  <r>
    <x v="5"/>
    <x v="161"/>
    <x v="2"/>
    <x v="22"/>
    <m/>
    <m/>
    <s v="EVAPORATOR, MITSUBISHI ADVENTURE LAM  (STAL)"/>
    <s v="CA-001719"/>
    <n v="1"/>
    <n v="1900"/>
    <m/>
    <n v="1900"/>
    <x v="0"/>
    <n v="2536"/>
    <n v="1380"/>
    <n v="1380"/>
    <n v="1449"/>
    <n v="451"/>
    <n v="135.29999999999998"/>
    <x v="10"/>
    <x v="2"/>
    <e v="#REF!"/>
    <e v="#REF!"/>
    <e v="#REF!"/>
    <n v="0.23736842105263159"/>
  </r>
  <r>
    <x v="5"/>
    <x v="161"/>
    <x v="2"/>
    <x v="22"/>
    <m/>
    <n v="1900"/>
    <s v="EVAPORATOR, ISUZU MUX/D-MAX 2013 (STAL)"/>
    <s v="CA-000701"/>
    <n v="1"/>
    <n v="1700"/>
    <m/>
    <n v="1700"/>
    <x v="0"/>
    <n v="1995"/>
    <n v="1000"/>
    <n v="1000"/>
    <n v="1050"/>
    <n v="650"/>
    <n v="195"/>
    <x v="10"/>
    <x v="2"/>
    <e v="#REF!"/>
    <e v="#REF!"/>
    <e v="#REF!"/>
    <n v="0.38235294117647056"/>
  </r>
  <r>
    <x v="5"/>
    <x v="161"/>
    <x v="2"/>
    <x v="22"/>
    <m/>
    <n v="240"/>
    <s v="CABIN_FILTER, HYUNDAI EON / I 10"/>
    <s v="CA-001844"/>
    <n v="1"/>
    <n v="215"/>
    <m/>
    <n v="215"/>
    <x v="0"/>
    <n v="378"/>
    <n v="120"/>
    <n v="120"/>
    <n v="126"/>
    <n v="89"/>
    <n v="26.7"/>
    <x v="12"/>
    <x v="2"/>
    <e v="#REF!"/>
    <e v="#REF!"/>
    <n v="240.8"/>
    <n v="0.413953488372093"/>
  </r>
  <r>
    <x v="5"/>
    <x v="161"/>
    <x v="2"/>
    <x v="22"/>
    <m/>
    <n v="220"/>
    <s v="CABIN_FILTER, TOYOTA VIOS"/>
    <s v="CA-001295"/>
    <n v="1"/>
    <n v="197"/>
    <m/>
    <n v="197"/>
    <x v="0"/>
    <n v="315"/>
    <n v="100"/>
    <n v="100"/>
    <n v="105"/>
    <n v="92"/>
    <n v="27.599999999999998"/>
    <x v="12"/>
    <x v="2"/>
    <e v="#REF!"/>
    <e v="#REF!"/>
    <n v="220.64000000000001"/>
    <n v="0.46700507614213199"/>
  </r>
  <r>
    <x v="5"/>
    <x v="161"/>
    <x v="2"/>
    <x v="22"/>
    <m/>
    <n v="220"/>
    <s v="CABIN_FILTER, NISSAN ALMERA"/>
    <s v="CA-001707"/>
    <n v="1"/>
    <n v="197"/>
    <m/>
    <n v="197"/>
    <x v="0"/>
    <n v="315"/>
    <n v="100"/>
    <n v="100"/>
    <n v="105"/>
    <n v="92"/>
    <n v="27.599999999999998"/>
    <x v="12"/>
    <x v="2"/>
    <e v="#REF!"/>
    <e v="#REF!"/>
    <n v="220.64000000000001"/>
    <n v="0.46700507614213199"/>
  </r>
  <r>
    <x v="5"/>
    <x v="161"/>
    <x v="2"/>
    <x v="22"/>
    <m/>
    <m/>
    <s v="EXP. VALVE LT, POKKA 9A56 INNOVA F"/>
    <s v="CA-000637"/>
    <n v="2"/>
    <n v="420"/>
    <m/>
    <n v="840"/>
    <x v="0"/>
    <n v="460"/>
    <n v="250"/>
    <n v="500"/>
    <n v="525"/>
    <n v="315"/>
    <n v="94.5"/>
    <x v="23"/>
    <x v="2"/>
    <e v="#REF!"/>
    <e v="#REF!"/>
    <s v=""/>
    <n v="0.375"/>
  </r>
  <r>
    <x v="5"/>
    <x v="161"/>
    <x v="2"/>
    <x v="22"/>
    <m/>
    <m/>
    <s v="EXP. VALVE LT, POKKA 9A57 INNOVA R"/>
    <s v="CA-000638"/>
    <n v="1"/>
    <n v="420"/>
    <m/>
    <n v="420"/>
    <x v="0"/>
    <n v="460"/>
    <n v="250"/>
    <n v="250"/>
    <n v="262.5"/>
    <n v="157.5"/>
    <n v="47.25"/>
    <x v="23"/>
    <x v="2"/>
    <e v="#REF!"/>
    <e v="#REF!"/>
    <s v=""/>
    <n v="0.375"/>
  </r>
  <r>
    <x v="5"/>
    <x v="161"/>
    <x v="1"/>
    <x v="3"/>
    <m/>
    <m/>
    <s v="BLOWER_MOTOR, UNIVERSAL 6711"/>
    <s v="CA-000236"/>
    <n v="2"/>
    <n v="1300"/>
    <m/>
    <n v="2600"/>
    <x v="0"/>
    <n v="1379"/>
    <n v="750"/>
    <n v="1500"/>
    <n v="1575"/>
    <n v="1025"/>
    <n v="307.5"/>
    <x v="15"/>
    <x v="2"/>
    <e v="#REF!"/>
    <e v="#REF!"/>
    <s v=""/>
    <n v="0.39423076923076922"/>
  </r>
  <r>
    <x v="5"/>
    <x v="161"/>
    <x v="0"/>
    <x v="48"/>
    <m/>
    <m/>
    <s v="CABIN_FILTER, HONDA MEDIUM"/>
    <s v="CA-001679"/>
    <n v="1"/>
    <n v="350"/>
    <m/>
    <n v="350"/>
    <x v="0"/>
    <n v="315"/>
    <n v="100"/>
    <n v="100"/>
    <n v="105"/>
    <n v="245"/>
    <n v="0"/>
    <x v="12"/>
    <x v="2"/>
    <e v="#REF!"/>
    <e v="#REF!"/>
    <s v=""/>
    <n v="0.7"/>
  </r>
  <r>
    <x v="5"/>
    <x v="162"/>
    <x v="7"/>
    <x v="135"/>
    <m/>
    <m/>
    <m/>
    <s v=""/>
    <m/>
    <m/>
    <m/>
    <n v="0"/>
    <x v="0"/>
    <n v="0"/>
    <n v="0"/>
    <n v="0"/>
    <n v="0"/>
    <n v="0"/>
    <n v="0"/>
    <x v="13"/>
    <x v="3"/>
    <s v=""/>
    <s v=""/>
    <s v=""/>
    <n v="0"/>
  </r>
  <r>
    <x v="5"/>
    <x v="163"/>
    <x v="0"/>
    <x v="1"/>
    <m/>
    <m/>
    <s v="BRACKET , ROBYN STEEL  1HP, COATED  (ISHABELLA)"/>
    <s v="IM-000330"/>
    <n v="1"/>
    <n v="360"/>
    <m/>
    <n v="360"/>
    <x v="0"/>
    <n v="352"/>
    <n v="195"/>
    <n v="195"/>
    <n v="200.85"/>
    <n v="159.15"/>
    <n v="0"/>
    <x v="1"/>
    <x v="0"/>
    <e v="#REF!"/>
    <e v="#REF!"/>
    <s v=""/>
    <n v="0.44208333333333333"/>
  </r>
  <r>
    <x v="5"/>
    <x v="163"/>
    <x v="8"/>
    <x v="146"/>
    <m/>
    <m/>
    <s v="CAPACITOR_SINGLE, PS CBB65 35 UF"/>
    <s v="GE-000070"/>
    <n v="1"/>
    <n v="415"/>
    <m/>
    <n v="415"/>
    <x v="0"/>
    <n v="294"/>
    <n v="160"/>
    <n v="160"/>
    <n v="168"/>
    <n v="247"/>
    <n v="74.099999999999994"/>
    <x v="38"/>
    <x v="1"/>
    <e v="#REF!"/>
    <e v="#REF!"/>
    <s v=""/>
    <n v="0.59518072289156632"/>
  </r>
  <r>
    <x v="5"/>
    <x v="163"/>
    <x v="2"/>
    <x v="7"/>
    <m/>
    <m/>
    <s v="AUXFAN_MOTOR, SUZUKI APV 9370"/>
    <s v="CA-000071"/>
    <n v="1"/>
    <n v="1800"/>
    <m/>
    <n v="1800"/>
    <x v="0"/>
    <n v="2114"/>
    <n v="1150"/>
    <n v="1150"/>
    <n v="1207.5"/>
    <n v="592.5"/>
    <n v="177.75"/>
    <x v="14"/>
    <x v="2"/>
    <e v="#REF!"/>
    <e v="#REF!"/>
    <s v=""/>
    <n v="0.32916666666666666"/>
  </r>
  <r>
    <x v="5"/>
    <x v="163"/>
    <x v="0"/>
    <x v="8"/>
    <m/>
    <m/>
    <s v="PULLEY_ASSEMBLY, SUZUKI ERTIGA 4PK"/>
    <s v="CA-001821"/>
    <n v="1"/>
    <n v="2000"/>
    <m/>
    <n v="2000"/>
    <x v="0"/>
    <n v="2016"/>
    <n v="1200"/>
    <n v="1200"/>
    <n v="1260"/>
    <n v="740"/>
    <n v="0"/>
    <x v="11"/>
    <x v="2"/>
    <e v="#REF!"/>
    <e v="#REF!"/>
    <s v=""/>
    <n v="0.37"/>
  </r>
  <r>
    <x v="5"/>
    <x v="163"/>
    <x v="0"/>
    <x v="8"/>
    <m/>
    <m/>
    <s v="EVAPORATOR, TOYOTA VIOS 2014 (SUPERMAN)_STAL"/>
    <s v="CA-000146"/>
    <n v="1"/>
    <n v="2100"/>
    <m/>
    <n v="2100"/>
    <x v="0"/>
    <n v="1434"/>
    <n v="780"/>
    <n v="780"/>
    <n v="819"/>
    <n v="1281"/>
    <n v="0"/>
    <x v="10"/>
    <x v="2"/>
    <e v="#REF!"/>
    <e v="#REF!"/>
    <s v=""/>
    <n v="0.61"/>
  </r>
  <r>
    <x v="5"/>
    <x v="163"/>
    <x v="0"/>
    <x v="11"/>
    <m/>
    <m/>
    <s v="EVAPORATOR, TOYOTA VIOS 2014 (SUPERMAN)_STAL"/>
    <s v="CA-000146"/>
    <n v="1"/>
    <n v="2100"/>
    <m/>
    <n v="2100"/>
    <x v="0"/>
    <n v="1434"/>
    <n v="780"/>
    <n v="780"/>
    <n v="819"/>
    <n v="1281"/>
    <n v="0"/>
    <x v="10"/>
    <x v="2"/>
    <e v="#REF!"/>
    <e v="#REF!"/>
    <s v=""/>
    <n v="0.61"/>
  </r>
  <r>
    <x v="5"/>
    <x v="163"/>
    <x v="0"/>
    <x v="11"/>
    <m/>
    <m/>
    <s v="SYSTEM_CLEANER, Cleanse GREEN 141B 500 ML"/>
    <s v="GE-000369"/>
    <n v="2"/>
    <n v="120"/>
    <m/>
    <n v="240"/>
    <x v="0"/>
    <n v="113"/>
    <n v="65"/>
    <n v="130"/>
    <n v="136.5"/>
    <n v="103.5"/>
    <n v="0"/>
    <x v="28"/>
    <x v="1"/>
    <e v="#REF!"/>
    <e v="#REF!"/>
    <s v=""/>
    <n v="0.43125000000000002"/>
  </r>
  <r>
    <x v="5"/>
    <x v="163"/>
    <x v="0"/>
    <x v="49"/>
    <m/>
    <m/>
    <s v="EVAPORATOR, TOYOTA WIGO 16-21"/>
    <s v="CA-001497"/>
    <n v="1"/>
    <n v="2000"/>
    <m/>
    <n v="2000"/>
    <x v="0"/>
    <n v="2389"/>
    <n v="1300"/>
    <n v="1300"/>
    <n v="1365"/>
    <n v="635"/>
    <n v="0"/>
    <x v="10"/>
    <x v="2"/>
    <e v="#REF!"/>
    <e v="#REF!"/>
    <s v=""/>
    <n v="0.3175"/>
  </r>
  <r>
    <x v="5"/>
    <x v="163"/>
    <x v="0"/>
    <x v="1"/>
    <m/>
    <m/>
    <s v="REFRIGERANT, FU RYDER R600A CAN, 220 GRAMS"/>
    <s v="GE-000032"/>
    <n v="1"/>
    <n v="180"/>
    <m/>
    <n v="180"/>
    <x v="0"/>
    <n v="177"/>
    <n v="70"/>
    <n v="70"/>
    <n v="73.5"/>
    <n v="106.5"/>
    <n v="0"/>
    <x v="5"/>
    <x v="1"/>
    <e v="#REF!"/>
    <e v="#REF!"/>
    <s v=""/>
    <n v="0.59166666666666667"/>
  </r>
  <r>
    <x v="5"/>
    <x v="163"/>
    <x v="0"/>
    <x v="11"/>
    <m/>
    <m/>
    <s v="EVAPORATOR, HONDA CIVIC 2012 -2016 LC789"/>
    <s v="CA-001838"/>
    <n v="1"/>
    <n v="2100"/>
    <m/>
    <n v="2100"/>
    <x v="0"/>
    <n v="2757"/>
    <n v="1500"/>
    <n v="1500"/>
    <n v="1575"/>
    <n v="525"/>
    <n v="0"/>
    <x v="10"/>
    <x v="2"/>
    <e v="#REF!"/>
    <e v="#REF!"/>
    <s v=""/>
    <n v="0.25"/>
  </r>
  <r>
    <x v="5"/>
    <x v="163"/>
    <x v="0"/>
    <x v="11"/>
    <m/>
    <m/>
    <s v="RECEIVER_DRIER_ALUMINUM, YK 8038 (Civic, CRV)"/>
    <s v="CA-001094"/>
    <n v="1"/>
    <n v="550"/>
    <m/>
    <n v="550"/>
    <x v="0"/>
    <n v="532"/>
    <n v="225"/>
    <n v="225"/>
    <n v="236.25"/>
    <n v="313.75"/>
    <n v="0"/>
    <x v="27"/>
    <x v="2"/>
    <e v="#REF!"/>
    <e v="#REF!"/>
    <s v=""/>
    <n v="0.57045454545454544"/>
  </r>
  <r>
    <x v="5"/>
    <x v="163"/>
    <x v="0"/>
    <x v="11"/>
    <m/>
    <m/>
    <s v="EXP. VALVE DC,  OVERSIZE "/>
    <s v="CA-001293"/>
    <n v="1"/>
    <n v="700"/>
    <m/>
    <n v="700"/>
    <x v="0"/>
    <n v="588"/>
    <n v="320"/>
    <n v="320"/>
    <n v="336"/>
    <n v="364"/>
    <n v="0"/>
    <x v="46"/>
    <x v="2"/>
    <e v="#REF!"/>
    <e v="#REF!"/>
    <s v=""/>
    <n v="0.52"/>
  </r>
  <r>
    <x v="5"/>
    <x v="163"/>
    <x v="0"/>
    <x v="18"/>
    <m/>
    <m/>
    <s v="REFRIGERANT, ENTALPIA EUROPE R134A 13.6   5/19/26 NBO"/>
    <s v=""/>
    <n v="1"/>
    <n v="8700"/>
    <m/>
    <n v="8700"/>
    <x v="0"/>
    <n v="0"/>
    <n v="0"/>
    <n v="0"/>
    <n v="0"/>
    <n v="8700"/>
    <n v="0"/>
    <x v="13"/>
    <x v="3"/>
    <e v="#REF!"/>
    <e v="#REF!"/>
    <s v=""/>
    <n v="1"/>
  </r>
  <r>
    <x v="5"/>
    <x v="163"/>
    <x v="1"/>
    <x v="3"/>
    <m/>
    <m/>
    <s v="RECEIVER_DRIER_ALUMINUM, YK 8102 (DENSO 134A S)"/>
    <s v="CA-001098"/>
    <n v="1"/>
    <n v="550"/>
    <m/>
    <n v="550"/>
    <x v="0"/>
    <n v="461"/>
    <n v="195"/>
    <n v="195"/>
    <n v="204.75"/>
    <n v="345.25"/>
    <n v="103.575"/>
    <x v="27"/>
    <x v="2"/>
    <e v="#REF!"/>
    <e v="#REF!"/>
    <s v=""/>
    <n v="0.62772727272727269"/>
  </r>
  <r>
    <x v="5"/>
    <x v="163"/>
    <x v="1"/>
    <x v="3"/>
    <m/>
    <m/>
    <s v="EXP. VALVE LT, POKKA 9A128 VIOS '14"/>
    <s v="CA-000628"/>
    <n v="1"/>
    <n v="550"/>
    <m/>
    <n v="550"/>
    <x v="0"/>
    <n v="497"/>
    <n v="270"/>
    <n v="270"/>
    <n v="283.5"/>
    <n v="266.5"/>
    <n v="79.95"/>
    <x v="23"/>
    <x v="2"/>
    <e v="#REF!"/>
    <e v="#REF!"/>
    <s v=""/>
    <n v="0.48454545454545456"/>
  </r>
  <r>
    <x v="5"/>
    <x v="163"/>
    <x v="1"/>
    <x v="3"/>
    <m/>
    <m/>
    <s v="FITTINGS, STRAIGHT FLARE TYPE 5/8"/>
    <s v="CA-000673"/>
    <n v="1"/>
    <n v="40"/>
    <m/>
    <n v="40"/>
    <x v="0"/>
    <n v="30"/>
    <n v="16"/>
    <n v="16"/>
    <n v="16.8"/>
    <n v="23.2"/>
    <n v="6.96"/>
    <x v="33"/>
    <x v="2"/>
    <e v="#REF!"/>
    <e v="#REF!"/>
    <s v=""/>
    <n v="0.57999999999999996"/>
  </r>
  <r>
    <x v="5"/>
    <x v="163"/>
    <x v="0"/>
    <x v="1"/>
    <m/>
    <m/>
    <s v="REFRIGERANT, FU RYDER R600A CAN, 220 GRAMS"/>
    <s v="GE-000032"/>
    <n v="1"/>
    <n v="180"/>
    <m/>
    <n v="180"/>
    <x v="0"/>
    <n v="177"/>
    <n v="70"/>
    <n v="70"/>
    <n v="73.5"/>
    <n v="106.5"/>
    <n v="0"/>
    <x v="5"/>
    <x v="1"/>
    <e v="#REF!"/>
    <e v="#REF!"/>
    <s v=""/>
    <n v="0.59166666666666667"/>
  </r>
  <r>
    <x v="5"/>
    <x v="163"/>
    <x v="0"/>
    <x v="1"/>
    <m/>
    <m/>
    <s v="ACCESS_VALVE, OMNI WELDED TYPE "/>
    <s v="GE-000253"/>
    <n v="2"/>
    <n v="50"/>
    <m/>
    <n v="100"/>
    <x v="0"/>
    <n v="47"/>
    <n v="21"/>
    <n v="42"/>
    <n v="44.1"/>
    <n v="55.9"/>
    <n v="0"/>
    <x v="67"/>
    <x v="1"/>
    <e v="#REF!"/>
    <e v="#REF!"/>
    <s v=""/>
    <n v="0.55899999999999994"/>
  </r>
  <r>
    <x v="5"/>
    <x v="163"/>
    <x v="0"/>
    <x v="1"/>
    <m/>
    <m/>
    <s v="ROD, HARRIS SILVER "/>
    <s v="IM-000098"/>
    <n v="2"/>
    <n v="28"/>
    <m/>
    <n v="56"/>
    <x v="0"/>
    <n v="30"/>
    <n v="19"/>
    <n v="38"/>
    <n v="39.14"/>
    <n v="16.86"/>
    <n v="0"/>
    <x v="56"/>
    <x v="0"/>
    <e v="#REF!"/>
    <e v="#REF!"/>
    <s v=""/>
    <n v="0.30107142857142855"/>
  </r>
  <r>
    <x v="5"/>
    <x v="163"/>
    <x v="0"/>
    <x v="1"/>
    <m/>
    <m/>
    <s v="REF_DRIER, OMNI WELDED TYPE  SINGLE"/>
    <s v="GE-000005"/>
    <n v="1"/>
    <n v="60"/>
    <m/>
    <n v="60"/>
    <x v="0"/>
    <n v="58.800000000000004"/>
    <n v="28"/>
    <n v="28"/>
    <n v="29.400000000000002"/>
    <n v="30.599999999999998"/>
    <n v="0"/>
    <x v="73"/>
    <x v="1"/>
    <e v="#REF!"/>
    <e v="#REF!"/>
    <s v=""/>
    <n v="0.51"/>
  </r>
  <r>
    <x v="5"/>
    <x v="163"/>
    <x v="1"/>
    <x v="3"/>
    <m/>
    <m/>
    <s v="ROD, NIHONWELD ALUMINUM "/>
    <s v="IM-000100"/>
    <n v="6"/>
    <n v="15"/>
    <m/>
    <n v="90"/>
    <x v="0"/>
    <n v="11"/>
    <n v="7"/>
    <n v="42"/>
    <n v="43.26"/>
    <n v="46.74"/>
    <n v="14.022"/>
    <x v="56"/>
    <x v="0"/>
    <e v="#REF!"/>
    <e v="#REF!"/>
    <s v=""/>
    <n v="0.51933333333333331"/>
  </r>
  <r>
    <x v="5"/>
    <x v="163"/>
    <x v="0"/>
    <x v="32"/>
    <m/>
    <m/>
    <s v="REFRIGERANT, POKKA R32, 600 GRMS  05/09/26"/>
    <s v="GE-000509"/>
    <n v="1"/>
    <n v="680"/>
    <m/>
    <n v="680"/>
    <x v="0"/>
    <n v="756"/>
    <n v="480"/>
    <n v="480"/>
    <n v="504"/>
    <n v="176"/>
    <n v="0"/>
    <x v="5"/>
    <x v="1"/>
    <e v="#REF!"/>
    <e v="#REF!"/>
    <s v=""/>
    <n v="0.25882352941176473"/>
  </r>
  <r>
    <x v="5"/>
    <x v="163"/>
    <x v="1"/>
    <x v="5"/>
    <m/>
    <m/>
    <s v="AC FILTER DRIER , GENESSO 5/8 FLARE TYPE 165FT"/>
    <s v="GE-000010"/>
    <n v="2"/>
    <n v="650"/>
    <m/>
    <n v="1300"/>
    <x v="0"/>
    <n v="621"/>
    <n v="215"/>
    <n v="430"/>
    <n v="451.5"/>
    <n v="848.5"/>
    <n v="254.54999999999998"/>
    <x v="66"/>
    <x v="1"/>
    <e v="#REF!"/>
    <e v="#REF!"/>
    <s v=""/>
    <n v="0.65269230769230768"/>
  </r>
  <r>
    <x v="5"/>
    <x v="163"/>
    <x v="1"/>
    <x v="5"/>
    <m/>
    <m/>
    <s v="CHARGING_VALVE,  LOW"/>
    <s v="GE-000092"/>
    <n v="2"/>
    <n v="100"/>
    <m/>
    <n v="200"/>
    <x v="0"/>
    <n v="92"/>
    <n v="35"/>
    <n v="70"/>
    <n v="73.5"/>
    <n v="126.5"/>
    <n v="37.949999999999996"/>
    <x v="40"/>
    <x v="1"/>
    <e v="#REF!"/>
    <e v="#REF!"/>
    <s v=""/>
    <n v="0.63249999999999995"/>
  </r>
  <r>
    <x v="5"/>
    <x v="163"/>
    <x v="1"/>
    <x v="5"/>
    <m/>
    <m/>
    <s v="CHARGING_VALVE,  HIGH"/>
    <s v="GE-000119"/>
    <n v="2"/>
    <n v="100"/>
    <m/>
    <n v="200"/>
    <x v="0"/>
    <n v="92"/>
    <n v="35"/>
    <n v="70"/>
    <n v="73.5"/>
    <n v="126.5"/>
    <n v="37.949999999999996"/>
    <x v="40"/>
    <x v="1"/>
    <e v="#REF!"/>
    <e v="#REF!"/>
    <s v=""/>
    <n v="0.63249999999999995"/>
  </r>
  <r>
    <x v="5"/>
    <x v="163"/>
    <x v="1"/>
    <x v="5"/>
    <m/>
    <m/>
    <s v="MAPP_GAS, COOLIB (ISHABELLA) TORCH GAS"/>
    <s v="IM-000317"/>
    <n v="1"/>
    <n v="380"/>
    <m/>
    <n v="380"/>
    <x v="0"/>
    <n v="451"/>
    <n v="250"/>
    <n v="250"/>
    <n v="257.5"/>
    <n v="122.5"/>
    <n v="36.75"/>
    <x v="45"/>
    <x v="0"/>
    <e v="#REF!"/>
    <e v="#REF!"/>
    <s v=""/>
    <n v="0.32236842105263158"/>
  </r>
  <r>
    <x v="5"/>
    <x v="163"/>
    <x v="0"/>
    <x v="10"/>
    <m/>
    <m/>
    <s v="PULLEY_ASSEMBLY, TOYOTA INNOVA DENSO 7PK 2008"/>
    <s v="CA-000242"/>
    <n v="1"/>
    <n v="2200"/>
    <m/>
    <n v="2200"/>
    <x v="0"/>
    <n v="2520"/>
    <n v="1500"/>
    <n v="1500"/>
    <n v="1575"/>
    <n v="625"/>
    <n v="0"/>
    <x v="11"/>
    <x v="2"/>
    <e v="#REF!"/>
    <e v="#REF!"/>
    <s v=""/>
    <n v="0.28409090909090912"/>
  </r>
  <r>
    <x v="5"/>
    <x v="163"/>
    <x v="0"/>
    <x v="10"/>
    <m/>
    <m/>
    <s v="EVAPORATOR, MITSUBISHI MONTERO 2008 (F) (STAL)"/>
    <s v="CA-001744"/>
    <n v="1"/>
    <n v="2000"/>
    <m/>
    <n v="2000"/>
    <x v="0"/>
    <n v="1930"/>
    <n v="1050"/>
    <n v="1050"/>
    <n v="1102.5"/>
    <n v="897.5"/>
    <n v="0"/>
    <x v="10"/>
    <x v="2"/>
    <e v="#REF!"/>
    <e v="#REF!"/>
    <s v=""/>
    <n v="0.44874999999999998"/>
  </r>
  <r>
    <x v="5"/>
    <x v="163"/>
    <x v="0"/>
    <x v="36"/>
    <m/>
    <m/>
    <s v="PULLEY_ASSEMBLY, NISSAN NAVARRA 2011"/>
    <s v="CA-001044"/>
    <n v="1"/>
    <n v="2200"/>
    <m/>
    <n v="2200"/>
    <x v="0"/>
    <n v="2520"/>
    <n v="1500"/>
    <n v="1500"/>
    <n v="1575"/>
    <n v="625"/>
    <n v="0"/>
    <x v="11"/>
    <x v="2"/>
    <e v="#REF!"/>
    <e v="#REF!"/>
    <s v=""/>
    <n v="0.28409090909090912"/>
  </r>
  <r>
    <x v="5"/>
    <x v="163"/>
    <x v="6"/>
    <x v="54"/>
    <m/>
    <m/>
    <s v="TAPE_PE, PICUS Polythelene Tape (White)X 4&quot;"/>
    <s v="IM-000247"/>
    <n v="9"/>
    <n v="125"/>
    <m/>
    <n v="1125"/>
    <x v="0"/>
    <n v="147"/>
    <n v="75"/>
    <n v="675"/>
    <n v="695.25"/>
    <n v="429.75"/>
    <n v="128.92499999999998"/>
    <x v="29"/>
    <x v="0"/>
    <e v="#REF!"/>
    <e v="#REF!"/>
    <s v=""/>
    <n v="0.38200000000000001"/>
  </r>
  <r>
    <x v="5"/>
    <x v="163"/>
    <x v="6"/>
    <x v="54"/>
    <m/>
    <m/>
    <s v="TAPE_FOAM, AEROTAPE 3MM X 50 MM X 9.1 MTR  04/02/25"/>
    <s v="IM-000332"/>
    <n v="1"/>
    <n v="430"/>
    <m/>
    <n v="430"/>
    <x v="0"/>
    <n v="510"/>
    <n v="330"/>
    <n v="330"/>
    <n v="339.90000000000003"/>
    <n v="90.099999999999966"/>
    <n v="27.02999999999999"/>
    <x v="25"/>
    <x v="0"/>
    <e v="#REF!"/>
    <e v="#REF!"/>
    <s v=""/>
    <n v="0.20953488372093015"/>
  </r>
  <r>
    <x v="5"/>
    <x v="164"/>
    <x v="0"/>
    <x v="83"/>
    <m/>
    <m/>
    <s v="EVAPORATOR, HYUNDAI H100 2018"/>
    <s v="CA-000490"/>
    <n v="1"/>
    <n v="2100"/>
    <m/>
    <n v="2100"/>
    <x v="0"/>
    <n v="2665"/>
    <n v="1450"/>
    <n v="1450"/>
    <n v="1522.5"/>
    <n v="577.5"/>
    <n v="0"/>
    <x v="10"/>
    <x v="2"/>
    <e v="#REF!"/>
    <e v="#REF!"/>
    <s v=""/>
    <n v="0.27500000000000002"/>
  </r>
  <r>
    <x v="5"/>
    <x v="164"/>
    <x v="0"/>
    <x v="141"/>
    <m/>
    <m/>
    <s v="COPPER_TUBE_SOFTDRAWN, HAILIANG 0.028 X 3/8 x 15 mtr 06/02/26"/>
    <s v="IM-000327"/>
    <n v="0.2"/>
    <n v="3500"/>
    <m/>
    <n v="700"/>
    <x v="0"/>
    <n v="4774"/>
    <n v="2648"/>
    <n v="529.6"/>
    <n v="545.48800000000006"/>
    <n v="154.51199999999994"/>
    <n v="0"/>
    <x v="0"/>
    <x v="0"/>
    <e v="#REF!"/>
    <e v="#REF!"/>
    <s v=""/>
    <n v="0.2207314285714285"/>
  </r>
  <r>
    <x v="5"/>
    <x v="164"/>
    <x v="0"/>
    <x v="141"/>
    <m/>
    <m/>
    <s v="RUBBER_INSULATION, M-FLEX 1/2&quot; 3/8"/>
    <s v="IM-000231"/>
    <n v="2"/>
    <n v="60"/>
    <m/>
    <n v="120"/>
    <x v="0"/>
    <n v="53"/>
    <n v="37.6"/>
    <n v="75.2"/>
    <n v="77.456000000000003"/>
    <n v="42.543999999999997"/>
    <n v="0"/>
    <x v="22"/>
    <x v="0"/>
    <e v="#REF!"/>
    <e v="#REF!"/>
    <s v=""/>
    <n v="0.35453333333333331"/>
  </r>
  <r>
    <x v="5"/>
    <x v="164"/>
    <x v="0"/>
    <x v="141"/>
    <m/>
    <m/>
    <s v="RUBBER_INSULATION, M-FLEX 1/2&quot; 1/4"/>
    <s v="IM-000229"/>
    <n v="2"/>
    <n v="50"/>
    <m/>
    <n v="100"/>
    <x v="0"/>
    <n v="47"/>
    <n v="33.6"/>
    <n v="67.2"/>
    <n v="69.216000000000008"/>
    <n v="30.783999999999992"/>
    <n v="0"/>
    <x v="22"/>
    <x v="0"/>
    <e v="#REF!"/>
    <e v="#REF!"/>
    <s v=""/>
    <n v="0.30783999999999989"/>
  </r>
  <r>
    <x v="5"/>
    <x v="164"/>
    <x v="0"/>
    <x v="141"/>
    <m/>
    <m/>
    <s v="ROYAL CORD, POWERFLEX 4-CORE, #14 2.0 MM, METER"/>
    <s v="GE-000487"/>
    <n v="4"/>
    <n v="160"/>
    <m/>
    <n v="640"/>
    <x v="0"/>
    <n v="131"/>
    <n v="105"/>
    <n v="420"/>
    <n v="441"/>
    <n v="199"/>
    <n v="0"/>
    <x v="48"/>
    <x v="1"/>
    <e v="#REF!"/>
    <e v="#REF!"/>
    <s v=""/>
    <n v="0.31093749999999998"/>
  </r>
  <r>
    <x v="5"/>
    <x v="164"/>
    <x v="0"/>
    <x v="49"/>
    <m/>
    <m/>
    <s v="AUXIALLIARY_FAN, POKKA 10 BLADES X 12VOLTS"/>
    <s v="CA-000106"/>
    <n v="1"/>
    <n v="650"/>
    <m/>
    <n v="650"/>
    <x v="0"/>
    <n v="772"/>
    <n v="420"/>
    <n v="420"/>
    <n v="441"/>
    <n v="209"/>
    <n v="0"/>
    <x v="16"/>
    <x v="2"/>
    <e v="#REF!"/>
    <e v="#REF!"/>
    <s v=""/>
    <n v="0.32153846153846155"/>
  </r>
  <r>
    <x v="5"/>
    <x v="164"/>
    <x v="0"/>
    <x v="48"/>
    <m/>
    <m/>
    <s v="PRESSURE_SWITCH, FUJIKOKI UNIVERSAL  R12 BLACK "/>
    <s v="CA-001819"/>
    <n v="1"/>
    <n v="350"/>
    <m/>
    <n v="350"/>
    <x v="0"/>
    <n v="268"/>
    <n v="85"/>
    <n v="85"/>
    <n v="89.25"/>
    <n v="260.75"/>
    <n v="0"/>
    <x v="47"/>
    <x v="2"/>
    <e v="#REF!"/>
    <e v="#REF!"/>
    <s v=""/>
    <n v="0.745"/>
  </r>
  <r>
    <x v="5"/>
    <x v="164"/>
    <x v="0"/>
    <x v="23"/>
    <m/>
    <m/>
    <s v="EVAPORATOR, TOYOTA WIGO 16-21"/>
    <s v="CA-001497"/>
    <n v="1"/>
    <n v="2100"/>
    <m/>
    <n v="2100"/>
    <x v="0"/>
    <n v="2389"/>
    <n v="1300"/>
    <n v="1300"/>
    <n v="1365"/>
    <n v="735"/>
    <n v="0"/>
    <x v="10"/>
    <x v="2"/>
    <e v="#REF!"/>
    <e v="#REF!"/>
    <s v=""/>
    <n v="0.35"/>
  </r>
  <r>
    <x v="5"/>
    <x v="164"/>
    <x v="1"/>
    <x v="3"/>
    <m/>
    <m/>
    <s v="REFRIGERANT, ENTALPIA EUROPE R134A 13.6   5/19/26 NBO"/>
    <s v=""/>
    <n v="1"/>
    <n v="8700"/>
    <m/>
    <n v="8700"/>
    <x v="0"/>
    <n v="0"/>
    <n v="0"/>
    <n v="0"/>
    <n v="0"/>
    <n v="8700"/>
    <n v="2610"/>
    <x v="13"/>
    <x v="3"/>
    <e v="#REF!"/>
    <e v="#REF!"/>
    <s v=""/>
    <n v="1"/>
  </r>
  <r>
    <x v="5"/>
    <x v="164"/>
    <x v="1"/>
    <x v="3"/>
    <m/>
    <m/>
    <s v="SHAFT_SEAL, HALLA "/>
    <s v="CA-001262"/>
    <n v="1"/>
    <n v="350"/>
    <m/>
    <n v="350"/>
    <x v="0"/>
    <n v="375"/>
    <n v="150"/>
    <n v="150"/>
    <n v="157.5"/>
    <n v="192.5"/>
    <n v="57.75"/>
    <x v="83"/>
    <x v="2"/>
    <e v="#REF!"/>
    <e v="#REF!"/>
    <s v=""/>
    <n v="0.55000000000000004"/>
  </r>
  <r>
    <x v="5"/>
    <x v="164"/>
    <x v="0"/>
    <x v="58"/>
    <m/>
    <m/>
    <s v="RECEIVER_DRIER_ALUMINUM, YK 2020-2 (ERTIGA)"/>
    <s v="CA-001081"/>
    <n v="1"/>
    <n v="650"/>
    <m/>
    <n v="650"/>
    <x v="0"/>
    <n v="662"/>
    <n v="280"/>
    <n v="280"/>
    <n v="294"/>
    <n v="356"/>
    <n v="0"/>
    <x v="27"/>
    <x v="2"/>
    <e v="#REF!"/>
    <e v="#REF!"/>
    <s v=""/>
    <n v="0.5476923076923077"/>
  </r>
  <r>
    <x v="5"/>
    <x v="164"/>
    <x v="1"/>
    <x v="3"/>
    <m/>
    <m/>
    <s v="RECEIVER_DRIER_STEEL , MAXX 3/8 (O) 4-HOLES"/>
    <s v="CA-001132"/>
    <n v="1"/>
    <n v="500"/>
    <m/>
    <n v="500"/>
    <x v="0"/>
    <n v="399"/>
    <n v="185"/>
    <n v="185"/>
    <n v="194.25"/>
    <n v="305.75"/>
    <n v="91.724999999999994"/>
    <x v="17"/>
    <x v="2"/>
    <e v="#REF!"/>
    <e v="#REF!"/>
    <s v=""/>
    <n v="0.61150000000000004"/>
  </r>
  <r>
    <x v="5"/>
    <x v="164"/>
    <x v="1"/>
    <x v="51"/>
    <m/>
    <m/>
    <s v="REFRIGERANT, ENTALPIA EUROPE R134A 13.6   5/19/26 NBO"/>
    <s v=""/>
    <n v="1"/>
    <n v="8700"/>
    <m/>
    <n v="8700"/>
    <x v="0"/>
    <n v="0"/>
    <n v="0"/>
    <n v="0"/>
    <n v="0"/>
    <n v="8700"/>
    <n v="2610"/>
    <x v="13"/>
    <x v="3"/>
    <e v="#REF!"/>
    <e v="#REF!"/>
    <s v=""/>
    <n v="1"/>
  </r>
  <r>
    <x v="5"/>
    <x v="164"/>
    <x v="2"/>
    <x v="9"/>
    <m/>
    <m/>
    <s v="RECEIVER_DRIER_ALUMINUM, YK 8102 (DENSO 134A S)"/>
    <s v="CA-001098"/>
    <n v="2"/>
    <n v="500"/>
    <m/>
    <n v="1000"/>
    <x v="0"/>
    <n v="461"/>
    <n v="195"/>
    <n v="390"/>
    <n v="409.5"/>
    <n v="590.5"/>
    <n v="177.15"/>
    <x v="27"/>
    <x v="2"/>
    <e v="#REF!"/>
    <e v="#REF!"/>
    <s v=""/>
    <n v="0.59050000000000002"/>
  </r>
  <r>
    <x v="5"/>
    <x v="164"/>
    <x v="2"/>
    <x v="9"/>
    <m/>
    <m/>
    <s v="RECEIVER_DRIER_ALUMINUM, YK 8035 (Hiace)"/>
    <s v="CA-001093"/>
    <n v="1"/>
    <n v="550"/>
    <m/>
    <n v="550"/>
    <x v="0"/>
    <n v="579"/>
    <n v="245"/>
    <n v="245"/>
    <n v="257.25"/>
    <n v="292.75"/>
    <n v="87.825000000000003"/>
    <x v="27"/>
    <x v="2"/>
    <e v="#REF!"/>
    <e v="#REF!"/>
    <s v=""/>
    <n v="0.53227272727272723"/>
  </r>
  <r>
    <x v="5"/>
    <x v="164"/>
    <x v="2"/>
    <x v="9"/>
    <m/>
    <n v="2100"/>
    <s v="EVAPORATOR, MITSUBISHI ADVENTURE LAM  (STAL)"/>
    <s v="CA-001719"/>
    <n v="1"/>
    <n v="1875"/>
    <m/>
    <n v="1875"/>
    <x v="0"/>
    <n v="2536"/>
    <n v="1380"/>
    <n v="1380"/>
    <n v="1449"/>
    <n v="426"/>
    <n v="127.8"/>
    <x v="10"/>
    <x v="2"/>
    <e v="#REF!"/>
    <e v="#REF!"/>
    <n v="2100"/>
    <n v="0.22720000000000001"/>
  </r>
  <r>
    <x v="5"/>
    <x v="164"/>
    <x v="2"/>
    <x v="9"/>
    <m/>
    <m/>
    <s v="EXP. VALVE LT, POKKA 9A62 ADVENTURE"/>
    <s v="CA-001413"/>
    <n v="3"/>
    <n v="550"/>
    <m/>
    <n v="1650"/>
    <x v="0"/>
    <n v="478"/>
    <n v="260"/>
    <n v="780"/>
    <n v="819"/>
    <n v="831"/>
    <n v="249.29999999999998"/>
    <x v="23"/>
    <x v="2"/>
    <e v="#REF!"/>
    <e v="#REF!"/>
    <s v=""/>
    <n v="0.50363636363636366"/>
  </r>
  <r>
    <x v="5"/>
    <x v="164"/>
    <x v="2"/>
    <x v="9"/>
    <m/>
    <m/>
    <s v="EXP. VALVE DC, MITSUBISHI ORING TYPE 1/2 (ADVENTURE)"/>
    <s v="CA-000561"/>
    <n v="1"/>
    <n v="700"/>
    <m/>
    <n v="700"/>
    <x v="0"/>
    <n v="588"/>
    <n v="320"/>
    <n v="320"/>
    <n v="336"/>
    <n v="364"/>
    <n v="109.2"/>
    <x v="46"/>
    <x v="2"/>
    <e v="#REF!"/>
    <e v="#REF!"/>
    <s v=""/>
    <n v="0.52"/>
  </r>
  <r>
    <x v="5"/>
    <x v="164"/>
    <x v="1"/>
    <x v="3"/>
    <m/>
    <m/>
    <s v="FITTINGS, STRAIGHT 134A 5/8"/>
    <s v="CA-000667"/>
    <n v="1"/>
    <n v="45"/>
    <m/>
    <n v="45"/>
    <x v="0"/>
    <n v="39"/>
    <n v="21"/>
    <n v="21"/>
    <n v="22.05"/>
    <n v="22.95"/>
    <n v="6.8849999999999998"/>
    <x v="33"/>
    <x v="2"/>
    <e v="#REF!"/>
    <e v="#REF!"/>
    <s v=""/>
    <n v="0.51"/>
  </r>
  <r>
    <x v="5"/>
    <x v="164"/>
    <x v="0"/>
    <x v="17"/>
    <m/>
    <m/>
    <s v="SYSTEM_CLEANER, Cleanse GREEN 141B 500 ML"/>
    <s v="GE-000369"/>
    <n v="4"/>
    <n v="120"/>
    <m/>
    <n v="480"/>
    <x v="0"/>
    <n v="113"/>
    <n v="65"/>
    <n v="260"/>
    <n v="273"/>
    <n v="207"/>
    <n v="0"/>
    <x v="28"/>
    <x v="1"/>
    <e v="#REF!"/>
    <e v="#REF!"/>
    <s v=""/>
    <n v="0.43125000000000002"/>
  </r>
  <r>
    <x v="5"/>
    <x v="164"/>
    <x v="0"/>
    <x v="17"/>
    <m/>
    <m/>
    <s v="SILICA_GEL, STAL SHORT"/>
    <s v="CA-001638"/>
    <n v="1"/>
    <n v="200"/>
    <m/>
    <n v="200"/>
    <x v="0"/>
    <n v="44"/>
    <n v="22"/>
    <n v="22"/>
    <n v="23.1"/>
    <n v="176.9"/>
    <n v="0"/>
    <x v="37"/>
    <x v="2"/>
    <e v="#REF!"/>
    <e v="#REF!"/>
    <s v=""/>
    <n v="0.88450000000000006"/>
  </r>
  <r>
    <x v="5"/>
    <x v="164"/>
    <x v="0"/>
    <x v="83"/>
    <m/>
    <m/>
    <s v="RECEIVER_DRIER_ALUMINUM, YK 8228 (H100)"/>
    <s v="CA-001110"/>
    <n v="1"/>
    <n v="550"/>
    <m/>
    <n v="550"/>
    <x v="0"/>
    <n v="615"/>
    <n v="260"/>
    <n v="260"/>
    <n v="273"/>
    <n v="277"/>
    <n v="0"/>
    <x v="27"/>
    <x v="2"/>
    <e v="#REF!"/>
    <e v="#REF!"/>
    <s v=""/>
    <n v="0.50363636363636366"/>
  </r>
  <r>
    <x v="5"/>
    <x v="164"/>
    <x v="0"/>
    <x v="83"/>
    <m/>
    <m/>
    <s v="EXP. VALVE LT, POKKA 9A33 H100 STAREX"/>
    <s v="CA-001339"/>
    <n v="1"/>
    <n v="550"/>
    <m/>
    <n v="550"/>
    <x v="0"/>
    <n v="441"/>
    <n v="240"/>
    <n v="240"/>
    <n v="252"/>
    <n v="298"/>
    <n v="0"/>
    <x v="23"/>
    <x v="2"/>
    <e v="#REF!"/>
    <e v="#REF!"/>
    <s v=""/>
    <n v="0.54181818181818187"/>
  </r>
  <r>
    <x v="5"/>
    <x v="165"/>
    <x v="0"/>
    <x v="1"/>
    <m/>
    <m/>
    <s v="COUPLER_QUICK,  HI"/>
    <s v="TL-000015"/>
    <n v="1"/>
    <n v="450"/>
    <m/>
    <n v="450"/>
    <x v="0"/>
    <n v="432"/>
    <n v="235"/>
    <n v="235"/>
    <n v="246.75"/>
    <n v="203.25"/>
    <n v="0"/>
    <x v="64"/>
    <x v="4"/>
    <e v="#REF!"/>
    <e v="#REF!"/>
    <s v=""/>
    <n v="0.45166666666666666"/>
  </r>
  <r>
    <x v="5"/>
    <x v="165"/>
    <x v="0"/>
    <x v="1"/>
    <m/>
    <m/>
    <s v="COUPLER_QUICK,  LOW"/>
    <s v="TL-000016"/>
    <n v="1"/>
    <n v="450"/>
    <m/>
    <n v="450"/>
    <x v="0"/>
    <n v="432"/>
    <n v="235"/>
    <n v="235"/>
    <n v="246.75"/>
    <n v="203.25"/>
    <n v="0"/>
    <x v="64"/>
    <x v="4"/>
    <e v="#REF!"/>
    <e v="#REF!"/>
    <s v=""/>
    <n v="0.45166666666666666"/>
  </r>
  <r>
    <x v="5"/>
    <x v="165"/>
    <x v="0"/>
    <x v="18"/>
    <m/>
    <m/>
    <s v="EVAPORATOR, MITSUBISHI ADVENTURE HS-40A157"/>
    <s v="CA-000510"/>
    <n v="1"/>
    <n v="2100"/>
    <m/>
    <n v="2100"/>
    <x v="0"/>
    <n v="2665"/>
    <n v="1450"/>
    <n v="1450"/>
    <n v="1522.5"/>
    <n v="577.5"/>
    <n v="0"/>
    <x v="10"/>
    <x v="2"/>
    <e v="#REF!"/>
    <e v="#REF!"/>
    <s v=""/>
    <n v="0.27500000000000002"/>
  </r>
  <r>
    <x v="5"/>
    <x v="165"/>
    <x v="0"/>
    <x v="18"/>
    <m/>
    <m/>
    <s v="EXP. VALVE DC, MITSUBISHI ORING TYPE 1/2 (ADVENTURE)"/>
    <s v="CA-000561"/>
    <n v="1"/>
    <n v="700"/>
    <m/>
    <n v="700"/>
    <x v="0"/>
    <n v="588"/>
    <n v="320"/>
    <n v="320"/>
    <n v="336"/>
    <n v="364"/>
    <n v="0"/>
    <x v="46"/>
    <x v="2"/>
    <e v="#REF!"/>
    <e v="#REF!"/>
    <s v=""/>
    <n v="0.52"/>
  </r>
  <r>
    <x v="5"/>
    <x v="165"/>
    <x v="0"/>
    <x v="49"/>
    <m/>
    <m/>
    <s v="EVAPORATOR, TOYOTA INNOVA OLD (F) JBE-0103ZX (STAL)"/>
    <s v="CA-001633"/>
    <n v="1"/>
    <n v="2000"/>
    <m/>
    <n v="2000"/>
    <x v="0"/>
    <n v="1654"/>
    <n v="900"/>
    <n v="900"/>
    <n v="945"/>
    <n v="1055"/>
    <n v="0"/>
    <x v="10"/>
    <x v="2"/>
    <e v="#REF!"/>
    <e v="#REF!"/>
    <s v=""/>
    <n v="0.52749999999999997"/>
  </r>
  <r>
    <x v="5"/>
    <x v="165"/>
    <x v="0"/>
    <x v="49"/>
    <m/>
    <m/>
    <s v="EVAPORATOR, TOYOTA INNOVA OLD (R) JBE-0102X (STAL)"/>
    <s v="CA-001634"/>
    <n v="1"/>
    <n v="1900"/>
    <m/>
    <n v="1900"/>
    <x v="0"/>
    <n v="1470"/>
    <n v="800"/>
    <n v="800"/>
    <n v="840"/>
    <n v="1060"/>
    <n v="0"/>
    <x v="10"/>
    <x v="2"/>
    <e v="#REF!"/>
    <e v="#REF!"/>
    <s v=""/>
    <n v="0.55789473684210522"/>
  </r>
  <r>
    <x v="5"/>
    <x v="165"/>
    <x v="0"/>
    <x v="48"/>
    <m/>
    <m/>
    <s v="REFRIGERANT, ENTALPIA EUROPE R134A 13.6   5/19/26 NBO"/>
    <s v=""/>
    <n v="1"/>
    <n v="8800"/>
    <m/>
    <n v="8800"/>
    <x v="0"/>
    <n v="0"/>
    <n v="0"/>
    <n v="0"/>
    <n v="0"/>
    <n v="8800"/>
    <n v="0"/>
    <x v="13"/>
    <x v="3"/>
    <e v="#REF!"/>
    <e v="#REF!"/>
    <s v=""/>
    <n v="1"/>
  </r>
  <r>
    <x v="5"/>
    <x v="165"/>
    <x v="0"/>
    <x v="48"/>
    <m/>
    <m/>
    <s v="CABIN_FILTER, MITSUBISHI MONTERO 2016"/>
    <s v="CA-001703"/>
    <n v="1"/>
    <n v="450"/>
    <m/>
    <n v="450"/>
    <x v="0"/>
    <n v="567"/>
    <n v="180"/>
    <n v="180"/>
    <n v="189"/>
    <n v="261"/>
    <n v="0"/>
    <x v="12"/>
    <x v="2"/>
    <e v="#REF!"/>
    <e v="#REF!"/>
    <e v="#REF!"/>
    <n v="0"/>
  </r>
  <r>
    <x v="5"/>
    <x v="165"/>
    <x v="4"/>
    <x v="25"/>
    <m/>
    <n v="2200"/>
    <s v="EVAPORATOR, FORD RANGER 12 40A547"/>
    <s v="CA-001833"/>
    <n v="1"/>
    <n v="1965"/>
    <m/>
    <n v="1965"/>
    <x v="0"/>
    <n v="2757"/>
    <n v="1500"/>
    <n v="1500"/>
    <n v="1575"/>
    <n v="390"/>
    <n v="117"/>
    <x v="10"/>
    <x v="2"/>
    <e v="#REF!"/>
    <e v="#REF!"/>
    <n v="2200.8000000000002"/>
    <n v="0.19847328244274809"/>
  </r>
  <r>
    <x v="5"/>
    <x v="165"/>
    <x v="1"/>
    <x v="5"/>
    <m/>
    <m/>
    <s v="REFRIGERANT, ENTALPIA EUROPE R134A 13.6   5/19/26 NBO"/>
    <s v=""/>
    <n v="1"/>
    <n v="8800"/>
    <m/>
    <n v="8800"/>
    <x v="0"/>
    <n v="0"/>
    <n v="0"/>
    <n v="0"/>
    <n v="0"/>
    <n v="8800"/>
    <n v="2640"/>
    <x v="13"/>
    <x v="3"/>
    <e v="#REF!"/>
    <e v="#REF!"/>
    <s v=""/>
    <n v="1"/>
  </r>
  <r>
    <x v="5"/>
    <x v="165"/>
    <x v="0"/>
    <x v="61"/>
    <m/>
    <m/>
    <s v="EVAPORATOR, ISUZU MUX REAR 2012"/>
    <s v="CA-001768"/>
    <n v="1"/>
    <n v="2100"/>
    <m/>
    <n v="2100"/>
    <x v="0"/>
    <n v="2993"/>
    <n v="1500"/>
    <n v="1500"/>
    <n v="1575"/>
    <n v="525"/>
    <n v="0"/>
    <x v="10"/>
    <x v="2"/>
    <e v="#REF!"/>
    <e v="#REF!"/>
    <s v=""/>
    <n v="0.25"/>
  </r>
  <r>
    <x v="5"/>
    <x v="165"/>
    <x v="0"/>
    <x v="48"/>
    <m/>
    <m/>
    <s v="BLOWER_MOTOR, TOYOTA INNOVA OLD F"/>
    <s v="CA-000227"/>
    <n v="1"/>
    <n v="2000"/>
    <m/>
    <n v="2000"/>
    <x v="0"/>
    <n v="2389"/>
    <n v="1300"/>
    <n v="1300"/>
    <n v="1365"/>
    <n v="635"/>
    <n v="0"/>
    <x v="15"/>
    <x v="2"/>
    <e v="#REF!"/>
    <e v="#REF!"/>
    <s v=""/>
    <n v="0.3175"/>
  </r>
  <r>
    <x v="5"/>
    <x v="165"/>
    <x v="0"/>
    <x v="48"/>
    <m/>
    <m/>
    <s v="EXP. VALVE LT, POKKA 9A56 INNOVA F"/>
    <s v="CA-000637"/>
    <n v="1"/>
    <n v="550"/>
    <m/>
    <n v="550"/>
    <x v="0"/>
    <n v="460"/>
    <n v="250"/>
    <n v="250"/>
    <n v="262.5"/>
    <n v="287.5"/>
    <n v="0"/>
    <x v="23"/>
    <x v="2"/>
    <e v="#REF!"/>
    <e v="#REF!"/>
    <s v=""/>
    <n v="0.52272727272727271"/>
  </r>
  <r>
    <x v="5"/>
    <x v="165"/>
    <x v="4"/>
    <x v="25"/>
    <m/>
    <n v="2100"/>
    <s v="EVAPORATOR, HYUNDAI STAREX F RIGHT (STAL)"/>
    <s v="CA-001758"/>
    <n v="1"/>
    <n v="1875"/>
    <m/>
    <n v="1875"/>
    <x v="0"/>
    <n v="2205"/>
    <n v="1200"/>
    <n v="1200"/>
    <n v="1260"/>
    <n v="615"/>
    <n v="184.5"/>
    <x v="10"/>
    <x v="2"/>
    <e v="#REF!"/>
    <e v="#REF!"/>
    <n v="2100"/>
    <n v="0.32800000000000001"/>
  </r>
  <r>
    <x v="5"/>
    <x v="165"/>
    <x v="4"/>
    <x v="25"/>
    <m/>
    <m/>
    <s v="EVAPORATOR, HYUNDAI GRAND STAREX  2010 REAR"/>
    <s v="CA-000488"/>
    <n v="1"/>
    <n v="2100"/>
    <m/>
    <n v="2100"/>
    <x v="0"/>
    <n v="2757"/>
    <n v="1500"/>
    <n v="1500"/>
    <n v="1575"/>
    <n v="525"/>
    <n v="157.5"/>
    <x v="10"/>
    <x v="2"/>
    <e v="#REF!"/>
    <e v="#REF!"/>
    <s v=""/>
    <n v="0.25"/>
  </r>
  <r>
    <x v="5"/>
    <x v="165"/>
    <x v="0"/>
    <x v="8"/>
    <m/>
    <m/>
    <s v="EVAPORATOR, TOYOTA INNOVA OLD (F) JBE-0103ZX (STAL)"/>
    <s v="CA-001633"/>
    <n v="1"/>
    <n v="2000"/>
    <m/>
    <n v="2000"/>
    <x v="0"/>
    <n v="1654"/>
    <n v="900"/>
    <n v="900"/>
    <n v="945"/>
    <n v="1055"/>
    <n v="0"/>
    <x v="10"/>
    <x v="2"/>
    <e v="#REF!"/>
    <e v="#REF!"/>
    <s v=""/>
    <n v="0.52749999999999997"/>
  </r>
  <r>
    <x v="5"/>
    <x v="165"/>
    <x v="0"/>
    <x v="83"/>
    <m/>
    <m/>
    <s v="EXP. VALVE LT, POKKA 9A129B ACCENT"/>
    <s v="CA-000629"/>
    <n v="1"/>
    <n v="600"/>
    <m/>
    <n v="600"/>
    <x v="0"/>
    <n v="625"/>
    <n v="340"/>
    <n v="340"/>
    <n v="357"/>
    <n v="243"/>
    <n v="0"/>
    <x v="23"/>
    <x v="2"/>
    <e v="#REF!"/>
    <e v="#REF!"/>
    <s v=""/>
    <n v="0.40500000000000003"/>
  </r>
  <r>
    <x v="5"/>
    <x v="165"/>
    <x v="0"/>
    <x v="83"/>
    <m/>
    <m/>
    <s v="SILICA_GEL, STAL LONG"/>
    <s v="CA-001637"/>
    <n v="1"/>
    <n v="200"/>
    <m/>
    <n v="200"/>
    <x v="0"/>
    <n v="50"/>
    <n v="25"/>
    <n v="25"/>
    <n v="26.25"/>
    <n v="173.75"/>
    <n v="0"/>
    <x v="37"/>
    <x v="2"/>
    <e v="#REF!"/>
    <e v="#REF!"/>
    <s v=""/>
    <n v="0.86875000000000002"/>
  </r>
  <r>
    <x v="5"/>
    <x v="165"/>
    <x v="0"/>
    <x v="83"/>
    <m/>
    <m/>
    <s v="THERMOSTAT, NEK CAR"/>
    <s v="CA-001647"/>
    <n v="1"/>
    <n v="250"/>
    <m/>
    <n v="250"/>
    <x v="0"/>
    <n v="180"/>
    <n v="90"/>
    <n v="90"/>
    <n v="94.5"/>
    <n v="155.5"/>
    <n v="0"/>
    <x v="31"/>
    <x v="2"/>
    <e v="#REF!"/>
    <e v="#REF!"/>
    <s v=""/>
    <n v="0.622"/>
  </r>
  <r>
    <x v="5"/>
    <x v="165"/>
    <x v="2"/>
    <x v="7"/>
    <m/>
    <m/>
    <s v="PULLEY_ASSEMBLY, TOYOTA VIOS 2014  4PK"/>
    <s v="CA-001397"/>
    <n v="1"/>
    <n v="2000"/>
    <m/>
    <n v="2000"/>
    <x v="0"/>
    <n v="2016"/>
    <n v="1200"/>
    <n v="1200"/>
    <n v="1260"/>
    <n v="740"/>
    <n v="222"/>
    <x v="11"/>
    <x v="2"/>
    <e v="#REF!"/>
    <e v="#REF!"/>
    <s v=""/>
    <n v="0.37"/>
  </r>
  <r>
    <x v="5"/>
    <x v="165"/>
    <x v="0"/>
    <x v="20"/>
    <m/>
    <m/>
    <s v="COPPER_TUBE_SOFTDRAWN, HAILIANG 0.028 X 1/2 x 15 mtr 06/02/26"/>
    <s v="IM-000328"/>
    <n v="0.4"/>
    <n v="4500"/>
    <m/>
    <n v="1800"/>
    <x v="0"/>
    <n v="6554"/>
    <n v="3636"/>
    <n v="1454.4"/>
    <n v="1498.0320000000002"/>
    <n v="301.96799999999985"/>
    <n v="0"/>
    <x v="0"/>
    <x v="0"/>
    <e v="#REF!"/>
    <e v="#REF!"/>
    <s v=""/>
    <n v="0.16775999999999991"/>
  </r>
  <r>
    <x v="5"/>
    <x v="165"/>
    <x v="0"/>
    <x v="20"/>
    <m/>
    <m/>
    <s v="COPPER_TUBE_SOFTDRAWN, EXZEL 0.028 X 1/4 x 15 mtr  05/28/26"/>
    <s v="IM-000329"/>
    <n v="0.4"/>
    <n v="2500"/>
    <m/>
    <n v="1000"/>
    <x v="0"/>
    <n v="3063"/>
    <n v="1699"/>
    <n v="679.6"/>
    <n v="699.98800000000006"/>
    <n v="300.01199999999994"/>
    <n v="0"/>
    <x v="0"/>
    <x v="0"/>
    <e v="#REF!"/>
    <e v="#REF!"/>
    <s v=""/>
    <n v="0.30001199999999995"/>
  </r>
  <r>
    <x v="5"/>
    <x v="165"/>
    <x v="0"/>
    <x v="20"/>
    <m/>
    <m/>
    <s v="RUBBER_INSULATION, M-FLEX 1/2&quot; 1/2"/>
    <s v="IM-000227"/>
    <n v="3"/>
    <n v="70"/>
    <m/>
    <n v="210"/>
    <x v="0"/>
    <n v="65"/>
    <n v="46.4"/>
    <n v="139.19999999999999"/>
    <n v="143.376"/>
    <n v="66.623999999999995"/>
    <n v="0"/>
    <x v="22"/>
    <x v="0"/>
    <e v="#REF!"/>
    <e v="#REF!"/>
    <s v=""/>
    <n v="0.31725714285714285"/>
  </r>
  <r>
    <x v="5"/>
    <x v="165"/>
    <x v="0"/>
    <x v="20"/>
    <m/>
    <m/>
    <s v="RUBBER_INSULATION, M-FLEX 1/2&quot; 1/4"/>
    <s v="IM-000229"/>
    <n v="3"/>
    <n v="50"/>
    <m/>
    <n v="150"/>
    <x v="0"/>
    <n v="47"/>
    <n v="33.6"/>
    <n v="100.80000000000001"/>
    <n v="103.82400000000001"/>
    <n v="46.175999999999988"/>
    <n v="0"/>
    <x v="22"/>
    <x v="0"/>
    <e v="#REF!"/>
    <e v="#REF!"/>
    <s v=""/>
    <n v="0.30783999999999989"/>
  </r>
  <r>
    <x v="5"/>
    <x v="165"/>
    <x v="0"/>
    <x v="20"/>
    <m/>
    <m/>
    <s v="ROYAL CORD, POWERFLEX 4-CORE, #14 2.0 MM, METER"/>
    <s v="GE-000487"/>
    <n v="6"/>
    <n v="160"/>
    <m/>
    <n v="960"/>
    <x v="0"/>
    <n v="131"/>
    <n v="105"/>
    <n v="630"/>
    <n v="661.5"/>
    <n v="298.5"/>
    <n v="0"/>
    <x v="48"/>
    <x v="1"/>
    <e v="#REF!"/>
    <e v="#REF!"/>
    <s v=""/>
    <n v="0.31093749999999998"/>
  </r>
  <r>
    <x v="5"/>
    <x v="165"/>
    <x v="0"/>
    <x v="20"/>
    <m/>
    <m/>
    <s v="TAPE_PE, PICUS Polythelene Tape (White)X 4&quot;"/>
    <s v="IM-000247"/>
    <n v="1"/>
    <n v="125"/>
    <m/>
    <n v="125"/>
    <x v="0"/>
    <n v="147"/>
    <n v="75"/>
    <n v="75"/>
    <n v="77.25"/>
    <n v="47.75"/>
    <n v="0"/>
    <x v="29"/>
    <x v="0"/>
    <e v="#REF!"/>
    <e v="#REF!"/>
    <s v=""/>
    <n v="0.38200000000000001"/>
  </r>
  <r>
    <x v="5"/>
    <x v="165"/>
    <x v="0"/>
    <x v="20"/>
    <m/>
    <m/>
    <s v="BOLT &amp; NUT, TOX WITH METAL SCREW #8"/>
    <s v="GE-000404"/>
    <n v="20"/>
    <n v="6"/>
    <m/>
    <n v="120"/>
    <x v="0"/>
    <n v="3"/>
    <n v="1.25"/>
    <n v="25"/>
    <n v="26.25"/>
    <n v="93.75"/>
    <n v="0"/>
    <x v="57"/>
    <x v="1"/>
    <e v="#REF!"/>
    <e v="#REF!"/>
    <s v=""/>
    <n v="0.78125"/>
  </r>
  <r>
    <x v="5"/>
    <x v="165"/>
    <x v="4"/>
    <x v="25"/>
    <m/>
    <m/>
    <s v="BLOWER_MOTOR, TOYOTA VIOS BATMAN/ AVANZA"/>
    <s v="CA-000230"/>
    <n v="1"/>
    <n v="2000"/>
    <m/>
    <n v="2000"/>
    <x v="0"/>
    <n v="2389"/>
    <n v="1300"/>
    <n v="1300"/>
    <n v="1365"/>
    <n v="635"/>
    <n v="190.5"/>
    <x v="15"/>
    <x v="2"/>
    <e v="#REF!"/>
    <e v="#REF!"/>
    <s v=""/>
    <n v="0.3175"/>
  </r>
  <r>
    <x v="5"/>
    <x v="165"/>
    <x v="0"/>
    <x v="72"/>
    <m/>
    <m/>
    <s v="EVAPORATOR, SUBARU FORESTER (STAL)"/>
    <s v="CA-001748"/>
    <n v="1"/>
    <n v="1950"/>
    <m/>
    <n v="1950"/>
    <x v="0"/>
    <n v="2114"/>
    <n v="1150"/>
    <n v="1150"/>
    <n v="1207.5"/>
    <n v="742.5"/>
    <n v="0"/>
    <x v="10"/>
    <x v="2"/>
    <e v="#REF!"/>
    <e v="#REF!"/>
    <s v=""/>
    <n v="0.38076923076923075"/>
  </r>
  <r>
    <x v="5"/>
    <x v="165"/>
    <x v="1"/>
    <x v="5"/>
    <m/>
    <m/>
    <s v="HALF_UNION, R12 (F) 5/8&quot;"/>
    <s v="CA-000684"/>
    <n v="4"/>
    <n v="45"/>
    <m/>
    <n v="180"/>
    <x v="0"/>
    <n v="30"/>
    <n v="16"/>
    <n v="64"/>
    <n v="67.2"/>
    <n v="112.8"/>
    <n v="33.839999999999996"/>
    <x v="6"/>
    <x v="2"/>
    <e v="#REF!"/>
    <e v="#REF!"/>
    <s v=""/>
    <n v="0.62666666666666671"/>
  </r>
  <r>
    <x v="5"/>
    <x v="165"/>
    <x v="1"/>
    <x v="5"/>
    <m/>
    <m/>
    <s v="CHARGING_VALVE,  HIGH"/>
    <s v="GE-000119"/>
    <n v="4"/>
    <n v="100"/>
    <m/>
    <n v="400"/>
    <x v="0"/>
    <n v="92"/>
    <n v="35"/>
    <n v="140"/>
    <n v="147"/>
    <n v="253"/>
    <n v="75.899999999999991"/>
    <x v="40"/>
    <x v="1"/>
    <e v="#REF!"/>
    <e v="#REF!"/>
    <s v=""/>
    <n v="0.63249999999999995"/>
  </r>
  <r>
    <x v="5"/>
    <x v="165"/>
    <x v="1"/>
    <x v="5"/>
    <m/>
    <m/>
    <s v="CHARGING_VALVE,  LOW"/>
    <s v="GE-000092"/>
    <n v="4"/>
    <n v="100"/>
    <m/>
    <n v="400"/>
    <x v="0"/>
    <n v="92"/>
    <n v="35"/>
    <n v="140"/>
    <n v="147"/>
    <n v="253"/>
    <n v="75.899999999999991"/>
    <x v="40"/>
    <x v="1"/>
    <e v="#REF!"/>
    <e v="#REF!"/>
    <s v=""/>
    <n v="0.63249999999999995"/>
  </r>
  <r>
    <x v="5"/>
    <x v="165"/>
    <x v="1"/>
    <x v="5"/>
    <m/>
    <m/>
    <s v="SYSTEM_CLEANER, Cleanse GREEN 141B 500 ML"/>
    <s v="GE-000369"/>
    <n v="5"/>
    <n v="120"/>
    <m/>
    <n v="600"/>
    <x v="0"/>
    <n v="113"/>
    <n v="65"/>
    <n v="325"/>
    <n v="341.25"/>
    <n v="258.75"/>
    <n v="77.625"/>
    <x v="28"/>
    <x v="1"/>
    <e v="#REF!"/>
    <e v="#REF!"/>
    <s v=""/>
    <n v="0.43125000000000002"/>
  </r>
  <r>
    <x v="5"/>
    <x v="165"/>
    <x v="1"/>
    <x v="5"/>
    <m/>
    <m/>
    <s v="LUBRICANT, EMKARATE RL 68H, 1 LITER"/>
    <s v="GE-000135"/>
    <n v="1"/>
    <n v="450"/>
    <m/>
    <n v="450"/>
    <x v="0"/>
    <n v="331"/>
    <n v="180"/>
    <n v="180"/>
    <n v="189"/>
    <n v="261"/>
    <n v="78.3"/>
    <x v="9"/>
    <x v="1"/>
    <e v="#REF!"/>
    <e v="#REF!"/>
    <s v=""/>
    <n v="0.57999999999999996"/>
  </r>
  <r>
    <x v="5"/>
    <x v="165"/>
    <x v="1"/>
    <x v="5"/>
    <m/>
    <m/>
    <s v="TAPE_FOAM, AEROTAPE 3MM X 50 MM X 9.1 MTR  04/02/25"/>
    <s v="IM-000332"/>
    <n v="1"/>
    <n v="430"/>
    <m/>
    <n v="430"/>
    <x v="0"/>
    <n v="510"/>
    <n v="330"/>
    <n v="330"/>
    <n v="339.90000000000003"/>
    <n v="90.099999999999966"/>
    <n v="27.02999999999999"/>
    <x v="25"/>
    <x v="0"/>
    <e v="#REF!"/>
    <e v="#REF!"/>
    <s v=""/>
    <n v="0.20953488372093015"/>
  </r>
  <r>
    <x v="5"/>
    <x v="165"/>
    <x v="0"/>
    <x v="11"/>
    <m/>
    <m/>
    <s v="THERMOSTAT SWITCH, MITSUBISHI L300 NEW"/>
    <s v="CA-001827"/>
    <n v="1"/>
    <n v="2500"/>
    <m/>
    <n v="2500"/>
    <x v="0"/>
    <n v="1785"/>
    <n v="850"/>
    <n v="850"/>
    <n v="892.5"/>
    <n v="1607.5"/>
    <n v="0"/>
    <x v="53"/>
    <x v="2"/>
    <e v="#REF!"/>
    <e v="#REF!"/>
    <s v=""/>
    <n v="0.64300000000000002"/>
  </r>
  <r>
    <x v="5"/>
    <x v="166"/>
    <x v="0"/>
    <x v="49"/>
    <m/>
    <m/>
    <s v="EVAPORATOR, NISSAN NV350 (STAL)"/>
    <s v="CA-001660"/>
    <n v="1"/>
    <n v="2100"/>
    <m/>
    <n v="2100"/>
    <x v="0"/>
    <n v="2022"/>
    <n v="1100"/>
    <n v="1100"/>
    <n v="1155"/>
    <n v="945"/>
    <n v="0"/>
    <x v="10"/>
    <x v="2"/>
    <e v="#REF!"/>
    <e v="#REF!"/>
    <s v=""/>
    <n v="0.45"/>
  </r>
  <r>
    <x v="5"/>
    <x v="166"/>
    <x v="0"/>
    <x v="49"/>
    <m/>
    <m/>
    <s v="CABIN_FILTER, NISSAN NV350"/>
    <s v="CA-001711"/>
    <n v="1"/>
    <n v="350"/>
    <m/>
    <n v="350"/>
    <x v="0"/>
    <n v="315"/>
    <n v="100"/>
    <n v="100"/>
    <n v="105"/>
    <n v="245"/>
    <n v="0"/>
    <x v="12"/>
    <x v="2"/>
    <e v="#REF!"/>
    <e v="#REF!"/>
    <e v="#REF!"/>
    <n v="0"/>
  </r>
  <r>
    <x v="5"/>
    <x v="166"/>
    <x v="0"/>
    <x v="49"/>
    <m/>
    <m/>
    <s v="EXP. VALVE LT, POKKA 9A57 INNOVA R"/>
    <s v="CA-000638"/>
    <n v="1"/>
    <n v="550"/>
    <m/>
    <n v="550"/>
    <x v="0"/>
    <n v="460"/>
    <n v="250"/>
    <n v="250"/>
    <n v="262.5"/>
    <n v="287.5"/>
    <n v="0"/>
    <x v="23"/>
    <x v="2"/>
    <e v="#REF!"/>
    <e v="#REF!"/>
    <s v=""/>
    <n v="0.52272727272727271"/>
  </r>
  <r>
    <x v="5"/>
    <x v="166"/>
    <x v="0"/>
    <x v="1"/>
    <m/>
    <m/>
    <s v="REFRIGERANT, NO BRAND ORANGE 410A,  650 GRAMS"/>
    <s v="GE-000149"/>
    <n v="2"/>
    <n v="675"/>
    <m/>
    <n v="1350"/>
    <x v="0"/>
    <n v="756"/>
    <n v="300"/>
    <n v="600"/>
    <n v="630"/>
    <n v="720"/>
    <n v="0"/>
    <x v="5"/>
    <x v="1"/>
    <e v="#REF!"/>
    <e v="#REF!"/>
    <s v=""/>
    <n v="0.53333333333333333"/>
  </r>
  <r>
    <x v="5"/>
    <x v="166"/>
    <x v="0"/>
    <x v="77"/>
    <m/>
    <m/>
    <s v="EXP. VALVE LT, POKKA 9A57 INNOVA R"/>
    <s v="CA-000638"/>
    <n v="1"/>
    <n v="550"/>
    <m/>
    <n v="550"/>
    <x v="0"/>
    <n v="460"/>
    <n v="250"/>
    <n v="250"/>
    <n v="262.5"/>
    <n v="287.5"/>
    <n v="0"/>
    <x v="23"/>
    <x v="2"/>
    <e v="#REF!"/>
    <e v="#REF!"/>
    <s v=""/>
    <n v="0.52272727272727271"/>
  </r>
  <r>
    <x v="5"/>
    <x v="166"/>
    <x v="0"/>
    <x v="84"/>
    <m/>
    <m/>
    <s v="AUXFAN_MOTOR, HONDA CRV (3070 / 3130)"/>
    <s v="CA-000007"/>
    <n v="1"/>
    <n v="1600"/>
    <m/>
    <n v="1600"/>
    <x v="0"/>
    <n v="1654"/>
    <n v="900"/>
    <n v="900"/>
    <n v="945"/>
    <n v="655"/>
    <n v="0"/>
    <x v="14"/>
    <x v="2"/>
    <e v="#REF!"/>
    <e v="#REF!"/>
    <s v=""/>
    <n v="0.40937499999999999"/>
  </r>
  <r>
    <x v="5"/>
    <x v="166"/>
    <x v="1"/>
    <x v="3"/>
    <m/>
    <m/>
    <s v="RECEIVER_DRIER_STEEL , STAL 3/8 (O) 4-HOLES"/>
    <s v="CA-000244"/>
    <n v="1"/>
    <n v="500"/>
    <m/>
    <n v="500"/>
    <x v="0"/>
    <n v="237"/>
    <n v="110"/>
    <n v="110"/>
    <n v="115.5"/>
    <n v="384.5"/>
    <n v="115.35"/>
    <x v="17"/>
    <x v="2"/>
    <e v="#REF!"/>
    <e v="#REF!"/>
    <s v=""/>
    <n v="0.76900000000000002"/>
  </r>
  <r>
    <x v="5"/>
    <x v="166"/>
    <x v="3"/>
    <x v="12"/>
    <m/>
    <n v="1900"/>
    <s v="EVAPORATOR, TOYOTA INNOVA NEW (R) JBE-0125ZX (STAL)"/>
    <s v="CA-001632"/>
    <n v="1"/>
    <n v="1700"/>
    <m/>
    <n v="1700"/>
    <x v="0"/>
    <n v="1379"/>
    <n v="750"/>
    <n v="750"/>
    <n v="787.5"/>
    <n v="912.5"/>
    <n v="273.75"/>
    <x v="10"/>
    <x v="2"/>
    <e v="#REF!"/>
    <e v="#REF!"/>
    <n v="1904.0000000000002"/>
    <n v="0.53676470588235292"/>
  </r>
  <r>
    <x v="5"/>
    <x v="166"/>
    <x v="0"/>
    <x v="1"/>
    <m/>
    <m/>
    <s v="ROD, HARRIS SILVER "/>
    <s v="IM-000098"/>
    <n v="2"/>
    <n v="28"/>
    <m/>
    <n v="56"/>
    <x v="0"/>
    <n v="30"/>
    <n v="19"/>
    <n v="38"/>
    <n v="39.14"/>
    <n v="16.86"/>
    <n v="0"/>
    <x v="56"/>
    <x v="0"/>
    <e v="#REF!"/>
    <e v="#REF!"/>
    <s v=""/>
    <n v="0.30107142857142855"/>
  </r>
  <r>
    <x v="5"/>
    <x v="166"/>
    <x v="0"/>
    <x v="83"/>
    <m/>
    <m/>
    <s v="THERMOSTAT, NEK CAR"/>
    <s v="CA-001647"/>
    <n v="1"/>
    <n v="250"/>
    <m/>
    <n v="250"/>
    <x v="0"/>
    <n v="180"/>
    <n v="90"/>
    <n v="90"/>
    <n v="94.5"/>
    <n v="155.5"/>
    <n v="0"/>
    <x v="31"/>
    <x v="2"/>
    <e v="#REF!"/>
    <e v="#REF!"/>
    <s v=""/>
    <n v="0.622"/>
  </r>
  <r>
    <x v="5"/>
    <x v="166"/>
    <x v="0"/>
    <x v="49"/>
    <m/>
    <m/>
    <s v="EXP. VALVE LT, POKKA 9A129B ACCENT"/>
    <s v="CA-000629"/>
    <n v="1"/>
    <n v="600"/>
    <m/>
    <n v="600"/>
    <x v="0"/>
    <n v="625"/>
    <n v="340"/>
    <n v="340"/>
    <n v="357"/>
    <n v="243"/>
    <n v="0"/>
    <x v="23"/>
    <x v="2"/>
    <e v="#REF!"/>
    <e v="#REF!"/>
    <s v=""/>
    <n v="0.40500000000000003"/>
  </r>
  <r>
    <x v="5"/>
    <x v="166"/>
    <x v="0"/>
    <x v="49"/>
    <m/>
    <m/>
    <s v="FERULLE,  1/2&quot;"/>
    <s v="CA-000644"/>
    <n v="2"/>
    <n v="15"/>
    <m/>
    <n v="30"/>
    <x v="0"/>
    <n v="13"/>
    <n v="7"/>
    <n v="14"/>
    <n v="14.700000000000001"/>
    <n v="15.299999999999999"/>
    <n v="0"/>
    <x v="42"/>
    <x v="2"/>
    <e v="#REF!"/>
    <e v="#REF!"/>
    <s v=""/>
    <n v="0.51"/>
  </r>
  <r>
    <x v="5"/>
    <x v="166"/>
    <x v="0"/>
    <x v="49"/>
    <m/>
    <m/>
    <s v="HOSE, COOLMATE 1/2 DISCHARGE PER FT"/>
    <s v="GE-000179"/>
    <n v="2"/>
    <n v="90"/>
    <m/>
    <n v="180"/>
    <x v="0"/>
    <n v="80"/>
    <n v="43"/>
    <n v="86"/>
    <n v="90.3"/>
    <n v="89.7"/>
    <n v="0"/>
    <x v="19"/>
    <x v="1"/>
    <e v="#REF!"/>
    <e v="#REF!"/>
    <s v=""/>
    <n v="0.49833333333333335"/>
  </r>
  <r>
    <x v="5"/>
    <x v="166"/>
    <x v="0"/>
    <x v="49"/>
    <m/>
    <m/>
    <s v="FITTINGS, STRAIGHT FLARE TYPE 1/2"/>
    <s v="CA-000671"/>
    <n v="2"/>
    <n v="40"/>
    <m/>
    <n v="80"/>
    <x v="0"/>
    <n v="30"/>
    <n v="16"/>
    <n v="32"/>
    <n v="33.6"/>
    <n v="46.4"/>
    <n v="0"/>
    <x v="33"/>
    <x v="2"/>
    <e v="#REF!"/>
    <e v="#REF!"/>
    <e v="#REF!"/>
    <n v="0"/>
  </r>
  <r>
    <x v="5"/>
    <x v="166"/>
    <x v="0"/>
    <x v="49"/>
    <m/>
    <m/>
    <s v="FITTINGS, STRAIGHT ORING TYPE 1/2"/>
    <s v="CA-000674"/>
    <n v="2"/>
    <n v="40"/>
    <m/>
    <n v="80"/>
    <x v="0"/>
    <n v="30"/>
    <n v="16"/>
    <n v="32"/>
    <n v="33.6"/>
    <n v="46.4"/>
    <n v="0"/>
    <x v="33"/>
    <x v="2"/>
    <e v="#REF!"/>
    <e v="#REF!"/>
    <e v="#REF!"/>
    <n v="0"/>
  </r>
  <r>
    <x v="5"/>
    <x v="166"/>
    <x v="2"/>
    <x v="9"/>
    <m/>
    <m/>
    <s v="BLOWER_MOTOR, TOYOTA INNOVA NEW R"/>
    <s v="CA-000226"/>
    <n v="1"/>
    <n v="1900"/>
    <m/>
    <n v="1900"/>
    <x v="0"/>
    <n v="2665"/>
    <n v="1450"/>
    <n v="1450"/>
    <n v="1522.5"/>
    <n v="377.5"/>
    <n v="113.25"/>
    <x v="15"/>
    <x v="2"/>
    <e v="#REF!"/>
    <e v="#REF!"/>
    <s v=""/>
    <n v="0.1986842105263158"/>
  </r>
  <r>
    <x v="5"/>
    <x v="166"/>
    <x v="2"/>
    <x v="9"/>
    <m/>
    <m/>
    <s v="TAPE, EVER SEAL CORK TAPE"/>
    <s v="GE-000344"/>
    <n v="2"/>
    <n v="260"/>
    <m/>
    <n v="520"/>
    <x v="0"/>
    <n v="226"/>
    <n v="130"/>
    <n v="260"/>
    <n v="273"/>
    <n v="247"/>
    <n v="74.099999999999994"/>
    <x v="41"/>
    <x v="1"/>
    <e v="#REF!"/>
    <e v="#REF!"/>
    <s v=""/>
    <n v="0.47499999999999998"/>
  </r>
  <r>
    <x v="5"/>
    <x v="166"/>
    <x v="6"/>
    <x v="147"/>
    <m/>
    <m/>
    <s v="REFRIGERANT, EUFRON 507  11.3 KGS "/>
    <s v="GE-000511"/>
    <n v="2"/>
    <n v="7900"/>
    <m/>
    <n v="15800"/>
    <x v="0"/>
    <n v="6552"/>
    <n v="5200"/>
    <n v="10400"/>
    <n v="10920"/>
    <n v="4880"/>
    <n v="1464"/>
    <x v="5"/>
    <x v="1"/>
    <e v="#REF!"/>
    <e v="#REF!"/>
    <e v="#REF!"/>
    <n v="0"/>
  </r>
  <r>
    <x v="5"/>
    <x v="166"/>
    <x v="6"/>
    <x v="147"/>
    <m/>
    <m/>
    <s v="REFRIGERANT, EUFRON 507  11.3 KGS 06/18/26"/>
    <s v="GE-000518"/>
    <n v="3"/>
    <n v="7900"/>
    <m/>
    <n v="23700"/>
    <x v="0"/>
    <n v="8820"/>
    <n v="7000"/>
    <n v="21000"/>
    <n v="22050"/>
    <n v="1650"/>
    <n v="495"/>
    <x v="5"/>
    <x v="1"/>
    <e v="#REF!"/>
    <e v="#REF!"/>
    <e v="#REF!"/>
    <n v="0"/>
  </r>
  <r>
    <x v="5"/>
    <x v="166"/>
    <x v="0"/>
    <x v="2"/>
    <m/>
    <m/>
    <s v="DRAIN_PUMP, KING PUMP HIPPO 2 (SMALL), 3M"/>
    <s v="GE-000100"/>
    <n v="1"/>
    <n v="2500"/>
    <m/>
    <n v="2500"/>
    <x v="0"/>
    <n v="2757"/>
    <n v="1500"/>
    <n v="1500"/>
    <n v="1575"/>
    <n v="925"/>
    <n v="0"/>
    <x v="21"/>
    <x v="1"/>
    <e v="#REF!"/>
    <e v="#REF!"/>
    <s v=""/>
    <n v="0.37"/>
  </r>
  <r>
    <x v="5"/>
    <x v="167"/>
    <x v="0"/>
    <x v="1"/>
    <m/>
    <m/>
    <s v="COPPER_TUBE_SOFTDRAWN, EXZEL 0.028 X 1/4 x 15 mtr  05/28/26"/>
    <s v="IM-000329"/>
    <n v="0.2"/>
    <n v="2500"/>
    <m/>
    <n v="500"/>
    <x v="0"/>
    <n v="3063"/>
    <n v="1699"/>
    <n v="339.8"/>
    <n v="349.99400000000003"/>
    <n v="150.00599999999997"/>
    <n v="0"/>
    <x v="0"/>
    <x v="0"/>
    <e v="#REF!"/>
    <e v="#REF!"/>
    <s v=""/>
    <n v="0.30001199999999995"/>
  </r>
  <r>
    <x v="5"/>
    <x v="167"/>
    <x v="0"/>
    <x v="1"/>
    <m/>
    <m/>
    <s v="COPPER_TUBE_SOFTDRAWN, HAILIANG 0.028 X 5/8 x 15 mtr 04/25/26"/>
    <s v=""/>
    <n v="0.2"/>
    <n v="5500"/>
    <m/>
    <n v="1100"/>
    <x v="0"/>
    <n v="0"/>
    <n v="0"/>
    <n v="0"/>
    <n v="0"/>
    <n v="1100"/>
    <n v="0"/>
    <x v="13"/>
    <x v="3"/>
    <e v="#REF!"/>
    <e v="#REF!"/>
    <s v=""/>
    <n v="1"/>
  </r>
  <r>
    <x v="5"/>
    <x v="167"/>
    <x v="0"/>
    <x v="1"/>
    <m/>
    <m/>
    <s v="RUBBER_INSULATION, M-FLEX 1/2&quot; 1/4"/>
    <s v="IM-000229"/>
    <n v="2"/>
    <n v="50"/>
    <m/>
    <n v="100"/>
    <x v="0"/>
    <n v="47"/>
    <n v="33.6"/>
    <n v="67.2"/>
    <n v="69.216000000000008"/>
    <n v="30.783999999999992"/>
    <n v="0"/>
    <x v="22"/>
    <x v="0"/>
    <e v="#REF!"/>
    <e v="#REF!"/>
    <s v=""/>
    <n v="0.30783999999999989"/>
  </r>
  <r>
    <x v="5"/>
    <x v="167"/>
    <x v="0"/>
    <x v="1"/>
    <m/>
    <m/>
    <s v="RUBBER_INSULATION, M-FLEX 1/2&quot; 5/8"/>
    <s v="IM-000232"/>
    <n v="2"/>
    <n v="80"/>
    <m/>
    <n v="160"/>
    <x v="0"/>
    <n v="77"/>
    <n v="55.2"/>
    <n v="110.4"/>
    <n v="113.712"/>
    <n v="46.287999999999997"/>
    <n v="0"/>
    <x v="22"/>
    <x v="0"/>
    <e v="#REF!"/>
    <e v="#REF!"/>
    <s v=""/>
    <n v="0.2893"/>
  </r>
  <r>
    <x v="5"/>
    <x v="167"/>
    <x v="0"/>
    <x v="1"/>
    <m/>
    <m/>
    <s v="TAPE_PE, PICUS Polythelene Tape (White)X 4&quot;"/>
    <s v="IM-000247"/>
    <n v="1"/>
    <n v="120"/>
    <m/>
    <n v="120"/>
    <x v="0"/>
    <n v="147"/>
    <n v="75"/>
    <n v="75"/>
    <n v="77.25"/>
    <n v="42.75"/>
    <n v="0"/>
    <x v="29"/>
    <x v="0"/>
    <e v="#REF!"/>
    <e v="#REF!"/>
    <s v=""/>
    <n v="0.35625000000000001"/>
  </r>
  <r>
    <x v="5"/>
    <x v="167"/>
    <x v="0"/>
    <x v="1"/>
    <m/>
    <m/>
    <s v="ROD, HARRIS SILVER "/>
    <s v="IM-000098"/>
    <n v="1"/>
    <n v="28"/>
    <m/>
    <n v="28"/>
    <x v="0"/>
    <n v="30"/>
    <n v="19"/>
    <n v="19"/>
    <n v="19.57"/>
    <n v="8.43"/>
    <n v="0"/>
    <x v="56"/>
    <x v="0"/>
    <e v="#REF!"/>
    <e v="#REF!"/>
    <s v=""/>
    <n v="0.30107142857142855"/>
  </r>
  <r>
    <x v="5"/>
    <x v="167"/>
    <x v="0"/>
    <x v="1"/>
    <m/>
    <m/>
    <s v="BRACKET , GB 2HP, COATED"/>
    <s v="IM-000011"/>
    <n v="1"/>
    <n v="460"/>
    <m/>
    <n v="460"/>
    <x v="0"/>
    <n v="532"/>
    <n v="295"/>
    <n v="295"/>
    <n v="303.85000000000002"/>
    <n v="156.14999999999998"/>
    <n v="0"/>
    <x v="1"/>
    <x v="0"/>
    <e v="#REF!"/>
    <e v="#REF!"/>
    <s v=""/>
    <n v="0.33945652173913038"/>
  </r>
  <r>
    <x v="5"/>
    <x v="167"/>
    <x v="0"/>
    <x v="1"/>
    <m/>
    <m/>
    <s v="ACCESS_VALVE, OMNI WELDED TYPE "/>
    <s v="GE-000253"/>
    <n v="1"/>
    <n v="50"/>
    <m/>
    <n v="50"/>
    <x v="0"/>
    <n v="47"/>
    <n v="21"/>
    <n v="21"/>
    <n v="22.05"/>
    <n v="27.95"/>
    <n v="0"/>
    <x v="67"/>
    <x v="1"/>
    <e v="#REF!"/>
    <e v="#REF!"/>
    <s v=""/>
    <n v="0.55899999999999994"/>
  </r>
  <r>
    <x v="5"/>
    <x v="167"/>
    <x v="0"/>
    <x v="1"/>
    <m/>
    <m/>
    <s v="REF_DRIER, OMNI WELDED TYPE  SINGLE"/>
    <s v="GE-000005"/>
    <n v="1"/>
    <n v="60"/>
    <m/>
    <n v="60"/>
    <x v="0"/>
    <n v="58.800000000000004"/>
    <n v="28"/>
    <n v="28"/>
    <n v="29.400000000000002"/>
    <n v="30.599999999999998"/>
    <n v="0"/>
    <x v="73"/>
    <x v="1"/>
    <e v="#REF!"/>
    <e v="#REF!"/>
    <s v=""/>
    <n v="0.51"/>
  </r>
  <r>
    <x v="5"/>
    <x v="167"/>
    <x v="0"/>
    <x v="1"/>
    <m/>
    <m/>
    <s v="REFRIGERANT, FU RYDER R600A CAN, 220 GRAMS"/>
    <s v="GE-000032"/>
    <n v="2"/>
    <n v="180"/>
    <m/>
    <n v="360"/>
    <x v="0"/>
    <n v="177"/>
    <n v="70"/>
    <n v="140"/>
    <n v="147"/>
    <n v="213"/>
    <n v="0"/>
    <x v="5"/>
    <x v="1"/>
    <e v="#REF!"/>
    <e v="#REF!"/>
    <s v=""/>
    <n v="0.59166666666666667"/>
  </r>
  <r>
    <x v="5"/>
    <x v="167"/>
    <x v="0"/>
    <x v="8"/>
    <m/>
    <m/>
    <s v="EVAPORATOR, ISUZU MUX REAR 2012 -2024 ( STAL)"/>
    <s v="CA-001776"/>
    <n v="1"/>
    <n v="2000"/>
    <m/>
    <n v="2000"/>
    <x v="0"/>
    <n v="1995"/>
    <n v="1000"/>
    <n v="1000"/>
    <n v="1050"/>
    <n v="950"/>
    <n v="0"/>
    <x v="10"/>
    <x v="2"/>
    <e v="#REF!"/>
    <e v="#REF!"/>
    <s v=""/>
    <n v="0.47499999999999998"/>
  </r>
  <r>
    <x v="5"/>
    <x v="167"/>
    <x v="0"/>
    <x v="1"/>
    <m/>
    <m/>
    <s v="TAPE_PE, PICUS Polythelene Tape (White)X 4&quot;"/>
    <s v="IM-000247"/>
    <n v="1"/>
    <n v="125"/>
    <m/>
    <n v="125"/>
    <x v="0"/>
    <n v="147"/>
    <n v="75"/>
    <n v="75"/>
    <n v="77.25"/>
    <n v="47.75"/>
    <n v="0"/>
    <x v="29"/>
    <x v="0"/>
    <e v="#REF!"/>
    <e v="#REF!"/>
    <s v=""/>
    <n v="0.38200000000000001"/>
  </r>
  <r>
    <x v="5"/>
    <x v="167"/>
    <x v="0"/>
    <x v="1"/>
    <m/>
    <m/>
    <s v="TAPE_FOAM, AEROTAPE 3MM X 50 MM X 9.1 MTR  04/02/25"/>
    <s v="IM-000332"/>
    <n v="1"/>
    <n v="430"/>
    <m/>
    <n v="430"/>
    <x v="0"/>
    <n v="510"/>
    <n v="330"/>
    <n v="330"/>
    <n v="339.90000000000003"/>
    <n v="90.099999999999966"/>
    <n v="0"/>
    <x v="25"/>
    <x v="0"/>
    <e v="#REF!"/>
    <e v="#REF!"/>
    <s v=""/>
    <n v="0.20953488372093015"/>
  </r>
  <r>
    <x v="5"/>
    <x v="167"/>
    <x v="1"/>
    <x v="3"/>
    <m/>
    <m/>
    <s v="PULLEY_ASSEMBLY, TOYOTA INNOVA DENSO 7PK 2008"/>
    <s v="CA-000242"/>
    <n v="1"/>
    <n v="2000"/>
    <m/>
    <n v="2000"/>
    <x v="0"/>
    <n v="2520"/>
    <n v="1500"/>
    <n v="1500"/>
    <n v="1575"/>
    <n v="425"/>
    <n v="127.5"/>
    <x v="11"/>
    <x v="2"/>
    <e v="#REF!"/>
    <e v="#REF!"/>
    <s v=""/>
    <n v="0.21249999999999999"/>
  </r>
  <r>
    <x v="5"/>
    <x v="167"/>
    <x v="1"/>
    <x v="5"/>
    <m/>
    <m/>
    <s v="REFRIGERANT, ENTALPIA EUROPE R134A 13.6   5/19/26 NBO"/>
    <s v=""/>
    <n v="1"/>
    <n v="8800"/>
    <m/>
    <n v="8800"/>
    <x v="0"/>
    <n v="0"/>
    <n v="0"/>
    <n v="0"/>
    <n v="0"/>
    <n v="8800"/>
    <n v="2640"/>
    <x v="13"/>
    <x v="3"/>
    <e v="#REF!"/>
    <e v="#REF!"/>
    <s v=""/>
    <n v="1"/>
  </r>
  <r>
    <x v="5"/>
    <x v="167"/>
    <x v="0"/>
    <x v="1"/>
    <m/>
    <m/>
    <s v="COPPER_TUBE_SOFTDRAWN, EXZEL 0.028 X 1/4 x 15 mtr  05/28/26"/>
    <s v="IM-000329"/>
    <n v="1"/>
    <n v="1950"/>
    <m/>
    <n v="1950"/>
    <x v="0"/>
    <n v="3063"/>
    <n v="1699"/>
    <n v="1699"/>
    <n v="1749.97"/>
    <n v="200.02999999999997"/>
    <n v="0"/>
    <x v="0"/>
    <x v="0"/>
    <e v="#REF!"/>
    <e v="#REF!"/>
    <s v=""/>
    <n v="0.10257948717948717"/>
  </r>
  <r>
    <x v="5"/>
    <x v="167"/>
    <x v="0"/>
    <x v="1"/>
    <m/>
    <m/>
    <s v="RUBBER_INSULATION, M-FLEX 1/2&quot; 1/4"/>
    <s v="IM-000229"/>
    <n v="5"/>
    <n v="50"/>
    <m/>
    <n v="250"/>
    <x v="0"/>
    <n v="47"/>
    <n v="33.6"/>
    <n v="168"/>
    <n v="173.04"/>
    <n v="76.960000000000008"/>
    <n v="0"/>
    <x v="22"/>
    <x v="0"/>
    <e v="#REF!"/>
    <e v="#REF!"/>
    <s v=""/>
    <n v="0.30784000000000006"/>
  </r>
  <r>
    <x v="5"/>
    <x v="167"/>
    <x v="0"/>
    <x v="11"/>
    <m/>
    <m/>
    <s v="EVAPORATOR, TOYOTA INNOVA NEW (F) JBE-0115ZX (STAL)"/>
    <s v="CA-001631"/>
    <n v="1"/>
    <n v="2100"/>
    <m/>
    <n v="2100"/>
    <x v="0"/>
    <n v="1562"/>
    <n v="850"/>
    <n v="850"/>
    <n v="892.5"/>
    <n v="1207.5"/>
    <n v="0"/>
    <x v="10"/>
    <x v="2"/>
    <e v="#REF!"/>
    <e v="#REF!"/>
    <s v=""/>
    <n v="0.57499999999999996"/>
  </r>
  <r>
    <x v="5"/>
    <x v="167"/>
    <x v="0"/>
    <x v="11"/>
    <m/>
    <m/>
    <s v="SILICA_GEL, DENSO LONG"/>
    <s v="CA-001228"/>
    <n v="1"/>
    <n v="200"/>
    <m/>
    <n v="200"/>
    <x v="0"/>
    <n v="189"/>
    <n v="60"/>
    <n v="60"/>
    <n v="63"/>
    <n v="137"/>
    <n v="0"/>
    <x v="37"/>
    <x v="2"/>
    <e v="#REF!"/>
    <e v="#REF!"/>
    <s v=""/>
    <n v="0.68500000000000005"/>
  </r>
  <r>
    <x v="5"/>
    <x v="167"/>
    <x v="0"/>
    <x v="1"/>
    <m/>
    <m/>
    <s v="AUXFAN_MOTOR, TOYOTA VIOS 14 8030"/>
    <s v="CA-000093"/>
    <n v="1"/>
    <n v="1900"/>
    <m/>
    <n v="1900"/>
    <x v="0"/>
    <n v="2022"/>
    <n v="1100"/>
    <n v="1100"/>
    <n v="1155"/>
    <n v="745"/>
    <n v="0"/>
    <x v="14"/>
    <x v="2"/>
    <e v="#REF!"/>
    <e v="#REF!"/>
    <s v=""/>
    <n v="0.39210526315789473"/>
  </r>
  <r>
    <x v="5"/>
    <x v="167"/>
    <x v="0"/>
    <x v="49"/>
    <m/>
    <m/>
    <s v="EVAPORATOR, ISUZU CROSSWIND (F)"/>
    <s v="CA-000498"/>
    <n v="1"/>
    <n v="1900"/>
    <m/>
    <n v="1900"/>
    <x v="0"/>
    <n v="2297"/>
    <n v="1250"/>
    <n v="1250"/>
    <n v="1312.5"/>
    <n v="587.5"/>
    <n v="0"/>
    <x v="10"/>
    <x v="2"/>
    <e v="#REF!"/>
    <e v="#REF!"/>
    <s v=""/>
    <n v="0.30921052631578949"/>
  </r>
  <r>
    <x v="5"/>
    <x v="167"/>
    <x v="0"/>
    <x v="1"/>
    <m/>
    <m/>
    <s v="REFRIGERANT, ENTALPIA EUROPE R32, 3KGS"/>
    <s v="GE-000475"/>
    <n v="1"/>
    <n v="3000"/>
    <m/>
    <n v="3000"/>
    <x v="0"/>
    <n v="2867"/>
    <n v="2100"/>
    <n v="2100"/>
    <n v="2205"/>
    <n v="795"/>
    <n v="0"/>
    <x v="5"/>
    <x v="1"/>
    <e v="#REF!"/>
    <e v="#REF!"/>
    <s v=""/>
    <n v="0.26500000000000001"/>
  </r>
  <r>
    <x v="5"/>
    <x v="167"/>
    <x v="1"/>
    <x v="3"/>
    <m/>
    <m/>
    <s v="EVAPORATOR, TOYOTA HIACE 08 REAR (STAL)"/>
    <s v="CA-001780"/>
    <n v="1"/>
    <n v="2200"/>
    <m/>
    <n v="2200"/>
    <x v="0"/>
    <n v="2297"/>
    <n v="1250"/>
    <n v="1250"/>
    <n v="1312.5"/>
    <n v="887.5"/>
    <n v="266.25"/>
    <x v="10"/>
    <x v="2"/>
    <e v="#REF!"/>
    <e v="#REF!"/>
    <s v=""/>
    <n v="0.40340909090909088"/>
  </r>
  <r>
    <x v="5"/>
    <x v="167"/>
    <x v="3"/>
    <x v="12"/>
    <m/>
    <n v="2000"/>
    <s v="EVAPORATOR, TOYOTA ALTIS 2003 / RAV 4 (STAL)"/>
    <s v="CA-001241"/>
    <n v="1"/>
    <n v="1786"/>
    <m/>
    <n v="1786"/>
    <x v="0"/>
    <n v="1930"/>
    <n v="1050"/>
    <n v="1050"/>
    <n v="1102.5"/>
    <n v="683.5"/>
    <n v="205.04999999999998"/>
    <x v="10"/>
    <x v="2"/>
    <e v="#REF!"/>
    <e v="#REF!"/>
    <n v="2000.3200000000002"/>
    <n v="0.38269876819708848"/>
  </r>
  <r>
    <x v="5"/>
    <x v="167"/>
    <x v="0"/>
    <x v="148"/>
    <m/>
    <m/>
    <s v="TAPE_PE, PICUS Polythelene Tape (White)X 4&quot;"/>
    <s v="IM-000247"/>
    <n v="3"/>
    <n v="125"/>
    <m/>
    <n v="375"/>
    <x v="0"/>
    <n v="147"/>
    <n v="75"/>
    <n v="225"/>
    <n v="231.75"/>
    <n v="143.25"/>
    <n v="0"/>
    <x v="29"/>
    <x v="0"/>
    <e v="#REF!"/>
    <e v="#REF!"/>
    <e v="#REF!"/>
    <n v="0"/>
  </r>
  <r>
    <x v="5"/>
    <x v="168"/>
    <x v="0"/>
    <x v="49"/>
    <m/>
    <m/>
    <s v="REFRIGERANT, ENTALPIA EUROPE R134A 13.6   5/19/26 NBO"/>
    <s v=""/>
    <n v="1"/>
    <n v="8800"/>
    <m/>
    <n v="8800"/>
    <x v="0"/>
    <n v="0"/>
    <n v="0"/>
    <n v="0"/>
    <n v="0"/>
    <n v="8800"/>
    <n v="0"/>
    <x v="13"/>
    <x v="3"/>
    <e v="#REF!"/>
    <e v="#REF!"/>
    <s v=""/>
    <n v="1"/>
  </r>
  <r>
    <x v="5"/>
    <x v="168"/>
    <x v="4"/>
    <x v="25"/>
    <m/>
    <n v="2000"/>
    <s v="BLOWER_MOTOR, MITSUBISHI EXPANDER"/>
    <s v="CA-000185"/>
    <n v="1"/>
    <n v="1786"/>
    <m/>
    <n v="1786"/>
    <x v="0"/>
    <n v="2573"/>
    <n v="1400"/>
    <n v="1400"/>
    <n v="1470"/>
    <n v="316"/>
    <n v="94.8"/>
    <x v="15"/>
    <x v="2"/>
    <e v="#REF!"/>
    <e v="#REF!"/>
    <n v="2000.3200000000002"/>
    <n v="0.1769316909294513"/>
  </r>
  <r>
    <x v="5"/>
    <x v="168"/>
    <x v="1"/>
    <x v="3"/>
    <m/>
    <m/>
    <s v="PRESSURE_SWITCH, DENSO LANCER BIG"/>
    <s v="CA-000852"/>
    <n v="1"/>
    <n v="250"/>
    <m/>
    <n v="250"/>
    <x v="0"/>
    <n v="536"/>
    <n v="85"/>
    <n v="85"/>
    <n v="89.25"/>
    <n v="160.75"/>
    <n v="48.225000000000001"/>
    <x v="47"/>
    <x v="2"/>
    <e v="#REF!"/>
    <e v="#REF!"/>
    <s v=""/>
    <n v="0.64300000000000002"/>
  </r>
  <r>
    <x v="5"/>
    <x v="168"/>
    <x v="1"/>
    <x v="3"/>
    <m/>
    <m/>
    <s v="RECEIVER_DRIER_ALUMINUM, YK 8025 (Hyundai VTEC,Corolla SD, Nissan)"/>
    <s v="CA-001091"/>
    <n v="1"/>
    <n v="550"/>
    <m/>
    <n v="550"/>
    <x v="0"/>
    <n v="579"/>
    <n v="245"/>
    <n v="245"/>
    <n v="257.25"/>
    <n v="292.75"/>
    <n v="87.825000000000003"/>
    <x v="27"/>
    <x v="2"/>
    <e v="#REF!"/>
    <e v="#REF!"/>
    <s v=""/>
    <n v="0.53227272727272723"/>
  </r>
  <r>
    <x v="5"/>
    <x v="168"/>
    <x v="0"/>
    <x v="36"/>
    <m/>
    <n v="550"/>
    <s v="RECEIVER_DRIER_ALUMINUM, YK 8035 (Hiace)"/>
    <s v="CA-001093"/>
    <n v="1"/>
    <n v="491"/>
    <m/>
    <n v="491"/>
    <x v="0"/>
    <n v="579"/>
    <n v="245"/>
    <n v="245"/>
    <n v="257.25"/>
    <n v="233.75"/>
    <n v="0"/>
    <x v="27"/>
    <x v="2"/>
    <e v="#REF!"/>
    <e v="#REF!"/>
    <n v="549.92000000000007"/>
    <n v="0.47606924643584519"/>
  </r>
  <r>
    <x v="5"/>
    <x v="168"/>
    <x v="0"/>
    <x v="36"/>
    <m/>
    <n v="550"/>
    <s v="EXP. VALVE LT, POKKA 9A244 NISSAN NV350"/>
    <s v="CA-001471"/>
    <n v="1"/>
    <n v="491"/>
    <m/>
    <n v="491"/>
    <x v="0"/>
    <n v="515"/>
    <n v="280"/>
    <n v="280"/>
    <n v="294"/>
    <n v="197"/>
    <n v="0"/>
    <x v="23"/>
    <x v="2"/>
    <e v="#REF!"/>
    <e v="#REF!"/>
    <n v="549.92000000000007"/>
    <n v="0.40122199592668023"/>
  </r>
  <r>
    <x v="5"/>
    <x v="168"/>
    <x v="0"/>
    <x v="1"/>
    <m/>
    <m/>
    <s v="BRACKET , ROBYN STEEL  1HP, COATED  (ISHABELLA)"/>
    <s v="IM-000330"/>
    <n v="1"/>
    <n v="360"/>
    <m/>
    <n v="360"/>
    <x v="0"/>
    <n v="352"/>
    <n v="195"/>
    <n v="195"/>
    <n v="200.85"/>
    <n v="159.15"/>
    <n v="0"/>
    <x v="1"/>
    <x v="0"/>
    <e v="#REF!"/>
    <e v="#REF!"/>
    <s v=""/>
    <n v="0.44208333333333333"/>
  </r>
  <r>
    <x v="5"/>
    <x v="168"/>
    <x v="0"/>
    <x v="72"/>
    <m/>
    <m/>
    <s v="AUXFAN_MOTOR, HONDA CIVIC/BRIO 8671"/>
    <s v="CA-001383"/>
    <n v="1"/>
    <n v="1800"/>
    <m/>
    <n v="1800"/>
    <x v="0"/>
    <n v="2022"/>
    <n v="1100"/>
    <n v="1100"/>
    <n v="1155"/>
    <n v="645"/>
    <n v="0"/>
    <x v="14"/>
    <x v="2"/>
    <e v="#REF!"/>
    <e v="#REF!"/>
    <s v=""/>
    <n v="0.35833333333333334"/>
  </r>
  <r>
    <x v="5"/>
    <x v="168"/>
    <x v="0"/>
    <x v="27"/>
    <m/>
    <m/>
    <s v="RUBBER_INSULATION, M-FLEX 1/2&quot; 1/4"/>
    <s v="IM-000229"/>
    <n v="3"/>
    <n v="50"/>
    <m/>
    <n v="150"/>
    <x v="0"/>
    <n v="47"/>
    <n v="33.6"/>
    <n v="100.80000000000001"/>
    <n v="103.82400000000001"/>
    <n v="46.175999999999988"/>
    <n v="0"/>
    <x v="22"/>
    <x v="0"/>
    <e v="#REF!"/>
    <e v="#REF!"/>
    <s v=""/>
    <n v="0.30783999999999989"/>
  </r>
  <r>
    <x v="5"/>
    <x v="168"/>
    <x v="0"/>
    <x v="27"/>
    <m/>
    <m/>
    <s v="RUBBER_INSULATION, M-FLEX 1/2&quot; 1/2"/>
    <s v="IM-000227"/>
    <n v="3"/>
    <n v="70"/>
    <m/>
    <n v="210"/>
    <x v="0"/>
    <n v="65"/>
    <n v="46.4"/>
    <n v="139.19999999999999"/>
    <n v="143.376"/>
    <n v="66.623999999999995"/>
    <n v="0"/>
    <x v="22"/>
    <x v="0"/>
    <e v="#REF!"/>
    <e v="#REF!"/>
    <s v=""/>
    <n v="0.31725714285714285"/>
  </r>
  <r>
    <x v="5"/>
    <x v="168"/>
    <x v="0"/>
    <x v="27"/>
    <m/>
    <m/>
    <s v="TAPE_PE, PICUS Polythelene Tape (White)X 4&quot;"/>
    <s v="IM-000247"/>
    <n v="2"/>
    <n v="125"/>
    <m/>
    <n v="250"/>
    <x v="0"/>
    <n v="147"/>
    <n v="75"/>
    <n v="150"/>
    <n v="154.5"/>
    <n v="95.5"/>
    <n v="0"/>
    <x v="29"/>
    <x v="0"/>
    <e v="#REF!"/>
    <e v="#REF!"/>
    <s v=""/>
    <n v="0.38200000000000001"/>
  </r>
  <r>
    <x v="5"/>
    <x v="168"/>
    <x v="0"/>
    <x v="27"/>
    <m/>
    <m/>
    <s v="BRACKET , GB 2HP, COATED"/>
    <s v="IM-000011"/>
    <n v="1"/>
    <n v="460"/>
    <m/>
    <n v="460"/>
    <x v="0"/>
    <n v="532"/>
    <n v="295"/>
    <n v="295"/>
    <n v="303.85000000000002"/>
    <n v="156.14999999999998"/>
    <n v="0"/>
    <x v="1"/>
    <x v="0"/>
    <e v="#REF!"/>
    <e v="#REF!"/>
    <s v=""/>
    <n v="0.33945652173913038"/>
  </r>
  <r>
    <x v="5"/>
    <x v="168"/>
    <x v="0"/>
    <x v="1"/>
    <m/>
    <m/>
    <s v="COPPER_TUBE_SOFTDRAWN, EXZEL 0.028 X 1/4 x 15 mtr  05/28/26"/>
    <s v="IM-000329"/>
    <n v="0.2"/>
    <n v="2500"/>
    <m/>
    <n v="500"/>
    <x v="0"/>
    <n v="3063"/>
    <n v="1699"/>
    <n v="339.8"/>
    <n v="349.99400000000003"/>
    <n v="150.00599999999997"/>
    <n v="0"/>
    <x v="0"/>
    <x v="0"/>
    <e v="#REF!"/>
    <e v="#REF!"/>
    <s v=""/>
    <n v="0.30001199999999995"/>
  </r>
  <r>
    <x v="5"/>
    <x v="168"/>
    <x v="0"/>
    <x v="1"/>
    <m/>
    <m/>
    <s v="COPPER_TUBE_SOFTDRAWN, HAILIANG 0.028 X 3/8 x 15 mtr 06/02/26"/>
    <s v="IM-000327"/>
    <n v="0.2"/>
    <n v="3500"/>
    <m/>
    <n v="700"/>
    <x v="0"/>
    <n v="4774"/>
    <n v="2648"/>
    <n v="529.6"/>
    <n v="545.48800000000006"/>
    <n v="154.51199999999994"/>
    <n v="0"/>
    <x v="0"/>
    <x v="0"/>
    <e v="#REF!"/>
    <e v="#REF!"/>
    <s v=""/>
    <n v="0.2207314285714285"/>
  </r>
  <r>
    <x v="5"/>
    <x v="168"/>
    <x v="0"/>
    <x v="1"/>
    <m/>
    <m/>
    <s v="RUBBER_INSULATION, M-FLEX 1/2&quot; 1/4"/>
    <s v="IM-000229"/>
    <n v="10"/>
    <n v="50"/>
    <m/>
    <n v="500"/>
    <x v="0"/>
    <n v="47"/>
    <n v="33.6"/>
    <n v="336"/>
    <n v="346.08"/>
    <n v="153.92000000000002"/>
    <n v="0"/>
    <x v="22"/>
    <x v="0"/>
    <e v="#REF!"/>
    <e v="#REF!"/>
    <s v=""/>
    <n v="0.30784000000000006"/>
  </r>
  <r>
    <x v="5"/>
    <x v="168"/>
    <x v="0"/>
    <x v="1"/>
    <m/>
    <m/>
    <s v="RUBBER_INSULATION, M-FLEX 1/2&quot; 3/8"/>
    <s v="IM-000231"/>
    <n v="10"/>
    <n v="70"/>
    <m/>
    <n v="700"/>
    <x v="0"/>
    <n v="53"/>
    <n v="37.6"/>
    <n v="376"/>
    <n v="387.28000000000003"/>
    <n v="312.71999999999997"/>
    <n v="0"/>
    <x v="22"/>
    <x v="0"/>
    <e v="#REF!"/>
    <e v="#REF!"/>
    <s v=""/>
    <n v="0.44674285714285711"/>
  </r>
  <r>
    <x v="5"/>
    <x v="168"/>
    <x v="0"/>
    <x v="1"/>
    <m/>
    <m/>
    <s v="TAPE_PE, PICUS Polythelene Tape (White)X 4&quot;"/>
    <s v="IM-000247"/>
    <n v="1"/>
    <n v="125"/>
    <m/>
    <n v="125"/>
    <x v="0"/>
    <n v="147"/>
    <n v="75"/>
    <n v="75"/>
    <n v="77.25"/>
    <n v="47.75"/>
    <n v="0"/>
    <x v="29"/>
    <x v="0"/>
    <e v="#REF!"/>
    <e v="#REF!"/>
    <s v=""/>
    <n v="0.38200000000000001"/>
  </r>
  <r>
    <x v="5"/>
    <x v="168"/>
    <x v="0"/>
    <x v="149"/>
    <m/>
    <m/>
    <s v="EXP. VALVE LT, STAL 9A238 SUBARU FORESTER (STAL)"/>
    <s v="CA-001778"/>
    <n v="1"/>
    <n v="600"/>
    <m/>
    <n v="600"/>
    <x v="0"/>
    <n v="409"/>
    <n v="205"/>
    <n v="205"/>
    <n v="215.25"/>
    <n v="384.75"/>
    <n v="0"/>
    <x v="23"/>
    <x v="2"/>
    <e v="#REF!"/>
    <e v="#REF!"/>
    <s v=""/>
    <n v="0.64124999999999999"/>
  </r>
  <r>
    <x v="5"/>
    <x v="168"/>
    <x v="0"/>
    <x v="23"/>
    <m/>
    <m/>
    <s v="REFRIGERANT, ENTALPIA EUROPE R134A 13.6   6/16/26 "/>
    <s v="GE-000517"/>
    <n v="1"/>
    <n v="8800"/>
    <m/>
    <n v="8800"/>
    <x v="0"/>
    <n v="10489"/>
    <n v="7684"/>
    <n v="7684"/>
    <n v="8068.2000000000007"/>
    <n v="731.79999999999927"/>
    <n v="0"/>
    <x v="5"/>
    <x v="1"/>
    <e v="#REF!"/>
    <e v="#REF!"/>
    <s v=""/>
    <n v="8.3159090909090821E-2"/>
  </r>
  <r>
    <x v="5"/>
    <x v="168"/>
    <x v="5"/>
    <x v="37"/>
    <m/>
    <m/>
    <s v="CABIN_FILTER, HONDA MEDIUM"/>
    <s v="CA-001679"/>
    <n v="1"/>
    <n v="400"/>
    <m/>
    <n v="400"/>
    <x v="0"/>
    <n v="315"/>
    <n v="100"/>
    <n v="100"/>
    <n v="105"/>
    <n v="295"/>
    <n v="88.5"/>
    <x v="12"/>
    <x v="2"/>
    <e v="#REF!"/>
    <e v="#REF!"/>
    <s v=""/>
    <n v="0.73750000000000004"/>
  </r>
  <r>
    <x v="5"/>
    <x v="168"/>
    <x v="2"/>
    <x v="22"/>
    <m/>
    <m/>
    <s v="EVAPORATOR, TOYOTA AVANZA 08"/>
    <s v="CA-000537"/>
    <n v="1"/>
    <n v="1800"/>
    <m/>
    <n v="1800"/>
    <x v="0"/>
    <n v="2205"/>
    <n v="1200"/>
    <n v="1200"/>
    <n v="1260"/>
    <n v="540"/>
    <n v="162"/>
    <x v="10"/>
    <x v="2"/>
    <e v="#REF!"/>
    <e v="#REF!"/>
    <e v="#REF!"/>
    <n v="0.3"/>
  </r>
  <r>
    <x v="5"/>
    <x v="168"/>
    <x v="2"/>
    <x v="22"/>
    <m/>
    <m/>
    <s v="EVAPORATOR, HONDA CITY 2009 HS-40A183"/>
    <s v="CA-000475"/>
    <n v="1"/>
    <n v="1800"/>
    <m/>
    <n v="1800"/>
    <x v="0"/>
    <n v="2481"/>
    <n v="1350"/>
    <n v="1350"/>
    <n v="1417.5"/>
    <n v="382.5"/>
    <n v="114.75"/>
    <x v="10"/>
    <x v="2"/>
    <e v="#REF!"/>
    <e v="#REF!"/>
    <s v=""/>
    <n v="0.21249999999999999"/>
  </r>
  <r>
    <x v="5"/>
    <x v="168"/>
    <x v="2"/>
    <x v="22"/>
    <m/>
    <m/>
    <s v="EVAPORATOR, NISSAN URVAN DC 40A89"/>
    <s v="CA-000525"/>
    <n v="2"/>
    <n v="1900"/>
    <m/>
    <n v="3800"/>
    <x v="0"/>
    <n v="2573"/>
    <n v="1400"/>
    <n v="2800"/>
    <n v="2940"/>
    <n v="860"/>
    <n v="258"/>
    <x v="10"/>
    <x v="2"/>
    <e v="#REF!"/>
    <e v="#REF!"/>
    <s v=""/>
    <n v="0.22631578947368422"/>
  </r>
  <r>
    <x v="5"/>
    <x v="168"/>
    <x v="2"/>
    <x v="22"/>
    <m/>
    <m/>
    <s v="CABIN_FILTER, HONDA MEDIUM"/>
    <s v="CA-001679"/>
    <n v="1"/>
    <n v="220"/>
    <m/>
    <n v="220"/>
    <x v="0"/>
    <n v="315"/>
    <n v="100"/>
    <n v="100"/>
    <n v="105"/>
    <n v="115"/>
    <n v="34.5"/>
    <x v="12"/>
    <x v="2"/>
    <e v="#REF!"/>
    <e v="#REF!"/>
    <s v=""/>
    <n v="0.52272727272727271"/>
  </r>
  <r>
    <x v="5"/>
    <x v="168"/>
    <x v="2"/>
    <x v="22"/>
    <m/>
    <m/>
    <s v="EXP. VALVE LT, POKKA 9A129B ACCENT"/>
    <s v="CA-000629"/>
    <n v="2"/>
    <n v="450"/>
    <m/>
    <n v="900"/>
    <x v="0"/>
    <n v="625"/>
    <n v="340"/>
    <n v="680"/>
    <n v="714"/>
    <n v="186"/>
    <n v="55.8"/>
    <x v="23"/>
    <x v="2"/>
    <e v="#REF!"/>
    <e v="#REF!"/>
    <s v=""/>
    <n v="0.20666666666666667"/>
  </r>
  <r>
    <x v="5"/>
    <x v="168"/>
    <x v="2"/>
    <x v="22"/>
    <m/>
    <m/>
    <s v="RECEIVER_DRIER_STEEL , MAXX 5116 (L300 F/B)"/>
    <s v="CA-001134"/>
    <n v="1"/>
    <n v="400"/>
    <m/>
    <n v="400"/>
    <x v="0"/>
    <n v="686"/>
    <n v="290"/>
    <n v="290"/>
    <n v="304.5"/>
    <n v="95.5"/>
    <n v="28.65"/>
    <x v="17"/>
    <x v="2"/>
    <e v="#REF!"/>
    <e v="#REF!"/>
    <s v=""/>
    <n v="0.23874999999999999"/>
  </r>
  <r>
    <x v="5"/>
    <x v="168"/>
    <x v="2"/>
    <x v="22"/>
    <m/>
    <m/>
    <s v="SYSTEM_CLEANER, Cleanse GREEN 141B 500 ML"/>
    <s v="GE-000369"/>
    <n v="5"/>
    <n v="95"/>
    <m/>
    <n v="475"/>
    <x v="0"/>
    <n v="113"/>
    <n v="65"/>
    <n v="325"/>
    <n v="341.25"/>
    <n v="133.75"/>
    <n v="40.125"/>
    <x v="28"/>
    <x v="1"/>
    <e v="#REF!"/>
    <e v="#REF!"/>
    <s v=""/>
    <n v="0.28157894736842104"/>
  </r>
  <r>
    <x v="5"/>
    <x v="168"/>
    <x v="2"/>
    <x v="22"/>
    <m/>
    <m/>
    <s v="TAPE, EVER SEAL CORK TAPE"/>
    <s v="GE-000344"/>
    <n v="1"/>
    <n v="250"/>
    <m/>
    <n v="250"/>
    <x v="0"/>
    <n v="226"/>
    <n v="130"/>
    <n v="130"/>
    <n v="136.5"/>
    <n v="113.5"/>
    <n v="34.049999999999997"/>
    <x v="41"/>
    <x v="1"/>
    <e v="#REF!"/>
    <e v="#REF!"/>
    <s v=""/>
    <n v="0.45400000000000001"/>
  </r>
  <r>
    <x v="5"/>
    <x v="168"/>
    <x v="2"/>
    <x v="22"/>
    <m/>
    <m/>
    <s v="TAPE_FOAM, POKKA 5MM X 50 MM X 9.1 MTR"/>
    <s v="IM-000106"/>
    <n v="1"/>
    <n v="250"/>
    <m/>
    <n v="250"/>
    <x v="0"/>
    <n v="194"/>
    <n v="125"/>
    <n v="125"/>
    <n v="128.75"/>
    <n v="121.25"/>
    <n v="36.375"/>
    <x v="25"/>
    <x v="0"/>
    <e v="#REF!"/>
    <e v="#REF!"/>
    <s v=""/>
    <n v="0.48499999999999999"/>
  </r>
  <r>
    <x v="5"/>
    <x v="168"/>
    <x v="0"/>
    <x v="1"/>
    <m/>
    <m/>
    <s v="TUBE_CUTTER, SMALL CT-127, 1/8&quot; - 5/8&quot;"/>
    <s v="TL-000053"/>
    <n v="1"/>
    <n v="250"/>
    <m/>
    <n v="250"/>
    <x v="0"/>
    <n v="184"/>
    <n v="70"/>
    <n v="70"/>
    <n v="73.5"/>
    <n v="176.5"/>
    <n v="0"/>
    <x v="68"/>
    <x v="4"/>
    <e v="#REF!"/>
    <e v="#REF!"/>
    <s v=""/>
    <n v="0.70599999999999996"/>
  </r>
  <r>
    <x v="5"/>
    <x v="168"/>
    <x v="0"/>
    <x v="1"/>
    <m/>
    <m/>
    <s v="COPPER_TUBE_SOFTDRAWN, EXZEL 0.028 X 1/4 x 15 mtr  05/28/26"/>
    <s v="IM-000329"/>
    <n v="0.2"/>
    <n v="2500"/>
    <m/>
    <n v="500"/>
    <x v="0"/>
    <n v="3063"/>
    <n v="1699"/>
    <n v="339.8"/>
    <n v="349.99400000000003"/>
    <n v="150.00599999999997"/>
    <n v="0"/>
    <x v="0"/>
    <x v="0"/>
    <e v="#REF!"/>
    <e v="#REF!"/>
    <s v=""/>
    <n v="0.30001199999999995"/>
  </r>
  <r>
    <x v="5"/>
    <x v="168"/>
    <x v="0"/>
    <x v="1"/>
    <m/>
    <m/>
    <s v="COPPER_TUBE_SOFTDRAWN, HAILIANG 0.028 X 3/8 x 15 mtr 06/02/26"/>
    <s v="IM-000327"/>
    <n v="0.2"/>
    <n v="3500"/>
    <m/>
    <n v="700"/>
    <x v="0"/>
    <n v="4774"/>
    <n v="2648"/>
    <n v="529.6"/>
    <n v="545.48800000000006"/>
    <n v="154.51199999999994"/>
    <n v="0"/>
    <x v="0"/>
    <x v="0"/>
    <e v="#REF!"/>
    <e v="#REF!"/>
    <s v=""/>
    <n v="0.2207314285714285"/>
  </r>
  <r>
    <x v="5"/>
    <x v="169"/>
    <x v="7"/>
    <x v="135"/>
    <m/>
    <m/>
    <m/>
    <s v=""/>
    <m/>
    <m/>
    <m/>
    <n v="0"/>
    <x v="0"/>
    <n v="0"/>
    <n v="0"/>
    <n v="0"/>
    <n v="0"/>
    <n v="0"/>
    <n v="0"/>
    <x v="13"/>
    <x v="3"/>
    <e v="#REF!"/>
    <e v="#REF!"/>
    <s v=""/>
    <n v="0"/>
  </r>
  <r>
    <x v="5"/>
    <x v="170"/>
    <x v="1"/>
    <x v="5"/>
    <m/>
    <m/>
    <s v="LUBRICANT, EMKARATE RL 68H, 1 LITER"/>
    <s v="GE-000135"/>
    <n v="1"/>
    <n v="450"/>
    <m/>
    <n v="450"/>
    <x v="0"/>
    <n v="331"/>
    <n v="180"/>
    <n v="180"/>
    <n v="189"/>
    <n v="261"/>
    <n v="78.3"/>
    <x v="9"/>
    <x v="1"/>
    <e v="#REF!"/>
    <e v="#REF!"/>
    <s v=""/>
    <n v="0.57999999999999996"/>
  </r>
  <r>
    <x v="5"/>
    <x v="170"/>
    <x v="0"/>
    <x v="1"/>
    <m/>
    <m/>
    <s v="COPPER_TUBE_SOFTDRAWN, HAILIANG 0.028 X 3/8 x 15 mtr 06/02/26"/>
    <s v="IM-000327"/>
    <n v="0.4"/>
    <n v="3500"/>
    <m/>
    <n v="1400"/>
    <x v="0"/>
    <n v="4774"/>
    <n v="2648"/>
    <n v="1059.2"/>
    <n v="1090.9760000000001"/>
    <n v="309.02399999999989"/>
    <n v="0"/>
    <x v="0"/>
    <x v="0"/>
    <e v="#REF!"/>
    <e v="#REF!"/>
    <s v=""/>
    <n v="0.2207314285714285"/>
  </r>
  <r>
    <x v="5"/>
    <x v="170"/>
    <x v="0"/>
    <x v="1"/>
    <m/>
    <m/>
    <s v="COPPER_TUBE_SOFTDRAWN, EXZEL 0.028 X 1/4 x 15 mtr  05/28/26"/>
    <s v="IM-000329"/>
    <n v="0.4"/>
    <n v="2500"/>
    <m/>
    <n v="1000"/>
    <x v="0"/>
    <n v="3063"/>
    <n v="1699"/>
    <n v="679.6"/>
    <n v="699.98800000000006"/>
    <n v="300.01199999999994"/>
    <n v="0"/>
    <x v="0"/>
    <x v="0"/>
    <e v="#REF!"/>
    <e v="#REF!"/>
    <s v=""/>
    <n v="0.30001199999999995"/>
  </r>
  <r>
    <x v="5"/>
    <x v="170"/>
    <x v="0"/>
    <x v="1"/>
    <m/>
    <m/>
    <s v="RUBBER_INSULATION, M-FLEX 1/2&quot; 3/8"/>
    <s v="IM-000231"/>
    <n v="6"/>
    <n v="60"/>
    <m/>
    <n v="360"/>
    <x v="0"/>
    <n v="53"/>
    <n v="37.6"/>
    <n v="225.60000000000002"/>
    <n v="232.36800000000002"/>
    <n v="127.63199999999998"/>
    <n v="0"/>
    <x v="22"/>
    <x v="0"/>
    <e v="#REF!"/>
    <e v="#REF!"/>
    <s v=""/>
    <n v="0.35453333333333326"/>
  </r>
  <r>
    <x v="5"/>
    <x v="170"/>
    <x v="0"/>
    <x v="1"/>
    <m/>
    <m/>
    <s v="TAPE_PE, PICUS Polythelene Tape (White)X 4&quot;"/>
    <s v="IM-000247"/>
    <n v="1"/>
    <n v="125"/>
    <m/>
    <n v="125"/>
    <x v="0"/>
    <n v="147"/>
    <n v="75"/>
    <n v="75"/>
    <n v="77.25"/>
    <n v="47.75"/>
    <n v="0"/>
    <x v="29"/>
    <x v="0"/>
    <e v="#REF!"/>
    <e v="#REF!"/>
    <s v=""/>
    <n v="0.38200000000000001"/>
  </r>
  <r>
    <x v="5"/>
    <x v="170"/>
    <x v="0"/>
    <x v="1"/>
    <m/>
    <m/>
    <s v="BOLT &amp; NUT, GI, SET 5/16"/>
    <s v="IM-000003"/>
    <n v="4"/>
    <n v="12"/>
    <m/>
    <n v="48"/>
    <x v="0"/>
    <n v="10"/>
    <n v="5"/>
    <n v="20"/>
    <n v="20.6"/>
    <n v="27.4"/>
    <n v="0"/>
    <x v="57"/>
    <x v="0"/>
    <e v="#REF!"/>
    <e v="#REF!"/>
    <s v=""/>
    <n v="0.5708333333333333"/>
  </r>
  <r>
    <x v="5"/>
    <x v="170"/>
    <x v="0"/>
    <x v="1"/>
    <m/>
    <m/>
    <s v="RUBBER_INSULATION, M-FLEX 1/2&quot; 1/4"/>
    <s v="IM-000229"/>
    <n v="6"/>
    <n v="50"/>
    <m/>
    <n v="300"/>
    <x v="0"/>
    <n v="47"/>
    <n v="33.6"/>
    <n v="201.60000000000002"/>
    <n v="207.64800000000002"/>
    <n v="92.351999999999975"/>
    <n v="0"/>
    <x v="22"/>
    <x v="0"/>
    <e v="#REF!"/>
    <e v="#REF!"/>
    <s v=""/>
    <n v="0.30783999999999989"/>
  </r>
  <r>
    <x v="5"/>
    <x v="170"/>
    <x v="0"/>
    <x v="1"/>
    <m/>
    <m/>
    <s v="TAPE_FOAM, AEROTAPE 3MM X 50 MM X 9.1 MTR  04/02/25"/>
    <s v="IM-000332"/>
    <n v="1"/>
    <n v="430"/>
    <m/>
    <n v="430"/>
    <x v="0"/>
    <n v="510"/>
    <n v="330"/>
    <n v="330"/>
    <n v="339.90000000000003"/>
    <n v="90.099999999999966"/>
    <n v="0"/>
    <x v="25"/>
    <x v="0"/>
    <e v="#REF!"/>
    <e v="#REF!"/>
    <s v=""/>
    <n v="0.20953488372093015"/>
  </r>
  <r>
    <x v="5"/>
    <x v="170"/>
    <x v="0"/>
    <x v="1"/>
    <m/>
    <m/>
    <s v="BRACKET , ROBYN STEEL  1HP, COATED  (ISHABELLA)"/>
    <s v="IM-000330"/>
    <n v="1"/>
    <n v="460"/>
    <m/>
    <n v="460"/>
    <x v="0"/>
    <n v="352"/>
    <n v="195"/>
    <n v="195"/>
    <n v="200.85"/>
    <n v="259.14999999999998"/>
    <n v="0"/>
    <x v="1"/>
    <x v="0"/>
    <e v="#REF!"/>
    <e v="#REF!"/>
    <s v=""/>
    <n v="0.56336956521739123"/>
  </r>
  <r>
    <x v="5"/>
    <x v="170"/>
    <x v="0"/>
    <x v="63"/>
    <m/>
    <m/>
    <s v="COPPER_TUBE_SOFTDRAWN, EXZEL 0.028 X 1/4 x 15 mtr  05/28/26"/>
    <s v="IM-000329"/>
    <n v="1"/>
    <n v="1950"/>
    <m/>
    <n v="1950"/>
    <x v="0"/>
    <n v="3063"/>
    <n v="1699"/>
    <n v="1699"/>
    <n v="1749.97"/>
    <n v="200.02999999999997"/>
    <n v="0"/>
    <x v="0"/>
    <x v="0"/>
    <e v="#REF!"/>
    <e v="#REF!"/>
    <s v=""/>
    <n v="0.10257948717948717"/>
  </r>
  <r>
    <x v="5"/>
    <x v="170"/>
    <x v="0"/>
    <x v="63"/>
    <m/>
    <m/>
    <s v="RUBBER_INSULATION, M-FLEX 3/4&quot; 1/2"/>
    <s v="IM-000234"/>
    <n v="2"/>
    <n v="110"/>
    <m/>
    <n v="220"/>
    <x v="0"/>
    <n v="103"/>
    <n v="73.5"/>
    <n v="147"/>
    <n v="151.41"/>
    <n v="68.59"/>
    <n v="0"/>
    <x v="22"/>
    <x v="0"/>
    <e v="#REF!"/>
    <e v="#REF!"/>
    <s v=""/>
    <n v="0.31177272727272731"/>
  </r>
  <r>
    <x v="5"/>
    <x v="170"/>
    <x v="0"/>
    <x v="63"/>
    <m/>
    <m/>
    <s v="RUBBER_INSULATION, M-FLEX 1/2&quot; 1/4"/>
    <s v="IM-000229"/>
    <n v="1"/>
    <n v="50"/>
    <m/>
    <n v="50"/>
    <x v="0"/>
    <n v="47"/>
    <n v="33.6"/>
    <n v="33.6"/>
    <n v="34.608000000000004"/>
    <n v="15.391999999999996"/>
    <n v="0"/>
    <x v="22"/>
    <x v="0"/>
    <e v="#REF!"/>
    <e v="#REF!"/>
    <s v=""/>
    <n v="0.30783999999999989"/>
  </r>
  <r>
    <x v="5"/>
    <x v="170"/>
    <x v="0"/>
    <x v="63"/>
    <m/>
    <m/>
    <s v="RUBBER_INSULATION, M-FLEX 1/2&quot; 3/8"/>
    <s v="IM-000231"/>
    <n v="2"/>
    <n v="60"/>
    <m/>
    <n v="120"/>
    <x v="0"/>
    <n v="53"/>
    <n v="37.6"/>
    <n v="75.2"/>
    <n v="77.456000000000003"/>
    <n v="42.543999999999997"/>
    <n v="0"/>
    <x v="22"/>
    <x v="0"/>
    <e v="#REF!"/>
    <e v="#REF!"/>
    <s v=""/>
    <n v="0.35453333333333331"/>
  </r>
  <r>
    <x v="5"/>
    <x v="170"/>
    <x v="0"/>
    <x v="8"/>
    <m/>
    <m/>
    <s v="REFRIGERANT, ENTALPIA EUROPE R134A 13.6   6/16/26 "/>
    <s v="GE-000517"/>
    <n v="1"/>
    <n v="8800"/>
    <m/>
    <n v="8800"/>
    <x v="0"/>
    <n v="10489"/>
    <n v="7684"/>
    <n v="7684"/>
    <n v="8068.2000000000007"/>
    <n v="731.79999999999927"/>
    <n v="0"/>
    <x v="5"/>
    <x v="1"/>
    <e v="#REF!"/>
    <e v="#REF!"/>
    <s v=""/>
    <n v="8.3159090909090821E-2"/>
  </r>
  <r>
    <x v="5"/>
    <x v="170"/>
    <x v="2"/>
    <x v="7"/>
    <m/>
    <m/>
    <s v="EXP. VALVE LT, POKKA 9A62 ADVENTURE"/>
    <s v="CA-001413"/>
    <n v="1"/>
    <n v="550"/>
    <m/>
    <n v="550"/>
    <x v="0"/>
    <n v="478"/>
    <n v="260"/>
    <n v="260"/>
    <n v="273"/>
    <n v="277"/>
    <n v="83.1"/>
    <x v="23"/>
    <x v="2"/>
    <e v="#REF!"/>
    <e v="#REF!"/>
    <s v=""/>
    <n v="0.50363636363636366"/>
  </r>
  <r>
    <x v="5"/>
    <x v="170"/>
    <x v="2"/>
    <x v="7"/>
    <m/>
    <m/>
    <s v="RECEIVER_DRIER_ALUMINUM, YK 9094 (Lancer)"/>
    <s v="CA-001127"/>
    <n v="1"/>
    <n v="550"/>
    <m/>
    <n v="550"/>
    <x v="0"/>
    <n v="662"/>
    <n v="280"/>
    <n v="280"/>
    <n v="294"/>
    <n v="256"/>
    <n v="76.8"/>
    <x v="27"/>
    <x v="2"/>
    <e v="#REF!"/>
    <e v="#REF!"/>
    <s v=""/>
    <n v="0.46545454545454545"/>
  </r>
  <r>
    <x v="5"/>
    <x v="170"/>
    <x v="2"/>
    <x v="7"/>
    <m/>
    <m/>
    <s v="O_RING, NEK MAKAPAL 5/8"/>
    <s v="CA-000843"/>
    <n v="1"/>
    <n v="200"/>
    <m/>
    <n v="200"/>
    <x v="0"/>
    <n v="111"/>
    <n v="60"/>
    <n v="60"/>
    <n v="63"/>
    <n v="137"/>
    <n v="41.1"/>
    <x v="44"/>
    <x v="2"/>
    <e v="#REF!"/>
    <e v="#REF!"/>
    <s v=""/>
    <n v="0.68500000000000005"/>
  </r>
  <r>
    <x v="5"/>
    <x v="170"/>
    <x v="2"/>
    <x v="7"/>
    <m/>
    <m/>
    <s v="SYSTEM_CLEANER, Cleanse GREEN 141B 500 ML"/>
    <s v="GE-000369"/>
    <n v="5"/>
    <n v="120"/>
    <m/>
    <n v="600"/>
    <x v="0"/>
    <n v="113"/>
    <n v="65"/>
    <n v="325"/>
    <n v="341.25"/>
    <n v="258.75"/>
    <n v="77.625"/>
    <x v="28"/>
    <x v="1"/>
    <e v="#REF!"/>
    <e v="#REF!"/>
    <s v=""/>
    <n v="0.43125000000000002"/>
  </r>
  <r>
    <x v="5"/>
    <x v="170"/>
    <x v="1"/>
    <x v="3"/>
    <m/>
    <m/>
    <s v="EXP. VALVE LT, POKKA 9A55 HONDA NEW"/>
    <s v="CA-000636"/>
    <n v="1"/>
    <n v="550"/>
    <m/>
    <n v="550"/>
    <x v="0"/>
    <n v="497"/>
    <n v="270"/>
    <n v="270"/>
    <n v="283.5"/>
    <n v="266.5"/>
    <n v="79.95"/>
    <x v="23"/>
    <x v="2"/>
    <e v="#REF!"/>
    <e v="#REF!"/>
    <s v=""/>
    <n v="0.48454545454545456"/>
  </r>
  <r>
    <x v="5"/>
    <x v="170"/>
    <x v="1"/>
    <x v="3"/>
    <m/>
    <m/>
    <s v="SYSTEM_CLEANER, Cleanse GREEN 141B 500 ML"/>
    <s v="GE-000369"/>
    <n v="3"/>
    <n v="120"/>
    <m/>
    <n v="360"/>
    <x v="0"/>
    <n v="113"/>
    <n v="65"/>
    <n v="195"/>
    <n v="204.75"/>
    <n v="155.25"/>
    <n v="46.574999999999996"/>
    <x v="28"/>
    <x v="1"/>
    <e v="#REF!"/>
    <e v="#REF!"/>
    <s v=""/>
    <n v="0.43125000000000002"/>
  </r>
  <r>
    <x v="5"/>
    <x v="170"/>
    <x v="1"/>
    <x v="3"/>
    <m/>
    <m/>
    <s v="BLOWER_MOTOR, ISUZU D-MAX 2013 / MUX"/>
    <s v="CA-000171"/>
    <n v="1"/>
    <n v="1900"/>
    <m/>
    <n v="1900"/>
    <x v="0"/>
    <n v="2389"/>
    <n v="1300"/>
    <n v="1300"/>
    <n v="1365"/>
    <n v="535"/>
    <n v="160.5"/>
    <x v="15"/>
    <x v="2"/>
    <e v="#REF!"/>
    <e v="#REF!"/>
    <s v=""/>
    <n v="0.28157894736842104"/>
  </r>
  <r>
    <x v="5"/>
    <x v="170"/>
    <x v="2"/>
    <x v="7"/>
    <m/>
    <m/>
    <s v="REFRIGERANT, ENTALPIA EUROPE R134A 13.6   6/16/26 "/>
    <s v="GE-000517"/>
    <n v="1"/>
    <n v="8800"/>
    <m/>
    <n v="8800"/>
    <x v="0"/>
    <n v="10489"/>
    <n v="7684"/>
    <n v="7684"/>
    <n v="8068.2000000000007"/>
    <n v="731.79999999999927"/>
    <n v="219.53999999999976"/>
    <x v="5"/>
    <x v="1"/>
    <e v="#REF!"/>
    <e v="#REF!"/>
    <s v=""/>
    <n v="8.3159090909090821E-2"/>
  </r>
  <r>
    <x v="5"/>
    <x v="170"/>
    <x v="0"/>
    <x v="150"/>
    <m/>
    <m/>
    <s v="BRACKET , ROBYN STEEL  1HP, COATED  (ISHABELLA)"/>
    <s v="IM-000330"/>
    <n v="1"/>
    <n v="360"/>
    <m/>
    <n v="360"/>
    <x v="0"/>
    <n v="352"/>
    <n v="195"/>
    <n v="195"/>
    <n v="200.85"/>
    <n v="159.15"/>
    <n v="0"/>
    <x v="1"/>
    <x v="0"/>
    <e v="#REF!"/>
    <e v="#REF!"/>
    <s v=""/>
    <n v="0.44208333333333333"/>
  </r>
  <r>
    <x v="5"/>
    <x v="170"/>
    <x v="0"/>
    <x v="150"/>
    <m/>
    <m/>
    <s v="TAPE_PE, PICUS Polythelene Tape (White)X 4&quot;"/>
    <s v="IM-000247"/>
    <n v="1"/>
    <n v="125"/>
    <m/>
    <n v="125"/>
    <x v="0"/>
    <n v="147"/>
    <n v="75"/>
    <n v="75"/>
    <n v="77.25"/>
    <n v="47.75"/>
    <n v="0"/>
    <x v="29"/>
    <x v="0"/>
    <e v="#REF!"/>
    <e v="#REF!"/>
    <s v=""/>
    <n v="0.38200000000000001"/>
  </r>
  <r>
    <x v="5"/>
    <x v="170"/>
    <x v="0"/>
    <x v="36"/>
    <m/>
    <m/>
    <s v="RECEIVER_DRIER_ALUMINUM, YK 8227  (Montero)"/>
    <s v="CA-001108"/>
    <n v="2"/>
    <n v="550"/>
    <m/>
    <n v="1100"/>
    <x v="0"/>
    <n v="532"/>
    <n v="225"/>
    <n v="450"/>
    <n v="472.5"/>
    <n v="627.5"/>
    <n v="0"/>
    <x v="27"/>
    <x v="2"/>
    <e v="#REF!"/>
    <e v="#REF!"/>
    <s v=""/>
    <n v="0.57045454545454544"/>
  </r>
  <r>
    <x v="5"/>
    <x v="170"/>
    <x v="0"/>
    <x v="36"/>
    <m/>
    <m/>
    <s v="EXP. VALVE LT, POKKA 9A63 MONTERO"/>
    <s v="CA-000641"/>
    <n v="2"/>
    <n v="550"/>
    <m/>
    <n v="1100"/>
    <x v="0"/>
    <n v="441"/>
    <n v="240"/>
    <n v="480"/>
    <n v="504"/>
    <n v="596"/>
    <n v="0"/>
    <x v="23"/>
    <x v="2"/>
    <e v="#REF!"/>
    <e v="#REF!"/>
    <s v=""/>
    <n v="0.54181818181818187"/>
  </r>
  <r>
    <x v="5"/>
    <x v="170"/>
    <x v="0"/>
    <x v="36"/>
    <m/>
    <m/>
    <s v="PULLEY_ASSEMBLY, TOYOTA INNOVA DENSO 7PK 2008"/>
    <s v="CA-000242"/>
    <n v="1"/>
    <n v="2000"/>
    <m/>
    <n v="2000"/>
    <x v="0"/>
    <n v="2520"/>
    <n v="1500"/>
    <n v="1500"/>
    <n v="1575"/>
    <n v="425"/>
    <n v="0"/>
    <x v="11"/>
    <x v="2"/>
    <e v="#REF!"/>
    <e v="#REF!"/>
    <s v=""/>
    <n v="0.21249999999999999"/>
  </r>
  <r>
    <x v="5"/>
    <x v="170"/>
    <x v="0"/>
    <x v="8"/>
    <m/>
    <m/>
    <s v="EVAPORATOR, FORD ESCAPE SANDEN 2003 40A116"/>
    <s v="CA-000464"/>
    <n v="1"/>
    <n v="2100"/>
    <m/>
    <n v="2100"/>
    <x v="0"/>
    <n v="2389"/>
    <n v="1300"/>
    <n v="1300"/>
    <n v="1365"/>
    <n v="735"/>
    <n v="0"/>
    <x v="10"/>
    <x v="2"/>
    <e v="#REF!"/>
    <e v="#REF!"/>
    <s v=""/>
    <n v="0.35"/>
  </r>
  <r>
    <x v="5"/>
    <x v="170"/>
    <x v="3"/>
    <x v="12"/>
    <m/>
    <m/>
    <s v="EVAPORATOR, ISUZU CROSSWIND (F)"/>
    <s v="CA-000498"/>
    <n v="1"/>
    <n v="1900"/>
    <m/>
    <n v="1900"/>
    <x v="0"/>
    <n v="2297"/>
    <n v="1250"/>
    <n v="1250"/>
    <n v="1312.5"/>
    <n v="587.5"/>
    <n v="176.25"/>
    <x v="10"/>
    <x v="2"/>
    <e v="#REF!"/>
    <e v="#REF!"/>
    <s v=""/>
    <n v="0.30921052631578949"/>
  </r>
  <r>
    <x v="5"/>
    <x v="170"/>
    <x v="3"/>
    <x v="12"/>
    <m/>
    <m/>
    <s v="RECEIVER_DRIER_ALUMINUM, YK 8106 (CROSSWIND, PAJERO, DENSO 134A M)"/>
    <s v="CA-001100"/>
    <n v="1"/>
    <n v="550"/>
    <m/>
    <n v="550"/>
    <x v="0"/>
    <n v="485"/>
    <n v="205"/>
    <n v="205"/>
    <n v="215.25"/>
    <n v="334.75"/>
    <n v="100.425"/>
    <x v="27"/>
    <x v="2"/>
    <e v="#REF!"/>
    <e v="#REF!"/>
    <s v=""/>
    <n v="0.60863636363636364"/>
  </r>
  <r>
    <x v="5"/>
    <x v="170"/>
    <x v="3"/>
    <x v="12"/>
    <m/>
    <m/>
    <s v="LUBRICANT, EMKARATE RL 68H, 1 LITER"/>
    <s v="GE-000135"/>
    <n v="1"/>
    <n v="450"/>
    <m/>
    <n v="450"/>
    <x v="0"/>
    <n v="331"/>
    <n v="180"/>
    <n v="180"/>
    <n v="189"/>
    <n v="261"/>
    <n v="78.3"/>
    <x v="9"/>
    <x v="1"/>
    <e v="#REF!"/>
    <e v="#REF!"/>
    <s v=""/>
    <n v="0.57999999999999996"/>
  </r>
  <r>
    <x v="5"/>
    <x v="170"/>
    <x v="0"/>
    <x v="1"/>
    <m/>
    <m/>
    <s v="COPPER_TUBE_SOFTDRAWN, EXZEL 0.028 X 1/4 x 15 mtr  05/28/26"/>
    <s v="IM-000329"/>
    <n v="0.2"/>
    <n v="2500"/>
    <m/>
    <n v="500"/>
    <x v="0"/>
    <n v="3063"/>
    <n v="1699"/>
    <n v="339.8"/>
    <n v="349.99400000000003"/>
    <n v="150.00599999999997"/>
    <n v="0"/>
    <x v="0"/>
    <x v="0"/>
    <e v="#REF!"/>
    <e v="#REF!"/>
    <s v=""/>
    <n v="0.30001199999999995"/>
  </r>
  <r>
    <x v="5"/>
    <x v="170"/>
    <x v="0"/>
    <x v="17"/>
    <m/>
    <m/>
    <s v="EVAPORATOR, HYUNDAI ACCENT 2013 40A522"/>
    <s v="CA-001861"/>
    <n v="1"/>
    <n v="2000"/>
    <m/>
    <n v="2000"/>
    <x v="0"/>
    <n v="2389"/>
    <n v="1300"/>
    <n v="1300"/>
    <n v="1365"/>
    <n v="635"/>
    <n v="0"/>
    <x v="10"/>
    <x v="2"/>
    <e v="#REF!"/>
    <e v="#REF!"/>
    <s v=""/>
    <n v="0.3175"/>
  </r>
  <r>
    <x v="5"/>
    <x v="170"/>
    <x v="1"/>
    <x v="3"/>
    <m/>
    <m/>
    <s v="EXP. VALVE SC, HONDA OVERSIZE / FX R134A"/>
    <s v="CA-000569"/>
    <n v="1"/>
    <n v="500"/>
    <m/>
    <n v="500"/>
    <x v="0"/>
    <n v="478"/>
    <n v="260"/>
    <n v="260"/>
    <n v="273"/>
    <n v="227"/>
    <n v="68.099999999999994"/>
    <x v="34"/>
    <x v="2"/>
    <e v="#REF!"/>
    <e v="#REF!"/>
    <s v=""/>
    <n v="0.45400000000000001"/>
  </r>
  <r>
    <x v="5"/>
    <x v="170"/>
    <x v="0"/>
    <x v="20"/>
    <m/>
    <m/>
    <s v="REFRIGERANT, ENTALPIA EUROPE R410A 13.6   6/16/26 "/>
    <s v="GE-000519"/>
    <n v="1"/>
    <n v="7200"/>
    <m/>
    <n v="7200"/>
    <x v="0"/>
    <n v="8792"/>
    <n v="6441"/>
    <n v="6441"/>
    <n v="6763.05"/>
    <n v="436.94999999999982"/>
    <n v="0"/>
    <x v="5"/>
    <x v="1"/>
    <e v="#REF!"/>
    <e v="#REF!"/>
    <s v=""/>
    <n v="6.0687499999999978E-2"/>
  </r>
  <r>
    <x v="5"/>
    <x v="170"/>
    <x v="0"/>
    <x v="32"/>
    <m/>
    <m/>
    <s v="COPPER_TUBE_SOFTDRAWN, HAILIANG 0.028 X 1/2 x 15 mtr 06/02/26"/>
    <s v="IM-000328"/>
    <n v="0.2"/>
    <n v="4500"/>
    <m/>
    <n v="900"/>
    <x v="0"/>
    <n v="6554"/>
    <n v="3636"/>
    <n v="727.2"/>
    <n v="749.01600000000008"/>
    <n v="150.98399999999992"/>
    <n v="0"/>
    <x v="0"/>
    <x v="0"/>
    <e v="#REF!"/>
    <e v="#REF!"/>
    <s v=""/>
    <n v="0.16775999999999991"/>
  </r>
  <r>
    <x v="5"/>
    <x v="170"/>
    <x v="0"/>
    <x v="32"/>
    <m/>
    <m/>
    <s v="COPPER_TUBE_SOFTDRAWN, EXZEL 0.028 X 1/4 x 15 mtr  05/28/26"/>
    <s v="IM-000329"/>
    <n v="0.2"/>
    <n v="2500"/>
    <m/>
    <n v="500"/>
    <x v="0"/>
    <n v="3063"/>
    <n v="1699"/>
    <n v="339.8"/>
    <n v="349.99400000000003"/>
    <n v="150.00599999999997"/>
    <n v="0"/>
    <x v="0"/>
    <x v="0"/>
    <e v="#REF!"/>
    <e v="#REF!"/>
    <s v=""/>
    <n v="0.30001199999999995"/>
  </r>
  <r>
    <x v="5"/>
    <x v="170"/>
    <x v="0"/>
    <x v="32"/>
    <m/>
    <m/>
    <s v="RUBBER_INSULATION, M-FLEX 1/2&quot; 1/2"/>
    <s v="IM-000227"/>
    <n v="1"/>
    <n v="70"/>
    <m/>
    <n v="70"/>
    <x v="0"/>
    <n v="65"/>
    <n v="46.4"/>
    <n v="46.4"/>
    <n v="47.792000000000002"/>
    <n v="22.207999999999998"/>
    <n v="0"/>
    <x v="22"/>
    <x v="0"/>
    <e v="#REF!"/>
    <e v="#REF!"/>
    <s v=""/>
    <n v="0.31725714285714285"/>
  </r>
  <r>
    <x v="5"/>
    <x v="170"/>
    <x v="0"/>
    <x v="32"/>
    <m/>
    <m/>
    <s v="RUBBER_INSULATION, M-FLEX 1/2&quot; 1/4"/>
    <s v="IM-000229"/>
    <n v="1"/>
    <n v="50"/>
    <m/>
    <n v="50"/>
    <x v="0"/>
    <n v="47"/>
    <n v="33.6"/>
    <n v="33.6"/>
    <n v="34.608000000000004"/>
    <n v="15.391999999999996"/>
    <n v="0"/>
    <x v="22"/>
    <x v="0"/>
    <e v="#REF!"/>
    <e v="#REF!"/>
    <s v=""/>
    <n v="0.30783999999999989"/>
  </r>
  <r>
    <x v="5"/>
    <x v="170"/>
    <x v="0"/>
    <x v="32"/>
    <m/>
    <m/>
    <s v="TAPE_FOAM, AEROTAPE 3MM X 50 MM X 9.1 MTR  04/02/25"/>
    <s v="IM-000332"/>
    <n v="1"/>
    <n v="430"/>
    <m/>
    <n v="430"/>
    <x v="0"/>
    <n v="510"/>
    <n v="330"/>
    <n v="330"/>
    <n v="339.90000000000003"/>
    <n v="90.099999999999966"/>
    <n v="0"/>
    <x v="25"/>
    <x v="0"/>
    <e v="#REF!"/>
    <e v="#REF!"/>
    <s v=""/>
    <n v="0.20953488372093015"/>
  </r>
  <r>
    <x v="5"/>
    <x v="170"/>
    <x v="0"/>
    <x v="32"/>
    <m/>
    <m/>
    <s v="BOLT &amp; NUT, DYNABOLT 3/8&quot;"/>
    <s v="GE-000396"/>
    <n v="4"/>
    <n v="25"/>
    <m/>
    <n v="100"/>
    <x v="0"/>
    <n v="19"/>
    <n v="8.9"/>
    <n v="35.6"/>
    <n v="37.380000000000003"/>
    <n v="62.62"/>
    <n v="0"/>
    <x v="57"/>
    <x v="1"/>
    <e v="#REF!"/>
    <e v="#REF!"/>
    <s v=""/>
    <n v="0.62619999999999998"/>
  </r>
  <r>
    <x v="5"/>
    <x v="170"/>
    <x v="0"/>
    <x v="32"/>
    <m/>
    <m/>
    <s v="BOLT &amp; NUT, GI, SET 5/16"/>
    <s v="IM-000003"/>
    <n v="4"/>
    <n v="12"/>
    <m/>
    <n v="48"/>
    <x v="0"/>
    <n v="10"/>
    <n v="5"/>
    <n v="20"/>
    <n v="20.6"/>
    <n v="27.4"/>
    <n v="0"/>
    <x v="57"/>
    <x v="0"/>
    <e v="#REF!"/>
    <e v="#REF!"/>
    <s v=""/>
    <n v="0.5708333333333333"/>
  </r>
  <r>
    <x v="5"/>
    <x v="170"/>
    <x v="0"/>
    <x v="32"/>
    <m/>
    <m/>
    <s v="HOSE,  DRAIN 5/8 PER METER"/>
    <s v="GE-000420"/>
    <n v="3"/>
    <n v="70"/>
    <m/>
    <n v="210"/>
    <x v="0"/>
    <n v="82"/>
    <n v="31"/>
    <n v="93"/>
    <n v="97.65"/>
    <n v="112.35"/>
    <n v="0"/>
    <x v="19"/>
    <x v="1"/>
    <e v="#REF!"/>
    <e v="#REF!"/>
    <s v=""/>
    <n v="0.53499999999999992"/>
  </r>
  <r>
    <x v="5"/>
    <x v="170"/>
    <x v="0"/>
    <x v="11"/>
    <m/>
    <n v="120"/>
    <s v="SYSTEM_CLEANER, Cleanse GREEN 141B 500 ML"/>
    <s v="GE-000369"/>
    <n v="2"/>
    <n v="107"/>
    <m/>
    <n v="214"/>
    <x v="0"/>
    <n v="113"/>
    <n v="65"/>
    <n v="130"/>
    <n v="136.5"/>
    <n v="77.5"/>
    <n v="0"/>
    <x v="28"/>
    <x v="1"/>
    <e v="#REF!"/>
    <e v="#REF!"/>
    <n v="119.84000000000002"/>
    <n v="0.36214953271028039"/>
  </r>
  <r>
    <x v="5"/>
    <x v="170"/>
    <x v="0"/>
    <x v="11"/>
    <m/>
    <n v="550"/>
    <s v="EXP. VALVE LT, POKKA 9A57 INNOVA R"/>
    <s v="CA-000638"/>
    <n v="1"/>
    <n v="491"/>
    <m/>
    <n v="491"/>
    <x v="0"/>
    <n v="460"/>
    <n v="250"/>
    <n v="250"/>
    <n v="262.5"/>
    <n v="228.5"/>
    <n v="0"/>
    <x v="23"/>
    <x v="2"/>
    <e v="#REF!"/>
    <e v="#REF!"/>
    <n v="549.92000000000007"/>
    <n v="0.46537678207739308"/>
  </r>
  <r>
    <x v="5"/>
    <x v="170"/>
    <x v="0"/>
    <x v="11"/>
    <m/>
    <n v="2100"/>
    <s v="PULLEY_ASSEMBLY, HONDA CRV 2008 2.0 7PK"/>
    <s v="CA-001004"/>
    <n v="1"/>
    <n v="1875"/>
    <m/>
    <n v="1875"/>
    <x v="0"/>
    <n v="0"/>
    <n v="0"/>
    <n v="0"/>
    <n v="0"/>
    <n v="1875"/>
    <n v="0"/>
    <x v="11"/>
    <x v="2"/>
    <e v="#REF!"/>
    <e v="#REF!"/>
    <n v="2100"/>
    <n v="1"/>
  </r>
  <r>
    <x v="5"/>
    <x v="170"/>
    <x v="0"/>
    <x v="26"/>
    <m/>
    <m/>
    <s v="RUBBER_INSULATION, M-FLEX 3/4&quot; X 3/4"/>
    <s v="IM-000240"/>
    <n v="10"/>
    <n v="150"/>
    <m/>
    <n v="1500"/>
    <x v="0"/>
    <n v="151"/>
    <n v="108"/>
    <n v="1080"/>
    <n v="1112.4000000000001"/>
    <n v="387.59999999999991"/>
    <n v="0"/>
    <x v="22"/>
    <x v="0"/>
    <e v="#REF!"/>
    <e v="#REF!"/>
    <s v=""/>
    <n v="0.25839999999999996"/>
  </r>
  <r>
    <x v="5"/>
    <x v="170"/>
    <x v="0"/>
    <x v="26"/>
    <m/>
    <m/>
    <s v="TAPE_PE, PICUS Polythelene Tape (White)X 4&quot;"/>
    <s v="IM-000247"/>
    <n v="5"/>
    <n v="125"/>
    <m/>
    <n v="625"/>
    <x v="0"/>
    <n v="147"/>
    <n v="75"/>
    <n v="375"/>
    <n v="386.25"/>
    <n v="238.75"/>
    <n v="0"/>
    <x v="29"/>
    <x v="0"/>
    <e v="#REF!"/>
    <e v="#REF!"/>
    <s v=""/>
    <n v="0.38200000000000001"/>
  </r>
  <r>
    <x v="5"/>
    <x v="170"/>
    <x v="0"/>
    <x v="26"/>
    <m/>
    <m/>
    <s v="TAPE ELECTRICAL, ARMAK WHITE 0.16 MM X 19 MM X 16 M 06/13/26"/>
    <s v="GE-000515"/>
    <n v="5"/>
    <n v="55"/>
    <m/>
    <n v="275"/>
    <x v="0"/>
    <n v="73"/>
    <n v="42"/>
    <n v="210"/>
    <n v="220.5"/>
    <n v="54.5"/>
    <n v="0"/>
    <x v="50"/>
    <x v="1"/>
    <e v="#REF!"/>
    <e v="#REF!"/>
    <s v=""/>
    <n v="0.19818181818181818"/>
  </r>
  <r>
    <x v="5"/>
    <x v="170"/>
    <x v="0"/>
    <x v="26"/>
    <m/>
    <m/>
    <s v="COPPER_TUBE_SOFTDRAWN, EVERSTRONG 0.028 X 5/8 x 15 mtr 03/24/26"/>
    <s v="IM-000320"/>
    <n v="1"/>
    <n v="5000"/>
    <m/>
    <n v="5000"/>
    <x v="0"/>
    <n v="8328"/>
    <n v="4255"/>
    <n v="4255"/>
    <n v="4382.6500000000005"/>
    <n v="617.34999999999945"/>
    <n v="0"/>
    <x v="0"/>
    <x v="0"/>
    <e v="#REF!"/>
    <e v="#REF!"/>
    <s v=""/>
    <n v="0.12346999999999989"/>
  </r>
  <r>
    <x v="5"/>
    <x v="170"/>
    <x v="0"/>
    <x v="26"/>
    <m/>
    <m/>
    <s v="COPPER_TUBE_SOFTDRAWN, HAILIANG 0.028 X 3/8 x 15 mtr 06/02/26"/>
    <s v="IM-000327"/>
    <n v="1"/>
    <n v="2950"/>
    <m/>
    <n v="2950"/>
    <x v="0"/>
    <n v="4774"/>
    <n v="2648"/>
    <n v="2648"/>
    <n v="2727.44"/>
    <n v="222.55999999999995"/>
    <n v="0"/>
    <x v="0"/>
    <x v="0"/>
    <e v="#REF!"/>
    <e v="#REF!"/>
    <s v=""/>
    <n v="7.5444067796610156E-2"/>
  </r>
  <r>
    <x v="5"/>
    <x v="170"/>
    <x v="0"/>
    <x v="26"/>
    <m/>
    <m/>
    <s v="ROD, HARRIS SILVER "/>
    <s v="IM-000098"/>
    <n v="5"/>
    <n v="28"/>
    <m/>
    <n v="140"/>
    <x v="0"/>
    <n v="30"/>
    <n v="19"/>
    <n v="95"/>
    <n v="97.850000000000009"/>
    <n v="42.149999999999991"/>
    <n v="0"/>
    <x v="56"/>
    <x v="0"/>
    <e v="#REF!"/>
    <e v="#REF!"/>
    <s v=""/>
    <n v="0.30107142857142849"/>
  </r>
  <r>
    <x v="5"/>
    <x v="170"/>
    <x v="2"/>
    <x v="7"/>
    <m/>
    <m/>
    <s v="HOSE, COOLMATE 1/2 DISCHARGE PER FT"/>
    <s v="GE-000179"/>
    <n v="15"/>
    <n v="90"/>
    <m/>
    <n v="1350"/>
    <x v="0"/>
    <n v="80"/>
    <n v="43"/>
    <n v="645"/>
    <n v="677.25"/>
    <n v="672.75"/>
    <n v="201.82499999999999"/>
    <x v="19"/>
    <x v="1"/>
    <e v="#REF!"/>
    <e v="#REF!"/>
    <s v=""/>
    <n v="0.49833333333333335"/>
  </r>
  <r>
    <x v="5"/>
    <x v="170"/>
    <x v="1"/>
    <x v="3"/>
    <m/>
    <m/>
    <s v="CABIN_FILTER, TOYOTA WIGO"/>
    <s v="CA-000387"/>
    <n v="1"/>
    <n v="350"/>
    <m/>
    <n v="350"/>
    <x v="0"/>
    <n v="315"/>
    <n v="100"/>
    <n v="100"/>
    <n v="105"/>
    <n v="245"/>
    <n v="73.5"/>
    <x v="12"/>
    <x v="2"/>
    <e v="#REF!"/>
    <e v="#REF!"/>
    <s v=""/>
    <n v="0.7"/>
  </r>
  <r>
    <x v="5"/>
    <x v="170"/>
    <x v="1"/>
    <x v="3"/>
    <m/>
    <m/>
    <s v="TAPE_FOAM, POKKA 5MM X 50 MM X 9.1 MTR"/>
    <s v="IM-000106"/>
    <n v="1"/>
    <n v="260"/>
    <m/>
    <n v="260"/>
    <x v="0"/>
    <n v="194"/>
    <n v="125"/>
    <n v="125"/>
    <n v="128.75"/>
    <n v="131.25"/>
    <n v="39.375"/>
    <x v="25"/>
    <x v="0"/>
    <e v="#REF!"/>
    <e v="#REF!"/>
    <s v=""/>
    <n v="0.50480769230769229"/>
  </r>
  <r>
    <x v="5"/>
    <x v="170"/>
    <x v="0"/>
    <x v="23"/>
    <m/>
    <m/>
    <s v="EVAPORATOR, TOYOTA VIOS 2014 (SUPERMAN)_STAL"/>
    <s v="CA-000146"/>
    <n v="1"/>
    <n v="2000"/>
    <m/>
    <n v="2000"/>
    <x v="0"/>
    <n v="1434"/>
    <n v="780"/>
    <n v="780"/>
    <n v="819"/>
    <n v="1181"/>
    <n v="0"/>
    <x v="10"/>
    <x v="2"/>
    <e v="#REF!"/>
    <e v="#REF!"/>
    <s v=""/>
    <n v="0.59050000000000002"/>
  </r>
  <r>
    <x v="5"/>
    <x v="170"/>
    <x v="0"/>
    <x v="73"/>
    <m/>
    <n v="392"/>
    <s v="SAFETY VALVE , 410A RED"/>
    <s v="GE-000441"/>
    <n v="1"/>
    <n v="350"/>
    <m/>
    <n v="350"/>
    <x v="0"/>
    <n v="384"/>
    <n v="170"/>
    <n v="170"/>
    <n v="178.5"/>
    <n v="171.5"/>
    <n v="0"/>
    <x v="84"/>
    <x v="1"/>
    <e v="#REF!"/>
    <e v="#REF!"/>
    <n v="392.00000000000006"/>
    <n v="0.49"/>
  </r>
  <r>
    <x v="5"/>
    <x v="170"/>
    <x v="0"/>
    <x v="1"/>
    <m/>
    <m/>
    <s v="HOSE,  DRAIN 5/8 PER METER"/>
    <s v="GE-000420"/>
    <n v="3"/>
    <n v="70"/>
    <m/>
    <n v="210"/>
    <x v="0"/>
    <n v="82"/>
    <n v="31"/>
    <n v="93"/>
    <n v="97.65"/>
    <n v="112.35"/>
    <n v="0"/>
    <x v="19"/>
    <x v="1"/>
    <e v="#REF!"/>
    <e v="#REF!"/>
    <s v=""/>
    <n v="0.53499999999999992"/>
  </r>
  <r>
    <x v="5"/>
    <x v="171"/>
    <x v="1"/>
    <x v="3"/>
    <m/>
    <m/>
    <s v="CABIN_FILTER, HONDA LARGE"/>
    <s v="CA-001422"/>
    <n v="1"/>
    <n v="400"/>
    <m/>
    <n v="400"/>
    <x v="0"/>
    <n v="378"/>
    <n v="120"/>
    <n v="120"/>
    <n v="126"/>
    <n v="274"/>
    <n v="82.2"/>
    <x v="12"/>
    <x v="2"/>
    <e v="#REF!"/>
    <e v="#REF!"/>
    <s v=""/>
    <n v="0.68500000000000005"/>
  </r>
  <r>
    <x v="5"/>
    <x v="171"/>
    <x v="0"/>
    <x v="10"/>
    <m/>
    <m/>
    <s v="REFRIGERANT, ENTALPIA EUROPE R134A 13.6   6/16/26 "/>
    <s v="GE-000517"/>
    <n v="1"/>
    <n v="8800"/>
    <m/>
    <n v="8800"/>
    <x v="0"/>
    <n v="10489"/>
    <n v="7684"/>
    <n v="7684"/>
    <n v="8068.2000000000007"/>
    <n v="731.79999999999927"/>
    <n v="0"/>
    <x v="5"/>
    <x v="1"/>
    <e v="#REF!"/>
    <e v="#REF!"/>
    <s v=""/>
    <n v="8.3159090909090821E-2"/>
  </r>
  <r>
    <x v="5"/>
    <x v="171"/>
    <x v="0"/>
    <x v="10"/>
    <m/>
    <m/>
    <s v="TAPE_FOAM, AEROTAPE 3MM X 50 MM X 9.1 MTR  06/18/26"/>
    <s v="IM-000332"/>
    <n v="1"/>
    <n v="430"/>
    <m/>
    <n v="430"/>
    <x v="0"/>
    <n v="510"/>
    <n v="330"/>
    <n v="330"/>
    <n v="339.90000000000003"/>
    <n v="90.099999999999966"/>
    <n v="0"/>
    <x v="25"/>
    <x v="0"/>
    <e v="#REF!"/>
    <e v="#REF!"/>
    <s v=""/>
    <n v="0.20953488372093015"/>
  </r>
  <r>
    <x v="5"/>
    <x v="171"/>
    <x v="0"/>
    <x v="10"/>
    <m/>
    <m/>
    <s v="LUBRICANT, EMKARATE RL 68H, 1 LITER"/>
    <s v="GE-000135"/>
    <n v="1"/>
    <n v="450"/>
    <m/>
    <n v="450"/>
    <x v="0"/>
    <n v="331"/>
    <n v="180"/>
    <n v="180"/>
    <n v="189"/>
    <n v="261"/>
    <n v="0"/>
    <x v="9"/>
    <x v="1"/>
    <e v="#REF!"/>
    <e v="#REF!"/>
    <s v=""/>
    <n v="0.57999999999999996"/>
  </r>
  <r>
    <x v="5"/>
    <x v="171"/>
    <x v="0"/>
    <x v="27"/>
    <m/>
    <m/>
    <s v="REFRIGERANT, POKKA R32, 600 GRMS  05/09/26"/>
    <s v="GE-000509"/>
    <n v="2"/>
    <n v="680"/>
    <m/>
    <n v="1360"/>
    <x v="0"/>
    <n v="756"/>
    <n v="480"/>
    <n v="960"/>
    <n v="1008"/>
    <n v="352"/>
    <n v="0"/>
    <x v="5"/>
    <x v="1"/>
    <e v="#REF!"/>
    <e v="#REF!"/>
    <s v=""/>
    <n v="0.25882352941176473"/>
  </r>
  <r>
    <x v="5"/>
    <x v="171"/>
    <x v="0"/>
    <x v="11"/>
    <m/>
    <m/>
    <s v="EVAPORATOR, TOYOTA VIOS 2014 (SUPERMAN)_STAL"/>
    <s v="CA-000146"/>
    <n v="1"/>
    <n v="2100"/>
    <m/>
    <n v="2100"/>
    <x v="0"/>
    <n v="1434"/>
    <n v="780"/>
    <n v="780"/>
    <n v="819"/>
    <n v="1281"/>
    <n v="0"/>
    <x v="10"/>
    <x v="2"/>
    <e v="#REF!"/>
    <e v="#REF!"/>
    <s v=""/>
    <n v="0.61"/>
  </r>
  <r>
    <x v="5"/>
    <x v="171"/>
    <x v="0"/>
    <x v="105"/>
    <m/>
    <m/>
    <s v="MAPP_GAS, COOLIB (ISHABELLA) TORCH GAS"/>
    <s v="IM-000317"/>
    <n v="1"/>
    <n v="380"/>
    <m/>
    <n v="380"/>
    <x v="0"/>
    <n v="451"/>
    <n v="250"/>
    <n v="250"/>
    <n v="257.5"/>
    <n v="122.5"/>
    <n v="0"/>
    <x v="45"/>
    <x v="0"/>
    <e v="#REF!"/>
    <e v="#REF!"/>
    <s v=""/>
    <n v="0.32236842105263158"/>
  </r>
  <r>
    <x v="5"/>
    <x v="171"/>
    <x v="0"/>
    <x v="105"/>
    <m/>
    <m/>
    <s v="ROD, HARRIS SILVER "/>
    <s v="IM-000098"/>
    <n v="3"/>
    <n v="28"/>
    <m/>
    <n v="84"/>
    <x v="0"/>
    <n v="30"/>
    <n v="19"/>
    <n v="57"/>
    <n v="58.71"/>
    <n v="25.29"/>
    <n v="0"/>
    <x v="56"/>
    <x v="0"/>
    <e v="#REF!"/>
    <e v="#REF!"/>
    <s v=""/>
    <n v="0.30107142857142855"/>
  </r>
  <r>
    <x v="5"/>
    <x v="171"/>
    <x v="0"/>
    <x v="11"/>
    <m/>
    <m/>
    <s v="CABIN_FILTER, MITSUBISHI MONTERO OLD"/>
    <s v="CA-001704"/>
    <n v="1"/>
    <n v="400"/>
    <m/>
    <n v="400"/>
    <x v="0"/>
    <n v="567"/>
    <n v="180"/>
    <n v="180"/>
    <n v="189"/>
    <n v="211"/>
    <n v="0"/>
    <x v="12"/>
    <x v="2"/>
    <e v="#REF!"/>
    <e v="#REF!"/>
    <s v=""/>
    <n v="0.52749999999999997"/>
  </r>
  <r>
    <x v="5"/>
    <x v="171"/>
    <x v="0"/>
    <x v="11"/>
    <m/>
    <m/>
    <s v="SYSTEM_CLEANER, Cleanse GREEN 141B 500 ML"/>
    <s v="GE-000369"/>
    <n v="2"/>
    <n v="120"/>
    <m/>
    <n v="240"/>
    <x v="0"/>
    <n v="113"/>
    <n v="65"/>
    <n v="130"/>
    <n v="136.5"/>
    <n v="103.5"/>
    <n v="0"/>
    <x v="28"/>
    <x v="1"/>
    <e v="#REF!"/>
    <e v="#REF!"/>
    <s v=""/>
    <n v="0.43125000000000002"/>
  </r>
  <r>
    <x v="5"/>
    <x v="171"/>
    <x v="0"/>
    <x v="11"/>
    <m/>
    <m/>
    <s v="EXP. VALVE LT, STAL 9A63 MONTERO TRITON (STAL)"/>
    <s v="CA-001779"/>
    <n v="1"/>
    <n v="550"/>
    <m/>
    <n v="550"/>
    <x v="0"/>
    <n v="390"/>
    <n v="195"/>
    <n v="195"/>
    <n v="204.75"/>
    <n v="345.25"/>
    <n v="0"/>
    <x v="23"/>
    <x v="2"/>
    <e v="#REF!"/>
    <e v="#REF!"/>
    <s v=""/>
    <n v="0.62772727272727269"/>
  </r>
  <r>
    <x v="5"/>
    <x v="171"/>
    <x v="0"/>
    <x v="131"/>
    <m/>
    <m/>
    <s v="REFRIGERANT, SHENGFUYUAN  R290, 380G"/>
    <s v="GE-000155"/>
    <n v="1"/>
    <n v="650"/>
    <m/>
    <n v="650"/>
    <x v="0"/>
    <n v="647"/>
    <n v="280"/>
    <n v="280"/>
    <n v="294"/>
    <n v="356"/>
    <n v="0"/>
    <x v="5"/>
    <x v="1"/>
    <e v="#REF!"/>
    <e v="#REF!"/>
    <s v=""/>
    <n v="0.5476923076923077"/>
  </r>
  <r>
    <x v="5"/>
    <x v="171"/>
    <x v="0"/>
    <x v="131"/>
    <m/>
    <m/>
    <s v="ADAPTOR, OPEN VALVE R600 (GREEN)"/>
    <s v="TL-000008"/>
    <n v="1"/>
    <n v="250"/>
    <m/>
    <n v="250"/>
    <x v="0"/>
    <n v="175"/>
    <n v="95"/>
    <n v="95"/>
    <n v="99.75"/>
    <n v="150.25"/>
    <n v="0"/>
    <x v="71"/>
    <x v="4"/>
    <e v="#REF!"/>
    <e v="#REF!"/>
    <s v=""/>
    <n v="0.60099999999999998"/>
  </r>
  <r>
    <x v="5"/>
    <x v="171"/>
    <x v="2"/>
    <x v="7"/>
    <m/>
    <n v="600"/>
    <s v="RECEIVER_DRIER_STEEL , MAXX 5116 (L300 F/B)"/>
    <s v="CA-001134"/>
    <n v="1"/>
    <n v="536"/>
    <m/>
    <n v="536"/>
    <x v="0"/>
    <n v="686"/>
    <n v="290"/>
    <n v="290"/>
    <n v="304.5"/>
    <n v="231.5"/>
    <n v="69.45"/>
    <x v="17"/>
    <x v="2"/>
    <e v="#REF!"/>
    <e v="#REF!"/>
    <n v="600.32000000000005"/>
    <n v="0.43190298507462688"/>
  </r>
  <r>
    <x v="5"/>
    <x v="171"/>
    <x v="2"/>
    <x v="7"/>
    <m/>
    <n v="500"/>
    <s v="EXP. VALVE SC, MITSUBISHI ORING TYPE 3/8"/>
    <s v="CA-000566"/>
    <n v="1"/>
    <n v="446"/>
    <m/>
    <n v="446"/>
    <x v="0"/>
    <n v="478"/>
    <n v="260"/>
    <n v="260"/>
    <n v="273"/>
    <n v="173"/>
    <n v="51.9"/>
    <x v="34"/>
    <x v="2"/>
    <e v="#REF!"/>
    <e v="#REF!"/>
    <n v="499.52000000000004"/>
    <n v="0.38789237668161436"/>
  </r>
  <r>
    <x v="5"/>
    <x v="171"/>
    <x v="1"/>
    <x v="3"/>
    <m/>
    <m/>
    <s v="RECEIVER_DRIER_STEEL , MAXX 5116 (L300 F/B)"/>
    <s v="CA-001134"/>
    <n v="1"/>
    <n v="600"/>
    <m/>
    <n v="600"/>
    <x v="0"/>
    <n v="686"/>
    <n v="290"/>
    <n v="290"/>
    <n v="304.5"/>
    <n v="295.5"/>
    <n v="88.649999999999991"/>
    <x v="17"/>
    <x v="2"/>
    <e v="#REF!"/>
    <e v="#REF!"/>
    <s v=""/>
    <n v="0.49249999999999999"/>
  </r>
  <r>
    <x v="5"/>
    <x v="171"/>
    <x v="0"/>
    <x v="48"/>
    <m/>
    <m/>
    <s v="AUXFAN_MOTOR, TOYOTA VIOS BATMAN 2370"/>
    <s v="CA-000094"/>
    <n v="1"/>
    <n v="1800"/>
    <m/>
    <n v="1800"/>
    <x v="0"/>
    <n v="2022"/>
    <n v="1100"/>
    <n v="1100"/>
    <n v="1155"/>
    <n v="645"/>
    <n v="0"/>
    <x v="14"/>
    <x v="2"/>
    <e v="#REF!"/>
    <e v="#REF!"/>
    <s v=""/>
    <n v="0.35833333333333334"/>
  </r>
  <r>
    <x v="5"/>
    <x v="171"/>
    <x v="0"/>
    <x v="49"/>
    <m/>
    <n v="800"/>
    <s v="MAGNETIC_CLUTCH, HYUNDAI GRAND STAREX"/>
    <s v="CA-000776"/>
    <n v="1"/>
    <n v="714"/>
    <m/>
    <n v="714"/>
    <x v="0"/>
    <n v="772"/>
    <n v="420"/>
    <n v="420"/>
    <n v="441"/>
    <n v="273"/>
    <n v="0"/>
    <x v="4"/>
    <x v="2"/>
    <e v="#REF!"/>
    <e v="#REF!"/>
    <n v="799.68000000000006"/>
    <n v="0.38235294117647056"/>
  </r>
  <r>
    <x v="5"/>
    <x v="171"/>
    <x v="0"/>
    <x v="49"/>
    <m/>
    <n v="200"/>
    <s v="O_RING, NEK MAKAPAL 1/2"/>
    <s v="CA-000840"/>
    <n v="1"/>
    <n v="179"/>
    <m/>
    <n v="179"/>
    <x v="0"/>
    <n v="111"/>
    <n v="60"/>
    <n v="60"/>
    <n v="63"/>
    <n v="116"/>
    <n v="0"/>
    <x v="44"/>
    <x v="2"/>
    <e v="#REF!"/>
    <e v="#REF!"/>
    <n v="200.48000000000002"/>
    <n v="0.64804469273743015"/>
  </r>
  <r>
    <x v="5"/>
    <x v="171"/>
    <x v="0"/>
    <x v="11"/>
    <m/>
    <n v="350"/>
    <s v="CABIN_FILTER, TOYOTA WIGO"/>
    <s v="CA-000387"/>
    <n v="1"/>
    <n v="312"/>
    <m/>
    <n v="312"/>
    <x v="0"/>
    <n v="315"/>
    <n v="100"/>
    <n v="100"/>
    <n v="105"/>
    <n v="207"/>
    <n v="0"/>
    <x v="12"/>
    <x v="2"/>
    <e v="#REF!"/>
    <e v="#REF!"/>
    <n v="349.44000000000005"/>
    <n v="0.66346153846153844"/>
  </r>
  <r>
    <x v="5"/>
    <x v="171"/>
    <x v="0"/>
    <x v="1"/>
    <m/>
    <m/>
    <s v="REFRIGERANT, POKKA R32, 600 GRMS  05/09/26"/>
    <s v="GE-000509"/>
    <n v="1"/>
    <n v="680"/>
    <m/>
    <n v="680"/>
    <x v="0"/>
    <n v="756"/>
    <n v="480"/>
    <n v="480"/>
    <n v="504"/>
    <n v="176"/>
    <n v="0"/>
    <x v="5"/>
    <x v="1"/>
    <e v="#REF!"/>
    <e v="#REF!"/>
    <s v=""/>
    <n v="0.25882352941176473"/>
  </r>
  <r>
    <x v="5"/>
    <x v="171"/>
    <x v="0"/>
    <x v="58"/>
    <m/>
    <m/>
    <s v="MAPP_GAS, TURBO GAS (Winterpine) TORCH GAS"/>
    <s v="IM-000311"/>
    <n v="1"/>
    <n v="380"/>
    <m/>
    <n v="380"/>
    <x v="0"/>
    <n v="451"/>
    <n v="250"/>
    <n v="250"/>
    <n v="257.5"/>
    <n v="122.5"/>
    <n v="0"/>
    <x v="45"/>
    <x v="0"/>
    <e v="#REF!"/>
    <e v="#REF!"/>
    <s v=""/>
    <n v="0.32236842105263158"/>
  </r>
  <r>
    <x v="5"/>
    <x v="171"/>
    <x v="0"/>
    <x v="58"/>
    <m/>
    <m/>
    <s v="BLOWER_MOTOR, TOYOTA REVO"/>
    <s v="CA-000229"/>
    <n v="1"/>
    <n v="2000"/>
    <m/>
    <n v="2000"/>
    <x v="0"/>
    <n v="2205"/>
    <n v="1200"/>
    <n v="1200"/>
    <n v="1260"/>
    <n v="740"/>
    <n v="0"/>
    <x v="15"/>
    <x v="2"/>
    <e v="#REF!"/>
    <e v="#REF!"/>
    <s v=""/>
    <n v="0.37"/>
  </r>
  <r>
    <x v="5"/>
    <x v="172"/>
    <x v="1"/>
    <x v="5"/>
    <m/>
    <m/>
    <s v="REFRIGERANT, ENTALPIA EUROPE R134A 13.6   6/16/26 "/>
    <s v="GE-000517"/>
    <n v="1"/>
    <n v="8800"/>
    <m/>
    <n v="8800"/>
    <x v="0"/>
    <n v="10489"/>
    <n v="7684"/>
    <n v="7684"/>
    <n v="8068.2000000000007"/>
    <n v="731.79999999999927"/>
    <n v="219.53999999999976"/>
    <x v="5"/>
    <x v="1"/>
    <e v="#REF!"/>
    <e v="#REF!"/>
    <s v=""/>
    <n v="8.3159090909090821E-2"/>
  </r>
  <r>
    <x v="5"/>
    <x v="172"/>
    <x v="0"/>
    <x v="18"/>
    <m/>
    <m/>
    <s v="RECEIVER_DRIER_ALUMINUM, YK 8227A (Montero)"/>
    <s v="CA-001109"/>
    <n v="1"/>
    <n v="550"/>
    <m/>
    <n v="550"/>
    <x v="0"/>
    <n v="579"/>
    <n v="245"/>
    <n v="245"/>
    <n v="257.25"/>
    <n v="292.75"/>
    <n v="0"/>
    <x v="27"/>
    <x v="2"/>
    <e v="#REF!"/>
    <e v="#REF!"/>
    <s v=""/>
    <n v="0.53227272727272723"/>
  </r>
  <r>
    <x v="5"/>
    <x v="172"/>
    <x v="0"/>
    <x v="18"/>
    <m/>
    <m/>
    <s v="EXP. VALVE LT, STAL 9A63 MONTERO TRITON (STAL)"/>
    <s v="CA-001779"/>
    <n v="2"/>
    <n v="550"/>
    <m/>
    <n v="1100"/>
    <x v="0"/>
    <n v="390"/>
    <n v="195"/>
    <n v="390"/>
    <n v="409.5"/>
    <n v="690.5"/>
    <n v="0"/>
    <x v="23"/>
    <x v="2"/>
    <e v="#REF!"/>
    <e v="#REF!"/>
    <s v=""/>
    <n v="0.62772727272727269"/>
  </r>
  <r>
    <x v="5"/>
    <x v="172"/>
    <x v="2"/>
    <x v="7"/>
    <m/>
    <m/>
    <s v="SILICA_GEL, STAL LONG"/>
    <s v="CA-001637"/>
    <n v="5"/>
    <n v="200"/>
    <m/>
    <n v="1000"/>
    <x v="0"/>
    <n v="50"/>
    <n v="25"/>
    <n v="125"/>
    <n v="131.25"/>
    <n v="868.75"/>
    <n v="260.625"/>
    <x v="37"/>
    <x v="2"/>
    <e v="#REF!"/>
    <e v="#REF!"/>
    <s v=""/>
    <n v="0.86875000000000002"/>
  </r>
  <r>
    <x v="5"/>
    <x v="172"/>
    <x v="0"/>
    <x v="36"/>
    <m/>
    <m/>
    <s v="AUXFAN_MOTOR, TOYOTA VIOS 14 8030"/>
    <s v="CA-000093"/>
    <n v="1"/>
    <n v="1900"/>
    <m/>
    <n v="1900"/>
    <x v="0"/>
    <n v="2022"/>
    <n v="1100"/>
    <n v="1100"/>
    <n v="1155"/>
    <n v="745"/>
    <n v="0"/>
    <x v="14"/>
    <x v="2"/>
    <e v="#REF!"/>
    <e v="#REF!"/>
    <s v=""/>
    <n v="0.39210526315789473"/>
  </r>
  <r>
    <x v="5"/>
    <x v="172"/>
    <x v="0"/>
    <x v="120"/>
    <m/>
    <m/>
    <s v="EVAPORATOR, MITSUBISHI MIRAGE (STAL)"/>
    <s v="CA-000142"/>
    <n v="1"/>
    <n v="2000"/>
    <m/>
    <n v="2000"/>
    <x v="0"/>
    <n v="1976"/>
    <n v="1075"/>
    <n v="1075"/>
    <n v="1128.75"/>
    <n v="871.25"/>
    <n v="0"/>
    <x v="10"/>
    <x v="2"/>
    <e v="#REF!"/>
    <e v="#REF!"/>
    <s v=""/>
    <n v="0.43562499999999998"/>
  </r>
  <r>
    <x v="5"/>
    <x v="172"/>
    <x v="0"/>
    <x v="120"/>
    <m/>
    <m/>
    <s v="SILICA_GEL, STAL LONG"/>
    <s v="CA-001637"/>
    <n v="1"/>
    <n v="200"/>
    <m/>
    <n v="200"/>
    <x v="0"/>
    <n v="50"/>
    <n v="25"/>
    <n v="25"/>
    <n v="26.25"/>
    <n v="173.75"/>
    <n v="0"/>
    <x v="37"/>
    <x v="2"/>
    <e v="#REF!"/>
    <e v="#REF!"/>
    <s v=""/>
    <n v="0.86875000000000002"/>
  </r>
  <r>
    <x v="5"/>
    <x v="172"/>
    <x v="0"/>
    <x v="120"/>
    <m/>
    <m/>
    <s v="EXP. VALVE LT, POKKA 9A55 HONDA NEW"/>
    <s v="CA-000636"/>
    <n v="1"/>
    <n v="550"/>
    <m/>
    <n v="550"/>
    <x v="0"/>
    <n v="497"/>
    <n v="270"/>
    <n v="270"/>
    <n v="283.5"/>
    <n v="266.5"/>
    <n v="0"/>
    <x v="23"/>
    <x v="2"/>
    <e v="#REF!"/>
    <e v="#REF!"/>
    <s v=""/>
    <n v="0.48454545454545456"/>
  </r>
  <r>
    <x v="5"/>
    <x v="172"/>
    <x v="0"/>
    <x v="120"/>
    <m/>
    <m/>
    <s v="SYSTEM_CLEANER, Cleanse GREEN 141B 500 ML"/>
    <s v="GE-000369"/>
    <n v="3"/>
    <n v="120"/>
    <m/>
    <n v="360"/>
    <x v="0"/>
    <n v="113"/>
    <n v="65"/>
    <n v="195"/>
    <n v="204.75"/>
    <n v="155.25"/>
    <n v="0"/>
    <x v="28"/>
    <x v="1"/>
    <e v="#REF!"/>
    <e v="#REF!"/>
    <s v=""/>
    <n v="0.43125000000000002"/>
  </r>
  <r>
    <x v="5"/>
    <x v="172"/>
    <x v="0"/>
    <x v="134"/>
    <m/>
    <m/>
    <s v="EVAPORATOR, MITSUBISHI MIRAGE (STAL)"/>
    <s v="CA-000142"/>
    <n v="1"/>
    <n v="2000"/>
    <m/>
    <n v="2000"/>
    <x v="0"/>
    <n v="1976"/>
    <n v="1075"/>
    <n v="1075"/>
    <n v="1128.75"/>
    <n v="871.25"/>
    <n v="0"/>
    <x v="10"/>
    <x v="2"/>
    <e v="#REF!"/>
    <e v="#REF!"/>
    <s v=""/>
    <n v="0.43562499999999998"/>
  </r>
  <r>
    <x v="5"/>
    <x v="172"/>
    <x v="0"/>
    <x v="134"/>
    <m/>
    <m/>
    <s v="O_RING, NEK MAKAPAL 1/2  TINGI"/>
    <s v="CA-001491"/>
    <n v="10"/>
    <n v="7"/>
    <m/>
    <n v="70"/>
    <x v="0"/>
    <n v="2"/>
    <n v="1"/>
    <n v="10"/>
    <n v="10.5"/>
    <n v="59.5"/>
    <n v="0"/>
    <x v="44"/>
    <x v="2"/>
    <e v="#REF!"/>
    <e v="#REF!"/>
    <s v=""/>
    <n v="0.85"/>
  </r>
  <r>
    <x v="5"/>
    <x v="172"/>
    <x v="0"/>
    <x v="134"/>
    <m/>
    <m/>
    <s v="O_RING, NEK MAKAPAL 3/8 TINGI"/>
    <s v="CA-001492"/>
    <n v="5"/>
    <n v="5"/>
    <m/>
    <n v="25"/>
    <x v="0"/>
    <n v="2"/>
    <n v="1"/>
    <n v="5"/>
    <n v="5.25"/>
    <n v="19.75"/>
    <n v="0"/>
    <x v="44"/>
    <x v="2"/>
    <e v="#REF!"/>
    <e v="#REF!"/>
    <s v=""/>
    <n v="0.79"/>
  </r>
  <r>
    <x v="5"/>
    <x v="172"/>
    <x v="0"/>
    <x v="1"/>
    <m/>
    <m/>
    <s v="CAPACITOR_SINGLE, PS CBB65 10 UF"/>
    <s v="GE-000059"/>
    <n v="1"/>
    <n v="270"/>
    <m/>
    <n v="270"/>
    <x v="0"/>
    <n v="166"/>
    <n v="90"/>
    <n v="90"/>
    <n v="94.5"/>
    <n v="175.5"/>
    <n v="0"/>
    <x v="38"/>
    <x v="1"/>
    <e v="#REF!"/>
    <e v="#REF!"/>
    <s v=""/>
    <n v="0.65"/>
  </r>
  <r>
    <x v="5"/>
    <x v="172"/>
    <x v="1"/>
    <x v="5"/>
    <m/>
    <m/>
    <s v="CAPACITOR_DOUBLE, PS CBB65 25 + 4 UF"/>
    <s v="GE-000277"/>
    <n v="1"/>
    <n v="450"/>
    <m/>
    <n v="450"/>
    <x v="0"/>
    <n v="331"/>
    <n v="180"/>
    <n v="180"/>
    <n v="189"/>
    <n v="261"/>
    <n v="78.3"/>
    <x v="65"/>
    <x v="1"/>
    <e v="#REF!"/>
    <e v="#REF!"/>
    <s v=""/>
    <n v="0.57999999999999996"/>
  </r>
  <r>
    <x v="5"/>
    <x v="172"/>
    <x v="0"/>
    <x v="26"/>
    <m/>
    <m/>
    <s v="REFRIGERANT, ENTALPIA EUROPE R410A 13.6   6/16/26 "/>
    <s v="GE-000519"/>
    <n v="1"/>
    <n v="7500"/>
    <m/>
    <n v="7500"/>
    <x v="0"/>
    <n v="8792"/>
    <n v="6441"/>
    <n v="6441"/>
    <n v="6763.05"/>
    <n v="736.94999999999982"/>
    <n v="0"/>
    <x v="5"/>
    <x v="1"/>
    <e v="#REF!"/>
    <e v="#REF!"/>
    <s v=""/>
    <n v="9.8259999999999972E-2"/>
  </r>
  <r>
    <x v="5"/>
    <x v="172"/>
    <x v="1"/>
    <x v="3"/>
    <m/>
    <m/>
    <s v="EXP. VALVE LT, POKKA 9A244 NISSAN NV350"/>
    <s v="CA-001471"/>
    <n v="2"/>
    <n v="550"/>
    <m/>
    <n v="1100"/>
    <x v="0"/>
    <n v="515"/>
    <n v="280"/>
    <n v="560"/>
    <n v="588"/>
    <n v="512"/>
    <n v="153.6"/>
    <x v="23"/>
    <x v="2"/>
    <e v="#REF!"/>
    <e v="#REF!"/>
    <s v=""/>
    <n v="0.46545454545454545"/>
  </r>
  <r>
    <x v="5"/>
    <x v="172"/>
    <x v="0"/>
    <x v="83"/>
    <m/>
    <m/>
    <s v="AUXFAN_MOTOR, MITSUBISHI MONTERO (ORIG) SILVER"/>
    <s v="CA-000055"/>
    <n v="1"/>
    <n v="1600"/>
    <m/>
    <n v="1600"/>
    <x v="0"/>
    <n v="1838"/>
    <n v="1000"/>
    <n v="1000"/>
    <n v="1050"/>
    <n v="550"/>
    <n v="0"/>
    <x v="14"/>
    <x v="2"/>
    <e v="#REF!"/>
    <e v="#REF!"/>
    <s v=""/>
    <n v="0.34375"/>
  </r>
  <r>
    <x v="5"/>
    <x v="172"/>
    <x v="0"/>
    <x v="48"/>
    <m/>
    <m/>
    <s v="BLOWER_MOTOR, ISUZU D-MAX 2013 / MUX"/>
    <s v="CA-000171"/>
    <n v="1"/>
    <n v="1900"/>
    <m/>
    <n v="1900"/>
    <x v="0"/>
    <n v="2389"/>
    <n v="1300"/>
    <n v="1300"/>
    <n v="1365"/>
    <n v="535"/>
    <n v="0"/>
    <x v="15"/>
    <x v="2"/>
    <e v="#REF!"/>
    <e v="#REF!"/>
    <s v=""/>
    <n v="0.28157894736842104"/>
  </r>
  <r>
    <x v="5"/>
    <x v="172"/>
    <x v="0"/>
    <x v="151"/>
    <m/>
    <n v="1900"/>
    <s v="AUXFAN_MOTOR, NISSAN NV350"/>
    <s v="CA-000066"/>
    <n v="1"/>
    <n v="1696"/>
    <m/>
    <n v="1696"/>
    <x v="0"/>
    <n v="2114"/>
    <n v="1150"/>
    <n v="1150"/>
    <n v="1207.5"/>
    <n v="488.5"/>
    <n v="0"/>
    <x v="14"/>
    <x v="2"/>
    <e v="#REF!"/>
    <e v="#REF!"/>
    <n v="1899.5200000000002"/>
    <n v="0.28803066037735847"/>
  </r>
  <r>
    <x v="5"/>
    <x v="172"/>
    <x v="0"/>
    <x v="78"/>
    <m/>
    <m/>
    <s v="EXP. VALVE LT, POKKA 9A63 MONTERO"/>
    <s v="CA-000641"/>
    <n v="1"/>
    <n v="550"/>
    <m/>
    <n v="550"/>
    <x v="0"/>
    <n v="441"/>
    <n v="240"/>
    <n v="240"/>
    <n v="252"/>
    <n v="298"/>
    <n v="0"/>
    <x v="23"/>
    <x v="2"/>
    <e v="#REF!"/>
    <e v="#REF!"/>
    <s v=""/>
    <n v="0.54181818181818187"/>
  </r>
  <r>
    <x v="5"/>
    <x v="172"/>
    <x v="0"/>
    <x v="70"/>
    <m/>
    <m/>
    <s v="BLOWER_MOTOR, HONDA CITY 2009"/>
    <s v="CA-000140"/>
    <n v="1"/>
    <n v="2000"/>
    <m/>
    <n v="2000"/>
    <x v="0"/>
    <n v="2481"/>
    <n v="1350"/>
    <n v="1350"/>
    <n v="1417.5"/>
    <n v="582.5"/>
    <n v="0"/>
    <x v="15"/>
    <x v="2"/>
    <e v="#REF!"/>
    <e v="#REF!"/>
    <s v=""/>
    <n v="0.29125000000000001"/>
  </r>
  <r>
    <x v="5"/>
    <x v="172"/>
    <x v="0"/>
    <x v="61"/>
    <m/>
    <m/>
    <s v="HOSE, COOLMATE 1/2 DISCHARGE PER FT"/>
    <s v="GE-000179"/>
    <n v="2.5"/>
    <n v="90"/>
    <m/>
    <n v="225"/>
    <x v="0"/>
    <n v="80"/>
    <n v="43"/>
    <n v="107.5"/>
    <n v="112.875"/>
    <n v="112.125"/>
    <n v="0"/>
    <x v="19"/>
    <x v="1"/>
    <e v="#REF!"/>
    <e v="#REF!"/>
    <e v="#REF!"/>
    <n v="0"/>
  </r>
  <r>
    <x v="5"/>
    <x v="172"/>
    <x v="0"/>
    <x v="61"/>
    <m/>
    <m/>
    <s v="RECEIVER_DRIER_ALUMINUM, YK 9091 (Starex)"/>
    <s v="CA-001124"/>
    <n v="1"/>
    <n v="550"/>
    <m/>
    <n v="550"/>
    <x v="0"/>
    <n v="615"/>
    <n v="260"/>
    <n v="260"/>
    <n v="273"/>
    <n v="277"/>
    <n v="0"/>
    <x v="27"/>
    <x v="2"/>
    <e v="#REF!"/>
    <e v="#REF!"/>
    <e v="#REF!"/>
    <n v="0"/>
  </r>
  <r>
    <x v="5"/>
    <x v="172"/>
    <x v="0"/>
    <x v="61"/>
    <m/>
    <m/>
    <s v="FERULLE,  1/2&quot;"/>
    <s v="CA-000644"/>
    <n v="2"/>
    <n v="15"/>
    <m/>
    <n v="30"/>
    <x v="0"/>
    <n v="13"/>
    <n v="7"/>
    <n v="14"/>
    <n v="14.700000000000001"/>
    <n v="15.299999999999999"/>
    <n v="0"/>
    <x v="42"/>
    <x v="2"/>
    <e v="#REF!"/>
    <e v="#REF!"/>
    <e v="#REF!"/>
    <n v="0"/>
  </r>
  <r>
    <x v="5"/>
    <x v="173"/>
    <x v="0"/>
    <x v="19"/>
    <m/>
    <m/>
    <s v="BRACKET , ROBYN STEEL  1HP, COATED  (ISHABELLA)"/>
    <s v="IM-000330"/>
    <n v="1"/>
    <n v="360"/>
    <m/>
    <n v="360"/>
    <x v="0"/>
    <n v="352"/>
    <n v="195"/>
    <n v="195"/>
    <n v="200.85"/>
    <n v="159.15"/>
    <n v="0"/>
    <x v="1"/>
    <x v="0"/>
    <e v="#REF!"/>
    <e v="#REF!"/>
    <s v=""/>
    <n v="0.44208333333333333"/>
  </r>
  <r>
    <x v="5"/>
    <x v="173"/>
    <x v="0"/>
    <x v="19"/>
    <m/>
    <m/>
    <s v="RUBBER_INSULATION, M-FLEX 1/2&quot; 1/4"/>
    <s v="IM-000229"/>
    <n v="7"/>
    <n v="50"/>
    <m/>
    <n v="350"/>
    <x v="0"/>
    <n v="47"/>
    <n v="33.6"/>
    <n v="235.20000000000002"/>
    <n v="242.25600000000003"/>
    <n v="107.74399999999997"/>
    <n v="0"/>
    <x v="22"/>
    <x v="0"/>
    <e v="#REF!"/>
    <e v="#REF!"/>
    <s v=""/>
    <n v="0.30783999999999989"/>
  </r>
  <r>
    <x v="5"/>
    <x v="173"/>
    <x v="0"/>
    <x v="19"/>
    <m/>
    <m/>
    <s v="RUBBER_INSULATION, M-FLEX 1/2&quot; 3/8"/>
    <s v="IM-000231"/>
    <n v="7"/>
    <n v="60"/>
    <m/>
    <n v="420"/>
    <x v="0"/>
    <n v="53"/>
    <n v="37.6"/>
    <n v="263.2"/>
    <n v="271.096"/>
    <n v="148.904"/>
    <n v="0"/>
    <x v="22"/>
    <x v="0"/>
    <e v="#REF!"/>
    <e v="#REF!"/>
    <s v=""/>
    <n v="0.35453333333333331"/>
  </r>
  <r>
    <x v="5"/>
    <x v="173"/>
    <x v="0"/>
    <x v="19"/>
    <m/>
    <m/>
    <s v="TAPE_PE, PICUS Polythelene Tape (White)X 4&quot;"/>
    <s v="IM-000247"/>
    <n v="4"/>
    <n v="125"/>
    <m/>
    <n v="500"/>
    <x v="0"/>
    <n v="147"/>
    <n v="75"/>
    <n v="300"/>
    <n v="309"/>
    <n v="191"/>
    <n v="0"/>
    <x v="29"/>
    <x v="0"/>
    <e v="#REF!"/>
    <e v="#REF!"/>
    <s v=""/>
    <n v="0.38200000000000001"/>
  </r>
  <r>
    <x v="5"/>
    <x v="173"/>
    <x v="0"/>
    <x v="19"/>
    <m/>
    <m/>
    <s v="BOLT &amp; NUT, DYNABOLT 5/16&quot;"/>
    <s v="GE-000397"/>
    <n v="15"/>
    <n v="20"/>
    <m/>
    <n v="300"/>
    <x v="0"/>
    <n v="14"/>
    <n v="6.5"/>
    <n v="97.5"/>
    <n v="102.375"/>
    <n v="197.625"/>
    <n v="0"/>
    <x v="57"/>
    <x v="1"/>
    <e v="#REF!"/>
    <e v="#REF!"/>
    <s v=""/>
    <n v="0.65874999999999995"/>
  </r>
  <r>
    <x v="5"/>
    <x v="173"/>
    <x v="0"/>
    <x v="19"/>
    <m/>
    <m/>
    <s v="TAPE_FOAM, POKKA 5MM X 50 MM X 9.1 MTR"/>
    <s v="IM-000106"/>
    <n v="1"/>
    <n v="260"/>
    <m/>
    <n v="260"/>
    <x v="0"/>
    <n v="194"/>
    <n v="125"/>
    <n v="125"/>
    <n v="128.75"/>
    <n v="131.25"/>
    <n v="0"/>
    <x v="25"/>
    <x v="0"/>
    <e v="#REF!"/>
    <e v="#REF!"/>
    <s v=""/>
    <n v="0.50480769230769229"/>
  </r>
  <r>
    <x v="5"/>
    <x v="173"/>
    <x v="0"/>
    <x v="114"/>
    <m/>
    <m/>
    <s v="TAPE_FOAM, AEROTAPE 3MM X 50 MM X 9.1 MTR  06/18/26"/>
    <s v="IM-000332"/>
    <n v="1"/>
    <n v="430"/>
    <m/>
    <n v="430"/>
    <x v="0"/>
    <n v="510"/>
    <n v="330"/>
    <n v="330"/>
    <n v="339.90000000000003"/>
    <n v="90.099999999999966"/>
    <n v="0"/>
    <x v="25"/>
    <x v="0"/>
    <e v="#REF!"/>
    <e v="#REF!"/>
    <e v="#REF!"/>
    <n v="0"/>
  </r>
  <r>
    <x v="5"/>
    <x v="173"/>
    <x v="0"/>
    <x v="36"/>
    <m/>
    <n v="1900"/>
    <s v="AUXFAN_MOTOR, SUZUKI VITARA"/>
    <s v="CA-000077"/>
    <n v="2"/>
    <n v="1690"/>
    <m/>
    <n v="3380"/>
    <x v="0"/>
    <n v="2205"/>
    <n v="1200"/>
    <n v="2400"/>
    <n v="2520"/>
    <n v="860"/>
    <n v="0"/>
    <x v="14"/>
    <x v="2"/>
    <e v="#REF!"/>
    <e v="#REF!"/>
    <n v="1892.8000000000002"/>
    <n v="0.25443786982248523"/>
  </r>
  <r>
    <x v="5"/>
    <x v="173"/>
    <x v="0"/>
    <x v="19"/>
    <m/>
    <m/>
    <s v="ROYAL CORD, POWERFLEX 4-CORE, #16 1.2 MM, METER"/>
    <s v="GE-000485"/>
    <n v="4"/>
    <n v="125"/>
    <m/>
    <n v="500"/>
    <x v="0"/>
    <n v="90"/>
    <n v="72"/>
    <n v="288"/>
    <n v="302.40000000000003"/>
    <n v="197.59999999999997"/>
    <n v="0"/>
    <x v="48"/>
    <x v="1"/>
    <e v="#REF!"/>
    <e v="#REF!"/>
    <s v=""/>
    <n v="0.39519999999999994"/>
  </r>
  <r>
    <x v="5"/>
    <x v="173"/>
    <x v="0"/>
    <x v="19"/>
    <m/>
    <m/>
    <s v="HOSE,  DRAIN 3/4 PER METER"/>
    <s v="GE-000001"/>
    <n v="3"/>
    <n v="80"/>
    <m/>
    <n v="240"/>
    <x v="0"/>
    <n v="63"/>
    <n v="34"/>
    <n v="102"/>
    <n v="107.10000000000001"/>
    <n v="132.89999999999998"/>
    <n v="0"/>
    <x v="19"/>
    <x v="1"/>
    <e v="#REF!"/>
    <e v="#REF!"/>
    <s v=""/>
    <n v="0.55374999999999985"/>
  </r>
  <r>
    <x v="5"/>
    <x v="174"/>
    <x v="0"/>
    <x v="8"/>
    <m/>
    <m/>
    <s v="EVAPORATOR, MITSUBISHI PAJERO / HI ACE 40A7"/>
    <s v="CA-001811"/>
    <n v="1"/>
    <n v="2000"/>
    <m/>
    <n v="2000"/>
    <x v="0"/>
    <n v="2481"/>
    <n v="1350"/>
    <n v="1350"/>
    <n v="1417.5"/>
    <n v="582.5"/>
    <n v="0"/>
    <x v="10"/>
    <x v="2"/>
    <e v="#REF!"/>
    <e v="#REF!"/>
    <s v=""/>
    <n v="0.29125000000000001"/>
  </r>
  <r>
    <x v="5"/>
    <x v="174"/>
    <x v="0"/>
    <x v="8"/>
    <m/>
    <m/>
    <s v="EXP. VALVE LT, POKKA 9A50 134A, PAJERO"/>
    <s v="CA-001826"/>
    <n v="1"/>
    <n v="550"/>
    <m/>
    <n v="550"/>
    <x v="0"/>
    <n v="441"/>
    <n v="240"/>
    <n v="240"/>
    <n v="252"/>
    <n v="298"/>
    <n v="0"/>
    <x v="23"/>
    <x v="2"/>
    <e v="#REF!"/>
    <e v="#REF!"/>
    <s v=""/>
    <n v="0.54181818181818187"/>
  </r>
  <r>
    <x v="5"/>
    <x v="174"/>
    <x v="0"/>
    <x v="152"/>
    <m/>
    <m/>
    <s v="COPPER_TUBE_SOFTDRAWN, EXZEL 0.028 X 1/4 x 15 mtr  05/28/26"/>
    <s v="IM-000329"/>
    <n v="0.2"/>
    <n v="2500"/>
    <m/>
    <n v="500"/>
    <x v="0"/>
    <n v="3063"/>
    <n v="1699"/>
    <n v="339.8"/>
    <n v="349.99400000000003"/>
    <n v="150.00599999999997"/>
    <n v="0"/>
    <x v="0"/>
    <x v="0"/>
    <e v="#REF!"/>
    <e v="#REF!"/>
    <s v=""/>
    <n v="0.30001199999999995"/>
  </r>
  <r>
    <x v="5"/>
    <x v="174"/>
    <x v="0"/>
    <x v="152"/>
    <m/>
    <m/>
    <s v="COPPER_TUBE_SOFTDRAWN, HAILIANG 0.028 X 3/8 x 15 mtr 06/02/26"/>
    <s v="IM-000327"/>
    <n v="0.2"/>
    <n v="3500"/>
    <m/>
    <n v="700"/>
    <x v="0"/>
    <n v="4774"/>
    <n v="2648"/>
    <n v="529.6"/>
    <n v="545.48800000000006"/>
    <n v="154.51199999999994"/>
    <n v="0"/>
    <x v="0"/>
    <x v="0"/>
    <e v="#REF!"/>
    <e v="#REF!"/>
    <s v=""/>
    <n v="0.2207314285714285"/>
  </r>
  <r>
    <x v="5"/>
    <x v="174"/>
    <x v="0"/>
    <x v="152"/>
    <m/>
    <m/>
    <s v="RUBBER_INSULATION, M-FLEX 1/2&quot; 1/4"/>
    <s v="IM-000229"/>
    <n v="2"/>
    <n v="50"/>
    <m/>
    <n v="100"/>
    <x v="0"/>
    <n v="47"/>
    <n v="33.6"/>
    <n v="67.2"/>
    <n v="69.216000000000008"/>
    <n v="30.783999999999992"/>
    <n v="0"/>
    <x v="22"/>
    <x v="0"/>
    <e v="#REF!"/>
    <e v="#REF!"/>
    <s v=""/>
    <n v="0.30783999999999989"/>
  </r>
  <r>
    <x v="5"/>
    <x v="174"/>
    <x v="0"/>
    <x v="152"/>
    <m/>
    <m/>
    <s v="RUBBER_INSULATION, M-FLEX 1/2&quot; 3/4"/>
    <s v="IM-000230"/>
    <n v="2"/>
    <n v="60"/>
    <m/>
    <n v="120"/>
    <x v="0"/>
    <n v="67"/>
    <n v="51.8"/>
    <n v="103.6"/>
    <n v="106.708"/>
    <n v="13.292000000000002"/>
    <n v="0"/>
    <x v="22"/>
    <x v="0"/>
    <e v="#REF!"/>
    <e v="#REF!"/>
    <s v=""/>
    <n v="0.11076666666666668"/>
  </r>
  <r>
    <x v="5"/>
    <x v="174"/>
    <x v="0"/>
    <x v="152"/>
    <m/>
    <m/>
    <s v="TAPE_PE, PICUS Polythelene Tape (White)X 4&quot;"/>
    <s v="IM-000247"/>
    <n v="1"/>
    <n v="125"/>
    <m/>
    <n v="125"/>
    <x v="0"/>
    <n v="147"/>
    <n v="75"/>
    <n v="75"/>
    <n v="77.25"/>
    <n v="47.75"/>
    <n v="0"/>
    <x v="29"/>
    <x v="0"/>
    <e v="#REF!"/>
    <e v="#REF!"/>
    <s v=""/>
    <n v="0.38200000000000001"/>
  </r>
  <r>
    <x v="5"/>
    <x v="174"/>
    <x v="0"/>
    <x v="152"/>
    <m/>
    <m/>
    <s v="BOLT &amp; NUT, DYNABOLT 3/8&quot;"/>
    <s v="GE-000396"/>
    <n v="4"/>
    <n v="25"/>
    <m/>
    <n v="100"/>
    <x v="0"/>
    <n v="19"/>
    <n v="8.9"/>
    <n v="35.6"/>
    <n v="37.380000000000003"/>
    <n v="62.62"/>
    <n v="0"/>
    <x v="57"/>
    <x v="1"/>
    <e v="#REF!"/>
    <e v="#REF!"/>
    <s v=""/>
    <n v="0.62619999999999998"/>
  </r>
  <r>
    <x v="5"/>
    <x v="174"/>
    <x v="0"/>
    <x v="36"/>
    <m/>
    <m/>
    <s v="EVAPORATOR, TOYOTA AVANZA 14 HS-40A523"/>
    <s v="CA-000536"/>
    <n v="1"/>
    <n v="2000"/>
    <m/>
    <n v="2000"/>
    <x v="0"/>
    <n v="2389"/>
    <n v="1300"/>
    <n v="1300"/>
    <n v="1365"/>
    <n v="635"/>
    <n v="0"/>
    <x v="10"/>
    <x v="2"/>
    <e v="#REF!"/>
    <e v="#REF!"/>
    <s v=""/>
    <n v="0.3175"/>
  </r>
  <r>
    <x v="5"/>
    <x v="174"/>
    <x v="0"/>
    <x v="34"/>
    <m/>
    <m/>
    <s v="COPPER_TUBE_SOFTDRAWN, HAILIANG 0.028 X 1/2 x 15 mtr 06/02/26"/>
    <s v="IM-000328"/>
    <n v="1"/>
    <n v="3950"/>
    <m/>
    <n v="3950"/>
    <x v="0"/>
    <n v="6554"/>
    <n v="3636"/>
    <n v="3636"/>
    <n v="3745.08"/>
    <n v="204.92000000000007"/>
    <n v="0"/>
    <x v="0"/>
    <x v="0"/>
    <e v="#REF!"/>
    <e v="#REF!"/>
    <s v=""/>
    <n v="5.1878481012658247E-2"/>
  </r>
  <r>
    <x v="5"/>
    <x v="174"/>
    <x v="1"/>
    <x v="3"/>
    <m/>
    <m/>
    <s v="SHAFT_SEAL, DENSO DENSO BIG"/>
    <s v="CA-001224"/>
    <n v="1"/>
    <n v="450"/>
    <m/>
    <n v="450"/>
    <x v="0"/>
    <n v="450"/>
    <n v="180"/>
    <n v="180"/>
    <n v="189"/>
    <n v="261"/>
    <n v="78.3"/>
    <x v="83"/>
    <x v="2"/>
    <e v="#REF!"/>
    <e v="#REF!"/>
    <s v=""/>
    <n v="0.57999999999999996"/>
  </r>
  <r>
    <x v="5"/>
    <x v="174"/>
    <x v="1"/>
    <x v="3"/>
    <m/>
    <m/>
    <s v="BEARING, NSK DENSO  218"/>
    <s v="CA-000124"/>
    <n v="1"/>
    <n v="350"/>
    <m/>
    <n v="350"/>
    <x v="0"/>
    <n v="258"/>
    <n v="140"/>
    <n v="140"/>
    <n v="147"/>
    <n v="203"/>
    <n v="60.9"/>
    <x v="85"/>
    <x v="2"/>
    <e v="#REF!"/>
    <e v="#REF!"/>
    <s v=""/>
    <n v="0.57999999999999996"/>
  </r>
  <r>
    <x v="5"/>
    <x v="174"/>
    <x v="0"/>
    <x v="8"/>
    <m/>
    <m/>
    <s v="AUXFAN_MOTOR, HONDA CRV (3070 / 3130)"/>
    <s v="CA-000007"/>
    <n v="1"/>
    <n v="1600"/>
    <m/>
    <n v="1600"/>
    <x v="0"/>
    <n v="1654"/>
    <n v="900"/>
    <n v="900"/>
    <n v="945"/>
    <n v="655"/>
    <n v="0"/>
    <x v="14"/>
    <x v="2"/>
    <e v="#REF!"/>
    <e v="#REF!"/>
    <s v=""/>
    <n v="0.40937499999999999"/>
  </r>
  <r>
    <x v="5"/>
    <x v="174"/>
    <x v="0"/>
    <x v="1"/>
    <m/>
    <m/>
    <s v="BRACKET , GB 2HP, COATED"/>
    <s v="IM-000011"/>
    <n v="1"/>
    <n v="450"/>
    <m/>
    <n v="450"/>
    <x v="0"/>
    <n v="532"/>
    <n v="295"/>
    <n v="295"/>
    <n v="303.85000000000002"/>
    <n v="146.14999999999998"/>
    <n v="0"/>
    <x v="1"/>
    <x v="0"/>
    <e v="#REF!"/>
    <e v="#REF!"/>
    <s v=""/>
    <n v="0.32477777777777772"/>
  </r>
  <r>
    <x v="5"/>
    <x v="174"/>
    <x v="0"/>
    <x v="8"/>
    <m/>
    <m/>
    <s v="EVAPORATOR, NISSAN FRONTIER"/>
    <s v="CA-000519"/>
    <n v="1"/>
    <n v="2000"/>
    <m/>
    <n v="2000"/>
    <x v="0"/>
    <n v="2481"/>
    <n v="1350"/>
    <n v="1350"/>
    <n v="1417.5"/>
    <n v="582.5"/>
    <n v="0"/>
    <x v="10"/>
    <x v="2"/>
    <e v="#REF!"/>
    <e v="#REF!"/>
    <s v=""/>
    <n v="0.29125000000000001"/>
  </r>
  <r>
    <x v="5"/>
    <x v="174"/>
    <x v="0"/>
    <x v="27"/>
    <m/>
    <m/>
    <s v="COPPER_TUBE_SOFTDRAWN, EXZEL 0.028 X 1/4 x 15 mtr  05/28/26"/>
    <s v="IM-000329"/>
    <n v="0.2"/>
    <n v="2500"/>
    <m/>
    <n v="500"/>
    <x v="0"/>
    <n v="3063"/>
    <n v="1699"/>
    <n v="339.8"/>
    <n v="349.99400000000003"/>
    <n v="150.00599999999997"/>
    <n v="0"/>
    <x v="0"/>
    <x v="0"/>
    <e v="#REF!"/>
    <e v="#REF!"/>
    <s v=""/>
    <n v="0.30001199999999995"/>
  </r>
  <r>
    <x v="5"/>
    <x v="174"/>
    <x v="0"/>
    <x v="27"/>
    <m/>
    <m/>
    <s v="RUBBER_INSULATION, M-FLEX 1/2&quot; 1/4"/>
    <s v="IM-000229"/>
    <n v="2"/>
    <n v="50"/>
    <m/>
    <n v="100"/>
    <x v="0"/>
    <n v="47"/>
    <n v="33.6"/>
    <n v="67.2"/>
    <n v="69.216000000000008"/>
    <n v="30.783999999999992"/>
    <n v="0"/>
    <x v="22"/>
    <x v="0"/>
    <e v="#REF!"/>
    <e v="#REF!"/>
    <s v=""/>
    <n v="0.30783999999999989"/>
  </r>
  <r>
    <x v="5"/>
    <x v="174"/>
    <x v="0"/>
    <x v="27"/>
    <m/>
    <m/>
    <s v="RUBBER_INSULATION, M-FLEX 1/2&quot; 1/2"/>
    <s v="IM-000227"/>
    <n v="2"/>
    <n v="70"/>
    <m/>
    <n v="140"/>
    <x v="0"/>
    <n v="65"/>
    <n v="46.4"/>
    <n v="92.8"/>
    <n v="95.584000000000003"/>
    <n v="44.415999999999997"/>
    <n v="0"/>
    <x v="22"/>
    <x v="0"/>
    <e v="#REF!"/>
    <e v="#REF!"/>
    <s v=""/>
    <n v="0.31725714285714285"/>
  </r>
  <r>
    <x v="5"/>
    <x v="174"/>
    <x v="0"/>
    <x v="27"/>
    <m/>
    <m/>
    <s v="BRACKET , GB 2HP, COATED"/>
    <s v="IM-000011"/>
    <n v="1"/>
    <n v="460"/>
    <m/>
    <n v="460"/>
    <x v="0"/>
    <n v="532"/>
    <n v="295"/>
    <n v="295"/>
    <n v="303.85000000000002"/>
    <n v="156.14999999999998"/>
    <n v="0"/>
    <x v="1"/>
    <x v="0"/>
    <e v="#REF!"/>
    <e v="#REF!"/>
    <s v=""/>
    <n v="0.33945652173913038"/>
  </r>
  <r>
    <x v="5"/>
    <x v="174"/>
    <x v="0"/>
    <x v="27"/>
    <m/>
    <m/>
    <s v="REFRIGERANT, POKKA R32, 600 GRMS  05/09/26"/>
    <s v="GE-000509"/>
    <n v="2"/>
    <n v="680"/>
    <m/>
    <n v="1360"/>
    <x v="0"/>
    <n v="756"/>
    <n v="480"/>
    <n v="960"/>
    <n v="1008"/>
    <n v="352"/>
    <n v="0"/>
    <x v="5"/>
    <x v="1"/>
    <e v="#REF!"/>
    <e v="#REF!"/>
    <s v=""/>
    <n v="0.25882352941176473"/>
  </r>
  <r>
    <x v="5"/>
    <x v="174"/>
    <x v="0"/>
    <x v="1"/>
    <m/>
    <m/>
    <s v="REFRIGERANT, ENTALPIA EUROPE R134A 13.6   6/16/26 "/>
    <s v="GE-000517"/>
    <n v="1"/>
    <n v="8800"/>
    <m/>
    <n v="8800"/>
    <x v="0"/>
    <n v="10489"/>
    <n v="7684"/>
    <n v="7684"/>
    <n v="8068.2000000000007"/>
    <n v="731.79999999999927"/>
    <n v="0"/>
    <x v="5"/>
    <x v="1"/>
    <e v="#REF!"/>
    <e v="#REF!"/>
    <s v=""/>
    <n v="8.3159090909090821E-2"/>
  </r>
  <r>
    <x v="5"/>
    <x v="174"/>
    <x v="0"/>
    <x v="79"/>
    <m/>
    <m/>
    <s v="EVAPORATOR, HYUNDAI H100 2018"/>
    <s v="CA-000490"/>
    <n v="1"/>
    <n v="2100"/>
    <m/>
    <n v="2100"/>
    <x v="0"/>
    <n v="2665"/>
    <n v="1450"/>
    <n v="1450"/>
    <n v="1522.5"/>
    <n v="577.5"/>
    <n v="0"/>
    <x v="10"/>
    <x v="2"/>
    <e v="#REF!"/>
    <e v="#REF!"/>
    <s v=""/>
    <n v="0.27500000000000002"/>
  </r>
  <r>
    <x v="5"/>
    <x v="174"/>
    <x v="0"/>
    <x v="153"/>
    <m/>
    <m/>
    <s v="COPPER_TUBE_SOFTDRAWN, EXZEL 0.028 X 1/4 x 15 mtr  05/28/26"/>
    <s v="IM-000329"/>
    <n v="2"/>
    <n v="1950"/>
    <m/>
    <n v="3900"/>
    <x v="0"/>
    <n v="3063"/>
    <n v="1699"/>
    <n v="3398"/>
    <n v="3499.94"/>
    <n v="400.05999999999995"/>
    <n v="0"/>
    <x v="0"/>
    <x v="0"/>
    <e v="#REF!"/>
    <e v="#REF!"/>
    <s v=""/>
    <n v="0.10257948717948717"/>
  </r>
  <r>
    <x v="5"/>
    <x v="174"/>
    <x v="0"/>
    <x v="153"/>
    <m/>
    <m/>
    <s v="COPPER_TUBE_SOFTDRAWN, HAILIANG 0.028 X 3/8 x 15 mtr 06/02/26"/>
    <s v="IM-000327"/>
    <n v="1"/>
    <n v="2950"/>
    <m/>
    <n v="2950"/>
    <x v="0"/>
    <n v="4774"/>
    <n v="2648"/>
    <n v="2648"/>
    <n v="2727.44"/>
    <n v="222.55999999999995"/>
    <n v="0"/>
    <x v="0"/>
    <x v="0"/>
    <e v="#REF!"/>
    <e v="#REF!"/>
    <s v=""/>
    <n v="7.5444067796610156E-2"/>
  </r>
  <r>
    <x v="5"/>
    <x v="174"/>
    <x v="0"/>
    <x v="153"/>
    <m/>
    <m/>
    <s v="COPPER_TUBE_SOFTDRAWN, HAILIANG 0.028 X 1/2 x 15 mtr 06/02/26"/>
    <s v="IM-000328"/>
    <n v="1"/>
    <n v="3950"/>
    <m/>
    <n v="3950"/>
    <x v="0"/>
    <n v="6554"/>
    <n v="3636"/>
    <n v="3636"/>
    <n v="3745.08"/>
    <n v="204.92000000000007"/>
    <n v="0"/>
    <x v="0"/>
    <x v="0"/>
    <e v="#REF!"/>
    <e v="#REF!"/>
    <s v=""/>
    <n v="5.1878481012658247E-2"/>
  </r>
  <r>
    <x v="5"/>
    <x v="174"/>
    <x v="0"/>
    <x v="153"/>
    <m/>
    <m/>
    <s v="RUBBER_INSULATION, M-FLEX 1/2&quot; 1/4"/>
    <s v="IM-000229"/>
    <n v="15"/>
    <n v="50"/>
    <m/>
    <n v="750"/>
    <x v="0"/>
    <n v="47"/>
    <n v="33.6"/>
    <n v="504"/>
    <n v="519.12"/>
    <n v="230.88"/>
    <n v="0"/>
    <x v="22"/>
    <x v="0"/>
    <e v="#REF!"/>
    <e v="#REF!"/>
    <s v=""/>
    <n v="0.30784"/>
  </r>
  <r>
    <x v="5"/>
    <x v="174"/>
    <x v="0"/>
    <x v="153"/>
    <m/>
    <m/>
    <s v="RUBBER_INSULATION, M-FLEX 1/2&quot; 1/2"/>
    <s v="IM-000227"/>
    <n v="7"/>
    <n v="70"/>
    <m/>
    <n v="490"/>
    <x v="0"/>
    <n v="65"/>
    <n v="46.4"/>
    <n v="324.8"/>
    <n v="334.54400000000004"/>
    <n v="155.45599999999996"/>
    <n v="0"/>
    <x v="22"/>
    <x v="0"/>
    <e v="#REF!"/>
    <e v="#REF!"/>
    <s v=""/>
    <n v="0.31725714285714279"/>
  </r>
  <r>
    <x v="5"/>
    <x v="174"/>
    <x v="0"/>
    <x v="153"/>
    <m/>
    <m/>
    <s v="RUBBER_INSULATION, M-FLEX 1/2&quot; 3/8"/>
    <s v="IM-000231"/>
    <n v="10"/>
    <n v="60"/>
    <m/>
    <n v="600"/>
    <x v="0"/>
    <n v="53"/>
    <n v="37.6"/>
    <n v="376"/>
    <n v="387.28000000000003"/>
    <n v="212.71999999999997"/>
    <n v="0"/>
    <x v="22"/>
    <x v="0"/>
    <e v="#REF!"/>
    <e v="#REF!"/>
    <s v=""/>
    <n v="0.35453333333333331"/>
  </r>
  <r>
    <x v="5"/>
    <x v="174"/>
    <x v="0"/>
    <x v="17"/>
    <m/>
    <m/>
    <s v="EVAPORATOR, HYUNDAI ACCENT 2013 40A522"/>
    <s v="CA-001861"/>
    <n v="1"/>
    <n v="2000"/>
    <m/>
    <n v="2000"/>
    <x v="0"/>
    <n v="2389"/>
    <n v="1300"/>
    <n v="1300"/>
    <n v="1365"/>
    <n v="635"/>
    <n v="0"/>
    <x v="10"/>
    <x v="2"/>
    <e v="#REF!"/>
    <e v="#REF!"/>
    <s v=""/>
    <n v="0.3175"/>
  </r>
  <r>
    <x v="5"/>
    <x v="174"/>
    <x v="0"/>
    <x v="17"/>
    <m/>
    <m/>
    <s v="ECV, HYUNDAI ACCENT, 8-22A"/>
    <s v="CA-000454"/>
    <n v="3"/>
    <n v="1900"/>
    <m/>
    <n v="5700"/>
    <x v="0"/>
    <n v="1838"/>
    <n v="1000"/>
    <n v="3000"/>
    <n v="3150"/>
    <n v="2550"/>
    <n v="0"/>
    <x v="26"/>
    <x v="2"/>
    <e v="#REF!"/>
    <e v="#REF!"/>
    <s v=""/>
    <n v="0.44736842105263158"/>
  </r>
  <r>
    <x v="5"/>
    <x v="174"/>
    <x v="0"/>
    <x v="17"/>
    <m/>
    <m/>
    <s v="BLOWER_MOTOR, TOYOTA VIOS SUPERMAN"/>
    <s v="CA-000233"/>
    <n v="1"/>
    <n v="2000"/>
    <m/>
    <n v="2000"/>
    <x v="0"/>
    <n v="2389"/>
    <n v="1300"/>
    <n v="1300"/>
    <n v="1365"/>
    <n v="635"/>
    <n v="0"/>
    <x v="15"/>
    <x v="2"/>
    <e v="#REF!"/>
    <e v="#REF!"/>
    <s v=""/>
    <n v="0.3175"/>
  </r>
  <r>
    <x v="5"/>
    <x v="175"/>
    <x v="1"/>
    <x v="3"/>
    <m/>
    <m/>
    <s v="BLOWER_MOTOR, ISUZU D-MAX 2013 / MUX"/>
    <s v="CA-000171"/>
    <n v="1"/>
    <n v="1900"/>
    <m/>
    <n v="1900"/>
    <x v="0"/>
    <n v="2389"/>
    <n v="1300"/>
    <n v="1300"/>
    <n v="1365"/>
    <n v="535"/>
    <n v="160.5"/>
    <x v="15"/>
    <x v="2"/>
    <e v="#REF!"/>
    <e v="#REF!"/>
    <s v=""/>
    <n v="0.28157894736842104"/>
  </r>
  <r>
    <x v="5"/>
    <x v="175"/>
    <x v="0"/>
    <x v="30"/>
    <m/>
    <m/>
    <s v="HOSE, EUROFLEX FLEXIBLE ROLL 1/2 50 MTRS (WINTERPINE)"/>
    <s v="GE-000382"/>
    <n v="1"/>
    <n v="550"/>
    <m/>
    <n v="550"/>
    <x v="0"/>
    <n v="515"/>
    <n v="280"/>
    <n v="280"/>
    <n v="294"/>
    <n v="256"/>
    <n v="0"/>
    <x v="19"/>
    <x v="1"/>
    <e v="#REF!"/>
    <e v="#REF!"/>
    <s v=""/>
    <n v="0.46545454545454545"/>
  </r>
  <r>
    <x v="5"/>
    <x v="175"/>
    <x v="0"/>
    <x v="30"/>
    <m/>
    <m/>
    <s v="BOLT &amp; NUT, TOX WITH METAL SCREW #6"/>
    <s v="GE-000403"/>
    <n v="30"/>
    <n v="5"/>
    <m/>
    <n v="150"/>
    <x v="0"/>
    <n v="3"/>
    <n v="1.1000000000000001"/>
    <n v="33"/>
    <n v="34.65"/>
    <n v="115.35"/>
    <n v="0"/>
    <x v="57"/>
    <x v="1"/>
    <e v="#REF!"/>
    <e v="#REF!"/>
    <s v=""/>
    <n v="0.76900000000000002"/>
  </r>
  <r>
    <x v="5"/>
    <x v="175"/>
    <x v="0"/>
    <x v="30"/>
    <m/>
    <m/>
    <s v="HOSE,  DRAIN 5/8"/>
    <s v="GE-000186"/>
    <n v="1"/>
    <n v="1200"/>
    <m/>
    <n v="1200"/>
    <x v="0"/>
    <n v="1140"/>
    <n v="620"/>
    <n v="620"/>
    <n v="651"/>
    <n v="549"/>
    <n v="0"/>
    <x v="19"/>
    <x v="1"/>
    <e v="#REF!"/>
    <e v="#REF!"/>
    <s v=""/>
    <n v="0.45750000000000002"/>
  </r>
  <r>
    <x v="5"/>
    <x v="175"/>
    <x v="2"/>
    <x v="22"/>
    <m/>
    <m/>
    <s v="CABIN_FILTER, HONDA MEDIUM"/>
    <s v="CA-001679"/>
    <n v="2"/>
    <n v="220"/>
    <m/>
    <n v="440"/>
    <x v="0"/>
    <n v="315"/>
    <n v="100"/>
    <n v="200"/>
    <n v="210"/>
    <n v="230"/>
    <n v="69"/>
    <x v="12"/>
    <x v="2"/>
    <e v="#REF!"/>
    <e v="#REF!"/>
    <s v=""/>
    <n v="0.52272727272727271"/>
  </r>
  <r>
    <x v="5"/>
    <x v="175"/>
    <x v="2"/>
    <x v="22"/>
    <m/>
    <m/>
    <s v="CABIN_FILTER, TOYOTA HI-ACE"/>
    <s v="CA-001292"/>
    <n v="1"/>
    <n v="220"/>
    <m/>
    <n v="220"/>
    <x v="0"/>
    <n v="331"/>
    <n v="105"/>
    <n v="105"/>
    <n v="110.25"/>
    <n v="109.75"/>
    <n v="32.924999999999997"/>
    <x v="12"/>
    <x v="2"/>
    <e v="#REF!"/>
    <e v="#REF!"/>
    <s v=""/>
    <n v="0.49886363636363634"/>
  </r>
  <r>
    <x v="5"/>
    <x v="175"/>
    <x v="2"/>
    <x v="22"/>
    <m/>
    <m/>
    <s v="EXP. VALVE LT, POKKA 9A244 NISSAN NV350"/>
    <s v="CA-001471"/>
    <n v="1"/>
    <n v="420"/>
    <m/>
    <n v="420"/>
    <x v="0"/>
    <n v="515"/>
    <n v="280"/>
    <n v="280"/>
    <n v="294"/>
    <n v="126"/>
    <n v="37.799999999999997"/>
    <x v="23"/>
    <x v="2"/>
    <e v="#REF!"/>
    <e v="#REF!"/>
    <s v=""/>
    <n v="0.3"/>
  </r>
  <r>
    <x v="5"/>
    <x v="175"/>
    <x v="2"/>
    <x v="22"/>
    <m/>
    <m/>
    <s v="LUBRICANT, EMKARATE RL 68H, 1 LITER"/>
    <s v="GE-000135"/>
    <n v="1"/>
    <n v="380"/>
    <m/>
    <n v="380"/>
    <x v="0"/>
    <n v="331"/>
    <n v="180"/>
    <n v="180"/>
    <n v="189"/>
    <n v="191"/>
    <n v="57.3"/>
    <x v="9"/>
    <x v="1"/>
    <e v="#REF!"/>
    <e v="#REF!"/>
    <e v="#REF!"/>
    <n v="0"/>
  </r>
  <r>
    <x v="5"/>
    <x v="175"/>
    <x v="2"/>
    <x v="22"/>
    <m/>
    <m/>
    <s v="BLOWER_MOTOR, TOYOTA ALTIS 2013 W/ RESISTOR"/>
    <s v="CA-000212"/>
    <n v="1"/>
    <n v="3000"/>
    <m/>
    <n v="3000"/>
    <x v="0"/>
    <n v="4594"/>
    <n v="2500"/>
    <n v="2500"/>
    <n v="2625"/>
    <n v="375"/>
    <n v="112.5"/>
    <x v="15"/>
    <x v="2"/>
    <e v="#REF!"/>
    <e v="#REF!"/>
    <e v="#REF!"/>
    <n v="0"/>
  </r>
  <r>
    <x v="5"/>
    <x v="175"/>
    <x v="2"/>
    <x v="22"/>
    <m/>
    <m/>
    <s v="PULLEY_ASSEMBLY, MITSUBISHI MIRAGE SHORT"/>
    <s v="CA-001305"/>
    <n v="1"/>
    <n v="2100"/>
    <m/>
    <n v="2100"/>
    <x v="0"/>
    <n v="2520"/>
    <n v="1500"/>
    <n v="1500"/>
    <n v="1575"/>
    <n v="525"/>
    <n v="157.5"/>
    <x v="11"/>
    <x v="2"/>
    <e v="#REF!"/>
    <e v="#REF!"/>
    <e v="#REF!"/>
    <n v="0"/>
  </r>
  <r>
    <x v="5"/>
    <x v="175"/>
    <x v="0"/>
    <x v="154"/>
    <m/>
    <m/>
    <s v="REFRIGERANT, EUFRON 407C, 11.3 KGS"/>
    <s v="GE-000015"/>
    <n v="1"/>
    <n v="6500"/>
    <m/>
    <n v="6500"/>
    <x v="0"/>
    <n v="4984"/>
    <n v="3955"/>
    <n v="3955"/>
    <n v="4152.75"/>
    <n v="2347.25"/>
    <n v="0"/>
    <x v="5"/>
    <x v="1"/>
    <e v="#REF!"/>
    <e v="#REF!"/>
    <e v="#REF!"/>
    <n v="0"/>
  </r>
  <r>
    <x v="5"/>
    <x v="175"/>
    <x v="3"/>
    <x v="12"/>
    <m/>
    <m/>
    <s v="ECV, HYUNDAI ACCENT, 8-22A"/>
    <s v="CA-000454"/>
    <n v="1"/>
    <n v="1900"/>
    <m/>
    <n v="1900"/>
    <x v="0"/>
    <n v="1838"/>
    <n v="1000"/>
    <n v="1000"/>
    <n v="1050"/>
    <n v="850"/>
    <n v="255"/>
    <x v="26"/>
    <x v="2"/>
    <e v="#REF!"/>
    <e v="#REF!"/>
    <e v="#REF!"/>
    <n v="0"/>
  </r>
  <r>
    <x v="5"/>
    <x v="175"/>
    <x v="0"/>
    <x v="18"/>
    <m/>
    <m/>
    <s v="REFRIGERANT, ENTALPIA EUROPE R134A 13.6   6/16/26 "/>
    <s v="GE-000517"/>
    <n v="1"/>
    <n v="8800"/>
    <m/>
    <n v="8800"/>
    <x v="0"/>
    <n v="10489"/>
    <n v="7684"/>
    <n v="7684"/>
    <n v="8068.2000000000007"/>
    <n v="731.79999999999927"/>
    <n v="0"/>
    <x v="5"/>
    <x v="1"/>
    <e v="#REF!"/>
    <e v="#REF!"/>
    <e v="#REF!"/>
    <n v="0"/>
  </r>
  <r>
    <x v="5"/>
    <x v="175"/>
    <x v="0"/>
    <x v="155"/>
    <m/>
    <m/>
    <s v="COPPER_TUBE_SOFTDRAWN, HAILIANG 0.028 X 3/8 x 15 mtr 06/02/26"/>
    <s v="IM-000327"/>
    <n v="1"/>
    <n v="2950"/>
    <m/>
    <n v="2950"/>
    <x v="0"/>
    <n v="4774"/>
    <n v="2648"/>
    <n v="2648"/>
    <n v="2727.44"/>
    <n v="222.55999999999995"/>
    <n v="0"/>
    <x v="0"/>
    <x v="0"/>
    <e v="#REF!"/>
    <e v="#REF!"/>
    <e v="#REF!"/>
    <n v="0"/>
  </r>
  <r>
    <x v="5"/>
    <x v="175"/>
    <x v="0"/>
    <x v="155"/>
    <m/>
    <m/>
    <s v="RUBBER_INSULATION, M-FLEX 1/2&quot; 1/4"/>
    <s v="IM-000229"/>
    <n v="2"/>
    <n v="50"/>
    <m/>
    <n v="100"/>
    <x v="0"/>
    <n v="47"/>
    <n v="33.6"/>
    <n v="67.2"/>
    <n v="69.216000000000008"/>
    <n v="30.783999999999992"/>
    <n v="0"/>
    <x v="22"/>
    <x v="0"/>
    <e v="#REF!"/>
    <e v="#REF!"/>
    <e v="#REF!"/>
    <n v="0"/>
  </r>
  <r>
    <x v="5"/>
    <x v="175"/>
    <x v="0"/>
    <x v="155"/>
    <m/>
    <m/>
    <s v="RUBBER_INSULATION, M-FLEX 1/2&quot; 3/8"/>
    <s v="IM-000231"/>
    <n v="2"/>
    <n v="60"/>
    <m/>
    <n v="120"/>
    <x v="0"/>
    <n v="53"/>
    <n v="37.6"/>
    <n v="75.2"/>
    <n v="77.456000000000003"/>
    <n v="42.543999999999997"/>
    <n v="0"/>
    <x v="22"/>
    <x v="0"/>
    <e v="#REF!"/>
    <e v="#REF!"/>
    <e v="#REF!"/>
    <n v="0"/>
  </r>
  <r>
    <x v="5"/>
    <x v="175"/>
    <x v="0"/>
    <x v="155"/>
    <m/>
    <m/>
    <s v="TAPE_PE, PICUS Polythelene Tape (White)X 4&quot;"/>
    <s v="IM-000247"/>
    <n v="1"/>
    <n v="125"/>
    <m/>
    <n v="125"/>
    <x v="0"/>
    <n v="147"/>
    <n v="75"/>
    <n v="75"/>
    <n v="77.25"/>
    <n v="47.75"/>
    <n v="0"/>
    <x v="29"/>
    <x v="0"/>
    <e v="#REF!"/>
    <e v="#REF!"/>
    <e v="#REF!"/>
    <n v="0"/>
  </r>
  <r>
    <x v="5"/>
    <x v="175"/>
    <x v="0"/>
    <x v="30"/>
    <m/>
    <m/>
    <s v="COPPER_TUBE_SOFTDRAWN, EXZEL 0.028 X 1/4 x 15 mtr  05/28/26"/>
    <s v="IM-000329"/>
    <n v="0.4"/>
    <n v="2500"/>
    <m/>
    <n v="1000"/>
    <x v="0"/>
    <n v="3063"/>
    <n v="1699"/>
    <n v="679.6"/>
    <n v="699.98800000000006"/>
    <n v="300.01199999999994"/>
    <n v="0"/>
    <x v="0"/>
    <x v="0"/>
    <e v="#REF!"/>
    <e v="#REF!"/>
    <e v="#REF!"/>
    <n v="0"/>
  </r>
  <r>
    <x v="5"/>
    <x v="175"/>
    <x v="0"/>
    <x v="30"/>
    <m/>
    <m/>
    <s v="COPPER_TUBE_SOFTDRAWN, HAILIANG 0.028 X 1/2 x 15 mtr 06/02/26"/>
    <s v="IM-000328"/>
    <n v="0.4"/>
    <n v="4500"/>
    <m/>
    <n v="1800"/>
    <x v="0"/>
    <n v="6554"/>
    <n v="3636"/>
    <n v="1454.4"/>
    <n v="1498.0320000000002"/>
    <n v="301.96799999999985"/>
    <n v="0"/>
    <x v="0"/>
    <x v="0"/>
    <e v="#REF!"/>
    <e v="#REF!"/>
    <e v="#REF!"/>
    <n v="0"/>
  </r>
  <r>
    <x v="5"/>
    <x v="175"/>
    <x v="0"/>
    <x v="30"/>
    <m/>
    <m/>
    <s v="RUBBER_INSULATION, M-FLEX 1/2&quot; 1/4"/>
    <s v="IM-000229"/>
    <n v="4"/>
    <n v="50"/>
    <m/>
    <n v="200"/>
    <x v="0"/>
    <n v="47"/>
    <n v="33.6"/>
    <n v="134.4"/>
    <n v="138.43200000000002"/>
    <n v="61.567999999999984"/>
    <n v="0"/>
    <x v="22"/>
    <x v="0"/>
    <e v="#REF!"/>
    <e v="#REF!"/>
    <e v="#REF!"/>
    <n v="0"/>
  </r>
  <r>
    <x v="5"/>
    <x v="175"/>
    <x v="0"/>
    <x v="30"/>
    <m/>
    <m/>
    <s v="RUBBER_INSULATION, M-FLEX 1/2&quot; 1/2"/>
    <s v="IM-000227"/>
    <n v="4"/>
    <n v="70"/>
    <m/>
    <n v="280"/>
    <x v="0"/>
    <n v="65"/>
    <n v="46.4"/>
    <n v="185.6"/>
    <n v="191.16800000000001"/>
    <n v="88.831999999999994"/>
    <n v="0"/>
    <x v="22"/>
    <x v="0"/>
    <e v="#REF!"/>
    <e v="#REF!"/>
    <e v="#REF!"/>
    <n v="0"/>
  </r>
  <r>
    <x v="5"/>
    <x v="175"/>
    <x v="0"/>
    <x v="30"/>
    <m/>
    <m/>
    <s v="BRACKET , GB 2HP, COATED"/>
    <s v="IM-000011"/>
    <n v="2"/>
    <n v="460"/>
    <m/>
    <n v="920"/>
    <x v="0"/>
    <n v="532"/>
    <n v="295"/>
    <n v="590"/>
    <n v="607.70000000000005"/>
    <n v="312.29999999999995"/>
    <n v="0"/>
    <x v="1"/>
    <x v="0"/>
    <e v="#REF!"/>
    <e v="#REF!"/>
    <e v="#REF!"/>
    <n v="0"/>
  </r>
  <r>
    <x v="5"/>
    <x v="175"/>
    <x v="0"/>
    <x v="30"/>
    <m/>
    <m/>
    <s v="ELECTRICAL WIRE_STRANDED, POWERFLEX THNN STRANDED   #12, MTR"/>
    <s v="GE-000120"/>
    <n v="40"/>
    <n v="45"/>
    <m/>
    <n v="1800"/>
    <x v="0"/>
    <n v="50"/>
    <n v="27"/>
    <n v="1080"/>
    <n v="1134"/>
    <n v="666"/>
    <n v="0"/>
    <x v="2"/>
    <x v="1"/>
    <e v="#REF!"/>
    <e v="#REF!"/>
    <e v="#REF!"/>
    <n v="0"/>
  </r>
  <r>
    <x v="5"/>
    <x v="175"/>
    <x v="0"/>
    <x v="30"/>
    <m/>
    <m/>
    <s v="ELECTRICAL WIRE_STRANDED, POWERFLEX THNN STRANDED   #14, MTR"/>
    <s v="GE-000122"/>
    <n v="40"/>
    <n v="35"/>
    <m/>
    <n v="1400"/>
    <x v="0"/>
    <n v="39"/>
    <n v="21"/>
    <n v="840"/>
    <n v="882"/>
    <n v="518"/>
    <n v="0"/>
    <x v="2"/>
    <x v="1"/>
    <e v="#REF!"/>
    <e v="#REF!"/>
    <e v="#REF!"/>
    <n v="0"/>
  </r>
  <r>
    <x v="5"/>
    <x v="175"/>
    <x v="0"/>
    <x v="30"/>
    <m/>
    <m/>
    <s v="BOLT &amp; NUT, DYNABOLT 3/8&quot;"/>
    <s v="GE-000396"/>
    <n v="20"/>
    <n v="25"/>
    <m/>
    <n v="500"/>
    <x v="0"/>
    <n v="19"/>
    <n v="8.9"/>
    <n v="178"/>
    <n v="186.9"/>
    <n v="313.10000000000002"/>
    <n v="0"/>
    <x v="57"/>
    <x v="1"/>
    <e v="#REF!"/>
    <e v="#REF!"/>
    <e v="#REF!"/>
    <n v="0"/>
  </r>
  <r>
    <x v="5"/>
    <x v="175"/>
    <x v="0"/>
    <x v="30"/>
    <m/>
    <m/>
    <s v="BOLT &amp; NUT, GI, SET 3/8"/>
    <s v="IM-000002"/>
    <n v="8"/>
    <n v="14"/>
    <m/>
    <n v="112"/>
    <x v="0"/>
    <n v="10"/>
    <n v="5.43"/>
    <n v="43.44"/>
    <n v="44.743200000000002"/>
    <n v="67.256799999999998"/>
    <n v="0"/>
    <x v="57"/>
    <x v="0"/>
    <e v="#REF!"/>
    <e v="#REF!"/>
    <e v="#REF!"/>
    <n v="0"/>
  </r>
  <r>
    <x v="5"/>
    <x v="175"/>
    <x v="0"/>
    <x v="30"/>
    <m/>
    <m/>
    <s v="TAPE ELECTRICAL, ARMAK WHITE 0.16 MM X 19 MM X 16 M 06/13/26"/>
    <s v="GE-000515"/>
    <n v="1"/>
    <n v="55"/>
    <m/>
    <n v="55"/>
    <x v="0"/>
    <n v="73"/>
    <n v="42"/>
    <n v="42"/>
    <n v="44.1"/>
    <n v="10.899999999999999"/>
    <n v="0"/>
    <x v="50"/>
    <x v="1"/>
    <e v="#REF!"/>
    <e v="#REF!"/>
    <e v="#REF!"/>
    <n v="0"/>
  </r>
  <r>
    <x v="5"/>
    <x v="175"/>
    <x v="0"/>
    <x v="30"/>
    <m/>
    <m/>
    <s v="TAPE_PE, PICUS Polythelene Tape (White)X 4&quot;"/>
    <s v="IM-000247"/>
    <n v="2"/>
    <n v="125"/>
    <m/>
    <n v="250"/>
    <x v="0"/>
    <n v="147"/>
    <n v="75"/>
    <n v="150"/>
    <n v="154.5"/>
    <n v="95.5"/>
    <n v="0"/>
    <x v="29"/>
    <x v="0"/>
    <e v="#REF!"/>
    <e v="#REF!"/>
    <e v="#REF!"/>
    <n v="0"/>
  </r>
  <r>
    <x v="5"/>
    <x v="175"/>
    <x v="1"/>
    <x v="3"/>
    <m/>
    <m/>
    <s v="MAGNETIC_CLUTCH, DENSO 10PA 12V"/>
    <s v="CA-001426"/>
    <n v="1"/>
    <n v="800"/>
    <m/>
    <n v="800"/>
    <x v="0"/>
    <n v="680"/>
    <n v="370"/>
    <n v="370"/>
    <n v="388.5"/>
    <n v="411.5"/>
    <n v="123.44999999999999"/>
    <x v="4"/>
    <x v="2"/>
    <e v="#REF!"/>
    <e v="#REF!"/>
    <e v="#REF!"/>
    <n v="0"/>
  </r>
  <r>
    <x v="5"/>
    <x v="175"/>
    <x v="3"/>
    <x v="12"/>
    <m/>
    <m/>
    <s v="EVAPORATOR, MITSUBISHI MIRAGE (STAL)"/>
    <s v="CA-000142"/>
    <n v="1"/>
    <n v="2100"/>
    <m/>
    <n v="2100"/>
    <x v="0"/>
    <n v="1976"/>
    <n v="1075"/>
    <n v="1075"/>
    <n v="1128.75"/>
    <n v="971.25"/>
    <n v="291.375"/>
    <x v="10"/>
    <x v="2"/>
    <e v="#REF!"/>
    <e v="#REF!"/>
    <e v="#REF!"/>
    <n v="0"/>
  </r>
  <r>
    <x v="5"/>
    <x v="175"/>
    <x v="3"/>
    <x v="12"/>
    <m/>
    <m/>
    <s v="FITTINGS, STRAIGHT FLARE TYPE 1/2"/>
    <s v="CA-000671"/>
    <n v="6"/>
    <n v="40"/>
    <m/>
    <n v="240"/>
    <x v="0"/>
    <n v="30"/>
    <n v="16"/>
    <n v="96"/>
    <n v="100.80000000000001"/>
    <n v="139.19999999999999"/>
    <n v="41.76"/>
    <x v="33"/>
    <x v="2"/>
    <e v="#REF!"/>
    <e v="#REF!"/>
    <e v="#REF!"/>
    <n v="0"/>
  </r>
  <r>
    <x v="5"/>
    <x v="175"/>
    <x v="3"/>
    <x v="12"/>
    <m/>
    <m/>
    <s v="FERULLE,  1/2&quot;"/>
    <s v="CA-000644"/>
    <n v="6"/>
    <n v="15"/>
    <m/>
    <n v="90"/>
    <x v="0"/>
    <n v="13"/>
    <n v="7"/>
    <n v="42"/>
    <n v="44.1"/>
    <n v="45.9"/>
    <n v="13.77"/>
    <x v="42"/>
    <x v="2"/>
    <e v="#REF!"/>
    <e v="#REF!"/>
    <e v="#REF!"/>
    <n v="0"/>
  </r>
  <r>
    <x v="5"/>
    <x v="175"/>
    <x v="1"/>
    <x v="3"/>
    <m/>
    <m/>
    <s v="EXP. VALVE LT, POKKA 9A60 / 9A233 EXTRAIL"/>
    <s v="CA-001829"/>
    <n v="1"/>
    <n v="550"/>
    <m/>
    <n v="550"/>
    <x v="0"/>
    <n v="478"/>
    <n v="260"/>
    <n v="260"/>
    <n v="273"/>
    <n v="277"/>
    <n v="83.1"/>
    <x v="23"/>
    <x v="2"/>
    <e v="#REF!"/>
    <e v="#REF!"/>
    <e v="#REF!"/>
    <n v="0"/>
  </r>
  <r>
    <x v="5"/>
    <x v="175"/>
    <x v="0"/>
    <x v="23"/>
    <m/>
    <m/>
    <s v="EVAPORATOR, TOYOTA INNOVA OLD (R) JBE-0102X (STAL)"/>
    <s v="CA-001634"/>
    <n v="1"/>
    <n v="1900"/>
    <m/>
    <n v="1900"/>
    <x v="0"/>
    <n v="1470"/>
    <n v="800"/>
    <n v="800"/>
    <n v="840"/>
    <n v="1060"/>
    <n v="0"/>
    <x v="10"/>
    <x v="2"/>
    <e v="#REF!"/>
    <e v="#REF!"/>
    <e v="#REF!"/>
    <n v="0"/>
  </r>
  <r>
    <x v="5"/>
    <x v="175"/>
    <x v="1"/>
    <x v="3"/>
    <m/>
    <m/>
    <s v="REFRIGERANT, ENTALPIA EUROPE R134A 13.6   6/16/26 "/>
    <s v="GE-000517"/>
    <n v="1"/>
    <n v="8800"/>
    <m/>
    <n v="8800"/>
    <x v="0"/>
    <n v="10489"/>
    <n v="7684"/>
    <n v="7684"/>
    <n v="8068.2000000000007"/>
    <n v="731.79999999999927"/>
    <n v="219.53999999999976"/>
    <x v="5"/>
    <x v="1"/>
    <e v="#REF!"/>
    <e v="#REF!"/>
    <e v="#REF!"/>
    <n v="0"/>
  </r>
  <r>
    <x v="5"/>
    <x v="175"/>
    <x v="0"/>
    <x v="10"/>
    <m/>
    <m/>
    <s v="BLOWER_MOTOR, TOYOTA VIOS SUPERMAN"/>
    <s v="CA-000233"/>
    <n v="1"/>
    <n v="2000"/>
    <m/>
    <n v="2000"/>
    <x v="0"/>
    <n v="2389"/>
    <n v="1300"/>
    <n v="1300"/>
    <n v="1365"/>
    <n v="635"/>
    <n v="0"/>
    <x v="15"/>
    <x v="2"/>
    <e v="#REF!"/>
    <e v="#REF!"/>
    <e v="#REF!"/>
    <n v="0"/>
  </r>
  <r>
    <x v="5"/>
    <x v="175"/>
    <x v="0"/>
    <x v="11"/>
    <m/>
    <m/>
    <s v="SYSTEM_CLEANER, Cleanse GREEN 141B 500 ML"/>
    <s v="GE-000369"/>
    <n v="2"/>
    <n v="120"/>
    <m/>
    <n v="240"/>
    <x v="0"/>
    <n v="113"/>
    <n v="65"/>
    <n v="130"/>
    <n v="136.5"/>
    <n v="103.5"/>
    <n v="0"/>
    <x v="28"/>
    <x v="1"/>
    <e v="#REF!"/>
    <e v="#REF!"/>
    <e v="#REF!"/>
    <n v="0"/>
  </r>
  <r>
    <x v="5"/>
    <x v="175"/>
    <x v="0"/>
    <x v="11"/>
    <m/>
    <m/>
    <s v="TAPE_FOAM, AEROTAPE 3MM X 50 MM X 9.1 MTR  06/18/26"/>
    <s v="IM-000332"/>
    <n v="1"/>
    <n v="430"/>
    <m/>
    <n v="430"/>
    <x v="0"/>
    <n v="510"/>
    <n v="330"/>
    <n v="330"/>
    <n v="339.90000000000003"/>
    <n v="90.099999999999966"/>
    <n v="0"/>
    <x v="25"/>
    <x v="0"/>
    <e v="#REF!"/>
    <e v="#REF!"/>
    <e v="#REF!"/>
    <n v="0"/>
  </r>
  <r>
    <x v="5"/>
    <x v="175"/>
    <x v="0"/>
    <x v="17"/>
    <m/>
    <m/>
    <s v="SILICA_GEL, STAL SHORT"/>
    <s v="CA-001638"/>
    <n v="1"/>
    <n v="200"/>
    <m/>
    <n v="200"/>
    <x v="0"/>
    <n v="44"/>
    <n v="22"/>
    <n v="22"/>
    <n v="23.1"/>
    <n v="176.9"/>
    <n v="0"/>
    <x v="37"/>
    <x v="2"/>
    <e v="#REF!"/>
    <e v="#REF!"/>
    <e v="#REF!"/>
    <n v="0"/>
  </r>
  <r>
    <x v="5"/>
    <x v="175"/>
    <x v="0"/>
    <x v="17"/>
    <m/>
    <m/>
    <s v="SYSTEM_CLEANER, Cleanse GREEN 141B 500 ML"/>
    <s v="GE-000369"/>
    <n v="2"/>
    <n v="120"/>
    <m/>
    <n v="240"/>
    <x v="0"/>
    <n v="113"/>
    <n v="65"/>
    <n v="130"/>
    <n v="136.5"/>
    <n v="103.5"/>
    <n v="0"/>
    <x v="28"/>
    <x v="1"/>
    <e v="#REF!"/>
    <e v="#REF!"/>
    <e v="#REF!"/>
    <n v="0"/>
  </r>
  <r>
    <x v="5"/>
    <x v="175"/>
    <x v="0"/>
    <x v="17"/>
    <m/>
    <m/>
    <s v="EVAPORATOR, HYUNDAI EON"/>
    <s v="CA-000485"/>
    <n v="1"/>
    <n v="2100"/>
    <m/>
    <n v="2100"/>
    <x v="0"/>
    <n v="2573"/>
    <n v="1400"/>
    <n v="1400"/>
    <n v="1470"/>
    <n v="630"/>
    <n v="0"/>
    <x v="10"/>
    <x v="2"/>
    <e v="#REF!"/>
    <e v="#REF!"/>
    <e v="#REF!"/>
    <n v="0"/>
  </r>
  <r>
    <x v="5"/>
    <x v="176"/>
    <x v="7"/>
    <x v="135"/>
    <m/>
    <m/>
    <m/>
    <s v=""/>
    <m/>
    <m/>
    <m/>
    <n v="0"/>
    <x v="0"/>
    <n v="0"/>
    <n v="0"/>
    <n v="0"/>
    <n v="0"/>
    <n v="0"/>
    <n v="0"/>
    <x v="13"/>
    <x v="3"/>
    <e v="#REF!"/>
    <e v="#REF!"/>
    <s v=""/>
    <n v="0"/>
  </r>
  <r>
    <x v="5"/>
    <x v="177"/>
    <x v="0"/>
    <x v="31"/>
    <m/>
    <m/>
    <s v="COPPER_TUBE_SOFTDRAWN, EXZEL 0.028 X 1/4 x 15 mtr  05/28/26"/>
    <s v="IM-000329"/>
    <n v="0.2"/>
    <n v="2500"/>
    <m/>
    <n v="500"/>
    <x v="0"/>
    <n v="3063"/>
    <n v="1699"/>
    <n v="339.8"/>
    <n v="349.99400000000003"/>
    <n v="150.00599999999997"/>
    <n v="0"/>
    <x v="0"/>
    <x v="0"/>
    <e v="#REF!"/>
    <e v="#REF!"/>
    <s v=""/>
    <n v="0.30001199999999995"/>
  </r>
  <r>
    <x v="5"/>
    <x v="177"/>
    <x v="0"/>
    <x v="31"/>
    <m/>
    <m/>
    <s v="COPPER_TUBE_SOFTDRAWN, HAILIANG 0.028 X 3/8 x 15 mtr 06/02/26"/>
    <s v="IM-000327"/>
    <n v="0.2"/>
    <n v="3500"/>
    <m/>
    <n v="700"/>
    <x v="0"/>
    <n v="4774"/>
    <n v="2648"/>
    <n v="529.6"/>
    <n v="545.48800000000006"/>
    <n v="154.51199999999994"/>
    <n v="0"/>
    <x v="0"/>
    <x v="0"/>
    <e v="#REF!"/>
    <e v="#REF!"/>
    <s v=""/>
    <n v="0.2207314285714285"/>
  </r>
  <r>
    <x v="5"/>
    <x v="177"/>
    <x v="0"/>
    <x v="31"/>
    <m/>
    <m/>
    <s v="BRACKET , ROBYN STEEL  1HP, COATED  (ISHABELLA)"/>
    <s v="IM-000330"/>
    <n v="1"/>
    <n v="360"/>
    <m/>
    <n v="360"/>
    <x v="0"/>
    <n v="352"/>
    <n v="195"/>
    <n v="195"/>
    <n v="200.85"/>
    <n v="159.15"/>
    <n v="0"/>
    <x v="1"/>
    <x v="0"/>
    <e v="#REF!"/>
    <e v="#REF!"/>
    <s v=""/>
    <n v="0.44208333333333333"/>
  </r>
  <r>
    <x v="5"/>
    <x v="177"/>
    <x v="0"/>
    <x v="31"/>
    <m/>
    <m/>
    <s v="TAPE_PE, PICUS Polythelene Tape (White)X 4&quot;"/>
    <s v="IM-000247"/>
    <n v="1"/>
    <n v="125"/>
    <m/>
    <n v="125"/>
    <x v="0"/>
    <n v="147"/>
    <n v="75"/>
    <n v="75"/>
    <n v="77.25"/>
    <n v="47.75"/>
    <n v="0"/>
    <x v="29"/>
    <x v="0"/>
    <e v="#REF!"/>
    <e v="#REF!"/>
    <s v=""/>
    <n v="0.38200000000000001"/>
  </r>
  <r>
    <x v="5"/>
    <x v="177"/>
    <x v="0"/>
    <x v="31"/>
    <m/>
    <m/>
    <s v="RUBBER_INSULATION, M-FLEX 1/2&quot; 1/4"/>
    <s v="IM-000229"/>
    <n v="2"/>
    <n v="50"/>
    <m/>
    <n v="100"/>
    <x v="0"/>
    <n v="47"/>
    <n v="33.6"/>
    <n v="67.2"/>
    <n v="69.216000000000008"/>
    <n v="30.783999999999992"/>
    <n v="0"/>
    <x v="22"/>
    <x v="0"/>
    <e v="#REF!"/>
    <e v="#REF!"/>
    <s v=""/>
    <n v="0.30783999999999989"/>
  </r>
  <r>
    <x v="5"/>
    <x v="177"/>
    <x v="0"/>
    <x v="31"/>
    <m/>
    <m/>
    <s v="RUBBER_INSULATION, M-FLEX 1/2&quot; 3/8"/>
    <s v="IM-000231"/>
    <n v="2"/>
    <n v="60"/>
    <m/>
    <n v="120"/>
    <x v="0"/>
    <n v="53"/>
    <n v="37.6"/>
    <n v="75.2"/>
    <n v="77.456000000000003"/>
    <n v="42.543999999999997"/>
    <n v="0"/>
    <x v="22"/>
    <x v="0"/>
    <e v="#REF!"/>
    <e v="#REF!"/>
    <s v=""/>
    <n v="0.35453333333333331"/>
  </r>
  <r>
    <x v="5"/>
    <x v="177"/>
    <x v="0"/>
    <x v="31"/>
    <m/>
    <m/>
    <s v="REFRIGERANT, POKKA R32, 600 GRMS  05/09/26"/>
    <s v="GE-000509"/>
    <n v="2"/>
    <n v="680"/>
    <m/>
    <n v="1360"/>
    <x v="0"/>
    <n v="756"/>
    <n v="480"/>
    <n v="960"/>
    <n v="1008"/>
    <n v="352"/>
    <n v="0"/>
    <x v="5"/>
    <x v="1"/>
    <e v="#REF!"/>
    <e v="#REF!"/>
    <s v=""/>
    <n v="0.25882352941176473"/>
  </r>
  <r>
    <x v="5"/>
    <x v="177"/>
    <x v="0"/>
    <x v="31"/>
    <m/>
    <m/>
    <s v="HOSE, ELECTRICAL FLEXIBLE ROLL PER METER"/>
    <s v="G-E000235"/>
    <n v="4"/>
    <n v="15"/>
    <m/>
    <n v="60"/>
    <x v="0"/>
    <n v="15"/>
    <n v="8"/>
    <n v="32"/>
    <n v="33.6"/>
    <n v="26.4"/>
    <n v="0"/>
    <x v="19"/>
    <x v="1"/>
    <e v="#REF!"/>
    <e v="#REF!"/>
    <s v=""/>
    <n v="0.44"/>
  </r>
  <r>
    <x v="5"/>
    <x v="177"/>
    <x v="0"/>
    <x v="31"/>
    <m/>
    <m/>
    <s v="ROD, HARRIS SILVER "/>
    <s v="IM-000098"/>
    <n v="1"/>
    <n v="28"/>
    <m/>
    <n v="28"/>
    <x v="0"/>
    <n v="30"/>
    <n v="19"/>
    <n v="19"/>
    <n v="19.57"/>
    <n v="8.43"/>
    <n v="0"/>
    <x v="56"/>
    <x v="0"/>
    <e v="#REF!"/>
    <e v="#REF!"/>
    <s v=""/>
    <n v="0.30107142857142855"/>
  </r>
  <r>
    <x v="5"/>
    <x v="177"/>
    <x v="0"/>
    <x v="31"/>
    <m/>
    <m/>
    <s v="BOLT &amp; NUT, DYNABOLT 3/8&quot;"/>
    <s v="GE-000396"/>
    <n v="5"/>
    <n v="25"/>
    <m/>
    <n v="125"/>
    <x v="0"/>
    <n v="19"/>
    <n v="8.9"/>
    <n v="44.5"/>
    <n v="46.725000000000001"/>
    <n v="78.275000000000006"/>
    <n v="0"/>
    <x v="57"/>
    <x v="1"/>
    <e v="#REF!"/>
    <e v="#REF!"/>
    <s v=""/>
    <n v="0.62620000000000009"/>
  </r>
  <r>
    <x v="5"/>
    <x v="177"/>
    <x v="0"/>
    <x v="31"/>
    <m/>
    <m/>
    <s v="BOLT &amp; NUT, GI, SET 3/8"/>
    <s v="IM-000002"/>
    <n v="4"/>
    <n v="14"/>
    <m/>
    <n v="56"/>
    <x v="0"/>
    <n v="10"/>
    <n v="5.43"/>
    <n v="21.72"/>
    <n v="22.371600000000001"/>
    <n v="33.628399999999999"/>
    <n v="0"/>
    <x v="57"/>
    <x v="0"/>
    <e v="#REF!"/>
    <e v="#REF!"/>
    <s v=""/>
    <n v="0.60050714285714279"/>
  </r>
  <r>
    <x v="5"/>
    <x v="177"/>
    <x v="0"/>
    <x v="36"/>
    <m/>
    <m/>
    <s v="ECV, HYUNDAI ACCENT, 8-22A"/>
    <s v="CA-000454"/>
    <n v="1"/>
    <n v="1900"/>
    <m/>
    <n v="1900"/>
    <x v="0"/>
    <n v="1838"/>
    <n v="1000"/>
    <n v="1000"/>
    <n v="1050"/>
    <n v="850"/>
    <n v="0"/>
    <x v="26"/>
    <x v="2"/>
    <e v="#REF!"/>
    <e v="#REF!"/>
    <s v=""/>
    <n v="0.44736842105263158"/>
  </r>
  <r>
    <x v="5"/>
    <x v="177"/>
    <x v="0"/>
    <x v="36"/>
    <m/>
    <m/>
    <s v="EXP. VALVE LT, POKKA 9A129B ACCENT"/>
    <s v="CA-000629"/>
    <n v="1"/>
    <n v="600"/>
    <m/>
    <n v="600"/>
    <x v="0"/>
    <n v="625"/>
    <n v="340"/>
    <n v="340"/>
    <n v="357"/>
    <n v="243"/>
    <n v="0"/>
    <x v="23"/>
    <x v="2"/>
    <e v="#REF!"/>
    <e v="#REF!"/>
    <s v=""/>
    <n v="0.40500000000000003"/>
  </r>
  <r>
    <x v="5"/>
    <x v="177"/>
    <x v="0"/>
    <x v="1"/>
    <m/>
    <m/>
    <s v="TAPE_PE, PICUS Polythelene Tape (White)X 4&quot;"/>
    <s v="IM-000247"/>
    <n v="1"/>
    <n v="125"/>
    <m/>
    <n v="125"/>
    <x v="0"/>
    <n v="147"/>
    <n v="75"/>
    <n v="75"/>
    <n v="77.25"/>
    <n v="47.75"/>
    <n v="0"/>
    <x v="29"/>
    <x v="0"/>
    <e v="#REF!"/>
    <e v="#REF!"/>
    <s v=""/>
    <n v="0.38200000000000001"/>
  </r>
  <r>
    <x v="5"/>
    <x v="177"/>
    <x v="0"/>
    <x v="1"/>
    <m/>
    <m/>
    <s v="BOLT &amp; NUT, DYNABOLT 3/8&quot;"/>
    <s v="GE-000396"/>
    <n v="4"/>
    <n v="14"/>
    <m/>
    <n v="56"/>
    <x v="0"/>
    <n v="19"/>
    <n v="8.9"/>
    <n v="35.6"/>
    <n v="37.380000000000003"/>
    <n v="18.619999999999997"/>
    <n v="0"/>
    <x v="57"/>
    <x v="1"/>
    <e v="#REF!"/>
    <e v="#REF!"/>
    <s v=""/>
    <n v="0.33249999999999996"/>
  </r>
  <r>
    <x v="5"/>
    <x v="177"/>
    <x v="0"/>
    <x v="1"/>
    <m/>
    <m/>
    <s v="BRACKET , ROBYN STEEL  1HP, COATED  (ISHABELLA)"/>
    <s v="IM-000330"/>
    <n v="1"/>
    <n v="360"/>
    <m/>
    <n v="360"/>
    <x v="0"/>
    <n v="352"/>
    <n v="195"/>
    <n v="195"/>
    <n v="200.85"/>
    <n v="159.15"/>
    <n v="0"/>
    <x v="1"/>
    <x v="0"/>
    <e v="#REF!"/>
    <e v="#REF!"/>
    <s v=""/>
    <n v="0.44208333333333333"/>
  </r>
  <r>
    <x v="5"/>
    <x v="177"/>
    <x v="1"/>
    <x v="3"/>
    <m/>
    <m/>
    <s v="BLOWER_MOTOR, TOYOTA VIOS BATMAN/ AVANZA"/>
    <s v="CA-000230"/>
    <n v="1"/>
    <n v="2000"/>
    <m/>
    <n v="2000"/>
    <x v="0"/>
    <n v="2389"/>
    <n v="1300"/>
    <n v="1300"/>
    <n v="1365"/>
    <n v="635"/>
    <n v="190.5"/>
    <x v="15"/>
    <x v="2"/>
    <e v="#REF!"/>
    <e v="#REF!"/>
    <s v=""/>
    <n v="0.3175"/>
  </r>
  <r>
    <x v="5"/>
    <x v="177"/>
    <x v="4"/>
    <x v="25"/>
    <m/>
    <m/>
    <s v="EVAPORATOR, CHEVROLET TRAILBLAZER REAR"/>
    <s v="CA-001379"/>
    <n v="1"/>
    <n v="2000"/>
    <m/>
    <n v="2000"/>
    <x v="0"/>
    <n v="2665"/>
    <n v="1450"/>
    <n v="1450"/>
    <n v="1522.5"/>
    <n v="477.5"/>
    <n v="143.25"/>
    <x v="10"/>
    <x v="2"/>
    <e v="#REF!"/>
    <e v="#REF!"/>
    <s v=""/>
    <n v="0.23874999999999999"/>
  </r>
  <r>
    <x v="5"/>
    <x v="177"/>
    <x v="0"/>
    <x v="26"/>
    <m/>
    <m/>
    <s v="RUBBER_INSULATION, M-FLEX 3/4&quot; X 3/4"/>
    <s v="IM-000240"/>
    <n v="18"/>
    <n v="150"/>
    <m/>
    <n v="2700"/>
    <x v="0"/>
    <n v="151"/>
    <n v="108"/>
    <n v="1944"/>
    <n v="2002.3200000000002"/>
    <n v="697.67999999999984"/>
    <n v="0"/>
    <x v="22"/>
    <x v="0"/>
    <e v="#REF!"/>
    <e v="#REF!"/>
    <s v=""/>
    <n v="0.25839999999999996"/>
  </r>
  <r>
    <x v="5"/>
    <x v="177"/>
    <x v="0"/>
    <x v="26"/>
    <m/>
    <m/>
    <s v="RUBBER_INSULATION, M-FLEX 3/4&quot; 5/8"/>
    <s v="IM-000331"/>
    <n v="20"/>
    <n v="140"/>
    <m/>
    <n v="2800"/>
    <x v="0"/>
    <n v="140"/>
    <n v="100"/>
    <n v="2000"/>
    <n v="2060"/>
    <n v="740"/>
    <n v="0"/>
    <x v="22"/>
    <x v="0"/>
    <e v="#REF!"/>
    <e v="#REF!"/>
    <s v=""/>
    <n v="0.26428571428571429"/>
  </r>
  <r>
    <x v="5"/>
    <x v="177"/>
    <x v="0"/>
    <x v="26"/>
    <m/>
    <m/>
    <s v="TAPE_PE, PICUS Polythelene Tape (White)X 4&quot;"/>
    <s v="IM-000247"/>
    <n v="15"/>
    <n v="125"/>
    <m/>
    <n v="1875"/>
    <x v="0"/>
    <n v="147"/>
    <n v="75"/>
    <n v="1125"/>
    <n v="1158.75"/>
    <n v="716.25"/>
    <n v="0"/>
    <x v="29"/>
    <x v="0"/>
    <e v="#REF!"/>
    <e v="#REF!"/>
    <s v=""/>
    <n v="0.38200000000000001"/>
  </r>
  <r>
    <x v="5"/>
    <x v="177"/>
    <x v="0"/>
    <x v="26"/>
    <m/>
    <m/>
    <s v="TAPE ELECTRICAL, ARMAK 0.16 MM X 19 MM X 16 M 04/25/26"/>
    <s v="GE-000491"/>
    <n v="5"/>
    <n v="55"/>
    <m/>
    <n v="275"/>
    <x v="0"/>
    <n v="73"/>
    <n v="42"/>
    <n v="210"/>
    <n v="220.5"/>
    <n v="54.5"/>
    <n v="0"/>
    <x v="50"/>
    <x v="1"/>
    <e v="#REF!"/>
    <e v="#REF!"/>
    <s v=""/>
    <n v="0.19818181818181818"/>
  </r>
  <r>
    <x v="5"/>
    <x v="177"/>
    <x v="0"/>
    <x v="26"/>
    <m/>
    <m/>
    <s v="COPPER_TUBE_SOFTDRAWN, EVERSTRONG 0.028 X 5/8 x 15 mtr 03/24/26"/>
    <s v="IM-000320"/>
    <n v="3"/>
    <n v="5000"/>
    <m/>
    <n v="15000"/>
    <x v="0"/>
    <n v="8328"/>
    <n v="4255"/>
    <n v="12765"/>
    <n v="13147.95"/>
    <n v="1852.0499999999993"/>
    <n v="0"/>
    <x v="0"/>
    <x v="0"/>
    <e v="#REF!"/>
    <e v="#REF!"/>
    <s v=""/>
    <n v="0.12346999999999995"/>
  </r>
  <r>
    <x v="5"/>
    <x v="177"/>
    <x v="0"/>
    <x v="26"/>
    <m/>
    <m/>
    <s v="COPPER_TUBE_SOFTDRAWN, HAILIANG 0.028 X 1/2 x 15 mtr 06/02/26"/>
    <s v="IM-000328"/>
    <n v="2"/>
    <n v="3950"/>
    <m/>
    <n v="7900"/>
    <x v="0"/>
    <n v="6554"/>
    <n v="3636"/>
    <n v="7272"/>
    <n v="7490.16"/>
    <n v="409.84000000000015"/>
    <n v="0"/>
    <x v="0"/>
    <x v="0"/>
    <e v="#REF!"/>
    <e v="#REF!"/>
    <s v=""/>
    <n v="5.1878481012658247E-2"/>
  </r>
  <r>
    <x v="5"/>
    <x v="177"/>
    <x v="0"/>
    <x v="26"/>
    <m/>
    <m/>
    <s v="COPPER_TUBE_SOFTDRAWN, EXZEL 0.028 X 1/4 x 15 mtr  05/28/26"/>
    <s v="IM-000329"/>
    <n v="2"/>
    <n v="1950"/>
    <m/>
    <n v="3900"/>
    <x v="0"/>
    <n v="3063"/>
    <n v="1699"/>
    <n v="3398"/>
    <n v="3499.94"/>
    <n v="400.05999999999995"/>
    <n v="0"/>
    <x v="0"/>
    <x v="0"/>
    <e v="#REF!"/>
    <e v="#REF!"/>
    <s v=""/>
    <n v="0.10257948717948717"/>
  </r>
  <r>
    <x v="5"/>
    <x v="177"/>
    <x v="0"/>
    <x v="26"/>
    <m/>
    <m/>
    <s v="COPPER_TUBE_SOFTDRAWN, HAILIANG 0.028 X 3/8 x 15 mtr 06/02/26"/>
    <s v="IM-000327"/>
    <n v="4"/>
    <n v="2950"/>
    <m/>
    <n v="11800"/>
    <x v="0"/>
    <n v="4774"/>
    <n v="2648"/>
    <n v="10592"/>
    <n v="10909.76"/>
    <n v="890.23999999999978"/>
    <n v="0"/>
    <x v="0"/>
    <x v="0"/>
    <e v="#REF!"/>
    <e v="#REF!"/>
    <s v=""/>
    <n v="7.5444067796610156E-2"/>
  </r>
  <r>
    <x v="5"/>
    <x v="177"/>
    <x v="0"/>
    <x v="26"/>
    <m/>
    <m/>
    <s v="ROD, HARRIS SILVER "/>
    <s v="IM-000098"/>
    <n v="5"/>
    <n v="28"/>
    <m/>
    <n v="140"/>
    <x v="0"/>
    <n v="30"/>
    <n v="19"/>
    <n v="95"/>
    <n v="97.850000000000009"/>
    <n v="42.149999999999991"/>
    <n v="0"/>
    <x v="56"/>
    <x v="0"/>
    <e v="#REF!"/>
    <e v="#REF!"/>
    <s v=""/>
    <n v="0.30107142857142849"/>
  </r>
  <r>
    <x v="5"/>
    <x v="177"/>
    <x v="0"/>
    <x v="26"/>
    <m/>
    <m/>
    <s v="TAPE_FOAM, AEROTAPE 3MM X 50 MM X 9.1 MTR  06/18/26"/>
    <s v="IM-000332"/>
    <n v="3"/>
    <n v="430"/>
    <m/>
    <n v="1290"/>
    <x v="0"/>
    <n v="510"/>
    <n v="330"/>
    <n v="990"/>
    <n v="1019.7"/>
    <n v="270.29999999999995"/>
    <n v="0"/>
    <x v="25"/>
    <x v="0"/>
    <e v="#REF!"/>
    <e v="#REF!"/>
    <s v=""/>
    <n v="0.20953488372093021"/>
  </r>
  <r>
    <x v="5"/>
    <x v="177"/>
    <x v="0"/>
    <x v="1"/>
    <m/>
    <m/>
    <s v="TAPE_PE, PICUS Polythelene Tape (White)X 4&quot;"/>
    <s v="IM-000247"/>
    <n v="1"/>
    <n v="125"/>
    <m/>
    <n v="125"/>
    <x v="0"/>
    <n v="147"/>
    <n v="75"/>
    <n v="75"/>
    <n v="77.25"/>
    <n v="47.75"/>
    <n v="0"/>
    <x v="29"/>
    <x v="0"/>
    <e v="#REF!"/>
    <e v="#REF!"/>
    <s v=""/>
    <n v="0.38200000000000001"/>
  </r>
  <r>
    <x v="5"/>
    <x v="177"/>
    <x v="0"/>
    <x v="156"/>
    <m/>
    <m/>
    <s v="COPPER_TUBE_SOFTDRAWN, HAILIANG 0.028 X 1/2 x 15 mtr 06/02/26"/>
    <s v="IM-000328"/>
    <n v="0.4"/>
    <n v="4500"/>
    <m/>
    <n v="1800"/>
    <x v="0"/>
    <n v="6554"/>
    <n v="3636"/>
    <n v="1454.4"/>
    <n v="1498.0320000000002"/>
    <n v="301.96799999999985"/>
    <n v="0"/>
    <x v="0"/>
    <x v="0"/>
    <e v="#REF!"/>
    <e v="#REF!"/>
    <s v=""/>
    <n v="0.16775999999999991"/>
  </r>
  <r>
    <x v="5"/>
    <x v="177"/>
    <x v="0"/>
    <x v="156"/>
    <m/>
    <m/>
    <s v="COPPER_TUBE_SOFTDRAWN, EXZEL 0.028 X 1/4 x 15 mtr  05/28/26"/>
    <s v="IM-000329"/>
    <n v="0.4"/>
    <n v="2500"/>
    <m/>
    <n v="1000"/>
    <x v="0"/>
    <n v="3063"/>
    <n v="1699"/>
    <n v="679.6"/>
    <n v="699.98800000000006"/>
    <n v="300.01199999999994"/>
    <n v="0"/>
    <x v="0"/>
    <x v="0"/>
    <e v="#REF!"/>
    <e v="#REF!"/>
    <s v=""/>
    <n v="0.30001199999999995"/>
  </r>
  <r>
    <x v="5"/>
    <x v="177"/>
    <x v="0"/>
    <x v="156"/>
    <m/>
    <m/>
    <s v="RUBBER_INSULATION, M-FLEX 1/2&quot; 1/2"/>
    <s v="IM-000227"/>
    <n v="3"/>
    <n v="70"/>
    <m/>
    <n v="210"/>
    <x v="0"/>
    <n v="65"/>
    <n v="46.4"/>
    <n v="139.19999999999999"/>
    <n v="143.376"/>
    <n v="66.623999999999995"/>
    <n v="0"/>
    <x v="22"/>
    <x v="0"/>
    <e v="#REF!"/>
    <e v="#REF!"/>
    <s v=""/>
    <n v="0.31725714285714285"/>
  </r>
  <r>
    <x v="5"/>
    <x v="177"/>
    <x v="0"/>
    <x v="156"/>
    <m/>
    <m/>
    <s v="RUBBER_INSULATION, M-FLEX 1/2&quot; 1/4"/>
    <s v="IM-000229"/>
    <n v="3"/>
    <n v="50"/>
    <m/>
    <n v="150"/>
    <x v="0"/>
    <n v="47"/>
    <n v="33.6"/>
    <n v="100.80000000000001"/>
    <n v="103.82400000000001"/>
    <n v="46.175999999999988"/>
    <n v="0"/>
    <x v="22"/>
    <x v="0"/>
    <e v="#REF!"/>
    <e v="#REF!"/>
    <s v=""/>
    <n v="0.30783999999999989"/>
  </r>
  <r>
    <x v="5"/>
    <x v="177"/>
    <x v="0"/>
    <x v="156"/>
    <m/>
    <m/>
    <s v="FITTINGS, BRASS FLARE NUT 1/4"/>
    <s v="IM-000049"/>
    <n v="1"/>
    <n v="35"/>
    <m/>
    <n v="35"/>
    <x v="0"/>
    <n v="26"/>
    <n v="14"/>
    <n v="14"/>
    <n v="14.42"/>
    <n v="20.58"/>
    <n v="0"/>
    <x v="33"/>
    <x v="0"/>
    <e v="#REF!"/>
    <e v="#REF!"/>
    <s v=""/>
    <n v="0.58799999999999997"/>
  </r>
  <r>
    <x v="5"/>
    <x v="177"/>
    <x v="0"/>
    <x v="156"/>
    <m/>
    <m/>
    <s v="HOSE,  DRAIN 3/4 PER METER"/>
    <s v="GE-000001"/>
    <n v="1"/>
    <n v="80"/>
    <m/>
    <n v="80"/>
    <x v="0"/>
    <n v="63"/>
    <n v="34"/>
    <n v="34"/>
    <n v="35.700000000000003"/>
    <n v="44.3"/>
    <n v="0"/>
    <x v="19"/>
    <x v="1"/>
    <e v="#REF!"/>
    <e v="#REF!"/>
    <s v=""/>
    <n v="0.55374999999999996"/>
  </r>
  <r>
    <x v="5"/>
    <x v="177"/>
    <x v="0"/>
    <x v="156"/>
    <m/>
    <m/>
    <s v="ROD, HARRIS SILVER "/>
    <s v="IM-000098"/>
    <n v="1"/>
    <n v="28"/>
    <m/>
    <n v="28"/>
    <x v="0"/>
    <n v="30"/>
    <n v="19"/>
    <n v="19"/>
    <n v="19.57"/>
    <n v="8.43"/>
    <n v="0"/>
    <x v="56"/>
    <x v="0"/>
    <e v="#REF!"/>
    <e v="#REF!"/>
    <s v=""/>
    <n v="0.30107142857142855"/>
  </r>
  <r>
    <x v="5"/>
    <x v="177"/>
    <x v="0"/>
    <x v="0"/>
    <m/>
    <m/>
    <s v="COPPER_TUBE_SOFTDRAWN, HAILIANG 0.028 X 1/2 x 15 mtr 06/02/26"/>
    <s v="IM-000328"/>
    <n v="0.4"/>
    <n v="4500"/>
    <m/>
    <n v="1800"/>
    <x v="0"/>
    <n v="6554"/>
    <n v="3636"/>
    <n v="1454.4"/>
    <n v="1498.0320000000002"/>
    <n v="301.96799999999985"/>
    <n v="0"/>
    <x v="0"/>
    <x v="0"/>
    <e v="#REF!"/>
    <e v="#REF!"/>
    <s v=""/>
    <n v="0.16775999999999991"/>
  </r>
  <r>
    <x v="5"/>
    <x v="177"/>
    <x v="0"/>
    <x v="0"/>
    <m/>
    <m/>
    <s v="COPPER_TUBE_SOFTDRAWN, HAILIANG 0.028 X 3/8 x 15 mtr 06/02/26"/>
    <s v="IM-000327"/>
    <n v="0.4"/>
    <n v="3500"/>
    <m/>
    <n v="1400"/>
    <x v="0"/>
    <n v="4774"/>
    <n v="2648"/>
    <n v="1059.2"/>
    <n v="1090.9760000000001"/>
    <n v="309.02399999999989"/>
    <n v="0"/>
    <x v="0"/>
    <x v="0"/>
    <e v="#REF!"/>
    <e v="#REF!"/>
    <s v=""/>
    <n v="0.2207314285714285"/>
  </r>
  <r>
    <x v="5"/>
    <x v="177"/>
    <x v="0"/>
    <x v="0"/>
    <m/>
    <m/>
    <s v="FITTINGS, COPPER ELBOW 1/2 SR"/>
    <s v="IM-000080"/>
    <n v="4"/>
    <n v="40"/>
    <m/>
    <n v="160"/>
    <x v="0"/>
    <n v="31"/>
    <n v="17"/>
    <n v="68"/>
    <n v="70.040000000000006"/>
    <n v="89.96"/>
    <n v="0"/>
    <x v="33"/>
    <x v="0"/>
    <e v="#REF!"/>
    <e v="#REF!"/>
    <s v=""/>
    <n v="0.56224999999999992"/>
  </r>
  <r>
    <x v="5"/>
    <x v="177"/>
    <x v="0"/>
    <x v="0"/>
    <m/>
    <m/>
    <s v="FITTINGS, COPPER ELBOW 3/8 SR"/>
    <s v="IM-000086"/>
    <n v="4"/>
    <n v="38"/>
    <m/>
    <n v="152"/>
    <x v="0"/>
    <n v="22"/>
    <n v="12"/>
    <n v="48"/>
    <n v="49.44"/>
    <n v="102.56"/>
    <n v="0"/>
    <x v="33"/>
    <x v="0"/>
    <e v="#REF!"/>
    <e v="#REF!"/>
    <s v=""/>
    <n v="0.67473684210526319"/>
  </r>
  <r>
    <x v="5"/>
    <x v="177"/>
    <x v="0"/>
    <x v="0"/>
    <m/>
    <m/>
    <s v="MAPP_GAS, COOLIB (ISHABELLA) TORCH GAS"/>
    <s v="IM-000317"/>
    <n v="1"/>
    <n v="380"/>
    <m/>
    <n v="380"/>
    <x v="0"/>
    <n v="451"/>
    <n v="250"/>
    <n v="250"/>
    <n v="257.5"/>
    <n v="122.5"/>
    <n v="0"/>
    <x v="45"/>
    <x v="0"/>
    <e v="#REF!"/>
    <e v="#REF!"/>
    <s v=""/>
    <n v="0.32236842105263158"/>
  </r>
  <r>
    <x v="5"/>
    <x v="177"/>
    <x v="0"/>
    <x v="0"/>
    <m/>
    <m/>
    <s v="ROD, HARRIS SILVER "/>
    <s v="IM-000098"/>
    <n v="4"/>
    <n v="28"/>
    <m/>
    <n v="112"/>
    <x v="0"/>
    <n v="30"/>
    <n v="19"/>
    <n v="76"/>
    <n v="78.28"/>
    <n v="33.72"/>
    <n v="0"/>
    <x v="56"/>
    <x v="0"/>
    <e v="#REF!"/>
    <e v="#REF!"/>
    <s v=""/>
    <n v="0.30107142857142855"/>
  </r>
  <r>
    <x v="5"/>
    <x v="177"/>
    <x v="0"/>
    <x v="0"/>
    <m/>
    <m/>
    <s v="RUBBER_INSULATION, M-FLEX 1/2&quot; 1/2"/>
    <s v="IM-000227"/>
    <n v="4"/>
    <n v="70"/>
    <m/>
    <n v="280"/>
    <x v="0"/>
    <n v="65"/>
    <n v="46.4"/>
    <n v="185.6"/>
    <n v="191.16800000000001"/>
    <n v="88.831999999999994"/>
    <n v="0"/>
    <x v="22"/>
    <x v="0"/>
    <e v="#REF!"/>
    <e v="#REF!"/>
    <s v=""/>
    <n v="0.31725714285714285"/>
  </r>
  <r>
    <x v="5"/>
    <x v="177"/>
    <x v="0"/>
    <x v="0"/>
    <m/>
    <m/>
    <s v="RUBBER_INSULATION, M-FLEX 1/2&quot; 3/8"/>
    <s v="IM-000231"/>
    <n v="4"/>
    <n v="60"/>
    <m/>
    <n v="240"/>
    <x v="0"/>
    <n v="53"/>
    <n v="37.6"/>
    <n v="150.4"/>
    <n v="154.91200000000001"/>
    <n v="85.087999999999994"/>
    <n v="0"/>
    <x v="22"/>
    <x v="0"/>
    <e v="#REF!"/>
    <e v="#REF!"/>
    <s v=""/>
    <n v="0.35453333333333331"/>
  </r>
  <r>
    <x v="5"/>
    <x v="177"/>
    <x v="0"/>
    <x v="0"/>
    <m/>
    <m/>
    <s v="ELECTRICAL WIRE_STRANDED, POWERFLEX THNN STRANDED   #14, MTR"/>
    <s v="GE-000122"/>
    <n v="19"/>
    <n v="35"/>
    <m/>
    <n v="665"/>
    <x v="0"/>
    <n v="39"/>
    <n v="21"/>
    <n v="399"/>
    <n v="418.95000000000005"/>
    <n v="246.04999999999995"/>
    <n v="0"/>
    <x v="2"/>
    <x v="1"/>
    <e v="#REF!"/>
    <e v="#REF!"/>
    <s v=""/>
    <n v="0.36999999999999994"/>
  </r>
  <r>
    <x v="5"/>
    <x v="177"/>
    <x v="0"/>
    <x v="0"/>
    <m/>
    <m/>
    <s v="ELECTRICAL WIRE_STRANDED, POWERFLEX THNN STRANDED   #12, MTR"/>
    <s v="GE-000120"/>
    <n v="12"/>
    <n v="45"/>
    <m/>
    <n v="540"/>
    <x v="0"/>
    <n v="50"/>
    <n v="27"/>
    <n v="324"/>
    <n v="340.2"/>
    <n v="199.8"/>
    <n v="0"/>
    <x v="2"/>
    <x v="1"/>
    <e v="#REF!"/>
    <e v="#REF!"/>
    <s v=""/>
    <n v="0.37"/>
  </r>
  <r>
    <x v="5"/>
    <x v="177"/>
    <x v="2"/>
    <x v="7"/>
    <m/>
    <m/>
    <s v="RECEIVER_DRIER_ALUMINUM, YK 2020-2 (ERTIGA)"/>
    <s v="CA-001081"/>
    <n v="1"/>
    <n v="550"/>
    <m/>
    <n v="550"/>
    <x v="0"/>
    <n v="662"/>
    <n v="280"/>
    <n v="280"/>
    <n v="294"/>
    <n v="256"/>
    <n v="76.8"/>
    <x v="27"/>
    <x v="2"/>
    <e v="#REF!"/>
    <e v="#REF!"/>
    <s v=""/>
    <n v="0.46545454545454545"/>
  </r>
  <r>
    <x v="5"/>
    <x v="177"/>
    <x v="1"/>
    <x v="3"/>
    <m/>
    <m/>
    <s v="EVAPORATOR, SUBARU FORESTER (STAL)"/>
    <s v="CA-001748"/>
    <n v="1"/>
    <n v="2000"/>
    <m/>
    <n v="2000"/>
    <x v="0"/>
    <n v="2114"/>
    <n v="1150"/>
    <n v="1150"/>
    <n v="1207.5"/>
    <n v="792.5"/>
    <n v="237.75"/>
    <x v="10"/>
    <x v="2"/>
    <e v="#REF!"/>
    <e v="#REF!"/>
    <s v=""/>
    <n v="0.39624999999999999"/>
  </r>
  <r>
    <x v="5"/>
    <x v="177"/>
    <x v="1"/>
    <x v="3"/>
    <m/>
    <m/>
    <s v="EXP. VALVE LT, POKKA 9A238 SUBARU FORESTER"/>
    <s v="CA-001728"/>
    <n v="1"/>
    <n v="550"/>
    <m/>
    <n v="550"/>
    <x v="0"/>
    <n v="533"/>
    <n v="290"/>
    <n v="290"/>
    <n v="304.5"/>
    <n v="245.5"/>
    <n v="73.649999999999991"/>
    <x v="23"/>
    <x v="2"/>
    <e v="#REF!"/>
    <e v="#REF!"/>
    <s v=""/>
    <n v="0.44636363636363635"/>
  </r>
  <r>
    <x v="5"/>
    <x v="177"/>
    <x v="0"/>
    <x v="36"/>
    <m/>
    <m/>
    <s v="BLOWER_MOTOR, TOYOTA INNOVA OLD F"/>
    <s v="CA-000227"/>
    <n v="1"/>
    <n v="2000"/>
    <m/>
    <n v="2000"/>
    <x v="0"/>
    <n v="2389"/>
    <n v="1300"/>
    <n v="1300"/>
    <n v="1365"/>
    <n v="635"/>
    <n v="0"/>
    <x v="15"/>
    <x v="2"/>
    <e v="#REF!"/>
    <e v="#REF!"/>
    <s v=""/>
    <n v="0.3175"/>
  </r>
  <r>
    <x v="5"/>
    <x v="178"/>
    <x v="0"/>
    <x v="1"/>
    <m/>
    <m/>
    <s v="ROD, HARRIS SILVER "/>
    <s v="IM-000098"/>
    <n v="3"/>
    <n v="28"/>
    <m/>
    <n v="84"/>
    <x v="0"/>
    <n v="30"/>
    <n v="19"/>
    <n v="57"/>
    <n v="58.71"/>
    <n v="25.29"/>
    <n v="0"/>
    <x v="56"/>
    <x v="0"/>
    <e v="#REF!"/>
    <e v="#REF!"/>
    <s v=""/>
    <n v="0.30107142857142855"/>
  </r>
  <r>
    <x v="5"/>
    <x v="178"/>
    <x v="0"/>
    <x v="1"/>
    <m/>
    <m/>
    <s v="BOLT &amp; NUT, TOX WITH METAL SCREW #6"/>
    <s v="GE-000403"/>
    <n v="15"/>
    <n v="5"/>
    <m/>
    <n v="75"/>
    <x v="0"/>
    <n v="3"/>
    <n v="1.1000000000000001"/>
    <n v="16.5"/>
    <n v="17.324999999999999"/>
    <n v="57.674999999999997"/>
    <n v="0"/>
    <x v="57"/>
    <x v="1"/>
    <e v="#REF!"/>
    <e v="#REF!"/>
    <s v=""/>
    <n v="0.76900000000000002"/>
  </r>
  <r>
    <x v="5"/>
    <x v="178"/>
    <x v="0"/>
    <x v="36"/>
    <m/>
    <m/>
    <s v="AUXFAN_MOTOR, TOYOTA VIOS 14 8030"/>
    <s v="CA-000093"/>
    <n v="1"/>
    <n v="1900"/>
    <m/>
    <n v="1900"/>
    <x v="0"/>
    <n v="2022"/>
    <n v="1100"/>
    <n v="1100"/>
    <n v="1155"/>
    <n v="745"/>
    <n v="0"/>
    <x v="14"/>
    <x v="2"/>
    <e v="#REF!"/>
    <e v="#REF!"/>
    <s v=""/>
    <n v="0.39210526315789473"/>
  </r>
  <r>
    <x v="5"/>
    <x v="178"/>
    <x v="0"/>
    <x v="141"/>
    <m/>
    <m/>
    <s v="BRACKET , GB 2HP, COATED"/>
    <s v="IM-000011"/>
    <n v="1"/>
    <n v="460"/>
    <m/>
    <n v="460"/>
    <x v="0"/>
    <n v="532"/>
    <n v="295"/>
    <n v="295"/>
    <n v="303.85000000000002"/>
    <n v="156.14999999999998"/>
    <n v="0"/>
    <x v="1"/>
    <x v="0"/>
    <e v="#REF!"/>
    <e v="#REF!"/>
    <s v=""/>
    <n v="0.33945652173913038"/>
  </r>
  <r>
    <x v="5"/>
    <x v="178"/>
    <x v="0"/>
    <x v="19"/>
    <m/>
    <m/>
    <s v="COPPER_TUBE_SOFTDRAWN, EXZEL 0.028 X 1/4 x 15 mtr  05/28/26"/>
    <s v="IM-000329"/>
    <n v="0.2"/>
    <n v="2500"/>
    <m/>
    <n v="500"/>
    <x v="0"/>
    <n v="3063"/>
    <n v="1699"/>
    <n v="339.8"/>
    <n v="349.99400000000003"/>
    <n v="150.00599999999997"/>
    <n v="0"/>
    <x v="0"/>
    <x v="0"/>
    <e v="#REF!"/>
    <e v="#REF!"/>
    <s v=""/>
    <n v="0.30001199999999995"/>
  </r>
  <r>
    <x v="5"/>
    <x v="178"/>
    <x v="0"/>
    <x v="19"/>
    <m/>
    <m/>
    <s v="COPPER_TUBE_SOFTDRAWN, HAILIANG 0.028 X 3/8 x 15 mtr 06/02/26"/>
    <s v="IM-000327"/>
    <n v="0.2"/>
    <n v="3500"/>
    <m/>
    <n v="700"/>
    <x v="0"/>
    <n v="4774"/>
    <n v="2648"/>
    <n v="529.6"/>
    <n v="545.48800000000006"/>
    <n v="154.51199999999994"/>
    <n v="0"/>
    <x v="0"/>
    <x v="0"/>
    <e v="#REF!"/>
    <e v="#REF!"/>
    <s v=""/>
    <n v="0.2207314285714285"/>
  </r>
  <r>
    <x v="5"/>
    <x v="178"/>
    <x v="0"/>
    <x v="19"/>
    <m/>
    <m/>
    <s v="TAPE_PE, PICUS Polythelene Tape (White)X 4&quot;"/>
    <s v="IM-000247"/>
    <n v="1"/>
    <n v="125"/>
    <m/>
    <n v="125"/>
    <x v="0"/>
    <n v="147"/>
    <n v="75"/>
    <n v="75"/>
    <n v="77.25"/>
    <n v="47.75"/>
    <n v="0"/>
    <x v="29"/>
    <x v="0"/>
    <e v="#REF!"/>
    <e v="#REF!"/>
    <s v=""/>
    <n v="0.38200000000000001"/>
  </r>
  <r>
    <x v="5"/>
    <x v="178"/>
    <x v="0"/>
    <x v="19"/>
    <m/>
    <m/>
    <s v="ROYAL CORD, POWERFLEX 4-CORE, #16 1.2 MM, METER"/>
    <s v="GE-000485"/>
    <n v="4"/>
    <n v="125"/>
    <m/>
    <n v="500"/>
    <x v="0"/>
    <n v="90"/>
    <n v="72"/>
    <n v="288"/>
    <n v="302.40000000000003"/>
    <n v="197.59999999999997"/>
    <n v="0"/>
    <x v="48"/>
    <x v="1"/>
    <e v="#REF!"/>
    <e v="#REF!"/>
    <s v=""/>
    <n v="0.39519999999999994"/>
  </r>
  <r>
    <x v="5"/>
    <x v="178"/>
    <x v="0"/>
    <x v="19"/>
    <m/>
    <m/>
    <s v="BRACKET , ROBYN STEEL  1HP, COATED  (ISHABELLA)"/>
    <s v="IM-000330"/>
    <n v="1"/>
    <n v="360"/>
    <m/>
    <n v="360"/>
    <x v="0"/>
    <n v="352"/>
    <n v="195"/>
    <n v="195"/>
    <n v="200.85"/>
    <n v="159.15"/>
    <n v="0"/>
    <x v="1"/>
    <x v="0"/>
    <e v="#REF!"/>
    <e v="#REF!"/>
    <s v=""/>
    <n v="0.44208333333333333"/>
  </r>
  <r>
    <x v="6"/>
    <x v="179"/>
    <x v="7"/>
    <x v="135"/>
    <m/>
    <m/>
    <m/>
    <s v=""/>
    <m/>
    <m/>
    <m/>
    <n v="0"/>
    <x v="0"/>
    <n v="0"/>
    <n v="0"/>
    <n v="0"/>
    <n v="0"/>
    <n v="0"/>
    <n v="0"/>
    <x v="13"/>
    <x v="3"/>
    <e v="#REF!"/>
    <e v="#REF!"/>
    <e v="#REF!"/>
    <n v="0"/>
  </r>
  <r>
    <x v="5"/>
    <x v="178"/>
    <x v="0"/>
    <x v="1"/>
    <m/>
    <m/>
    <s v="SILICA_GEL, STAL LONG"/>
    <s v="CA-001637"/>
    <n v="1"/>
    <n v="200"/>
    <m/>
    <n v="200"/>
    <x v="0"/>
    <n v="50"/>
    <n v="25"/>
    <n v="25"/>
    <n v="26.25"/>
    <n v="173.75"/>
    <n v="0"/>
    <x v="37"/>
    <x v="2"/>
    <e v="#REF!"/>
    <e v="#REF!"/>
    <s v=""/>
    <n v="0.86875000000000002"/>
  </r>
  <r>
    <x v="5"/>
    <x v="178"/>
    <x v="0"/>
    <x v="157"/>
    <m/>
    <m/>
    <s v="REFRIGERANT, ENTALPIA EUROPE R32, 3KGS"/>
    <s v="GE-000475"/>
    <n v="1"/>
    <n v="3000"/>
    <m/>
    <n v="3000"/>
    <x v="0"/>
    <n v="2867"/>
    <n v="2100"/>
    <n v="2100"/>
    <n v="2205"/>
    <n v="795"/>
    <n v="0"/>
    <x v="5"/>
    <x v="1"/>
    <e v="#REF!"/>
    <e v="#REF!"/>
    <s v=""/>
    <n v="0.26500000000000001"/>
  </r>
  <r>
    <x v="7"/>
    <x v="180"/>
    <x v="7"/>
    <x v="135"/>
    <m/>
    <m/>
    <m/>
    <s v=""/>
    <m/>
    <m/>
    <m/>
    <n v="0"/>
    <x v="0"/>
    <n v="0"/>
    <n v="0"/>
    <n v="0"/>
    <n v="0"/>
    <n v="0"/>
    <n v="0"/>
    <x v="13"/>
    <x v="3"/>
    <e v="#REF!"/>
    <e v="#REF!"/>
    <e v="#REF!"/>
    <n v="0"/>
  </r>
  <r>
    <x v="7"/>
    <x v="180"/>
    <x v="3"/>
    <x v="158"/>
    <m/>
    <n v="2200"/>
    <s v="EVAPORATOR, HYUNDAI TUCSON 2017"/>
    <s v="CA-001782"/>
    <n v="1"/>
    <n v="1964"/>
    <m/>
    <n v="1964"/>
    <x v="0"/>
    <n v="2849"/>
    <n v="1550"/>
    <n v="1550"/>
    <n v="1627.5"/>
    <n v="336.5"/>
    <n v="100.95"/>
    <x v="10"/>
    <x v="2"/>
    <e v="#REF!"/>
    <e v="#REF!"/>
    <n v="2199.6800000000003"/>
    <n v="0.17133401221995925"/>
  </r>
  <r>
    <x v="7"/>
    <x v="180"/>
    <x v="0"/>
    <x v="1"/>
    <m/>
    <m/>
    <s v="REFRIGERANT, NO BRAND ORANGE 410A,  650 GRAMS"/>
    <s v="GE-000149"/>
    <n v="2"/>
    <n v="680"/>
    <m/>
    <n v="1360"/>
    <x v="0"/>
    <n v="756"/>
    <n v="300"/>
    <n v="600"/>
    <n v="630"/>
    <n v="730"/>
    <n v="0"/>
    <x v="5"/>
    <x v="1"/>
    <e v="#REF!"/>
    <e v="#REF!"/>
    <s v=""/>
    <n v="0.53676470588235292"/>
  </r>
  <r>
    <x v="7"/>
    <x v="180"/>
    <x v="0"/>
    <x v="1"/>
    <m/>
    <m/>
    <s v="ADAPTOR, OPEN VALVE R600 (GREEN)"/>
    <s v="TL-000008"/>
    <n v="1"/>
    <n v="250"/>
    <m/>
    <n v="250"/>
    <x v="0"/>
    <n v="175"/>
    <n v="95"/>
    <n v="95"/>
    <n v="99.75"/>
    <n v="150.25"/>
    <n v="0"/>
    <x v="71"/>
    <x v="4"/>
    <e v="#REF!"/>
    <e v="#REF!"/>
    <s v=""/>
    <n v="0.60099999999999998"/>
  </r>
  <r>
    <x v="7"/>
    <x v="180"/>
    <x v="0"/>
    <x v="1"/>
    <m/>
    <m/>
    <s v="HOSE, HONGSEN GAUGE 410A 1M PIECE"/>
    <s v="TL-000102"/>
    <n v="1"/>
    <n v="400"/>
    <m/>
    <n v="400"/>
    <x v="0"/>
    <n v="360"/>
    <n v="185"/>
    <n v="185"/>
    <n v="194.25"/>
    <n v="205.75"/>
    <n v="0"/>
    <x v="19"/>
    <x v="4"/>
    <e v="#REF!"/>
    <e v="#REF!"/>
    <s v=""/>
    <n v="0.51437500000000003"/>
  </r>
  <r>
    <x v="7"/>
    <x v="180"/>
    <x v="0"/>
    <x v="11"/>
    <m/>
    <m/>
    <s v="ORIFICE , 134A "/>
    <s v="CA-001412"/>
    <n v="1"/>
    <n v="200"/>
    <m/>
    <n v="200"/>
    <x v="0"/>
    <n v="65"/>
    <n v="35"/>
    <n v="35"/>
    <n v="36.75"/>
    <n v="163.25"/>
    <n v="0"/>
    <x v="86"/>
    <x v="2"/>
    <e v="#REF!"/>
    <e v="#REF!"/>
    <s v=""/>
    <n v="0.81625000000000003"/>
  </r>
  <r>
    <x v="7"/>
    <x v="180"/>
    <x v="0"/>
    <x v="11"/>
    <m/>
    <m/>
    <s v="REFRIGERANT, ENTALPIA EUROPE R134A 13.6   6/16/26 "/>
    <s v="GE-000517"/>
    <n v="1"/>
    <n v="8800"/>
    <m/>
    <n v="8800"/>
    <x v="0"/>
    <n v="10489"/>
    <n v="7684"/>
    <n v="7684"/>
    <n v="8068.2000000000007"/>
    <n v="731.79999999999927"/>
    <n v="0"/>
    <x v="5"/>
    <x v="1"/>
    <e v="#REF!"/>
    <e v="#REF!"/>
    <s v=""/>
    <n v="8.3159090909090821E-2"/>
  </r>
  <r>
    <x v="7"/>
    <x v="180"/>
    <x v="0"/>
    <x v="11"/>
    <m/>
    <m/>
    <s v="SYSTEM_CLEANER, Cleanse GREEN 141B 500 ML"/>
    <s v="GE-000369"/>
    <n v="2"/>
    <n v="120"/>
    <m/>
    <n v="240"/>
    <x v="0"/>
    <n v="113"/>
    <n v="65"/>
    <n v="130"/>
    <n v="136.5"/>
    <n v="103.5"/>
    <n v="0"/>
    <x v="28"/>
    <x v="1"/>
    <e v="#REF!"/>
    <e v="#REF!"/>
    <s v=""/>
    <n v="0.43125000000000002"/>
  </r>
  <r>
    <x v="7"/>
    <x v="180"/>
    <x v="2"/>
    <x v="7"/>
    <m/>
    <m/>
    <s v="EVAPORATOR, SUZUKI APV"/>
    <s v="CA-000527"/>
    <n v="1"/>
    <n v="2200"/>
    <m/>
    <n v="2200"/>
    <x v="0"/>
    <n v="2481"/>
    <n v="1350"/>
    <n v="1350"/>
    <n v="1417.5"/>
    <n v="782.5"/>
    <n v="234.75"/>
    <x v="10"/>
    <x v="2"/>
    <e v="#REF!"/>
    <e v="#REF!"/>
    <s v=""/>
    <n v="0.35568181818181815"/>
  </r>
  <r>
    <x v="7"/>
    <x v="180"/>
    <x v="2"/>
    <x v="7"/>
    <m/>
    <n v="350"/>
    <s v="CABIN_FILTER, TOYOTA VIOS"/>
    <s v="CA-001295"/>
    <n v="4"/>
    <n v="313"/>
    <m/>
    <n v="1252"/>
    <x v="0"/>
    <n v="315"/>
    <n v="100"/>
    <n v="400"/>
    <n v="420"/>
    <n v="832"/>
    <n v="249.6"/>
    <x v="12"/>
    <x v="2"/>
    <e v="#REF!"/>
    <e v="#REF!"/>
    <n v="350.56000000000006"/>
    <n v="0.66453674121405748"/>
  </r>
  <r>
    <x v="7"/>
    <x v="180"/>
    <x v="0"/>
    <x v="90"/>
    <m/>
    <m/>
    <s v="BLOWER_MOTOR, HYUNDAI ACCENT 2013"/>
    <s v="CA-000158"/>
    <n v="1"/>
    <n v="2200"/>
    <m/>
    <n v="2200"/>
    <x v="0"/>
    <n v="2849"/>
    <n v="1550"/>
    <n v="1550"/>
    <n v="1627.5"/>
    <n v="572.5"/>
    <n v="0"/>
    <x v="15"/>
    <x v="2"/>
    <e v="#REF!"/>
    <e v="#REF!"/>
    <s v=""/>
    <n v="0.26022727272727275"/>
  </r>
  <r>
    <x v="7"/>
    <x v="180"/>
    <x v="0"/>
    <x v="90"/>
    <m/>
    <m/>
    <s v="RESISTOR_BLOCK, HYUNDAI ACCENT 2011-2018 (97128)"/>
    <s v="CA-001454"/>
    <n v="1"/>
    <n v="900"/>
    <m/>
    <n v="900"/>
    <x v="0"/>
    <n v="861"/>
    <n v="400"/>
    <n v="400"/>
    <n v="420"/>
    <n v="480"/>
    <n v="0"/>
    <x v="43"/>
    <x v="2"/>
    <e v="#REF!"/>
    <e v="#REF!"/>
    <s v=""/>
    <n v="0.53333333333333333"/>
  </r>
  <r>
    <x v="7"/>
    <x v="180"/>
    <x v="0"/>
    <x v="10"/>
    <m/>
    <m/>
    <s v="EVAPORATOR, MITSUBISHI ADVENTURE OLD / SERPENTINE (STAL)"/>
    <s v="CA-001656"/>
    <n v="1"/>
    <n v="2100"/>
    <m/>
    <n v="2100"/>
    <x v="0"/>
    <n v="2205"/>
    <n v="1200"/>
    <n v="1200"/>
    <n v="1260"/>
    <n v="840"/>
    <n v="0"/>
    <x v="10"/>
    <x v="2"/>
    <e v="#REF!"/>
    <e v="#REF!"/>
    <s v=""/>
    <n v="0.4"/>
  </r>
  <r>
    <x v="7"/>
    <x v="180"/>
    <x v="0"/>
    <x v="1"/>
    <m/>
    <m/>
    <s v="REFRIGERANT, FU RYDER R600A CAN, 220 GRAMS"/>
    <s v="GE-000032"/>
    <n v="1"/>
    <n v="180"/>
    <m/>
    <n v="180"/>
    <x v="0"/>
    <n v="177"/>
    <n v="70"/>
    <n v="70"/>
    <n v="73.5"/>
    <n v="106.5"/>
    <n v="0"/>
    <x v="5"/>
    <x v="1"/>
    <e v="#REF!"/>
    <e v="#REF!"/>
    <s v=""/>
    <n v="0.59166666666666667"/>
  </r>
  <r>
    <x v="7"/>
    <x v="181"/>
    <x v="0"/>
    <x v="1"/>
    <m/>
    <m/>
    <s v="BRACKET , ROBYN STEEL  1HP, COATED  (ISHABELLA)"/>
    <s v="IM-000330"/>
    <n v="1"/>
    <n v="360"/>
    <m/>
    <n v="360"/>
    <x v="0"/>
    <n v="352"/>
    <n v="195"/>
    <n v="195"/>
    <n v="200.85"/>
    <n v="159.15"/>
    <n v="0"/>
    <x v="1"/>
    <x v="0"/>
    <e v="#REF!"/>
    <e v="#REF!"/>
    <s v=""/>
    <n v="0.44208333333333333"/>
  </r>
  <r>
    <x v="7"/>
    <x v="181"/>
    <x v="0"/>
    <x v="1"/>
    <m/>
    <m/>
    <s v="BOLT &amp; NUT, GI, SET 3/8"/>
    <s v="IM-000002"/>
    <n v="4"/>
    <n v="14"/>
    <m/>
    <n v="56"/>
    <x v="0"/>
    <n v="10"/>
    <n v="5.43"/>
    <n v="21.72"/>
    <n v="22.371600000000001"/>
    <n v="33.628399999999999"/>
    <n v="0"/>
    <x v="57"/>
    <x v="0"/>
    <e v="#REF!"/>
    <e v="#REF!"/>
    <s v=""/>
    <n v="0.60050714285714279"/>
  </r>
  <r>
    <x v="7"/>
    <x v="181"/>
    <x v="0"/>
    <x v="1"/>
    <m/>
    <m/>
    <s v="TAPE_FOAM, POKKA 5MM X 50 MM X 9.1 MTR"/>
    <s v="IM-000106"/>
    <n v="1"/>
    <n v="260"/>
    <m/>
    <n v="260"/>
    <x v="0"/>
    <n v="194"/>
    <n v="125"/>
    <n v="125"/>
    <n v="128.75"/>
    <n v="131.25"/>
    <n v="0"/>
    <x v="25"/>
    <x v="0"/>
    <e v="#REF!"/>
    <e v="#REF!"/>
    <s v=""/>
    <n v="0.50480769230769229"/>
  </r>
  <r>
    <x v="7"/>
    <x v="181"/>
    <x v="0"/>
    <x v="8"/>
    <m/>
    <m/>
    <s v="REFRIGERANT, ENTALPIA EUROPE R134A 13.6   6/16/26 "/>
    <s v="GE-000517"/>
    <n v="1"/>
    <n v="8800"/>
    <m/>
    <n v="8800"/>
    <x v="0"/>
    <n v="10489"/>
    <n v="7684"/>
    <n v="7684"/>
    <n v="8068.2000000000007"/>
    <n v="731.79999999999927"/>
    <n v="0"/>
    <x v="5"/>
    <x v="1"/>
    <e v="#REF!"/>
    <e v="#REF!"/>
    <s v=""/>
    <n v="8.3159090909090821E-2"/>
  </r>
  <r>
    <x v="7"/>
    <x v="181"/>
    <x v="6"/>
    <x v="159"/>
    <m/>
    <n v="1900"/>
    <s v="ECV, HYUNDAI ACCENT, 8-22A"/>
    <s v="CA-000454"/>
    <n v="1"/>
    <n v="1700"/>
    <m/>
    <n v="1700"/>
    <x v="0"/>
    <n v="1838"/>
    <n v="1000"/>
    <n v="1000"/>
    <n v="1050"/>
    <n v="650"/>
    <n v="195"/>
    <x v="26"/>
    <x v="2"/>
    <e v="#REF!"/>
    <e v="#REF!"/>
    <n v="1904.0000000000002"/>
    <n v="0.38235294117647056"/>
  </r>
  <r>
    <x v="7"/>
    <x v="181"/>
    <x v="6"/>
    <x v="159"/>
    <m/>
    <m/>
    <s v="EXP. VALVE LT, POKKA 9A129B ACCENT"/>
    <s v="CA-000629"/>
    <n v="1"/>
    <n v="600"/>
    <m/>
    <n v="600"/>
    <x v="0"/>
    <n v="625"/>
    <n v="340"/>
    <n v="340"/>
    <n v="357"/>
    <n v="243"/>
    <n v="72.899999999999991"/>
    <x v="23"/>
    <x v="2"/>
    <e v="#REF!"/>
    <e v="#REF!"/>
    <s v=""/>
    <n v="0.40500000000000003"/>
  </r>
  <r>
    <x v="7"/>
    <x v="181"/>
    <x v="0"/>
    <x v="11"/>
    <m/>
    <m/>
    <s v="BLOWER_MOTOR, UNIVERSAL DOUBLE SHAFTING (ADVENTURE/REVO) 12V"/>
    <s v="CA-000238"/>
    <n v="1"/>
    <n v="750"/>
    <m/>
    <n v="750"/>
    <x v="0"/>
    <n v="840"/>
    <n v="400"/>
    <n v="400"/>
    <n v="420"/>
    <n v="330"/>
    <n v="0"/>
    <x v="15"/>
    <x v="2"/>
    <e v="#REF!"/>
    <e v="#REF!"/>
    <s v=""/>
    <n v="0.44"/>
  </r>
  <r>
    <x v="7"/>
    <x v="181"/>
    <x v="0"/>
    <x v="35"/>
    <m/>
    <m/>
    <s v="COPPER_TUBE_SOFTDRAWN, EXZEL 0.028 X 1/4 x 15 mtr  05/28/26"/>
    <s v="IM-000329"/>
    <n v="0.2"/>
    <n v="2500"/>
    <m/>
    <n v="500"/>
    <x v="0"/>
    <n v="3063"/>
    <n v="1699"/>
    <n v="339.8"/>
    <n v="349.99400000000003"/>
    <n v="150.00599999999997"/>
    <n v="0"/>
    <x v="0"/>
    <x v="0"/>
    <e v="#REF!"/>
    <e v="#REF!"/>
    <s v=""/>
    <n v="0.30001199999999995"/>
  </r>
  <r>
    <x v="7"/>
    <x v="181"/>
    <x v="0"/>
    <x v="35"/>
    <m/>
    <m/>
    <s v="COPPER_TUBE_SOFTDRAWN, HAILIANG 0.028 X 1/2 x 15 mtr 06/02/26"/>
    <s v="IM-000328"/>
    <n v="0.2"/>
    <n v="4500"/>
    <m/>
    <n v="900"/>
    <x v="0"/>
    <n v="6554"/>
    <n v="3636"/>
    <n v="727.2"/>
    <n v="749.01600000000008"/>
    <n v="150.98399999999992"/>
    <n v="0"/>
    <x v="0"/>
    <x v="0"/>
    <e v="#REF!"/>
    <e v="#REF!"/>
    <s v=""/>
    <n v="0.16775999999999991"/>
  </r>
  <r>
    <x v="7"/>
    <x v="181"/>
    <x v="0"/>
    <x v="35"/>
    <m/>
    <m/>
    <s v="BRACKET , GB 2HP, COATED"/>
    <s v="IM-000011"/>
    <n v="1"/>
    <n v="460"/>
    <m/>
    <n v="460"/>
    <x v="0"/>
    <n v="532"/>
    <n v="295"/>
    <n v="295"/>
    <n v="303.85000000000002"/>
    <n v="156.14999999999998"/>
    <n v="0"/>
    <x v="1"/>
    <x v="0"/>
    <e v="#REF!"/>
    <e v="#REF!"/>
    <s v=""/>
    <n v="0.33945652173913038"/>
  </r>
  <r>
    <x v="7"/>
    <x v="181"/>
    <x v="0"/>
    <x v="35"/>
    <m/>
    <m/>
    <s v="ROYAL CORD, POWERFLEX 4-CORE, #14 2.0 MM, METER"/>
    <s v="GE-000487"/>
    <n v="4"/>
    <n v="160"/>
    <m/>
    <n v="640"/>
    <x v="0"/>
    <n v="131"/>
    <n v="105"/>
    <n v="420"/>
    <n v="441"/>
    <n v="199"/>
    <n v="0"/>
    <x v="48"/>
    <x v="1"/>
    <e v="#REF!"/>
    <e v="#REF!"/>
    <s v=""/>
    <n v="0.31093749999999998"/>
  </r>
  <r>
    <x v="7"/>
    <x v="181"/>
    <x v="0"/>
    <x v="35"/>
    <m/>
    <m/>
    <s v="RUBBER_INSULATION, M-FLEX 1/2&quot; 1/4"/>
    <s v="IM-000229"/>
    <n v="2"/>
    <n v="50"/>
    <m/>
    <n v="100"/>
    <x v="0"/>
    <n v="47"/>
    <n v="33.6"/>
    <n v="67.2"/>
    <n v="69.216000000000008"/>
    <n v="30.783999999999992"/>
    <n v="0"/>
    <x v="22"/>
    <x v="0"/>
    <e v="#REF!"/>
    <e v="#REF!"/>
    <s v=""/>
    <n v="0.30783999999999989"/>
  </r>
  <r>
    <x v="7"/>
    <x v="181"/>
    <x v="0"/>
    <x v="35"/>
    <m/>
    <m/>
    <s v="RUBBER_INSULATION, M-FLEX 1/2&quot; 1/2"/>
    <s v="IM-000227"/>
    <n v="2"/>
    <n v="70"/>
    <m/>
    <n v="140"/>
    <x v="0"/>
    <n v="65"/>
    <n v="46.4"/>
    <n v="92.8"/>
    <n v="95.584000000000003"/>
    <n v="44.415999999999997"/>
    <n v="0"/>
    <x v="22"/>
    <x v="0"/>
    <e v="#REF!"/>
    <e v="#REF!"/>
    <s v=""/>
    <n v="0.31725714285714285"/>
  </r>
  <r>
    <x v="7"/>
    <x v="181"/>
    <x v="0"/>
    <x v="35"/>
    <m/>
    <m/>
    <s v="TAPE_PE, PICUS Polythelene Tape (White)X 4&quot;"/>
    <s v="IM-000247"/>
    <n v="1"/>
    <n v="125"/>
    <m/>
    <n v="125"/>
    <x v="0"/>
    <n v="147"/>
    <n v="75"/>
    <n v="75"/>
    <n v="77.25"/>
    <n v="47.75"/>
    <n v="0"/>
    <x v="29"/>
    <x v="0"/>
    <e v="#REF!"/>
    <e v="#REF!"/>
    <s v=""/>
    <n v="0.38200000000000001"/>
  </r>
  <r>
    <x v="7"/>
    <x v="181"/>
    <x v="0"/>
    <x v="35"/>
    <m/>
    <m/>
    <s v="FITTINGS, BRASS FLARE NUT 1/4"/>
    <s v="IM-000049"/>
    <n v="1"/>
    <n v="35"/>
    <m/>
    <n v="35"/>
    <x v="0"/>
    <n v="26"/>
    <n v="14"/>
    <n v="14"/>
    <n v="14.42"/>
    <n v="20.58"/>
    <n v="0"/>
    <x v="33"/>
    <x v="0"/>
    <e v="#REF!"/>
    <e v="#REF!"/>
    <s v=""/>
    <n v="0.58799999999999997"/>
  </r>
  <r>
    <x v="7"/>
    <x v="181"/>
    <x v="0"/>
    <x v="35"/>
    <m/>
    <m/>
    <s v="BOLT &amp; NUT, DYNABOLT 5/16&quot;"/>
    <s v="GE-000397"/>
    <n v="2"/>
    <n v="20"/>
    <m/>
    <n v="40"/>
    <x v="0"/>
    <n v="14"/>
    <n v="6.5"/>
    <n v="13"/>
    <n v="13.65"/>
    <n v="26.35"/>
    <n v="0"/>
    <x v="57"/>
    <x v="1"/>
    <e v="#REF!"/>
    <e v="#REF!"/>
    <s v=""/>
    <n v="0.65875000000000006"/>
  </r>
  <r>
    <x v="7"/>
    <x v="181"/>
    <x v="0"/>
    <x v="35"/>
    <m/>
    <m/>
    <s v="BOLT &amp; NUT, GI, SET 3/8"/>
    <s v="IM-000002"/>
    <n v="4"/>
    <n v="12"/>
    <m/>
    <n v="48"/>
    <x v="0"/>
    <n v="10"/>
    <n v="5.43"/>
    <n v="21.72"/>
    <n v="22.371600000000001"/>
    <n v="25.628399999999999"/>
    <n v="0"/>
    <x v="57"/>
    <x v="0"/>
    <e v="#REF!"/>
    <e v="#REF!"/>
    <s v=""/>
    <n v="0.53392499999999998"/>
  </r>
  <r>
    <x v="7"/>
    <x v="181"/>
    <x v="1"/>
    <x v="5"/>
    <m/>
    <m/>
    <s v="REFRIGERANT, ENTALPIA EUROPE R134A 13.6   6/16/26 "/>
    <s v="GE-000517"/>
    <n v="1"/>
    <n v="8800"/>
    <m/>
    <n v="8800"/>
    <x v="0"/>
    <n v="10489"/>
    <n v="7684"/>
    <n v="7684"/>
    <n v="8068.2000000000007"/>
    <n v="731.79999999999927"/>
    <n v="219.53999999999976"/>
    <x v="5"/>
    <x v="1"/>
    <e v="#REF!"/>
    <e v="#REF!"/>
    <s v=""/>
    <n v="8.3159090909090821E-2"/>
  </r>
  <r>
    <x v="7"/>
    <x v="181"/>
    <x v="1"/>
    <x v="5"/>
    <m/>
    <m/>
    <s v="LUBRICANT, HONGSEN REFRIGERANT OIL"/>
    <s v="GE-000422"/>
    <n v="2"/>
    <n v="450"/>
    <m/>
    <n v="900"/>
    <x v="0"/>
    <n v="313"/>
    <n v="170"/>
    <n v="340"/>
    <n v="357"/>
    <n v="543"/>
    <n v="162.9"/>
    <x v="9"/>
    <x v="1"/>
    <e v="#REF!"/>
    <e v="#REF!"/>
    <s v=""/>
    <n v="0.60333333333333339"/>
  </r>
  <r>
    <x v="7"/>
    <x v="181"/>
    <x v="0"/>
    <x v="61"/>
    <m/>
    <m/>
    <s v="LUBRICANT, ND-OIL9 250 CC (134A),OIL COMPRESSOR"/>
    <s v="GE-000136"/>
    <n v="1"/>
    <n v="200"/>
    <m/>
    <n v="200"/>
    <x v="0"/>
    <n v="210"/>
    <n v="100"/>
    <n v="100"/>
    <n v="105"/>
    <n v="95"/>
    <n v="0"/>
    <x v="9"/>
    <x v="1"/>
    <e v="#REF!"/>
    <e v="#REF!"/>
    <s v=""/>
    <n v="0.47499999999999998"/>
  </r>
  <r>
    <x v="7"/>
    <x v="181"/>
    <x v="0"/>
    <x v="61"/>
    <m/>
    <m/>
    <s v="O_RING, NEK MAKAPAL 5/8 TINGI"/>
    <s v="CA-001494"/>
    <n v="20"/>
    <n v="5"/>
    <m/>
    <n v="100"/>
    <x v="0"/>
    <n v="2"/>
    <n v="1"/>
    <n v="20"/>
    <n v="21"/>
    <n v="79"/>
    <n v="0"/>
    <x v="44"/>
    <x v="2"/>
    <e v="#REF!"/>
    <e v="#REF!"/>
    <s v=""/>
    <n v="0.79"/>
  </r>
  <r>
    <x v="7"/>
    <x v="181"/>
    <x v="0"/>
    <x v="58"/>
    <m/>
    <m/>
    <s v="AUXFAN_MOTOR, MITSUBISHI MONTERO GOLD"/>
    <s v="CA-000056"/>
    <n v="3"/>
    <n v="1500"/>
    <m/>
    <n v="4500"/>
    <x v="0"/>
    <n v="1379"/>
    <n v="750"/>
    <n v="2250"/>
    <n v="2362.5"/>
    <n v="2137.5"/>
    <n v="0"/>
    <x v="14"/>
    <x v="2"/>
    <e v="#REF!"/>
    <e v="#REF!"/>
    <s v=""/>
    <n v="0.47499999999999998"/>
  </r>
  <r>
    <x v="7"/>
    <x v="182"/>
    <x v="0"/>
    <x v="8"/>
    <m/>
    <m/>
    <s v="EVAPORATOR, ISUZU MUX/D-MAX 2013 (STAL)"/>
    <s v="CA-000701"/>
    <n v="1"/>
    <n v="1900"/>
    <m/>
    <n v="1900"/>
    <x v="0"/>
    <n v="1995"/>
    <n v="1000"/>
    <n v="1000"/>
    <n v="1050"/>
    <n v="850"/>
    <n v="0"/>
    <x v="10"/>
    <x v="2"/>
    <e v="#REF!"/>
    <e v="#REF!"/>
    <s v=""/>
    <n v="0.44736842105263158"/>
  </r>
  <r>
    <x v="7"/>
    <x v="182"/>
    <x v="0"/>
    <x v="8"/>
    <m/>
    <m/>
    <s v="BLOWER_MOTOR, ISUZU D-MAX 2013 / MUX  STAL"/>
    <s v="CA-001862"/>
    <n v="1"/>
    <n v="2000"/>
    <m/>
    <n v="2000"/>
    <x v="0"/>
    <n v="1654"/>
    <n v="900"/>
    <n v="900"/>
    <n v="945"/>
    <n v="1055"/>
    <n v="0"/>
    <x v="15"/>
    <x v="2"/>
    <e v="#REF!"/>
    <e v="#REF!"/>
    <s v=""/>
    <n v="0.52749999999999997"/>
  </r>
  <r>
    <x v="7"/>
    <x v="182"/>
    <x v="0"/>
    <x v="1"/>
    <m/>
    <m/>
    <s v="REFRIGERANT, POKKA R32, 600 GRMS  05/09/26"/>
    <s v="GE-000509"/>
    <n v="1"/>
    <n v="680"/>
    <m/>
    <n v="680"/>
    <x v="0"/>
    <n v="756"/>
    <n v="480"/>
    <n v="480"/>
    <n v="504"/>
    <n v="176"/>
    <n v="0"/>
    <x v="5"/>
    <x v="1"/>
    <e v="#REF!"/>
    <e v="#REF!"/>
    <s v=""/>
    <n v="0.25882352941176473"/>
  </r>
  <r>
    <x v="7"/>
    <x v="182"/>
    <x v="4"/>
    <x v="25"/>
    <m/>
    <m/>
    <s v="BLOWER_MOTOR, HONDA CITY 2009"/>
    <s v="CA-000140"/>
    <n v="1"/>
    <n v="2000"/>
    <m/>
    <n v="2000"/>
    <x v="0"/>
    <n v="2481"/>
    <n v="1350"/>
    <n v="1350"/>
    <n v="1417.5"/>
    <n v="582.5"/>
    <n v="174.75"/>
    <x v="15"/>
    <x v="2"/>
    <e v="#REF!"/>
    <e v="#REF!"/>
    <s v=""/>
    <n v="0.29125000000000001"/>
  </r>
  <r>
    <x v="7"/>
    <x v="182"/>
    <x v="0"/>
    <x v="20"/>
    <m/>
    <m/>
    <s v="COPPER_TUBE_SOFTDRAWN, EVERSTRONG 0.028 X 5/8 x 15 mtr 03/24/26"/>
    <s v="IM-000320"/>
    <n v="0.4"/>
    <n v="5500"/>
    <m/>
    <n v="2200"/>
    <x v="0"/>
    <n v="8328"/>
    <n v="4255"/>
    <n v="1702"/>
    <n v="1753.06"/>
    <n v="446.94000000000005"/>
    <n v="0"/>
    <x v="0"/>
    <x v="0"/>
    <e v="#REF!"/>
    <e v="#REF!"/>
    <s v=""/>
    <n v="0.20315454545454548"/>
  </r>
  <r>
    <x v="7"/>
    <x v="182"/>
    <x v="0"/>
    <x v="20"/>
    <m/>
    <m/>
    <s v="COPPER_TUBE_SOFTDRAWN, EXZEL 0.028 X 1/4 x 15 mtr  05/28/26"/>
    <s v="IM-000329"/>
    <n v="0.4"/>
    <n v="2500"/>
    <m/>
    <n v="1000"/>
    <x v="0"/>
    <n v="3063"/>
    <n v="1699"/>
    <n v="679.6"/>
    <n v="699.98800000000006"/>
    <n v="300.01199999999994"/>
    <n v="0"/>
    <x v="0"/>
    <x v="0"/>
    <e v="#REF!"/>
    <e v="#REF!"/>
    <s v=""/>
    <n v="0.30001199999999995"/>
  </r>
  <r>
    <x v="7"/>
    <x v="182"/>
    <x v="0"/>
    <x v="20"/>
    <m/>
    <m/>
    <s v="ELECTRICAL CIRCUIT_BREAKER, AMERICA 30 AMP, 2P"/>
    <s v="GE-000470"/>
    <n v="1"/>
    <n v="450"/>
    <m/>
    <n v="450"/>
    <x v="0"/>
    <n v="380"/>
    <n v="190"/>
    <n v="190"/>
    <n v="199.5"/>
    <n v="250.5"/>
    <n v="0"/>
    <x v="59"/>
    <x v="1"/>
    <e v="#REF!"/>
    <e v="#REF!"/>
    <s v=""/>
    <n v="0.55666666666666664"/>
  </r>
  <r>
    <x v="7"/>
    <x v="182"/>
    <x v="0"/>
    <x v="20"/>
    <m/>
    <m/>
    <s v="ELECTRICAL_PANEL, AMERICA NEMA 3R, 2P"/>
    <s v="GE-000418"/>
    <n v="1"/>
    <n v="500"/>
    <m/>
    <n v="500"/>
    <x v="0"/>
    <n v="478"/>
    <n v="260"/>
    <n v="260"/>
    <n v="273"/>
    <n v="227"/>
    <n v="0"/>
    <x v="39"/>
    <x v="1"/>
    <e v="#REF!"/>
    <e v="#REF!"/>
    <s v=""/>
    <n v="0.45400000000000001"/>
  </r>
  <r>
    <x v="7"/>
    <x v="182"/>
    <x v="0"/>
    <x v="20"/>
    <m/>
    <m/>
    <s v="BOLT &amp; NUT, GI, SET 3/8"/>
    <s v="IM-000002"/>
    <n v="4"/>
    <n v="14"/>
    <m/>
    <n v="56"/>
    <x v="0"/>
    <n v="10"/>
    <n v="5.43"/>
    <n v="21.72"/>
    <n v="22.371600000000001"/>
    <n v="33.628399999999999"/>
    <n v="0"/>
    <x v="57"/>
    <x v="0"/>
    <e v="#REF!"/>
    <e v="#REF!"/>
    <s v=""/>
    <n v="0.60050714285714279"/>
  </r>
  <r>
    <x v="7"/>
    <x v="182"/>
    <x v="0"/>
    <x v="20"/>
    <m/>
    <m/>
    <s v="RUBBER_INSULATION, M-FLEX 1/2&quot; 5/8"/>
    <s v="IM-000232"/>
    <n v="4"/>
    <n v="80"/>
    <m/>
    <n v="320"/>
    <x v="0"/>
    <n v="77"/>
    <n v="55.2"/>
    <n v="220.8"/>
    <n v="227.42400000000001"/>
    <n v="92.575999999999993"/>
    <n v="0"/>
    <x v="22"/>
    <x v="0"/>
    <e v="#REF!"/>
    <e v="#REF!"/>
    <s v=""/>
    <n v="0.2893"/>
  </r>
  <r>
    <x v="7"/>
    <x v="182"/>
    <x v="0"/>
    <x v="20"/>
    <m/>
    <m/>
    <s v="RUBBER_INSULATION, M-FLEX 1/2&quot; 1/4"/>
    <s v="IM-000229"/>
    <n v="4"/>
    <n v="50"/>
    <m/>
    <n v="200"/>
    <x v="0"/>
    <n v="47"/>
    <n v="33.6"/>
    <n v="134.4"/>
    <n v="138.43200000000002"/>
    <n v="61.567999999999984"/>
    <n v="0"/>
    <x v="22"/>
    <x v="0"/>
    <e v="#REF!"/>
    <e v="#REF!"/>
    <s v=""/>
    <n v="0.30783999999999989"/>
  </r>
  <r>
    <x v="7"/>
    <x v="182"/>
    <x v="0"/>
    <x v="20"/>
    <m/>
    <m/>
    <s v="ELECTRICAL WIRE_STRANDED, POWERFLEX THNN STRANDED   #12, MTR"/>
    <s v="GE-000120"/>
    <n v="24"/>
    <n v="45"/>
    <m/>
    <n v="1080"/>
    <x v="0"/>
    <n v="50"/>
    <n v="27"/>
    <n v="648"/>
    <n v="680.4"/>
    <n v="399.6"/>
    <n v="0"/>
    <x v="2"/>
    <x v="1"/>
    <e v="#REF!"/>
    <e v="#REF!"/>
    <s v=""/>
    <n v="0.37"/>
  </r>
  <r>
    <x v="7"/>
    <x v="182"/>
    <x v="0"/>
    <x v="20"/>
    <m/>
    <m/>
    <s v="ELECTRICAL WIRE_STRANDED, POWERFLEX THNN STRANDED   #10, MTR"/>
    <s v="GE-000113"/>
    <n v="6"/>
    <n v="65"/>
    <m/>
    <n v="390"/>
    <x v="0"/>
    <n v="74"/>
    <n v="40"/>
    <n v="240"/>
    <n v="252"/>
    <n v="138"/>
    <n v="0"/>
    <x v="2"/>
    <x v="1"/>
    <e v="#REF!"/>
    <e v="#REF!"/>
    <s v=""/>
    <n v="0.35384615384615387"/>
  </r>
  <r>
    <x v="7"/>
    <x v="182"/>
    <x v="0"/>
    <x v="20"/>
    <m/>
    <m/>
    <s v="HOSE, ELECTRICAL FLEXIBLE ROLL PER METER"/>
    <s v="G-E000235"/>
    <n v="10"/>
    <n v="15"/>
    <m/>
    <n v="150"/>
    <x v="0"/>
    <n v="15"/>
    <n v="8"/>
    <n v="80"/>
    <n v="84"/>
    <n v="66"/>
    <n v="0"/>
    <x v="19"/>
    <x v="1"/>
    <e v="#REF!"/>
    <e v="#REF!"/>
    <s v=""/>
    <n v="0.44"/>
  </r>
  <r>
    <x v="7"/>
    <x v="182"/>
    <x v="0"/>
    <x v="20"/>
    <m/>
    <m/>
    <s v="BRACKET , GB 2HP, COATED"/>
    <s v="IM-000011"/>
    <n v="1"/>
    <n v="460"/>
    <m/>
    <n v="460"/>
    <x v="0"/>
    <n v="532"/>
    <n v="295"/>
    <n v="295"/>
    <n v="303.85000000000002"/>
    <n v="156.14999999999998"/>
    <n v="0"/>
    <x v="1"/>
    <x v="0"/>
    <e v="#REF!"/>
    <e v="#REF!"/>
    <s v=""/>
    <n v="0.33945652173913038"/>
  </r>
  <r>
    <x v="7"/>
    <x v="182"/>
    <x v="0"/>
    <x v="20"/>
    <m/>
    <m/>
    <s v="TAPE_PE, PICUS Polythelene Tape (White)X 4&quot;"/>
    <s v="IM-000247"/>
    <n v="1"/>
    <n v="125"/>
    <m/>
    <n v="125"/>
    <x v="0"/>
    <n v="147"/>
    <n v="75"/>
    <n v="75"/>
    <n v="77.25"/>
    <n v="47.75"/>
    <n v="0"/>
    <x v="29"/>
    <x v="0"/>
    <e v="#REF!"/>
    <e v="#REF!"/>
    <s v=""/>
    <n v="0.38200000000000001"/>
  </r>
  <r>
    <x v="7"/>
    <x v="182"/>
    <x v="0"/>
    <x v="20"/>
    <m/>
    <m/>
    <s v="TAPE_FOAM, AEROTAPE 3MM X 50 MM X 9.1 MTR  06/18/26"/>
    <s v="IM-000332"/>
    <n v="1"/>
    <n v="430"/>
    <m/>
    <n v="430"/>
    <x v="0"/>
    <n v="510"/>
    <n v="330"/>
    <n v="330"/>
    <n v="339.90000000000003"/>
    <n v="90.099999999999966"/>
    <n v="0"/>
    <x v="25"/>
    <x v="0"/>
    <e v="#REF!"/>
    <e v="#REF!"/>
    <s v=""/>
    <n v="0.20953488372093015"/>
  </r>
  <r>
    <x v="7"/>
    <x v="182"/>
    <x v="0"/>
    <x v="20"/>
    <m/>
    <m/>
    <s v="TAPE ELECTRICAL, ARMAK 0.16 MM X 19 MM X 16 M 04/25/26"/>
    <s v="GE-000491"/>
    <n v="2"/>
    <n v="55"/>
    <m/>
    <n v="110"/>
    <x v="0"/>
    <n v="73"/>
    <n v="42"/>
    <n v="84"/>
    <n v="88.2"/>
    <n v="21.799999999999997"/>
    <n v="0"/>
    <x v="50"/>
    <x v="1"/>
    <e v="#REF!"/>
    <e v="#REF!"/>
    <s v=""/>
    <n v="0.19818181818181815"/>
  </r>
  <r>
    <x v="7"/>
    <x v="182"/>
    <x v="0"/>
    <x v="8"/>
    <m/>
    <m/>
    <s v="BLOWER_MOTOR, UNIVERSAL 6721"/>
    <s v="CA-000237"/>
    <n v="1"/>
    <n v="1300"/>
    <m/>
    <n v="1300"/>
    <x v="0"/>
    <n v="1379"/>
    <n v="750"/>
    <n v="750"/>
    <n v="787.5"/>
    <n v="512.5"/>
    <n v="0"/>
    <x v="15"/>
    <x v="2"/>
    <e v="#REF!"/>
    <e v="#REF!"/>
    <s v=""/>
    <n v="0.39423076923076922"/>
  </r>
  <r>
    <x v="7"/>
    <x v="182"/>
    <x v="0"/>
    <x v="26"/>
    <m/>
    <m/>
    <s v="RUBBER_INSULATION, M-FLEX 3/4&quot; X 3/4"/>
    <s v="IM-000240"/>
    <n v="15"/>
    <n v="150"/>
    <m/>
    <n v="2250"/>
    <x v="0"/>
    <n v="151"/>
    <n v="108"/>
    <n v="1620"/>
    <n v="1668.6000000000001"/>
    <n v="581.39999999999986"/>
    <n v="0"/>
    <x v="22"/>
    <x v="0"/>
    <e v="#REF!"/>
    <e v="#REF!"/>
    <s v=""/>
    <n v="0.25839999999999996"/>
  </r>
  <r>
    <x v="7"/>
    <x v="182"/>
    <x v="0"/>
    <x v="26"/>
    <m/>
    <m/>
    <s v="RUBBER_INSULATION, M-FLEX 3/4&quot; 5/8  06/09/26"/>
    <s v="IM-000331"/>
    <n v="10"/>
    <n v="140"/>
    <m/>
    <n v="1400"/>
    <x v="0"/>
    <n v="140"/>
    <n v="100"/>
    <n v="1000"/>
    <n v="1030"/>
    <n v="370"/>
    <n v="0"/>
    <x v="22"/>
    <x v="0"/>
    <e v="#REF!"/>
    <e v="#REF!"/>
    <s v=""/>
    <n v="0.26428571428571429"/>
  </r>
  <r>
    <x v="7"/>
    <x v="182"/>
    <x v="0"/>
    <x v="26"/>
    <m/>
    <m/>
    <s v="TAPE_PE, PICUS Polythelene Tape (White)X 4&quot;"/>
    <s v="IM-000247"/>
    <n v="5"/>
    <n v="125"/>
    <m/>
    <n v="625"/>
    <x v="0"/>
    <n v="147"/>
    <n v="75"/>
    <n v="375"/>
    <n v="386.25"/>
    <n v="238.75"/>
    <n v="0"/>
    <x v="29"/>
    <x v="0"/>
    <e v="#REF!"/>
    <e v="#REF!"/>
    <s v=""/>
    <n v="0.38200000000000001"/>
  </r>
  <r>
    <x v="7"/>
    <x v="182"/>
    <x v="0"/>
    <x v="26"/>
    <m/>
    <m/>
    <s v="TAPE ELECTRICAL, ARMAK 0.16 MM X 19 MM X 16 M 04/25/26"/>
    <s v="GE-000491"/>
    <n v="5"/>
    <n v="55"/>
    <m/>
    <n v="275"/>
    <x v="0"/>
    <n v="73"/>
    <n v="42"/>
    <n v="210"/>
    <n v="220.5"/>
    <n v="54.5"/>
    <n v="0"/>
    <x v="50"/>
    <x v="1"/>
    <e v="#REF!"/>
    <e v="#REF!"/>
    <s v=""/>
    <n v="0.19818181818181818"/>
  </r>
  <r>
    <x v="7"/>
    <x v="182"/>
    <x v="0"/>
    <x v="26"/>
    <m/>
    <m/>
    <s v="COPPER_TUBE_SOFTDRAWN, EVERSTRONG 0.028 X 5/8 x 15 mtr 03/24/26"/>
    <s v="IM-000320"/>
    <n v="1"/>
    <n v="5000"/>
    <m/>
    <n v="5000"/>
    <x v="0"/>
    <n v="8328"/>
    <n v="4255"/>
    <n v="4255"/>
    <n v="4382.6500000000005"/>
    <n v="617.34999999999945"/>
    <n v="0"/>
    <x v="0"/>
    <x v="0"/>
    <e v="#REF!"/>
    <e v="#REF!"/>
    <s v=""/>
    <n v="0.12346999999999989"/>
  </r>
  <r>
    <x v="7"/>
    <x v="182"/>
    <x v="0"/>
    <x v="26"/>
    <m/>
    <m/>
    <s v="COPPER_TUBE_SOFTDRAWN, HAILIANG 0.028 X 1/2 x 15 mtr 06/02/26"/>
    <s v="IM-000328"/>
    <n v="1"/>
    <n v="3950"/>
    <m/>
    <n v="3950"/>
    <x v="0"/>
    <n v="6554"/>
    <n v="3636"/>
    <n v="3636"/>
    <n v="3745.08"/>
    <n v="204.92000000000007"/>
    <n v="0"/>
    <x v="0"/>
    <x v="0"/>
    <e v="#REF!"/>
    <e v="#REF!"/>
    <s v=""/>
    <n v="5.1878481012658247E-2"/>
  </r>
  <r>
    <x v="7"/>
    <x v="182"/>
    <x v="0"/>
    <x v="26"/>
    <m/>
    <m/>
    <s v="COPPER_TUBE_SOFTDRAWN, EXZEL 0.028 X 1/4 x 15 mtr  05/28/26"/>
    <s v="IM-000329"/>
    <n v="1"/>
    <n v="1950"/>
    <m/>
    <n v="1950"/>
    <x v="0"/>
    <n v="3063"/>
    <n v="1699"/>
    <n v="1699"/>
    <n v="1749.97"/>
    <n v="200.02999999999997"/>
    <n v="0"/>
    <x v="0"/>
    <x v="0"/>
    <e v="#REF!"/>
    <e v="#REF!"/>
    <s v=""/>
    <n v="0.10257948717948717"/>
  </r>
  <r>
    <x v="7"/>
    <x v="182"/>
    <x v="0"/>
    <x v="26"/>
    <m/>
    <m/>
    <s v="COPPER_TUBE_SOFTDRAWN, HAILIANG 0.028 X 3/8 x 15 mtr 06/02/26"/>
    <s v="IM-000327"/>
    <n v="1"/>
    <n v="2950"/>
    <m/>
    <n v="2950"/>
    <x v="0"/>
    <n v="4774"/>
    <n v="2648"/>
    <n v="2648"/>
    <n v="2727.44"/>
    <n v="222.55999999999995"/>
    <n v="0"/>
    <x v="0"/>
    <x v="0"/>
    <e v="#REF!"/>
    <e v="#REF!"/>
    <s v=""/>
    <n v="7.5444067796610156E-2"/>
  </r>
  <r>
    <x v="7"/>
    <x v="182"/>
    <x v="0"/>
    <x v="26"/>
    <m/>
    <m/>
    <s v="ROD, HARRIS SILVER "/>
    <s v="IM-000098"/>
    <n v="5"/>
    <n v="28"/>
    <m/>
    <n v="140"/>
    <x v="0"/>
    <n v="30"/>
    <n v="19"/>
    <n v="95"/>
    <n v="97.850000000000009"/>
    <n v="42.149999999999991"/>
    <n v="0"/>
    <x v="56"/>
    <x v="0"/>
    <e v="#REF!"/>
    <e v="#REF!"/>
    <s v=""/>
    <n v="0.30107142857142849"/>
  </r>
  <r>
    <x v="7"/>
    <x v="182"/>
    <x v="0"/>
    <x v="26"/>
    <m/>
    <m/>
    <s v="TAPE_FOAM, AEROTAPE 3MM X 50 MM X 9.1 MTR  06/18/26"/>
    <s v="IM-000332"/>
    <n v="1"/>
    <n v="430"/>
    <m/>
    <n v="430"/>
    <x v="0"/>
    <n v="510"/>
    <n v="330"/>
    <n v="330"/>
    <n v="339.90000000000003"/>
    <n v="90.099999999999966"/>
    <n v="0"/>
    <x v="25"/>
    <x v="0"/>
    <e v="#REF!"/>
    <e v="#REF!"/>
    <s v=""/>
    <n v="0.20953488372093015"/>
  </r>
  <r>
    <x v="7"/>
    <x v="182"/>
    <x v="0"/>
    <x v="122"/>
    <m/>
    <m/>
    <s v="COPPER_TUBE_SOFTDRAWN, EXZEL 0.028 X 1/4 x 15 mtr  05/28/26"/>
    <s v="IM-000329"/>
    <n v="1"/>
    <n v="1950"/>
    <m/>
    <n v="1950"/>
    <x v="0"/>
    <n v="3063"/>
    <n v="1699"/>
    <n v="1699"/>
    <n v="1749.97"/>
    <n v="200.02999999999997"/>
    <n v="0"/>
    <x v="0"/>
    <x v="0"/>
    <e v="#REF!"/>
    <e v="#REF!"/>
    <s v=""/>
    <n v="0.10257948717948717"/>
  </r>
  <r>
    <x v="7"/>
    <x v="182"/>
    <x v="0"/>
    <x v="122"/>
    <m/>
    <m/>
    <s v="RUBBER_INSULATION, M-FLEX 3/8&quot; X 7/8"/>
    <s v="IM-000245"/>
    <n v="5"/>
    <n v="65"/>
    <m/>
    <n v="325"/>
    <x v="0"/>
    <n v="55"/>
    <n v="39.200000000000003"/>
    <n v="196"/>
    <n v="201.88"/>
    <n v="123.12"/>
    <n v="0"/>
    <x v="22"/>
    <x v="0"/>
    <e v="#REF!"/>
    <e v="#REF!"/>
    <s v=""/>
    <n v="0.37883076923076925"/>
  </r>
  <r>
    <x v="7"/>
    <x v="182"/>
    <x v="0"/>
    <x v="1"/>
    <m/>
    <m/>
    <s v="REFRIGERANT, POKKA R32, 600 GRMS  05/09/26"/>
    <s v="GE-000509"/>
    <n v="1"/>
    <n v="680"/>
    <m/>
    <n v="680"/>
    <x v="0"/>
    <n v="756"/>
    <n v="480"/>
    <n v="480"/>
    <n v="504"/>
    <n v="176"/>
    <n v="0"/>
    <x v="5"/>
    <x v="1"/>
    <e v="#REF!"/>
    <e v="#REF!"/>
    <s v=""/>
    <n v="0.25882352941176473"/>
  </r>
  <r>
    <x v="7"/>
    <x v="182"/>
    <x v="0"/>
    <x v="1"/>
    <m/>
    <m/>
    <s v="TAPE ELECTRICAL, ARMAK 0.16 MM X 19 MM X 16 M 04/25/26"/>
    <s v="GE-000491"/>
    <n v="1"/>
    <n v="55"/>
    <m/>
    <n v="55"/>
    <x v="0"/>
    <n v="73"/>
    <n v="42"/>
    <n v="42"/>
    <n v="44.1"/>
    <n v="10.899999999999999"/>
    <n v="0"/>
    <x v="50"/>
    <x v="1"/>
    <e v="#REF!"/>
    <e v="#REF!"/>
    <s v=""/>
    <n v="0.19818181818181815"/>
  </r>
  <r>
    <x v="7"/>
    <x v="182"/>
    <x v="0"/>
    <x v="8"/>
    <m/>
    <m/>
    <s v="AUXFAN_MOTOR, MITSUBISHI PAJERO  (7121)"/>
    <s v="CA-000058"/>
    <n v="1"/>
    <n v="1600"/>
    <m/>
    <n v="1600"/>
    <x v="0"/>
    <n v="1562"/>
    <n v="850"/>
    <n v="850"/>
    <n v="892.5"/>
    <n v="707.5"/>
    <n v="0"/>
    <x v="14"/>
    <x v="2"/>
    <e v="#REF!"/>
    <e v="#REF!"/>
    <s v=""/>
    <n v="0.44218750000000001"/>
  </r>
  <r>
    <x v="7"/>
    <x v="183"/>
    <x v="0"/>
    <x v="49"/>
    <m/>
    <m/>
    <s v="EXP. VALVE LT, POKKA 9A57 INNOVA R"/>
    <s v="CA-000638"/>
    <n v="1"/>
    <n v="550"/>
    <m/>
    <n v="550"/>
    <x v="0"/>
    <n v="460"/>
    <n v="250"/>
    <n v="250"/>
    <n v="262.5"/>
    <n v="287.5"/>
    <n v="0"/>
    <x v="23"/>
    <x v="2"/>
    <e v="#REF!"/>
    <e v="#REF!"/>
    <s v=""/>
    <n v="0.52272727272727271"/>
  </r>
  <r>
    <x v="7"/>
    <x v="183"/>
    <x v="0"/>
    <x v="49"/>
    <m/>
    <m/>
    <s v="THERMOSTAT, NEK CAR"/>
    <s v="CA-001647"/>
    <n v="1"/>
    <n v="250"/>
    <m/>
    <n v="250"/>
    <x v="0"/>
    <n v="180"/>
    <n v="90"/>
    <n v="90"/>
    <n v="94.5"/>
    <n v="155.5"/>
    <n v="0"/>
    <x v="31"/>
    <x v="2"/>
    <e v="#REF!"/>
    <e v="#REF!"/>
    <s v=""/>
    <n v="0.622"/>
  </r>
  <r>
    <x v="7"/>
    <x v="183"/>
    <x v="0"/>
    <x v="1"/>
    <m/>
    <m/>
    <s v="FITTINGS, COPPER ELBOW 5/8 LR"/>
    <s v="IM-000087"/>
    <n v="2"/>
    <n v="75"/>
    <m/>
    <n v="150"/>
    <x v="0"/>
    <n v="55"/>
    <n v="30"/>
    <n v="60"/>
    <n v="61.800000000000004"/>
    <n v="88.199999999999989"/>
    <n v="0"/>
    <x v="33"/>
    <x v="0"/>
    <e v="#REF!"/>
    <e v="#REF!"/>
    <s v=""/>
    <n v="0.58799999999999997"/>
  </r>
  <r>
    <x v="7"/>
    <x v="183"/>
    <x v="0"/>
    <x v="1"/>
    <m/>
    <m/>
    <s v="ROD, HARRIS SILVER "/>
    <s v="IM-000098"/>
    <n v="3"/>
    <n v="28"/>
    <m/>
    <n v="84"/>
    <x v="0"/>
    <n v="30"/>
    <n v="19"/>
    <n v="57"/>
    <n v="58.71"/>
    <n v="25.29"/>
    <n v="0"/>
    <x v="56"/>
    <x v="0"/>
    <e v="#REF!"/>
    <e v="#REF!"/>
    <s v=""/>
    <n v="0.30107142857142855"/>
  </r>
  <r>
    <x v="7"/>
    <x v="183"/>
    <x v="2"/>
    <x v="7"/>
    <m/>
    <m/>
    <s v="EVAPORATOR, UNIVERSAL FORMULA YOKOHAMA DUAL"/>
    <s v="CA-001253"/>
    <n v="1"/>
    <n v="4700"/>
    <m/>
    <n v="4700"/>
    <x v="0"/>
    <n v="6064"/>
    <n v="3300"/>
    <n v="3300"/>
    <n v="3465"/>
    <n v="1235"/>
    <n v="370.5"/>
    <x v="10"/>
    <x v="2"/>
    <e v="#REF!"/>
    <e v="#REF!"/>
    <s v=""/>
    <n v="0.26276595744680853"/>
  </r>
  <r>
    <x v="7"/>
    <x v="183"/>
    <x v="2"/>
    <x v="7"/>
    <m/>
    <m/>
    <s v="EXP. VALVE LT, POKKA 9A33 H100 STAREX"/>
    <s v="CA-001339"/>
    <n v="1"/>
    <n v="550"/>
    <m/>
    <n v="550"/>
    <x v="0"/>
    <n v="441"/>
    <n v="240"/>
    <n v="240"/>
    <n v="252"/>
    <n v="298"/>
    <n v="89.399999999999991"/>
    <x v="23"/>
    <x v="2"/>
    <e v="#REF!"/>
    <e v="#REF!"/>
    <s v=""/>
    <n v="0.54181818181818187"/>
  </r>
  <r>
    <x v="7"/>
    <x v="183"/>
    <x v="2"/>
    <x v="7"/>
    <m/>
    <m/>
    <s v="RECEIVER_DRIER_ALUMINUM, YK 8228 (H100)"/>
    <s v="CA-001110"/>
    <n v="1"/>
    <n v="550"/>
    <m/>
    <n v="550"/>
    <x v="0"/>
    <n v="615"/>
    <n v="260"/>
    <n v="260"/>
    <n v="273"/>
    <n v="277"/>
    <n v="83.1"/>
    <x v="27"/>
    <x v="2"/>
    <e v="#REF!"/>
    <e v="#REF!"/>
    <s v=""/>
    <n v="0.50363636363636366"/>
  </r>
  <r>
    <x v="7"/>
    <x v="183"/>
    <x v="0"/>
    <x v="72"/>
    <m/>
    <m/>
    <s v="BLOWER_MOTOR, FORD RANGER 2014"/>
    <s v="CA-000134"/>
    <n v="1"/>
    <n v="1900"/>
    <m/>
    <n v="1900"/>
    <x v="0"/>
    <n v="2389"/>
    <n v="1300"/>
    <n v="1300"/>
    <n v="1365"/>
    <n v="535"/>
    <n v="0"/>
    <x v="15"/>
    <x v="2"/>
    <e v="#REF!"/>
    <e v="#REF!"/>
    <s v=""/>
    <n v="0.28157894736842104"/>
  </r>
  <r>
    <x v="7"/>
    <x v="183"/>
    <x v="0"/>
    <x v="72"/>
    <m/>
    <m/>
    <s v="CABIN_FILTER, FORD RANGER 2014"/>
    <s v="CA-001673"/>
    <n v="1"/>
    <n v="350"/>
    <m/>
    <n v="350"/>
    <x v="0"/>
    <n v="315"/>
    <n v="100"/>
    <n v="100"/>
    <n v="105"/>
    <n v="245"/>
    <n v="0"/>
    <x v="12"/>
    <x v="2"/>
    <e v="#REF!"/>
    <e v="#REF!"/>
    <s v=""/>
    <n v="0.7"/>
  </r>
  <r>
    <x v="7"/>
    <x v="183"/>
    <x v="0"/>
    <x v="49"/>
    <m/>
    <m/>
    <s v="REFRIGERANT, ENTALPIA EUROPE R134A 13.6   6/16/26 "/>
    <s v="GE-000517"/>
    <n v="1"/>
    <n v="8800"/>
    <m/>
    <n v="8800"/>
    <x v="0"/>
    <n v="10489"/>
    <n v="7684"/>
    <n v="7684"/>
    <n v="8068.2000000000007"/>
    <n v="731.79999999999927"/>
    <n v="0"/>
    <x v="5"/>
    <x v="1"/>
    <e v="#REF!"/>
    <e v="#REF!"/>
    <s v=""/>
    <n v="8.3159090909090821E-2"/>
  </r>
  <r>
    <x v="7"/>
    <x v="183"/>
    <x v="0"/>
    <x v="49"/>
    <m/>
    <m/>
    <s v="BLOWER_MOTOR, TOYOTA VIOS SUPERMAN"/>
    <s v="CA-000233"/>
    <n v="1"/>
    <n v="1900"/>
    <m/>
    <n v="1900"/>
    <x v="0"/>
    <n v="2389"/>
    <n v="1300"/>
    <n v="1300"/>
    <n v="1365"/>
    <n v="535"/>
    <n v="0"/>
    <x v="15"/>
    <x v="2"/>
    <e v="#REF!"/>
    <e v="#REF!"/>
    <s v=""/>
    <n v="0.28157894736842104"/>
  </r>
  <r>
    <x v="7"/>
    <x v="183"/>
    <x v="2"/>
    <x v="7"/>
    <m/>
    <m/>
    <s v="EVAPORATOR, TOYOTA WIGO 40A498"/>
    <s v="CA-000555"/>
    <n v="1"/>
    <n v="2100"/>
    <m/>
    <n v="2100"/>
    <x v="0"/>
    <n v="2389"/>
    <n v="1300"/>
    <n v="1300"/>
    <n v="1365"/>
    <n v="735"/>
    <n v="220.5"/>
    <x v="10"/>
    <x v="2"/>
    <e v="#REF!"/>
    <e v="#REF!"/>
    <s v=""/>
    <n v="0.35"/>
  </r>
  <r>
    <x v="7"/>
    <x v="183"/>
    <x v="0"/>
    <x v="1"/>
    <m/>
    <m/>
    <s v="TAPE_FOAM, AEROTAPE 3MM X 50 MM X 9.1 MTR  06/18/26"/>
    <s v="IM-000332"/>
    <n v="1"/>
    <n v="430"/>
    <m/>
    <n v="430"/>
    <x v="0"/>
    <n v="510"/>
    <n v="330"/>
    <n v="330"/>
    <n v="339.90000000000003"/>
    <n v="90.099999999999966"/>
    <n v="0"/>
    <x v="25"/>
    <x v="0"/>
    <e v="#REF!"/>
    <e v="#REF!"/>
    <s v=""/>
    <n v="0.20953488372093015"/>
  </r>
  <r>
    <x v="7"/>
    <x v="183"/>
    <x v="0"/>
    <x v="10"/>
    <m/>
    <m/>
    <s v="BLOWER_MOTOR, UNIVERSAL 6721"/>
    <s v="CA-000237"/>
    <n v="1"/>
    <n v="1300"/>
    <m/>
    <n v="1300"/>
    <x v="0"/>
    <n v="1379"/>
    <n v="750"/>
    <n v="750"/>
    <n v="787.5"/>
    <n v="512.5"/>
    <n v="0"/>
    <x v="15"/>
    <x v="2"/>
    <e v="#REF!"/>
    <e v="#REF!"/>
    <s v=""/>
    <n v="0.39423076923076922"/>
  </r>
  <r>
    <x v="7"/>
    <x v="183"/>
    <x v="0"/>
    <x v="8"/>
    <m/>
    <m/>
    <s v="EVAPORATOR, TOYOTA INNOVA OLD (F) JBE-0103ZX (STAL)"/>
    <s v="CA-001633"/>
    <n v="1"/>
    <n v="2000"/>
    <m/>
    <n v="2000"/>
    <x v="0"/>
    <n v="1654"/>
    <n v="900"/>
    <n v="900"/>
    <n v="945"/>
    <n v="1055"/>
    <n v="0"/>
    <x v="10"/>
    <x v="2"/>
    <e v="#REF!"/>
    <e v="#REF!"/>
    <s v=""/>
    <n v="0.52749999999999997"/>
  </r>
  <r>
    <x v="7"/>
    <x v="183"/>
    <x v="0"/>
    <x v="48"/>
    <m/>
    <m/>
    <s v="EXP. VALVE LT, POKKA 9A62 ADVENTURE"/>
    <s v="CA-001413"/>
    <n v="1"/>
    <n v="550"/>
    <m/>
    <n v="550"/>
    <x v="0"/>
    <n v="478"/>
    <n v="260"/>
    <n v="260"/>
    <n v="273"/>
    <n v="277"/>
    <n v="0"/>
    <x v="23"/>
    <x v="2"/>
    <e v="#REF!"/>
    <e v="#REF!"/>
    <s v=""/>
    <n v="0.50363636363636366"/>
  </r>
  <r>
    <x v="7"/>
    <x v="183"/>
    <x v="0"/>
    <x v="48"/>
    <m/>
    <m/>
    <s v="EXP. VALVE DC, MITSUBISHI ORING TYPE 1/2 (ADVENTURE)"/>
    <s v="CA-000561"/>
    <n v="1"/>
    <n v="700"/>
    <m/>
    <n v="700"/>
    <x v="0"/>
    <n v="588"/>
    <n v="320"/>
    <n v="320"/>
    <n v="336"/>
    <n v="364"/>
    <n v="0"/>
    <x v="46"/>
    <x v="2"/>
    <e v="#REF!"/>
    <e v="#REF!"/>
    <s v=""/>
    <n v="0.52"/>
  </r>
  <r>
    <x v="7"/>
    <x v="183"/>
    <x v="0"/>
    <x v="48"/>
    <m/>
    <m/>
    <s v="RECEIVER_DRIER_ALUMINUM, YK 8015 (L) (Adventure)"/>
    <s v="CA-001085"/>
    <n v="1"/>
    <n v="550"/>
    <m/>
    <n v="550"/>
    <x v="0"/>
    <n v="615"/>
    <n v="260"/>
    <n v="260"/>
    <n v="273"/>
    <n v="277"/>
    <n v="0"/>
    <x v="27"/>
    <x v="2"/>
    <e v="#REF!"/>
    <e v="#REF!"/>
    <s v=""/>
    <n v="0.50363636363636366"/>
  </r>
  <r>
    <x v="7"/>
    <x v="183"/>
    <x v="1"/>
    <x v="3"/>
    <m/>
    <m/>
    <s v="AUXIALLIARY_FAN, POKKA 14 BLADES X 24VOLTS"/>
    <s v="CA-000113"/>
    <n v="2"/>
    <n v="800"/>
    <m/>
    <n v="1600"/>
    <x v="0"/>
    <n v="882"/>
    <n v="480"/>
    <n v="960"/>
    <n v="1008"/>
    <n v="592"/>
    <n v="177.6"/>
    <x v="16"/>
    <x v="2"/>
    <e v="#REF!"/>
    <e v="#REF!"/>
    <s v=""/>
    <n v="0.37"/>
  </r>
  <r>
    <x v="7"/>
    <x v="183"/>
    <x v="0"/>
    <x v="1"/>
    <m/>
    <m/>
    <s v="CAPACITOR_FAN, PS CBB61 7 UF"/>
    <s v="GE-000303"/>
    <n v="1"/>
    <n v="100"/>
    <m/>
    <n v="100"/>
    <x v="0"/>
    <n v="87"/>
    <n v="47"/>
    <n v="47"/>
    <n v="49.35"/>
    <n v="50.65"/>
    <n v="0"/>
    <x v="76"/>
    <x v="1"/>
    <e v="#REF!"/>
    <e v="#REF!"/>
    <s v=""/>
    <n v="0.50649999999999995"/>
  </r>
  <r>
    <x v="7"/>
    <x v="183"/>
    <x v="0"/>
    <x v="160"/>
    <m/>
    <n v="118"/>
    <s v="RUBBER_INSULATION, M-FLEX 1/2&quot; X 1 1/8"/>
    <s v="IM-000233"/>
    <n v="5"/>
    <n v="105"/>
    <m/>
    <n v="525"/>
    <x v="0"/>
    <n v="98"/>
    <n v="70"/>
    <n v="350"/>
    <n v="360.5"/>
    <n v="164.5"/>
    <n v="0"/>
    <x v="22"/>
    <x v="0"/>
    <e v="#REF!"/>
    <e v="#REF!"/>
    <n v="117.60000000000001"/>
    <n v="0.31333333333333335"/>
  </r>
  <r>
    <x v="7"/>
    <x v="183"/>
    <x v="1"/>
    <x v="3"/>
    <m/>
    <m/>
    <s v="ACTUATOR IDLE-UP,  PUSH TYPE"/>
    <s v="CA-000011"/>
    <n v="1"/>
    <n v="350"/>
    <m/>
    <n v="350"/>
    <x v="0"/>
    <n v="359"/>
    <n v="110"/>
    <n v="110"/>
    <n v="115.5"/>
    <n v="234.5"/>
    <n v="70.349999999999994"/>
    <x v="69"/>
    <x v="2"/>
    <e v="#REF!"/>
    <e v="#REF!"/>
    <s v=""/>
    <n v="0.67"/>
  </r>
  <r>
    <x v="7"/>
    <x v="183"/>
    <x v="0"/>
    <x v="8"/>
    <m/>
    <m/>
    <s v="PULLEY_ASSEMBLY, TOYOTA VIOS 08 4PK"/>
    <s v="CA-001075"/>
    <n v="1"/>
    <n v="2000"/>
    <m/>
    <n v="2000"/>
    <x v="0"/>
    <n v="2184"/>
    <n v="1300"/>
    <n v="1300"/>
    <n v="1365"/>
    <n v="635"/>
    <n v="0"/>
    <x v="11"/>
    <x v="2"/>
    <e v="#REF!"/>
    <e v="#REF!"/>
    <s v=""/>
    <n v="0.3175"/>
  </r>
  <r>
    <x v="7"/>
    <x v="183"/>
    <x v="2"/>
    <x v="22"/>
    <m/>
    <n v="220"/>
    <s v="CABIN_FILTER, TOYOTA HI-ACE"/>
    <s v="CA-001292"/>
    <n v="1"/>
    <n v="197"/>
    <m/>
    <n v="197"/>
    <x v="0"/>
    <n v="331"/>
    <n v="105"/>
    <n v="105"/>
    <n v="110.25"/>
    <n v="86.75"/>
    <n v="26.024999999999999"/>
    <x v="12"/>
    <x v="2"/>
    <e v="#REF!"/>
    <e v="#REF!"/>
    <n v="220.64000000000001"/>
    <n v="0.44035532994923859"/>
  </r>
  <r>
    <x v="7"/>
    <x v="183"/>
    <x v="2"/>
    <x v="22"/>
    <m/>
    <n v="220"/>
    <s v="CABIN_FILTER, TOYOTA INNOVA"/>
    <s v="CA-001294"/>
    <n v="1"/>
    <n v="197"/>
    <m/>
    <n v="197"/>
    <x v="0"/>
    <n v="315"/>
    <n v="100"/>
    <n v="100"/>
    <n v="105"/>
    <n v="92"/>
    <n v="27.599999999999998"/>
    <x v="12"/>
    <x v="2"/>
    <e v="#REF!"/>
    <e v="#REF!"/>
    <n v="220.64000000000001"/>
    <n v="0.46700507614213199"/>
  </r>
  <r>
    <x v="7"/>
    <x v="183"/>
    <x v="2"/>
    <x v="22"/>
    <m/>
    <m/>
    <s v="EXP. VALVE LT, POKKA 9A56 INNOVA F"/>
    <s v="CA-000637"/>
    <n v="1"/>
    <n v="420"/>
    <m/>
    <n v="420"/>
    <x v="0"/>
    <n v="460"/>
    <n v="250"/>
    <n v="250"/>
    <n v="262.5"/>
    <n v="157.5"/>
    <n v="47.25"/>
    <x v="23"/>
    <x v="2"/>
    <e v="#REF!"/>
    <e v="#REF!"/>
    <s v=""/>
    <n v="0.375"/>
  </r>
  <r>
    <x v="7"/>
    <x v="183"/>
    <x v="2"/>
    <x v="22"/>
    <m/>
    <m/>
    <s v="SYSTEM_CLEANER, Cleanse GREEN 141B 500 ML"/>
    <s v="GE-000369"/>
    <n v="8"/>
    <n v="95"/>
    <m/>
    <n v="760"/>
    <x v="0"/>
    <n v="113"/>
    <n v="65"/>
    <n v="520"/>
    <n v="546"/>
    <n v="214"/>
    <n v="64.2"/>
    <x v="28"/>
    <x v="1"/>
    <e v="#REF!"/>
    <e v="#REF!"/>
    <s v=""/>
    <n v="0.28157894736842104"/>
  </r>
  <r>
    <x v="7"/>
    <x v="183"/>
    <x v="0"/>
    <x v="10"/>
    <m/>
    <m/>
    <s v="EVAPORATOR, HYUNDAI GRAND STAREX  2010 REAR"/>
    <s v="CA-000488"/>
    <n v="1"/>
    <n v="2200"/>
    <m/>
    <n v="2200"/>
    <x v="0"/>
    <n v="2757"/>
    <n v="1500"/>
    <n v="1500"/>
    <n v="1575"/>
    <n v="625"/>
    <n v="0"/>
    <x v="10"/>
    <x v="2"/>
    <e v="#REF!"/>
    <e v="#REF!"/>
    <s v=""/>
    <n v="0.28409090909090912"/>
  </r>
  <r>
    <x v="7"/>
    <x v="183"/>
    <x v="0"/>
    <x v="1"/>
    <m/>
    <n v="2500"/>
    <s v="BLOWER_MOTOR, TOYOTA INNOVA OLD F"/>
    <s v="CA-000227"/>
    <n v="1"/>
    <n v="2232"/>
    <m/>
    <n v="2232"/>
    <x v="0"/>
    <n v="2389"/>
    <n v="1300"/>
    <n v="1300"/>
    <n v="1365"/>
    <n v="867"/>
    <n v="0"/>
    <x v="15"/>
    <x v="2"/>
    <e v="#REF!"/>
    <e v="#REF!"/>
    <n v="2499.84"/>
    <n v="0.38844086021505375"/>
  </r>
  <r>
    <x v="7"/>
    <x v="183"/>
    <x v="6"/>
    <x v="159"/>
    <m/>
    <m/>
    <s v="BLOWER_MOTOR, HONDA CITY 2015 / CIAZ / ERTIGA"/>
    <s v="CA-000148"/>
    <n v="1"/>
    <n v="2100"/>
    <m/>
    <n v="2100"/>
    <x v="0"/>
    <n v="2665"/>
    <n v="1450"/>
    <n v="1450"/>
    <n v="1522.5"/>
    <n v="577.5"/>
    <n v="173.25"/>
    <x v="15"/>
    <x v="2"/>
    <e v="#REF!"/>
    <e v="#REF!"/>
    <s v=""/>
    <n v="0.27500000000000002"/>
  </r>
  <r>
    <x v="7"/>
    <x v="183"/>
    <x v="0"/>
    <x v="95"/>
    <m/>
    <m/>
    <s v="EVAPORATOR, HYUNDAI TUCSON 2008"/>
    <s v="CA-001381"/>
    <n v="1"/>
    <n v="2200"/>
    <m/>
    <n v="2200"/>
    <x v="0"/>
    <n v="2757"/>
    <n v="1500"/>
    <n v="1500"/>
    <n v="1575"/>
    <n v="625"/>
    <n v="0"/>
    <x v="10"/>
    <x v="2"/>
    <e v="#REF!"/>
    <e v="#REF!"/>
    <s v=""/>
    <n v="0.28409090909090912"/>
  </r>
  <r>
    <x v="7"/>
    <x v="183"/>
    <x v="0"/>
    <x v="95"/>
    <m/>
    <m/>
    <s v="EXP. VALVE LT, POKKA 9A129B ACCENT"/>
    <s v="CA-000629"/>
    <n v="1"/>
    <n v="650"/>
    <m/>
    <n v="650"/>
    <x v="0"/>
    <n v="625"/>
    <n v="340"/>
    <n v="340"/>
    <n v="357"/>
    <n v="293"/>
    <n v="0"/>
    <x v="23"/>
    <x v="2"/>
    <e v="#REF!"/>
    <e v="#REF!"/>
    <s v=""/>
    <n v="0.45076923076923076"/>
  </r>
  <r>
    <x v="7"/>
    <x v="183"/>
    <x v="0"/>
    <x v="95"/>
    <m/>
    <m/>
    <s v="RECEIVER_DRIER_ALUMINUM, YK 8117 (TUCSON)"/>
    <s v="CA-001101"/>
    <n v="1"/>
    <n v="550"/>
    <m/>
    <n v="550"/>
    <x v="0"/>
    <n v="497"/>
    <n v="210"/>
    <n v="210"/>
    <n v="220.5"/>
    <n v="329.5"/>
    <n v="0"/>
    <x v="27"/>
    <x v="2"/>
    <e v="#REF!"/>
    <e v="#REF!"/>
    <s v=""/>
    <n v="0.59909090909090912"/>
  </r>
  <r>
    <x v="7"/>
    <x v="183"/>
    <x v="0"/>
    <x v="11"/>
    <m/>
    <m/>
    <s v="CLEANER, AMBER AIRCON LIQUID LYE"/>
    <s v="GE-000251"/>
    <n v="1"/>
    <n v="550"/>
    <m/>
    <n v="550"/>
    <x v="0"/>
    <n v="596"/>
    <n v="270"/>
    <n v="270"/>
    <n v="283.5"/>
    <n v="266.5"/>
    <n v="0"/>
    <x v="35"/>
    <x v="1"/>
    <e v="#REF!"/>
    <e v="#REF!"/>
    <s v=""/>
    <n v="0.48454545454545456"/>
  </r>
  <r>
    <x v="7"/>
    <x v="183"/>
    <x v="0"/>
    <x v="11"/>
    <m/>
    <m/>
    <s v="EXP. VALVE LT, POKKA 9A55 HONDA NEW"/>
    <s v="CA-000636"/>
    <n v="1"/>
    <n v="550"/>
    <m/>
    <n v="550"/>
    <x v="0"/>
    <n v="497"/>
    <n v="270"/>
    <n v="270"/>
    <n v="283.5"/>
    <n v="266.5"/>
    <n v="0"/>
    <x v="23"/>
    <x v="2"/>
    <e v="#REF!"/>
    <e v="#REF!"/>
    <s v=""/>
    <n v="0.48454545454545456"/>
  </r>
  <r>
    <x v="7"/>
    <x v="183"/>
    <x v="0"/>
    <x v="84"/>
    <m/>
    <m/>
    <s v="AUXFAN_MOTOR, HONDA CRV (3070 / 3130)"/>
    <s v="CA-000007"/>
    <n v="1"/>
    <n v="1600"/>
    <m/>
    <n v="1600"/>
    <x v="0"/>
    <n v="1654"/>
    <n v="900"/>
    <n v="900"/>
    <n v="945"/>
    <n v="655"/>
    <n v="0"/>
    <x v="14"/>
    <x v="2"/>
    <e v="#REF!"/>
    <e v="#REF!"/>
    <s v=""/>
    <n v="0.40937499999999999"/>
  </r>
  <r>
    <x v="7"/>
    <x v="184"/>
    <x v="7"/>
    <x v="135"/>
    <m/>
    <m/>
    <m/>
    <s v=""/>
    <m/>
    <m/>
    <m/>
    <n v="0"/>
    <x v="0"/>
    <n v="0"/>
    <n v="0"/>
    <n v="0"/>
    <n v="0"/>
    <n v="0"/>
    <n v="0"/>
    <x v="13"/>
    <x v="3"/>
    <s v=""/>
    <s v=""/>
    <s v=""/>
    <n v="0"/>
  </r>
  <r>
    <x v="7"/>
    <x v="185"/>
    <x v="1"/>
    <x v="3"/>
    <m/>
    <m/>
    <s v="EVAPORATOR, HONDA CIVIC 2017"/>
    <s v="CA-001369"/>
    <n v="1"/>
    <n v="2000"/>
    <m/>
    <n v="2000"/>
    <x v="0"/>
    <n v="2573"/>
    <n v="1400"/>
    <n v="1400"/>
    <n v="1470"/>
    <n v="530"/>
    <n v="159"/>
    <x v="10"/>
    <x v="2"/>
    <e v="#REF!"/>
    <e v="#REF!"/>
    <s v=""/>
    <n v="0.26500000000000001"/>
  </r>
  <r>
    <x v="7"/>
    <x v="185"/>
    <x v="1"/>
    <x v="3"/>
    <m/>
    <m/>
    <s v="CABIN_FILTER, HONDA LARGE"/>
    <s v="CA-001422"/>
    <n v="1"/>
    <n v="400"/>
    <m/>
    <n v="400"/>
    <x v="0"/>
    <n v="378"/>
    <n v="120"/>
    <n v="120"/>
    <n v="126"/>
    <n v="274"/>
    <n v="82.2"/>
    <x v="12"/>
    <x v="2"/>
    <e v="#REF!"/>
    <e v="#REF!"/>
    <s v=""/>
    <n v="0.68500000000000005"/>
  </r>
  <r>
    <x v="7"/>
    <x v="185"/>
    <x v="4"/>
    <x v="25"/>
    <m/>
    <n v="1900"/>
    <s v="BLOWER_MOTOR, ISUZU D-MAX 2013 / MUX  STAL"/>
    <s v="CA-001862"/>
    <n v="1"/>
    <n v="1700"/>
    <m/>
    <n v="1700"/>
    <x v="0"/>
    <n v="1654"/>
    <n v="900"/>
    <n v="900"/>
    <n v="945"/>
    <n v="755"/>
    <n v="226.5"/>
    <x v="15"/>
    <x v="2"/>
    <e v="#REF!"/>
    <e v="#REF!"/>
    <n v="1904.0000000000002"/>
    <n v="0.44411764705882351"/>
  </r>
  <r>
    <x v="7"/>
    <x v="185"/>
    <x v="0"/>
    <x v="23"/>
    <m/>
    <m/>
    <s v="EVAPORATOR, MITSUBISHI ADVENTURE LAM  (STAL)"/>
    <s v="CA-001719"/>
    <n v="1"/>
    <n v="2000"/>
    <m/>
    <n v="2000"/>
    <x v="0"/>
    <n v="2536"/>
    <n v="1380"/>
    <n v="1380"/>
    <n v="1449"/>
    <n v="551"/>
    <n v="0"/>
    <x v="10"/>
    <x v="2"/>
    <e v="#REF!"/>
    <e v="#REF!"/>
    <s v=""/>
    <n v="0.27550000000000002"/>
  </r>
  <r>
    <x v="7"/>
    <x v="185"/>
    <x v="0"/>
    <x v="78"/>
    <m/>
    <m/>
    <s v="RECEIVER_DRIER_ALUMINUM, YK 8804 (REVO/HI-LANDER/TROOPER)"/>
    <s v="CA-001123"/>
    <n v="1"/>
    <n v="550"/>
    <m/>
    <n v="550"/>
    <x v="0"/>
    <n v="556"/>
    <n v="235"/>
    <n v="235"/>
    <n v="246.75"/>
    <n v="303.25"/>
    <n v="0"/>
    <x v="27"/>
    <x v="2"/>
    <e v="#REF!"/>
    <e v="#REF!"/>
    <s v=""/>
    <n v="0.55136363636363639"/>
  </r>
  <r>
    <x v="7"/>
    <x v="185"/>
    <x v="0"/>
    <x v="78"/>
    <m/>
    <m/>
    <s v="EXP. VALVE SC, HONDA OVERSIZE / FX R134A"/>
    <s v="CA-000569"/>
    <n v="1"/>
    <n v="500"/>
    <m/>
    <n v="500"/>
    <x v="0"/>
    <n v="478"/>
    <n v="260"/>
    <n v="260"/>
    <n v="273"/>
    <n v="227"/>
    <n v="0"/>
    <x v="34"/>
    <x v="2"/>
    <e v="#REF!"/>
    <e v="#REF!"/>
    <s v=""/>
    <n v="0.45400000000000001"/>
  </r>
  <r>
    <x v="7"/>
    <x v="185"/>
    <x v="0"/>
    <x v="36"/>
    <m/>
    <n v="2200"/>
    <s v="PULLEY_ASSEMBLY, NISSAN URVAN VT 071"/>
    <s v="CA-001048"/>
    <n v="1"/>
    <n v="1964"/>
    <m/>
    <n v="1964"/>
    <x v="0"/>
    <n v="2520"/>
    <n v="1500"/>
    <n v="1500"/>
    <n v="1575"/>
    <n v="389"/>
    <n v="0"/>
    <x v="11"/>
    <x v="2"/>
    <e v="#REF!"/>
    <e v="#REF!"/>
    <n v="2199.6800000000003"/>
    <n v="0.19806517311608962"/>
  </r>
  <r>
    <x v="7"/>
    <x v="185"/>
    <x v="0"/>
    <x v="1"/>
    <m/>
    <m/>
    <s v="RUBBER_INSULATION, M-FLEX 3/4&quot; 1/2"/>
    <s v="IM-000234"/>
    <n v="8"/>
    <n v="110"/>
    <m/>
    <n v="880"/>
    <x v="0"/>
    <n v="103"/>
    <n v="73.5"/>
    <n v="588"/>
    <n v="605.64"/>
    <n v="274.36"/>
    <n v="0"/>
    <x v="22"/>
    <x v="0"/>
    <e v="#REF!"/>
    <e v="#REF!"/>
    <s v=""/>
    <n v="0.31177272727272731"/>
  </r>
  <r>
    <x v="7"/>
    <x v="185"/>
    <x v="1"/>
    <x v="5"/>
    <m/>
    <n v="550"/>
    <s v="EXP. VALVE LT, POKKA 9A56 INNOVA F"/>
    <s v="CA-000637"/>
    <n v="1"/>
    <n v="491"/>
    <m/>
    <n v="491"/>
    <x v="0"/>
    <n v="460"/>
    <n v="250"/>
    <n v="250"/>
    <n v="262.5"/>
    <n v="228.5"/>
    <n v="68.55"/>
    <x v="23"/>
    <x v="2"/>
    <e v="#REF!"/>
    <e v="#REF!"/>
    <n v="549.92000000000007"/>
    <n v="0.46537678207739308"/>
  </r>
  <r>
    <x v="7"/>
    <x v="185"/>
    <x v="0"/>
    <x v="11"/>
    <m/>
    <m/>
    <s v="CONDENSER, UNIVERSAL 12 x 23 x 20 5/16"/>
    <s v="CA-000445"/>
    <n v="1"/>
    <n v="1800"/>
    <m/>
    <n v="1800"/>
    <x v="0"/>
    <n v="2022"/>
    <n v="1100"/>
    <n v="1100"/>
    <n v="1155"/>
    <n v="645"/>
    <n v="0"/>
    <x v="8"/>
    <x v="2"/>
    <e v="#REF!"/>
    <e v="#REF!"/>
    <s v=""/>
    <n v="0.35833333333333334"/>
  </r>
  <r>
    <x v="7"/>
    <x v="185"/>
    <x v="0"/>
    <x v="11"/>
    <m/>
    <m/>
    <s v="AUXIALLIARY_FAN, POKKA 12 BLADES X 12VOLTS"/>
    <s v="CA-000108"/>
    <n v="2"/>
    <n v="700"/>
    <m/>
    <n v="1400"/>
    <x v="0"/>
    <n v="827"/>
    <n v="450"/>
    <n v="900"/>
    <n v="945"/>
    <n v="455"/>
    <n v="0"/>
    <x v="16"/>
    <x v="2"/>
    <e v="#REF!"/>
    <e v="#REF!"/>
    <s v=""/>
    <n v="0.32500000000000001"/>
  </r>
  <r>
    <x v="7"/>
    <x v="185"/>
    <x v="0"/>
    <x v="11"/>
    <m/>
    <m/>
    <s v="RECEIVER_DRIER_ALUMINUM, YK 8038 (Civic, CRV)"/>
    <s v="CA-001094"/>
    <n v="1"/>
    <n v="550"/>
    <m/>
    <n v="550"/>
    <x v="0"/>
    <n v="532"/>
    <n v="225"/>
    <n v="225"/>
    <n v="236.25"/>
    <n v="313.75"/>
    <n v="0"/>
    <x v="27"/>
    <x v="2"/>
    <e v="#REF!"/>
    <e v="#REF!"/>
    <s v=""/>
    <n v="0.57045454545454544"/>
  </r>
  <r>
    <x v="7"/>
    <x v="185"/>
    <x v="0"/>
    <x v="11"/>
    <m/>
    <m/>
    <s v="BRACKET,  CONDENSER"/>
    <s v="CA-001666"/>
    <n v="4"/>
    <n v="25"/>
    <m/>
    <n v="100"/>
    <x v="0"/>
    <n v="21"/>
    <n v="9"/>
    <n v="36"/>
    <n v="37.800000000000004"/>
    <n v="62.199999999999996"/>
    <n v="0"/>
    <x v="3"/>
    <x v="2"/>
    <e v="#REF!"/>
    <e v="#REF!"/>
    <s v=""/>
    <n v="0.622"/>
  </r>
  <r>
    <x v="7"/>
    <x v="185"/>
    <x v="0"/>
    <x v="11"/>
    <m/>
    <m/>
    <s v="FITTINGS, ELBOW ORING TYPE  1/2"/>
    <s v="CA-000658"/>
    <n v="1"/>
    <n v="40"/>
    <m/>
    <n v="40"/>
    <x v="0"/>
    <n v="27"/>
    <n v="14.5"/>
    <n v="14.5"/>
    <n v="15.225000000000001"/>
    <n v="24.774999999999999"/>
    <n v="0"/>
    <x v="33"/>
    <x v="2"/>
    <e v="#REF!"/>
    <e v="#REF!"/>
    <s v=""/>
    <n v="0.61937500000000001"/>
  </r>
  <r>
    <x v="7"/>
    <x v="185"/>
    <x v="0"/>
    <x v="11"/>
    <m/>
    <m/>
    <s v="FITTINGS, ELBOW ORING TYPE  5/16"/>
    <s v="CA-000660"/>
    <n v="1"/>
    <n v="45"/>
    <m/>
    <n v="45"/>
    <x v="0"/>
    <n v="27"/>
    <n v="14.5"/>
    <n v="14.5"/>
    <n v="15.225000000000001"/>
    <n v="29.774999999999999"/>
    <n v="0"/>
    <x v="33"/>
    <x v="2"/>
    <e v="#REF!"/>
    <e v="#REF!"/>
    <s v=""/>
    <n v="0.66166666666666663"/>
  </r>
  <r>
    <x v="7"/>
    <x v="185"/>
    <x v="0"/>
    <x v="38"/>
    <m/>
    <m/>
    <s v="REFRIGERANT, ENTALPIA EUROPE R134A 13.6   6/16/26 "/>
    <s v="GE-000517"/>
    <n v="1"/>
    <n v="8800"/>
    <m/>
    <n v="8800"/>
    <x v="0"/>
    <n v="10489"/>
    <n v="7684"/>
    <n v="7684"/>
    <n v="8068.2000000000007"/>
    <n v="731.79999999999927"/>
    <n v="0"/>
    <x v="5"/>
    <x v="1"/>
    <e v="#REF!"/>
    <e v="#REF!"/>
    <s v=""/>
    <n v="8.3159090909090821E-2"/>
  </r>
  <r>
    <x v="7"/>
    <x v="185"/>
    <x v="0"/>
    <x v="1"/>
    <m/>
    <m/>
    <s v="ROYAL CORD, DAEMYUNG 4-CORE, #14 2.0 MM, METER"/>
    <s v="GE-000426"/>
    <n v="5"/>
    <n v="160"/>
    <m/>
    <n v="800"/>
    <x v="0"/>
    <n v="158"/>
    <n v="100"/>
    <n v="500"/>
    <n v="525"/>
    <n v="275"/>
    <n v="0"/>
    <x v="48"/>
    <x v="1"/>
    <e v="#REF!"/>
    <e v="#REF!"/>
    <s v=""/>
    <n v="0.34375"/>
  </r>
  <r>
    <x v="7"/>
    <x v="185"/>
    <x v="0"/>
    <x v="1"/>
    <m/>
    <m/>
    <s v="TAPE_PE, PICUS Polythelene Tape (White)X 4&quot;"/>
    <s v="IM-000247"/>
    <n v="1"/>
    <n v="125"/>
    <m/>
    <n v="125"/>
    <x v="0"/>
    <n v="147"/>
    <n v="75"/>
    <n v="75"/>
    <n v="77.25"/>
    <n v="47.75"/>
    <n v="0"/>
    <x v="29"/>
    <x v="0"/>
    <e v="#REF!"/>
    <e v="#REF!"/>
    <s v=""/>
    <n v="0.38200000000000001"/>
  </r>
  <r>
    <x v="7"/>
    <x v="185"/>
    <x v="0"/>
    <x v="1"/>
    <m/>
    <m/>
    <s v="COPPER_TUBE_SOFTDRAWN, EXZEL 0.028 X 1/4 x 15 mtr  05/28/26"/>
    <s v="IM-000329"/>
    <n v="0.2"/>
    <n v="2500"/>
    <m/>
    <n v="500"/>
    <x v="0"/>
    <n v="3063"/>
    <n v="1699"/>
    <n v="339.8"/>
    <n v="349.99400000000003"/>
    <n v="150.00599999999997"/>
    <n v="0"/>
    <x v="0"/>
    <x v="0"/>
    <e v="#REF!"/>
    <e v="#REF!"/>
    <s v=""/>
    <n v="0.30001199999999995"/>
  </r>
  <r>
    <x v="7"/>
    <x v="185"/>
    <x v="0"/>
    <x v="1"/>
    <m/>
    <m/>
    <s v="COPPER_TUBE_SOFTDRAWN, HAILIANG 0.028 X 3/8 x 15 mtr 06/02/26"/>
    <s v="IM-000327"/>
    <n v="0.2"/>
    <n v="3500"/>
    <m/>
    <n v="700"/>
    <x v="0"/>
    <n v="4774"/>
    <n v="2648"/>
    <n v="529.6"/>
    <n v="545.48800000000006"/>
    <n v="154.51199999999994"/>
    <n v="0"/>
    <x v="0"/>
    <x v="0"/>
    <e v="#REF!"/>
    <e v="#REF!"/>
    <s v=""/>
    <n v="0.2207314285714285"/>
  </r>
  <r>
    <x v="7"/>
    <x v="185"/>
    <x v="0"/>
    <x v="1"/>
    <m/>
    <m/>
    <s v="RUBBER_INSULATION, M-FLEX 1/2&quot; 1/4"/>
    <s v="IM-000229"/>
    <n v="2"/>
    <n v="50"/>
    <m/>
    <n v="100"/>
    <x v="0"/>
    <n v="47"/>
    <n v="33.6"/>
    <n v="67.2"/>
    <n v="69.216000000000008"/>
    <n v="30.783999999999992"/>
    <n v="0"/>
    <x v="22"/>
    <x v="0"/>
    <e v="#REF!"/>
    <e v="#REF!"/>
    <s v=""/>
    <n v="0.30783999999999989"/>
  </r>
  <r>
    <x v="7"/>
    <x v="185"/>
    <x v="0"/>
    <x v="1"/>
    <m/>
    <m/>
    <s v="RUBBER_INSULATION, M-FLEX 1/2&quot; 3/8"/>
    <s v="IM-000231"/>
    <n v="2"/>
    <n v="60"/>
    <m/>
    <n v="120"/>
    <x v="0"/>
    <n v="53"/>
    <n v="37.6"/>
    <n v="75.2"/>
    <n v="77.456000000000003"/>
    <n v="42.543999999999997"/>
    <n v="0"/>
    <x v="22"/>
    <x v="0"/>
    <e v="#REF!"/>
    <e v="#REF!"/>
    <s v=""/>
    <n v="0.35453333333333331"/>
  </r>
  <r>
    <x v="7"/>
    <x v="185"/>
    <x v="0"/>
    <x v="1"/>
    <m/>
    <m/>
    <s v="BRACKET , GB 1HP, COATED"/>
    <s v="IM-000008"/>
    <n v="1"/>
    <n v="360"/>
    <m/>
    <n v="360"/>
    <x v="0"/>
    <n v="334"/>
    <n v="185"/>
    <n v="185"/>
    <n v="190.55"/>
    <n v="169.45"/>
    <n v="0"/>
    <x v="1"/>
    <x v="0"/>
    <e v="#REF!"/>
    <e v="#REF!"/>
    <s v=""/>
    <n v="0.47069444444444442"/>
  </r>
  <r>
    <x v="7"/>
    <x v="185"/>
    <x v="0"/>
    <x v="1"/>
    <m/>
    <m/>
    <s v="TAPE_PE, PICUS Polythelene Tape (White)X 4&quot;"/>
    <s v="IM-000247"/>
    <n v="1"/>
    <n v="125"/>
    <m/>
    <n v="125"/>
    <x v="0"/>
    <n v="147"/>
    <n v="75"/>
    <n v="75"/>
    <n v="77.25"/>
    <n v="47.75"/>
    <n v="0"/>
    <x v="29"/>
    <x v="0"/>
    <e v="#REF!"/>
    <e v="#REF!"/>
    <s v=""/>
    <n v="0.38200000000000001"/>
  </r>
  <r>
    <x v="7"/>
    <x v="185"/>
    <x v="0"/>
    <x v="1"/>
    <m/>
    <m/>
    <s v="BOLT &amp; NUT, DYNABOLT 3/8&quot;"/>
    <s v="GE-000396"/>
    <n v="4"/>
    <n v="25"/>
    <m/>
    <n v="100"/>
    <x v="0"/>
    <n v="19"/>
    <n v="8.9"/>
    <n v="35.6"/>
    <n v="37.380000000000003"/>
    <n v="62.62"/>
    <n v="0"/>
    <x v="57"/>
    <x v="1"/>
    <e v="#REF!"/>
    <e v="#REF!"/>
    <s v=""/>
    <n v="0.62619999999999998"/>
  </r>
  <r>
    <x v="7"/>
    <x v="185"/>
    <x v="0"/>
    <x v="1"/>
    <m/>
    <m/>
    <s v="BOLT &amp; NUT, GI, SET 3/8"/>
    <s v="IM-000002"/>
    <n v="4"/>
    <n v="14"/>
    <m/>
    <n v="56"/>
    <x v="0"/>
    <n v="10"/>
    <n v="5.43"/>
    <n v="21.72"/>
    <n v="22.371600000000001"/>
    <n v="33.628399999999999"/>
    <n v="0"/>
    <x v="57"/>
    <x v="0"/>
    <e v="#REF!"/>
    <e v="#REF!"/>
    <s v=""/>
    <n v="0.60050714285714279"/>
  </r>
  <r>
    <x v="7"/>
    <x v="185"/>
    <x v="2"/>
    <x v="22"/>
    <m/>
    <m/>
    <s v="EVAPORATOR, HYUNDAI TUCSON 2013"/>
    <s v="CA-001734"/>
    <n v="1"/>
    <n v="1900"/>
    <m/>
    <n v="1900"/>
    <x v="0"/>
    <n v="2665"/>
    <n v="1450"/>
    <n v="1450"/>
    <n v="1522.5"/>
    <n v="377.5"/>
    <n v="113.25"/>
    <x v="10"/>
    <x v="2"/>
    <e v="#REF!"/>
    <e v="#REF!"/>
    <s v=""/>
    <n v="0.1986842105263158"/>
  </r>
  <r>
    <x v="7"/>
    <x v="185"/>
    <x v="2"/>
    <x v="22"/>
    <m/>
    <m/>
    <s v="EXP. VALVE LT, POKKA 9A248 MAZDA 2"/>
    <s v="CA-001602"/>
    <n v="1"/>
    <n v="550"/>
    <m/>
    <n v="550"/>
    <x v="0"/>
    <n v="515"/>
    <n v="280"/>
    <n v="280"/>
    <n v="294"/>
    <n v="256"/>
    <n v="76.8"/>
    <x v="23"/>
    <x v="2"/>
    <e v="#REF!"/>
    <e v="#REF!"/>
    <s v=""/>
    <n v="0.46545454545454545"/>
  </r>
  <r>
    <x v="7"/>
    <x v="185"/>
    <x v="2"/>
    <x v="22"/>
    <m/>
    <m/>
    <s v="RECEIVER_DRIER_ALUMINUM, STAL 8793 (MAZDA 3) 0009"/>
    <s v="CA-000452"/>
    <n v="1"/>
    <n v="400"/>
    <m/>
    <n v="400"/>
    <x v="0"/>
    <n v="520"/>
    <n v="220"/>
    <n v="220"/>
    <n v="231"/>
    <n v="169"/>
    <n v="50.699999999999996"/>
    <x v="27"/>
    <x v="2"/>
    <e v="#REF!"/>
    <e v="#REF!"/>
    <s v=""/>
    <n v="0.42249999999999999"/>
  </r>
  <r>
    <x v="7"/>
    <x v="185"/>
    <x v="0"/>
    <x v="1"/>
    <m/>
    <m/>
    <s v="REFRIGERANT, FU RYDER R600A CAN, 220 GRAMS"/>
    <s v="GE-000032"/>
    <n v="1"/>
    <n v="180"/>
    <m/>
    <n v="180"/>
    <x v="0"/>
    <n v="177"/>
    <n v="70"/>
    <n v="70"/>
    <n v="73.5"/>
    <n v="106.5"/>
    <n v="0"/>
    <x v="5"/>
    <x v="1"/>
    <e v="#REF!"/>
    <e v="#REF!"/>
    <s v=""/>
    <n v="0.59166666666666667"/>
  </r>
  <r>
    <x v="7"/>
    <x v="185"/>
    <x v="0"/>
    <x v="1"/>
    <m/>
    <m/>
    <s v="TAPE_FOAM, AEROTAPE 3MM X 50 MM X 9.1 MTR  06/18/26"/>
    <s v="IM-000332"/>
    <n v="1"/>
    <n v="430"/>
    <m/>
    <n v="430"/>
    <x v="0"/>
    <n v="510"/>
    <n v="330"/>
    <n v="330"/>
    <n v="339.90000000000003"/>
    <n v="90.099999999999966"/>
    <n v="0"/>
    <x v="25"/>
    <x v="0"/>
    <e v="#REF!"/>
    <e v="#REF!"/>
    <s v=""/>
    <n v="0.20953488372093015"/>
  </r>
  <r>
    <x v="7"/>
    <x v="185"/>
    <x v="2"/>
    <x v="22"/>
    <m/>
    <n v="220"/>
    <s v="CABIN_FILTER, HYUNDAI STA FE"/>
    <s v="CA-001685"/>
    <n v="1"/>
    <n v="197"/>
    <m/>
    <n v="197"/>
    <x v="0"/>
    <n v="315"/>
    <n v="100"/>
    <n v="100"/>
    <n v="105"/>
    <n v="92"/>
    <n v="27.599999999999998"/>
    <x v="12"/>
    <x v="2"/>
    <e v="#REF!"/>
    <e v="#REF!"/>
    <n v="220.64000000000001"/>
    <n v="0.46700507614213199"/>
  </r>
  <r>
    <x v="7"/>
    <x v="185"/>
    <x v="1"/>
    <x v="3"/>
    <m/>
    <m/>
    <s v="EXP. VALVE LT, POKKA 9A55 HONDA NEW"/>
    <s v="CA-000636"/>
    <n v="1"/>
    <n v="550"/>
    <m/>
    <n v="550"/>
    <x v="0"/>
    <n v="497"/>
    <n v="270"/>
    <n v="270"/>
    <n v="283.5"/>
    <n v="266.5"/>
    <n v="79.95"/>
    <x v="23"/>
    <x v="2"/>
    <e v="#REF!"/>
    <e v="#REF!"/>
    <s v=""/>
    <n v="0.48454545454545456"/>
  </r>
  <r>
    <x v="7"/>
    <x v="186"/>
    <x v="0"/>
    <x v="10"/>
    <m/>
    <m/>
    <s v="REFRIGERANT, ENTALPIA EUROPE R134A 13.6   6/16/26 "/>
    <s v="GE-000517"/>
    <n v="1"/>
    <n v="8800"/>
    <m/>
    <n v="8800"/>
    <x v="0"/>
    <n v="10489"/>
    <n v="7684"/>
    <n v="7684"/>
    <n v="8068.2000000000007"/>
    <n v="731.79999999999927"/>
    <n v="0"/>
    <x v="5"/>
    <x v="1"/>
    <e v="#REF!"/>
    <e v="#REF!"/>
    <s v=""/>
    <n v="8.3159090909090821E-2"/>
  </r>
  <r>
    <x v="7"/>
    <x v="186"/>
    <x v="0"/>
    <x v="10"/>
    <m/>
    <n v="200"/>
    <s v="O_RING, NEK MANIPIS 5/8"/>
    <s v="CA-000847"/>
    <n v="1"/>
    <n v="180"/>
    <m/>
    <n v="180"/>
    <x v="0"/>
    <n v="111"/>
    <n v="60"/>
    <n v="60"/>
    <n v="63"/>
    <n v="117"/>
    <n v="0"/>
    <x v="44"/>
    <x v="2"/>
    <e v="#REF!"/>
    <e v="#REF!"/>
    <n v="201.60000000000002"/>
    <n v="0.65"/>
  </r>
  <r>
    <x v="7"/>
    <x v="186"/>
    <x v="0"/>
    <x v="10"/>
    <m/>
    <m/>
    <s v="BLOWER_MOTOR, TOYOTA INNOVA OLD F"/>
    <s v="CA-000227"/>
    <n v="1"/>
    <n v="2000"/>
    <m/>
    <n v="2000"/>
    <x v="0"/>
    <n v="2389"/>
    <n v="1300"/>
    <n v="1300"/>
    <n v="1365"/>
    <n v="635"/>
    <n v="0"/>
    <x v="15"/>
    <x v="2"/>
    <e v="#REF!"/>
    <e v="#REF!"/>
    <e v="#REF!"/>
    <n v="0"/>
  </r>
  <r>
    <x v="7"/>
    <x v="186"/>
    <x v="0"/>
    <x v="10"/>
    <m/>
    <m/>
    <s v="BLOWER_MOTOR, ISUZU D-MAX 2013 / MUX  STAL"/>
    <s v="CA-001862"/>
    <n v="1"/>
    <n v="1900"/>
    <m/>
    <n v="1900"/>
    <x v="0"/>
    <n v="1654"/>
    <n v="900"/>
    <n v="900"/>
    <n v="945"/>
    <n v="955"/>
    <n v="0"/>
    <x v="15"/>
    <x v="2"/>
    <e v="#REF!"/>
    <e v="#REF!"/>
    <e v="#REF!"/>
    <n v="0"/>
  </r>
  <r>
    <x v="7"/>
    <x v="186"/>
    <x v="0"/>
    <x v="8"/>
    <m/>
    <m/>
    <s v="AUXFAN_MOTOR, HYUNDAI EON"/>
    <s v="CA-000027"/>
    <n v="1"/>
    <n v="1800"/>
    <m/>
    <n v="1800"/>
    <x v="0"/>
    <n v="2114"/>
    <n v="1150"/>
    <n v="1150"/>
    <n v="1207.5"/>
    <n v="592.5"/>
    <n v="0"/>
    <x v="14"/>
    <x v="2"/>
    <e v="#REF!"/>
    <e v="#REF!"/>
    <e v="#REF!"/>
    <n v="0"/>
  </r>
  <r>
    <x v="7"/>
    <x v="186"/>
    <x v="0"/>
    <x v="8"/>
    <m/>
    <m/>
    <s v="EVAPORATOR, HYUNDAI ACCENT 2013 40A522"/>
    <s v="CA-001861"/>
    <n v="1"/>
    <n v="2000"/>
    <m/>
    <n v="2000"/>
    <x v="0"/>
    <n v="2389"/>
    <n v="1300"/>
    <n v="1300"/>
    <n v="1365"/>
    <n v="635"/>
    <n v="0"/>
    <x v="10"/>
    <x v="2"/>
    <e v="#REF!"/>
    <e v="#REF!"/>
    <e v="#REF!"/>
    <n v="0"/>
  </r>
  <r>
    <x v="7"/>
    <x v="186"/>
    <x v="1"/>
    <x v="3"/>
    <m/>
    <m/>
    <s v="PULLEY_ASSEMBLY, HONDA CITY 2015 5PK"/>
    <s v="CA-001854"/>
    <n v="1"/>
    <n v="2100"/>
    <m/>
    <n v="2100"/>
    <x v="0"/>
    <n v="2665"/>
    <n v="1450"/>
    <n v="1450"/>
    <n v="1522.5"/>
    <n v="577.5"/>
    <n v="173.25"/>
    <x v="11"/>
    <x v="2"/>
    <e v="#REF!"/>
    <e v="#REF!"/>
    <s v=""/>
    <n v="0.27500000000000002"/>
  </r>
  <r>
    <x v="7"/>
    <x v="186"/>
    <x v="1"/>
    <x v="3"/>
    <m/>
    <m/>
    <s v="EVAPORATOR, MITSUBISHI ADVENTURE OLD / SERPENTINE (STAL)"/>
    <s v="CA-001656"/>
    <n v="1"/>
    <n v="2100"/>
    <m/>
    <n v="2100"/>
    <x v="0"/>
    <n v="2205"/>
    <n v="1200"/>
    <n v="1200"/>
    <n v="1260"/>
    <n v="840"/>
    <n v="252"/>
    <x v="10"/>
    <x v="2"/>
    <e v="#REF!"/>
    <e v="#REF!"/>
    <s v=""/>
    <n v="0.4"/>
  </r>
  <r>
    <x v="7"/>
    <x v="186"/>
    <x v="1"/>
    <x v="3"/>
    <m/>
    <m/>
    <s v="EXP. VALVE DC, MITSUBISHI ORING TYPE 1/2 (ADVENTURE)"/>
    <s v="CA-000561"/>
    <n v="1"/>
    <n v="700"/>
    <m/>
    <n v="700"/>
    <x v="0"/>
    <n v="588"/>
    <n v="320"/>
    <n v="320"/>
    <n v="336"/>
    <n v="364"/>
    <n v="109.2"/>
    <x v="46"/>
    <x v="2"/>
    <e v="#REF!"/>
    <e v="#REF!"/>
    <s v=""/>
    <n v="0.52"/>
  </r>
  <r>
    <x v="7"/>
    <x v="186"/>
    <x v="2"/>
    <x v="22"/>
    <m/>
    <m/>
    <s v="EVAPORATOR, KIA K2 700"/>
    <s v="CA-000503"/>
    <n v="1"/>
    <n v="2100"/>
    <m/>
    <n v="2100"/>
    <x v="0"/>
    <n v="2757"/>
    <n v="1500"/>
    <n v="1500"/>
    <n v="1575"/>
    <n v="525"/>
    <n v="157.5"/>
    <x v="10"/>
    <x v="2"/>
    <e v="#REF!"/>
    <e v="#REF!"/>
    <s v=""/>
    <n v="0.25"/>
  </r>
  <r>
    <x v="7"/>
    <x v="186"/>
    <x v="0"/>
    <x v="161"/>
    <m/>
    <m/>
    <s v="SAFETY VALVE , 410A RED"/>
    <s v="GE-000441"/>
    <n v="1"/>
    <n v="350"/>
    <m/>
    <n v="350"/>
    <x v="0"/>
    <n v="384"/>
    <n v="170"/>
    <n v="170"/>
    <n v="178.5"/>
    <n v="171.5"/>
    <n v="0"/>
    <x v="84"/>
    <x v="1"/>
    <e v="#REF!"/>
    <e v="#REF!"/>
    <e v="#REF!"/>
    <n v="0"/>
  </r>
  <r>
    <x v="7"/>
    <x v="186"/>
    <x v="1"/>
    <x v="51"/>
    <m/>
    <m/>
    <s v="EXP. VALVE LT, POKKA 9A224 / 9A219 NISSAN JUKE"/>
    <s v="CA-001831"/>
    <n v="1"/>
    <n v="550"/>
    <m/>
    <n v="550"/>
    <x v="0"/>
    <n v="478"/>
    <n v="260"/>
    <n v="260"/>
    <n v="273"/>
    <n v="277"/>
    <n v="83.1"/>
    <x v="23"/>
    <x v="2"/>
    <e v="#REF!"/>
    <e v="#REF!"/>
    <e v="#REF!"/>
    <n v="0"/>
  </r>
  <r>
    <x v="7"/>
    <x v="186"/>
    <x v="0"/>
    <x v="8"/>
    <m/>
    <m/>
    <s v="BLOWER_MOTOR, TOYOTA REVO"/>
    <s v="CA-000229"/>
    <n v="1"/>
    <n v="1900"/>
    <m/>
    <n v="1900"/>
    <x v="0"/>
    <n v="2205"/>
    <n v="1200"/>
    <n v="1200"/>
    <n v="1260"/>
    <n v="640"/>
    <n v="0"/>
    <x v="15"/>
    <x v="2"/>
    <e v="#REF!"/>
    <e v="#REF!"/>
    <s v=""/>
    <n v="0.33684210526315789"/>
  </r>
  <r>
    <x v="7"/>
    <x v="186"/>
    <x v="0"/>
    <x v="32"/>
    <m/>
    <m/>
    <s v="COPPER_TUBE_SOFTDRAWN, EXZEL 0.028 X 1/4 x 15 mtr  05/28/26"/>
    <s v="IM-000329"/>
    <n v="1"/>
    <n v="1950"/>
    <m/>
    <n v="1950"/>
    <x v="0"/>
    <n v="3063"/>
    <n v="1699"/>
    <n v="1699"/>
    <n v="1749.97"/>
    <n v="200.02999999999997"/>
    <n v="0"/>
    <x v="0"/>
    <x v="0"/>
    <e v="#REF!"/>
    <e v="#REF!"/>
    <s v=""/>
    <n v="0.10257948717948717"/>
  </r>
  <r>
    <x v="7"/>
    <x v="186"/>
    <x v="0"/>
    <x v="32"/>
    <m/>
    <m/>
    <s v="COPPER_TUBE_SOFTDRAWN, HAILIANG 0.028 X 1/2 x 15 mtr 06/02/26"/>
    <s v="IM-000328"/>
    <n v="1"/>
    <n v="3950"/>
    <m/>
    <n v="3950"/>
    <x v="0"/>
    <n v="6554"/>
    <n v="3636"/>
    <n v="3636"/>
    <n v="3745.08"/>
    <n v="204.92000000000007"/>
    <n v="0"/>
    <x v="0"/>
    <x v="0"/>
    <e v="#REF!"/>
    <e v="#REF!"/>
    <s v=""/>
    <n v="5.1878481012658247E-2"/>
  </r>
  <r>
    <x v="7"/>
    <x v="186"/>
    <x v="0"/>
    <x v="32"/>
    <m/>
    <m/>
    <s v="RUBBER_INSULATION, M-FLEX 3/4&quot; 1/4"/>
    <s v="IM-000235"/>
    <n v="1"/>
    <n v="95"/>
    <m/>
    <n v="95"/>
    <x v="0"/>
    <n v="79"/>
    <n v="56.7"/>
    <n v="56.7"/>
    <n v="58.401000000000003"/>
    <n v="36.598999999999997"/>
    <n v="0"/>
    <x v="22"/>
    <x v="0"/>
    <e v="#REF!"/>
    <e v="#REF!"/>
    <s v=""/>
    <n v="0.38525263157894735"/>
  </r>
  <r>
    <x v="7"/>
    <x v="186"/>
    <x v="0"/>
    <x v="32"/>
    <m/>
    <m/>
    <s v="RUBBER_INSULATION, M-FLEX 3/4&quot; 1/2"/>
    <s v="IM-000234"/>
    <n v="3"/>
    <n v="110"/>
    <m/>
    <n v="330"/>
    <x v="0"/>
    <n v="103"/>
    <n v="73.5"/>
    <n v="220.5"/>
    <n v="227.11500000000001"/>
    <n v="102.88499999999999"/>
    <n v="0"/>
    <x v="22"/>
    <x v="0"/>
    <e v="#REF!"/>
    <e v="#REF!"/>
    <s v=""/>
    <n v="0.31177272727272726"/>
  </r>
  <r>
    <x v="7"/>
    <x v="186"/>
    <x v="1"/>
    <x v="3"/>
    <m/>
    <m/>
    <s v="EVAPORATOR, TOYOTA INNOVA OLD (R) JBE-0102X (STAL)"/>
    <s v="CA-001634"/>
    <n v="1"/>
    <n v="1900"/>
    <m/>
    <n v="1900"/>
    <x v="0"/>
    <n v="1470"/>
    <n v="800"/>
    <n v="800"/>
    <n v="840"/>
    <n v="1060"/>
    <n v="318"/>
    <x v="10"/>
    <x v="2"/>
    <e v="#REF!"/>
    <e v="#REF!"/>
    <s v=""/>
    <n v="0.55789473684210522"/>
  </r>
  <r>
    <x v="7"/>
    <x v="186"/>
    <x v="1"/>
    <x v="3"/>
    <m/>
    <m/>
    <s v="RECEIVER_DRIER_ALUMINUM, YK 40 X 290 (INNOVA)"/>
    <s v="CA-001083"/>
    <n v="1"/>
    <n v="560"/>
    <m/>
    <n v="560"/>
    <x v="0"/>
    <n v="638"/>
    <n v="270"/>
    <n v="270"/>
    <n v="283.5"/>
    <n v="276.5"/>
    <n v="82.95"/>
    <x v="27"/>
    <x v="2"/>
    <e v="#REF!"/>
    <e v="#REF!"/>
    <s v=""/>
    <n v="0.49375000000000002"/>
  </r>
  <r>
    <x v="7"/>
    <x v="186"/>
    <x v="1"/>
    <x v="3"/>
    <m/>
    <m/>
    <s v="EXP. VALVE LT, POKKA 9A56 INNOVA F"/>
    <s v="CA-000637"/>
    <n v="1"/>
    <n v="550"/>
    <m/>
    <n v="550"/>
    <x v="0"/>
    <n v="460"/>
    <n v="250"/>
    <n v="250"/>
    <n v="262.5"/>
    <n v="287.5"/>
    <n v="86.25"/>
    <x v="23"/>
    <x v="2"/>
    <e v="#REF!"/>
    <e v="#REF!"/>
    <s v=""/>
    <n v="0.52272727272727271"/>
  </r>
  <r>
    <x v="7"/>
    <x v="186"/>
    <x v="1"/>
    <x v="3"/>
    <m/>
    <m/>
    <s v="EXP. VALVE LT, POKKA 9A57 INNOVA R"/>
    <s v="CA-000638"/>
    <n v="1"/>
    <n v="550"/>
    <m/>
    <n v="550"/>
    <x v="0"/>
    <n v="460"/>
    <n v="250"/>
    <n v="250"/>
    <n v="262.5"/>
    <n v="287.5"/>
    <n v="86.25"/>
    <x v="23"/>
    <x v="2"/>
    <e v="#REF!"/>
    <e v="#REF!"/>
    <s v=""/>
    <n v="0.52272727272727271"/>
  </r>
  <r>
    <x v="7"/>
    <x v="186"/>
    <x v="0"/>
    <x v="1"/>
    <m/>
    <m/>
    <s v="COPPER_TUBE_SOFTDRAWN, EXZEL 0.028 X 1/4 x 15 mtr  05/28/26"/>
    <s v="IM-000329"/>
    <n v="1"/>
    <n v="1950"/>
    <m/>
    <n v="1950"/>
    <x v="0"/>
    <n v="3063"/>
    <n v="1699"/>
    <n v="1699"/>
    <n v="1749.97"/>
    <n v="200.02999999999997"/>
    <n v="0"/>
    <x v="0"/>
    <x v="0"/>
    <e v="#REF!"/>
    <e v="#REF!"/>
    <e v="#REF!"/>
    <n v="0"/>
  </r>
  <r>
    <x v="7"/>
    <x v="186"/>
    <x v="2"/>
    <x v="7"/>
    <m/>
    <m/>
    <s v="AUXFAN_MOTOR, NISSAN ALMERA 4 WIRE"/>
    <s v="CA-000061"/>
    <n v="1"/>
    <n v="2000"/>
    <m/>
    <n v="2000"/>
    <x v="0"/>
    <n v="2481"/>
    <n v="1350"/>
    <n v="1350"/>
    <n v="1417.5"/>
    <n v="582.5"/>
    <n v="174.75"/>
    <x v="14"/>
    <x v="2"/>
    <e v="#REF!"/>
    <e v="#REF!"/>
    <e v="#REF!"/>
    <n v="0"/>
  </r>
  <r>
    <x v="7"/>
    <x v="186"/>
    <x v="0"/>
    <x v="1"/>
    <m/>
    <m/>
    <s v="AUXFAN_MOTOR, NISSAN NV350"/>
    <s v="CA-000066"/>
    <n v="1"/>
    <n v="2000"/>
    <m/>
    <n v="2000"/>
    <x v="0"/>
    <n v="2114"/>
    <n v="1150"/>
    <n v="1150"/>
    <n v="1207.5"/>
    <n v="792.5"/>
    <n v="0"/>
    <x v="14"/>
    <x v="2"/>
    <e v="#REF!"/>
    <e v="#REF!"/>
    <e v="#REF!"/>
    <n v="0"/>
  </r>
  <r>
    <x v="7"/>
    <x v="187"/>
    <x v="0"/>
    <x v="28"/>
    <m/>
    <m/>
    <s v="EVAPORATOR, TOYOTA INNOVA OLD (R) JBE-0102X (STAL)"/>
    <s v="CA-001634"/>
    <n v="1"/>
    <n v="1900"/>
    <m/>
    <n v="1900"/>
    <x v="0"/>
    <n v="1470"/>
    <n v="800"/>
    <n v="800"/>
    <n v="840"/>
    <n v="1060"/>
    <n v="0"/>
    <x v="10"/>
    <x v="2"/>
    <e v="#REF!"/>
    <e v="#REF!"/>
    <s v=""/>
    <n v="0.55789473684210522"/>
  </r>
  <r>
    <x v="7"/>
    <x v="187"/>
    <x v="0"/>
    <x v="1"/>
    <m/>
    <m/>
    <s v="BRACKET , GB 2HP, STAINLESS STEEL FLOOR "/>
    <s v="IM-000010"/>
    <n v="1"/>
    <n v="560"/>
    <m/>
    <n v="560"/>
    <x v="0"/>
    <n v="649"/>
    <n v="360"/>
    <n v="360"/>
    <n v="370.8"/>
    <n v="189.2"/>
    <n v="0"/>
    <x v="1"/>
    <x v="0"/>
    <e v="#REF!"/>
    <e v="#REF!"/>
    <s v=""/>
    <n v="0.33785714285714286"/>
  </r>
  <r>
    <x v="7"/>
    <x v="187"/>
    <x v="0"/>
    <x v="1"/>
    <m/>
    <m/>
    <s v="HOSE,  DRAIN 5/8 PER METER"/>
    <s v="GE-000420"/>
    <n v="6"/>
    <n v="70"/>
    <m/>
    <n v="420"/>
    <x v="0"/>
    <n v="82"/>
    <n v="31"/>
    <n v="186"/>
    <n v="195.3"/>
    <n v="224.7"/>
    <n v="0"/>
    <x v="19"/>
    <x v="1"/>
    <e v="#REF!"/>
    <e v="#REF!"/>
    <s v=""/>
    <n v="0.53499999999999992"/>
  </r>
  <r>
    <x v="7"/>
    <x v="187"/>
    <x v="0"/>
    <x v="1"/>
    <m/>
    <m/>
    <s v="COPPER_TUBE_SOFTDRAWN, EXZEL 0.028 X 1/4 x 15 mtr  05/28/26"/>
    <s v="IM-000329"/>
    <n v="0.6"/>
    <n v="2500"/>
    <m/>
    <n v="1500"/>
    <x v="0"/>
    <n v="3063"/>
    <n v="1699"/>
    <n v="1019.4"/>
    <n v="1049.982"/>
    <n v="450.01800000000003"/>
    <n v="0"/>
    <x v="0"/>
    <x v="0"/>
    <e v="#REF!"/>
    <e v="#REF!"/>
    <s v=""/>
    <n v="0.300012"/>
  </r>
  <r>
    <x v="7"/>
    <x v="187"/>
    <x v="0"/>
    <x v="1"/>
    <m/>
    <m/>
    <s v="COPPER_TUBE_SOFTDRAWN, HAILIANG 0.028 X 3/8 x 15 mtr 06/02/26"/>
    <s v="IM-000327"/>
    <n v="0.6"/>
    <n v="3500"/>
    <m/>
    <n v="2100"/>
    <x v="0"/>
    <n v="4774"/>
    <n v="2648"/>
    <n v="1588.8"/>
    <n v="1636.4639999999999"/>
    <n v="463.53600000000006"/>
    <n v="0"/>
    <x v="0"/>
    <x v="0"/>
    <e v="#REF!"/>
    <e v="#REF!"/>
    <s v=""/>
    <n v="0.22073142857142861"/>
  </r>
  <r>
    <x v="7"/>
    <x v="187"/>
    <x v="0"/>
    <x v="1"/>
    <m/>
    <m/>
    <s v="TAPE_PE, PICUS Polythelene Tape (White)X 4&quot;"/>
    <s v="IM-000247"/>
    <n v="1"/>
    <n v="125"/>
    <m/>
    <n v="125"/>
    <x v="0"/>
    <n v="147"/>
    <n v="75"/>
    <n v="75"/>
    <n v="77.25"/>
    <n v="47.75"/>
    <n v="0"/>
    <x v="29"/>
    <x v="0"/>
    <e v="#REF!"/>
    <e v="#REF!"/>
    <s v=""/>
    <n v="0.38200000000000001"/>
  </r>
  <r>
    <x v="7"/>
    <x v="187"/>
    <x v="0"/>
    <x v="1"/>
    <m/>
    <m/>
    <s v="ROYAL CORD, POWERFLEX 4-CORE, #16 1.2 MM, METER"/>
    <s v="GE-000485"/>
    <n v="12"/>
    <n v="125"/>
    <m/>
    <n v="1500"/>
    <x v="0"/>
    <n v="90"/>
    <n v="72"/>
    <n v="864"/>
    <n v="907.2"/>
    <n v="592.79999999999995"/>
    <n v="0"/>
    <x v="48"/>
    <x v="1"/>
    <e v="#REF!"/>
    <e v="#REF!"/>
    <s v=""/>
    <n v="0.3952"/>
  </r>
  <r>
    <x v="7"/>
    <x v="187"/>
    <x v="0"/>
    <x v="1"/>
    <m/>
    <m/>
    <s v="RUBBER_INSULATION, M-FLEX 3/4&quot; 1/2"/>
    <s v="IM-000234"/>
    <n v="5"/>
    <n v="110"/>
    <m/>
    <n v="550"/>
    <x v="0"/>
    <n v="103"/>
    <n v="73.5"/>
    <n v="367.5"/>
    <n v="378.52500000000003"/>
    <n v="171.47499999999997"/>
    <n v="0"/>
    <x v="22"/>
    <x v="0"/>
    <e v="#REF!"/>
    <e v="#REF!"/>
    <s v=""/>
    <n v="0.3117727272727272"/>
  </r>
  <r>
    <x v="7"/>
    <x v="187"/>
    <x v="2"/>
    <x v="9"/>
    <m/>
    <m/>
    <s v="EVAPORATOR, ISUZU CROSSWIND (F)"/>
    <s v="CA-000498"/>
    <n v="1"/>
    <n v="1900"/>
    <m/>
    <n v="1900"/>
    <x v="0"/>
    <n v="2297"/>
    <n v="1250"/>
    <n v="1250"/>
    <n v="1312.5"/>
    <n v="587.5"/>
    <n v="176.25"/>
    <x v="10"/>
    <x v="2"/>
    <e v="#REF!"/>
    <e v="#REF!"/>
    <s v=""/>
    <n v="0.30921052631578949"/>
  </r>
  <r>
    <x v="7"/>
    <x v="187"/>
    <x v="2"/>
    <x v="9"/>
    <m/>
    <m/>
    <s v="FERULLE,  5/8&quot;"/>
    <s v="CA-000646"/>
    <n v="20"/>
    <n v="15"/>
    <m/>
    <n v="300"/>
    <x v="0"/>
    <n v="13"/>
    <n v="7"/>
    <n v="140"/>
    <n v="147"/>
    <n v="153"/>
    <n v="45.9"/>
    <x v="42"/>
    <x v="2"/>
    <e v="#REF!"/>
    <e v="#REF!"/>
    <s v=""/>
    <n v="0.51"/>
  </r>
  <r>
    <x v="7"/>
    <x v="187"/>
    <x v="2"/>
    <x v="9"/>
    <m/>
    <m/>
    <s v="FITTINGS, ELBOW ORING TYPE  5/8"/>
    <s v="CA-000661"/>
    <n v="10"/>
    <n v="40"/>
    <m/>
    <n v="400"/>
    <x v="0"/>
    <n v="33"/>
    <n v="17.5"/>
    <n v="175"/>
    <n v="183.75"/>
    <n v="216.25"/>
    <n v="64.875"/>
    <x v="33"/>
    <x v="2"/>
    <e v="#REF!"/>
    <e v="#REF!"/>
    <s v=""/>
    <n v="0.54062500000000002"/>
  </r>
  <r>
    <x v="7"/>
    <x v="187"/>
    <x v="2"/>
    <x v="9"/>
    <m/>
    <m/>
    <s v="FITTINGS, STRAIGHT ORING TYPE 5/8"/>
    <s v="CA-000677"/>
    <n v="10"/>
    <n v="40"/>
    <m/>
    <n v="400"/>
    <x v="0"/>
    <n v="30"/>
    <n v="16"/>
    <n v="160"/>
    <n v="168"/>
    <n v="232"/>
    <n v="69.599999999999994"/>
    <x v="33"/>
    <x v="2"/>
    <e v="#REF!"/>
    <e v="#REF!"/>
    <s v=""/>
    <n v="0.57999999999999996"/>
  </r>
  <r>
    <x v="7"/>
    <x v="187"/>
    <x v="2"/>
    <x v="50"/>
    <m/>
    <m/>
    <s v="AUXFAN_MOTOR, TOYOTA HI-ACE FRONT NEW 4810"/>
    <s v="CA-000089"/>
    <n v="1"/>
    <n v="2000"/>
    <m/>
    <n v="2000"/>
    <x v="0"/>
    <n v="2481"/>
    <n v="1350"/>
    <n v="1350"/>
    <n v="1417.5"/>
    <n v="582.5"/>
    <n v="174.75"/>
    <x v="14"/>
    <x v="2"/>
    <e v="#REF!"/>
    <e v="#REF!"/>
    <s v=""/>
    <n v="0.29125000000000001"/>
  </r>
  <r>
    <x v="7"/>
    <x v="187"/>
    <x v="0"/>
    <x v="1"/>
    <m/>
    <m/>
    <s v="ACCESS_VALVE, OMNI WELDED TYPE "/>
    <s v="GE-000253"/>
    <n v="1"/>
    <n v="50"/>
    <m/>
    <n v="50"/>
    <x v="0"/>
    <n v="47"/>
    <n v="21"/>
    <n v="21"/>
    <n v="22.05"/>
    <n v="27.95"/>
    <n v="0"/>
    <x v="67"/>
    <x v="1"/>
    <e v="#REF!"/>
    <e v="#REF!"/>
    <s v=""/>
    <n v="0.55899999999999994"/>
  </r>
  <r>
    <x v="7"/>
    <x v="187"/>
    <x v="0"/>
    <x v="1"/>
    <m/>
    <m/>
    <s v="EVAPORATOR, HYUNDAI ACCENT 2013 40A522"/>
    <s v="CA-001861"/>
    <n v="1"/>
    <n v="2000"/>
    <m/>
    <n v="2000"/>
    <x v="0"/>
    <n v="2389"/>
    <n v="1300"/>
    <n v="1300"/>
    <n v="1365"/>
    <n v="635"/>
    <n v="0"/>
    <x v="10"/>
    <x v="2"/>
    <e v="#REF!"/>
    <e v="#REF!"/>
    <s v=""/>
    <n v="0.3175"/>
  </r>
  <r>
    <x v="7"/>
    <x v="187"/>
    <x v="0"/>
    <x v="1"/>
    <m/>
    <m/>
    <s v="EXP. VALVE LT, POKKA 9A129B ACCENT"/>
    <s v="CA-000629"/>
    <n v="1"/>
    <n v="600"/>
    <m/>
    <n v="600"/>
    <x v="0"/>
    <n v="625"/>
    <n v="340"/>
    <n v="340"/>
    <n v="357"/>
    <n v="243"/>
    <n v="0"/>
    <x v="23"/>
    <x v="2"/>
    <e v="#REF!"/>
    <e v="#REF!"/>
    <s v=""/>
    <n v="0.40500000000000003"/>
  </r>
  <r>
    <x v="7"/>
    <x v="187"/>
    <x v="0"/>
    <x v="1"/>
    <m/>
    <n v="200"/>
    <s v="SILICA_GEL, STAL SHORT"/>
    <s v="CA-001638"/>
    <n v="1"/>
    <n v="180"/>
    <m/>
    <n v="180"/>
    <x v="0"/>
    <n v="44"/>
    <n v="22"/>
    <n v="22"/>
    <n v="23.1"/>
    <n v="156.9"/>
    <n v="0"/>
    <x v="37"/>
    <x v="2"/>
    <e v="#REF!"/>
    <e v="#REF!"/>
    <n v="201.60000000000002"/>
    <n v="0.8716666666666667"/>
  </r>
  <r>
    <x v="7"/>
    <x v="187"/>
    <x v="0"/>
    <x v="1"/>
    <m/>
    <m/>
    <s v="ACCESS_VALVE, OMNI WELDED TYPE "/>
    <s v="GE-000253"/>
    <n v="2"/>
    <n v="50"/>
    <m/>
    <n v="100"/>
    <x v="0"/>
    <n v="47"/>
    <n v="21"/>
    <n v="42"/>
    <n v="44.1"/>
    <n v="55.9"/>
    <n v="0"/>
    <x v="67"/>
    <x v="1"/>
    <e v="#REF!"/>
    <e v="#REF!"/>
    <s v=""/>
    <n v="0.55899999999999994"/>
  </r>
  <r>
    <x v="7"/>
    <x v="187"/>
    <x v="0"/>
    <x v="1"/>
    <m/>
    <m/>
    <s v="REF_DRIER, OMNI WELDED TYPE  SINGLE"/>
    <s v="GE-000005"/>
    <n v="1"/>
    <n v="60"/>
    <m/>
    <n v="60"/>
    <x v="0"/>
    <n v="58.800000000000004"/>
    <n v="28"/>
    <n v="28"/>
    <n v="29.400000000000002"/>
    <n v="30.599999999999998"/>
    <n v="0"/>
    <x v="73"/>
    <x v="1"/>
    <e v="#REF!"/>
    <e v="#REF!"/>
    <s v=""/>
    <n v="0.51"/>
  </r>
  <r>
    <x v="7"/>
    <x v="187"/>
    <x v="0"/>
    <x v="1"/>
    <m/>
    <m/>
    <s v="PASTE_FLUX, FLUX-4 SILVER BRAZING 115 GRM"/>
    <s v="IM-000219"/>
    <n v="1"/>
    <n v="150"/>
    <m/>
    <n v="150"/>
    <x v="0"/>
    <n v="155"/>
    <n v="50"/>
    <n v="50"/>
    <n v="51.5"/>
    <n v="98.5"/>
    <n v="0"/>
    <x v="60"/>
    <x v="0"/>
    <e v="#REF!"/>
    <e v="#REF!"/>
    <s v=""/>
    <n v="0.65666666666666662"/>
  </r>
  <r>
    <x v="7"/>
    <x v="187"/>
    <x v="0"/>
    <x v="49"/>
    <m/>
    <m/>
    <s v="PULLEY_ASSEMBLY, TOYOTA VIOS 08 4PK"/>
    <s v="CA-001075"/>
    <n v="1"/>
    <n v="2000"/>
    <m/>
    <n v="2000"/>
    <x v="0"/>
    <n v="2184"/>
    <n v="1300"/>
    <n v="1300"/>
    <n v="1365"/>
    <n v="635"/>
    <n v="0"/>
    <x v="11"/>
    <x v="2"/>
    <e v="#REF!"/>
    <e v="#REF!"/>
    <s v=""/>
    <n v="0.3175"/>
  </r>
  <r>
    <x v="7"/>
    <x v="187"/>
    <x v="0"/>
    <x v="8"/>
    <m/>
    <m/>
    <s v="HOSE, COOLMATE 1/2 DISCHARGE PER FT"/>
    <s v="GE-000179"/>
    <n v="10"/>
    <n v="85"/>
    <m/>
    <n v="850"/>
    <x v="0"/>
    <n v="80"/>
    <n v="43"/>
    <n v="430"/>
    <n v="451.5"/>
    <n v="398.5"/>
    <n v="0"/>
    <x v="19"/>
    <x v="1"/>
    <e v="#REF!"/>
    <e v="#REF!"/>
    <s v=""/>
    <n v="0.46882352941176469"/>
  </r>
  <r>
    <x v="7"/>
    <x v="187"/>
    <x v="0"/>
    <x v="8"/>
    <m/>
    <m/>
    <s v="FITTINGS, STRAIGHT ORING TYPE 3/8"/>
    <s v="CA-000675"/>
    <n v="2"/>
    <n v="40"/>
    <m/>
    <n v="80"/>
    <x v="0"/>
    <n v="30"/>
    <n v="16"/>
    <n v="32"/>
    <n v="33.6"/>
    <n v="46.4"/>
    <n v="0"/>
    <x v="33"/>
    <x v="2"/>
    <e v="#REF!"/>
    <e v="#REF!"/>
    <s v=""/>
    <n v="0.57999999999999996"/>
  </r>
  <r>
    <x v="7"/>
    <x v="187"/>
    <x v="0"/>
    <x v="8"/>
    <m/>
    <m/>
    <s v="FERULLE,  1/2&quot;"/>
    <s v="CA-000644"/>
    <n v="4"/>
    <n v="15"/>
    <m/>
    <n v="60"/>
    <x v="0"/>
    <n v="13"/>
    <n v="7"/>
    <n v="28"/>
    <n v="29.400000000000002"/>
    <n v="30.599999999999998"/>
    <n v="0"/>
    <x v="42"/>
    <x v="2"/>
    <e v="#REF!"/>
    <e v="#REF!"/>
    <s v=""/>
    <n v="0.51"/>
  </r>
  <r>
    <x v="7"/>
    <x v="187"/>
    <x v="0"/>
    <x v="72"/>
    <m/>
    <m/>
    <s v="EXP. VALVE LT, POKKA 9A172 FORD RANGER 12"/>
    <s v="CA-001385"/>
    <n v="2"/>
    <n v="600"/>
    <m/>
    <n v="1200"/>
    <x v="0"/>
    <n v="588"/>
    <n v="320"/>
    <n v="640"/>
    <n v="672"/>
    <n v="528"/>
    <n v="0"/>
    <x v="23"/>
    <x v="2"/>
    <e v="#REF!"/>
    <e v="#REF!"/>
    <s v=""/>
    <n v="0.44"/>
  </r>
  <r>
    <x v="7"/>
    <x v="187"/>
    <x v="0"/>
    <x v="11"/>
    <m/>
    <m/>
    <s v="RECEIVER_DRIER_ALUMINUM, YK 8038 (Civic, CRV)"/>
    <s v="CA-001094"/>
    <n v="1"/>
    <n v="560"/>
    <m/>
    <n v="560"/>
    <x v="0"/>
    <n v="532"/>
    <n v="225"/>
    <n v="225"/>
    <n v="236.25"/>
    <n v="323.75"/>
    <n v="0"/>
    <x v="27"/>
    <x v="2"/>
    <e v="#REF!"/>
    <e v="#REF!"/>
    <s v=""/>
    <n v="0.578125"/>
  </r>
  <r>
    <x v="7"/>
    <x v="187"/>
    <x v="0"/>
    <x v="11"/>
    <m/>
    <m/>
    <s v="TAPE_FOAM, POKKA 5MM X 50 MM X 9.1 MTR"/>
    <s v="IM-000106"/>
    <n v="1"/>
    <n v="260"/>
    <m/>
    <n v="260"/>
    <x v="0"/>
    <n v="194"/>
    <n v="125"/>
    <n v="125"/>
    <n v="128.75"/>
    <n v="131.25"/>
    <n v="0"/>
    <x v="25"/>
    <x v="0"/>
    <e v="#REF!"/>
    <e v="#REF!"/>
    <s v=""/>
    <n v="0.50480769230769229"/>
  </r>
  <r>
    <x v="7"/>
    <x v="187"/>
    <x v="0"/>
    <x v="1"/>
    <m/>
    <m/>
    <s v="RUBBER_INSULATION, M-FLEX 3/4&quot; 1/4"/>
    <s v="IM-000235"/>
    <n v="5"/>
    <n v="95"/>
    <m/>
    <n v="475"/>
    <x v="0"/>
    <n v="79"/>
    <n v="56.7"/>
    <n v="283.5"/>
    <n v="292.005"/>
    <n v="182.995"/>
    <n v="0"/>
    <x v="22"/>
    <x v="0"/>
    <e v="#REF!"/>
    <e v="#REF!"/>
    <s v=""/>
    <n v="0.3852526315789474"/>
  </r>
  <r>
    <x v="7"/>
    <x v="187"/>
    <x v="0"/>
    <x v="1"/>
    <m/>
    <m/>
    <s v="RUBBER_INSULATION, M-FLEX 3/4&quot; 5/8"/>
    <s v="IM-000331"/>
    <n v="5"/>
    <n v="140"/>
    <m/>
    <n v="700"/>
    <x v="0"/>
    <n v="140"/>
    <n v="100"/>
    <n v="500"/>
    <n v="515"/>
    <n v="185"/>
    <n v="0"/>
    <x v="22"/>
    <x v="0"/>
    <e v="#REF!"/>
    <e v="#REF!"/>
    <s v=""/>
    <n v="0.26428571428571429"/>
  </r>
  <r>
    <x v="7"/>
    <x v="187"/>
    <x v="0"/>
    <x v="1"/>
    <m/>
    <m/>
    <s v="TAPE_FOAM, AEROTAPE 3MM X 50 MM X 9.1 MTR  06/18/26"/>
    <s v="IM-000332"/>
    <n v="1"/>
    <n v="430"/>
    <m/>
    <n v="430"/>
    <x v="0"/>
    <n v="510"/>
    <n v="330"/>
    <n v="330"/>
    <n v="339.90000000000003"/>
    <n v="90.099999999999966"/>
    <n v="0"/>
    <x v="25"/>
    <x v="0"/>
    <e v="#REF!"/>
    <e v="#REF!"/>
    <s v=""/>
    <n v="0.20953488372093015"/>
  </r>
  <r>
    <x v="7"/>
    <x v="187"/>
    <x v="0"/>
    <x v="1"/>
    <m/>
    <m/>
    <s v="TAPE_PE, PICUS Polythelene Tape (White)X 4&quot;"/>
    <s v="IM-000247"/>
    <n v="1"/>
    <n v="125"/>
    <m/>
    <n v="125"/>
    <x v="0"/>
    <n v="147"/>
    <n v="75"/>
    <n v="75"/>
    <n v="77.25"/>
    <n v="47.75"/>
    <n v="0"/>
    <x v="29"/>
    <x v="0"/>
    <e v="#REF!"/>
    <e v="#REF!"/>
    <s v=""/>
    <n v="0.38200000000000001"/>
  </r>
  <r>
    <x v="7"/>
    <x v="187"/>
    <x v="0"/>
    <x v="162"/>
    <m/>
    <n v="9856"/>
    <s v="REFRIGERANT, ENTALPIA EUROPE R134A 13.6   6/16/26 "/>
    <s v="GE-000517"/>
    <n v="1"/>
    <n v="8800"/>
    <m/>
    <n v="8800"/>
    <x v="0"/>
    <n v="10489"/>
    <n v="7684"/>
    <n v="7684"/>
    <n v="8068.2000000000007"/>
    <n v="731.79999999999927"/>
    <n v="0"/>
    <x v="5"/>
    <x v="1"/>
    <e v="#REF!"/>
    <e v="#REF!"/>
    <n v="9856.0000000000018"/>
    <n v="8.3159090909090821E-2"/>
  </r>
  <r>
    <x v="7"/>
    <x v="188"/>
    <x v="0"/>
    <x v="8"/>
    <m/>
    <m/>
    <s v="EVAPORATOR, NISSAN NV350 (STAL)"/>
    <s v="CA-001660"/>
    <n v="1"/>
    <n v="2100"/>
    <m/>
    <n v="2100"/>
    <x v="0"/>
    <n v="2022"/>
    <n v="1100"/>
    <n v="1100"/>
    <n v="1155"/>
    <n v="945"/>
    <n v="0"/>
    <x v="10"/>
    <x v="2"/>
    <e v="#REF!"/>
    <e v="#REF!"/>
    <s v=""/>
    <n v="0.45"/>
  </r>
  <r>
    <x v="7"/>
    <x v="188"/>
    <x v="0"/>
    <x v="120"/>
    <m/>
    <m/>
    <s v="AUXFAN_MOTOR, MITSUBISHI MIRAGE 2 PIN / WIGO 1030"/>
    <s v="CA-000053"/>
    <n v="1"/>
    <n v="1800"/>
    <m/>
    <n v="1800"/>
    <x v="0"/>
    <n v="2022"/>
    <n v="1100"/>
    <n v="1100"/>
    <n v="1155"/>
    <n v="645"/>
    <n v="0"/>
    <x v="14"/>
    <x v="2"/>
    <e v="#REF!"/>
    <e v="#REF!"/>
    <s v=""/>
    <n v="0.35833333333333334"/>
  </r>
  <r>
    <x v="7"/>
    <x v="188"/>
    <x v="0"/>
    <x v="1"/>
    <m/>
    <m/>
    <s v="BRACKET , GB 2HP, COATED"/>
    <s v="IM-000011"/>
    <n v="1"/>
    <n v="460"/>
    <m/>
    <n v="460"/>
    <x v="0"/>
    <n v="532"/>
    <n v="295"/>
    <n v="295"/>
    <n v="303.85000000000002"/>
    <n v="156.14999999999998"/>
    <n v="0"/>
    <x v="1"/>
    <x v="0"/>
    <e v="#REF!"/>
    <e v="#REF!"/>
    <s v=""/>
    <n v="0.33945652173913038"/>
  </r>
  <r>
    <x v="7"/>
    <x v="188"/>
    <x v="3"/>
    <x v="12"/>
    <m/>
    <n v="1900"/>
    <s v="EVAPORATOR, ISUZU CROSSWIND (F)"/>
    <s v="CA-000498"/>
    <n v="1"/>
    <n v="1696"/>
    <m/>
    <n v="1696"/>
    <x v="0"/>
    <n v="2297"/>
    <n v="1250"/>
    <n v="1250"/>
    <n v="1312.5"/>
    <n v="383.5"/>
    <n v="115.05"/>
    <x v="10"/>
    <x v="2"/>
    <e v="#REF!"/>
    <e v="#REF!"/>
    <n v="1899.5200000000002"/>
    <n v="0.22612028301886791"/>
  </r>
  <r>
    <x v="7"/>
    <x v="188"/>
    <x v="2"/>
    <x v="9"/>
    <m/>
    <n v="1900"/>
    <s v="EVAPORATOR, TOYOTA INNOVA OLD (F) JBE-0103ZX (STAL)"/>
    <s v="CA-001633"/>
    <n v="1"/>
    <n v="1700"/>
    <m/>
    <n v="1700"/>
    <x v="0"/>
    <n v="1654"/>
    <n v="900"/>
    <n v="900"/>
    <n v="945"/>
    <n v="755"/>
    <n v="226.5"/>
    <x v="10"/>
    <x v="2"/>
    <e v="#REF!"/>
    <e v="#REF!"/>
    <n v="1904.0000000000002"/>
    <n v="0.44411764705882351"/>
  </r>
  <r>
    <x v="7"/>
    <x v="188"/>
    <x v="2"/>
    <x v="9"/>
    <m/>
    <m/>
    <s v="RECEIVER_DRIER_ALUMINUM, YK 8015 (L) (Adventure)"/>
    <s v="CA-001085"/>
    <n v="2"/>
    <n v="560"/>
    <m/>
    <n v="1120"/>
    <x v="0"/>
    <n v="615"/>
    <n v="260"/>
    <n v="520"/>
    <n v="546"/>
    <n v="574"/>
    <n v="172.2"/>
    <x v="27"/>
    <x v="2"/>
    <e v="#REF!"/>
    <e v="#REF!"/>
    <s v=""/>
    <n v="0.51249999999999996"/>
  </r>
  <r>
    <x v="7"/>
    <x v="188"/>
    <x v="2"/>
    <x v="9"/>
    <m/>
    <m/>
    <s v="EXP. VALVE LT, POKKA 9A56 INNOVA F"/>
    <s v="CA-000637"/>
    <n v="3"/>
    <n v="550"/>
    <m/>
    <n v="1650"/>
    <x v="0"/>
    <n v="460"/>
    <n v="250"/>
    <n v="750"/>
    <n v="787.5"/>
    <n v="862.5"/>
    <n v="258.75"/>
    <x v="23"/>
    <x v="2"/>
    <e v="#REF!"/>
    <e v="#REF!"/>
    <s v=""/>
    <n v="0.52272727272727271"/>
  </r>
  <r>
    <x v="7"/>
    <x v="188"/>
    <x v="2"/>
    <x v="9"/>
    <m/>
    <m/>
    <s v="EXP. VALVE LT, POKKA 9A57 INNOVA R"/>
    <s v="CA-000638"/>
    <n v="3"/>
    <n v="550"/>
    <m/>
    <n v="1650"/>
    <x v="0"/>
    <n v="460"/>
    <n v="250"/>
    <n v="750"/>
    <n v="787.5"/>
    <n v="862.5"/>
    <n v="258.75"/>
    <x v="23"/>
    <x v="2"/>
    <e v="#REF!"/>
    <e v="#REF!"/>
    <s v=""/>
    <n v="0.52272727272727271"/>
  </r>
  <r>
    <x v="7"/>
    <x v="188"/>
    <x v="0"/>
    <x v="18"/>
    <m/>
    <m/>
    <s v="REFRIGERANT, ENTALPIA EUROPE R134A 13.6   6/16/26 "/>
    <s v="GE-000517"/>
    <n v="1"/>
    <n v="8800"/>
    <m/>
    <n v="8800"/>
    <x v="0"/>
    <n v="10489"/>
    <n v="7684"/>
    <n v="7684"/>
    <n v="8068.2000000000007"/>
    <n v="731.79999999999927"/>
    <n v="0"/>
    <x v="5"/>
    <x v="1"/>
    <e v="#REF!"/>
    <e v="#REF!"/>
    <s v=""/>
    <n v="8.3159090909090821E-2"/>
  </r>
  <r>
    <x v="7"/>
    <x v="188"/>
    <x v="3"/>
    <x v="12"/>
    <m/>
    <n v="2200"/>
    <s v="BLOWER_MOTOR, HYUNDAI ACCENT 2013"/>
    <s v="CA-000158"/>
    <n v="1"/>
    <n v="2200"/>
    <m/>
    <n v="2200"/>
    <x v="0"/>
    <n v="2849"/>
    <n v="1550"/>
    <n v="1550"/>
    <n v="1627.5"/>
    <n v="572.5"/>
    <n v="171.75"/>
    <x v="15"/>
    <x v="2"/>
    <e v="#REF!"/>
    <e v="#REF!"/>
    <n v="2464.0000000000005"/>
    <n v="0.26022727272727275"/>
  </r>
  <r>
    <x v="7"/>
    <x v="188"/>
    <x v="0"/>
    <x v="95"/>
    <m/>
    <m/>
    <s v="EVAPORATOR, HYUNDAI TUCSON 2017"/>
    <s v="CA-001782"/>
    <n v="1"/>
    <n v="2300"/>
    <m/>
    <n v="2300"/>
    <x v="0"/>
    <n v="2849"/>
    <n v="1550"/>
    <n v="1550"/>
    <n v="1627.5"/>
    <n v="672.5"/>
    <n v="0"/>
    <x v="10"/>
    <x v="2"/>
    <e v="#REF!"/>
    <e v="#REF!"/>
    <s v=""/>
    <n v="0.29239130434782606"/>
  </r>
  <r>
    <x v="7"/>
    <x v="188"/>
    <x v="0"/>
    <x v="95"/>
    <m/>
    <m/>
    <s v="EXP. VALVE LT, POKKA 9A129B ACCENT"/>
    <s v="CA-000629"/>
    <n v="1"/>
    <n v="650"/>
    <m/>
    <n v="650"/>
    <x v="0"/>
    <n v="625"/>
    <n v="340"/>
    <n v="340"/>
    <n v="357"/>
    <n v="293"/>
    <n v="0"/>
    <x v="23"/>
    <x v="2"/>
    <e v="#REF!"/>
    <e v="#REF!"/>
    <s v=""/>
    <n v="0.45076923076923076"/>
  </r>
  <r>
    <x v="7"/>
    <x v="188"/>
    <x v="0"/>
    <x v="95"/>
    <m/>
    <n v="200"/>
    <s v="SILICA_GEL, STAL SHORT"/>
    <s v="CA-001638"/>
    <n v="1"/>
    <n v="180"/>
    <m/>
    <n v="180"/>
    <x v="0"/>
    <n v="44"/>
    <n v="22"/>
    <n v="22"/>
    <n v="23.1"/>
    <n v="156.9"/>
    <n v="0"/>
    <x v="37"/>
    <x v="2"/>
    <e v="#REF!"/>
    <e v="#REF!"/>
    <n v="201.60000000000002"/>
    <n v="0.8716666666666667"/>
  </r>
  <r>
    <x v="7"/>
    <x v="188"/>
    <x v="0"/>
    <x v="95"/>
    <m/>
    <m/>
    <s v="O_RING, NEK MAKAPAL 5/16 TINGI"/>
    <s v="CA-001493"/>
    <n v="5"/>
    <n v="5"/>
    <m/>
    <n v="25"/>
    <x v="0"/>
    <n v="2"/>
    <n v="1"/>
    <n v="5"/>
    <n v="5.25"/>
    <n v="19.75"/>
    <n v="0"/>
    <x v="44"/>
    <x v="2"/>
    <e v="#REF!"/>
    <e v="#REF!"/>
    <s v=""/>
    <n v="0.79"/>
  </r>
  <r>
    <x v="7"/>
    <x v="188"/>
    <x v="0"/>
    <x v="95"/>
    <m/>
    <m/>
    <s v="O_RING, NEK MAKAPAL 5/8 TINGI"/>
    <s v="CA-001494"/>
    <n v="5"/>
    <n v="5"/>
    <m/>
    <n v="25"/>
    <x v="0"/>
    <n v="2"/>
    <n v="1"/>
    <n v="5"/>
    <n v="5.25"/>
    <n v="19.75"/>
    <n v="0"/>
    <x v="44"/>
    <x v="2"/>
    <e v="#REF!"/>
    <e v="#REF!"/>
    <s v=""/>
    <n v="0.79"/>
  </r>
  <r>
    <x v="7"/>
    <x v="188"/>
    <x v="0"/>
    <x v="95"/>
    <m/>
    <m/>
    <s v="O_RING, NEK MAKAPAL 3/8 TINGI"/>
    <s v="CA-001492"/>
    <n v="5"/>
    <n v="5"/>
    <m/>
    <n v="25"/>
    <x v="0"/>
    <n v="2"/>
    <n v="1"/>
    <n v="5"/>
    <n v="5.25"/>
    <n v="19.75"/>
    <n v="0"/>
    <x v="44"/>
    <x v="2"/>
    <e v="#REF!"/>
    <e v="#REF!"/>
    <s v=""/>
    <n v="0.79"/>
  </r>
  <r>
    <x v="7"/>
    <x v="188"/>
    <x v="0"/>
    <x v="95"/>
    <m/>
    <m/>
    <s v="O_RING, NEK MAKAPAL 1/2  TINGI"/>
    <s v="CA-001491"/>
    <n v="5"/>
    <n v="5"/>
    <m/>
    <n v="25"/>
    <x v="0"/>
    <n v="2"/>
    <n v="1"/>
    <n v="5"/>
    <n v="5.25"/>
    <n v="19.75"/>
    <n v="0"/>
    <x v="44"/>
    <x v="2"/>
    <e v="#REF!"/>
    <e v="#REF!"/>
    <s v=""/>
    <n v="0.79"/>
  </r>
  <r>
    <x v="7"/>
    <x v="188"/>
    <x v="0"/>
    <x v="139"/>
    <m/>
    <m/>
    <s v="COPPER_TUBE_SOFTDRAWN, EXZEL 0.028 X 1/4 x 15 mtr  05/28/26"/>
    <s v="IM-000329"/>
    <n v="1"/>
    <n v="1950"/>
    <m/>
    <n v="1950"/>
    <x v="0"/>
    <n v="3063"/>
    <n v="1699"/>
    <n v="1699"/>
    <n v="1749.97"/>
    <n v="200.02999999999997"/>
    <n v="0"/>
    <x v="0"/>
    <x v="0"/>
    <e v="#REF!"/>
    <e v="#REF!"/>
    <s v=""/>
    <n v="0.10257948717948717"/>
  </r>
  <r>
    <x v="7"/>
    <x v="188"/>
    <x v="0"/>
    <x v="139"/>
    <m/>
    <m/>
    <s v="COPPER_TUBE_SOFTDRAWN, HAILIANG 0.028 X 3/8 x 15 mtr 06/02/26"/>
    <s v="IM-000327"/>
    <n v="1"/>
    <n v="2950"/>
    <m/>
    <n v="2950"/>
    <x v="0"/>
    <n v="4774"/>
    <n v="2648"/>
    <n v="2648"/>
    <n v="2727.44"/>
    <n v="222.55999999999995"/>
    <n v="0"/>
    <x v="0"/>
    <x v="0"/>
    <e v="#REF!"/>
    <e v="#REF!"/>
    <s v=""/>
    <n v="7.5444067796610156E-2"/>
  </r>
  <r>
    <x v="7"/>
    <x v="188"/>
    <x v="0"/>
    <x v="163"/>
    <m/>
    <m/>
    <s v="TAPE_FOAM, POKKA 5MM X 50 MM X 9.1 MTR"/>
    <s v="IM-000106"/>
    <n v="1"/>
    <n v="260"/>
    <m/>
    <n v="260"/>
    <x v="0"/>
    <n v="194"/>
    <n v="125"/>
    <n v="125"/>
    <n v="128.75"/>
    <n v="131.25"/>
    <n v="0"/>
    <x v="25"/>
    <x v="0"/>
    <e v="#REF!"/>
    <e v="#REF!"/>
    <s v=""/>
    <n v="0.50480769230769229"/>
  </r>
  <r>
    <x v="7"/>
    <x v="188"/>
    <x v="0"/>
    <x v="163"/>
    <m/>
    <m/>
    <s v="TAPE_FOAM, INSULFLEX 3MM X 48 MM X 9.14 MTR"/>
    <s v="IM-000177"/>
    <n v="3"/>
    <n v="300"/>
    <m/>
    <n v="900"/>
    <x v="0"/>
    <n v="302"/>
    <n v="195"/>
    <n v="585"/>
    <n v="602.55000000000007"/>
    <n v="297.44999999999993"/>
    <n v="0"/>
    <x v="25"/>
    <x v="0"/>
    <e v="#REF!"/>
    <e v="#REF!"/>
    <s v=""/>
    <n v="0.3304999999999999"/>
  </r>
  <r>
    <x v="7"/>
    <x v="188"/>
    <x v="0"/>
    <x v="23"/>
    <m/>
    <m/>
    <s v="AUXFAN_MOTOR, HONDA CITY 2009 (19030)"/>
    <s v="CA-000016"/>
    <n v="1"/>
    <n v="1800"/>
    <m/>
    <n v="1800"/>
    <x v="0"/>
    <n v="2114"/>
    <n v="1150"/>
    <n v="1150"/>
    <n v="1207.5"/>
    <n v="592.5"/>
    <n v="0"/>
    <x v="14"/>
    <x v="2"/>
    <e v="#REF!"/>
    <e v="#REF!"/>
    <s v=""/>
    <n v="0.32916666666666666"/>
  </r>
  <r>
    <x v="7"/>
    <x v="188"/>
    <x v="0"/>
    <x v="1"/>
    <m/>
    <m/>
    <s v="ROD, HARRIS SILVER "/>
    <s v="IM-000098"/>
    <n v="3"/>
    <n v="28"/>
    <m/>
    <n v="84"/>
    <x v="0"/>
    <n v="30"/>
    <n v="19"/>
    <n v="57"/>
    <n v="58.71"/>
    <n v="25.29"/>
    <n v="0"/>
    <x v="56"/>
    <x v="0"/>
    <e v="#REF!"/>
    <e v="#REF!"/>
    <s v=""/>
    <n v="0.30107142857142855"/>
  </r>
  <r>
    <x v="7"/>
    <x v="188"/>
    <x v="0"/>
    <x v="1"/>
    <m/>
    <m/>
    <s v="COPPER_TUBE_SOFTDRAWN, EXZEL 0.028 X 1/4 x 15 mtr  05/28/26"/>
    <s v="IM-000329"/>
    <n v="0.2"/>
    <n v="2500"/>
    <m/>
    <n v="500"/>
    <x v="0"/>
    <n v="3063"/>
    <n v="1699"/>
    <n v="339.8"/>
    <n v="349.99400000000003"/>
    <n v="150.00599999999997"/>
    <n v="0"/>
    <x v="0"/>
    <x v="0"/>
    <e v="#REF!"/>
    <e v="#REF!"/>
    <s v=""/>
    <n v="0.30001199999999995"/>
  </r>
  <r>
    <x v="7"/>
    <x v="188"/>
    <x v="0"/>
    <x v="1"/>
    <m/>
    <m/>
    <s v="COPPER_TUBE_SOFTDRAWN, EVERSTRONG 0.028 X 5/8 x 15 mtr 03/24/26"/>
    <s v="IM-000320"/>
    <n v="0.2"/>
    <n v="5500"/>
    <m/>
    <n v="1100"/>
    <x v="0"/>
    <n v="8328"/>
    <n v="4255"/>
    <n v="851"/>
    <n v="876.53"/>
    <n v="223.47000000000003"/>
    <n v="0"/>
    <x v="0"/>
    <x v="0"/>
    <e v="#REF!"/>
    <e v="#REF!"/>
    <s v=""/>
    <n v="0.20315454545454548"/>
  </r>
  <r>
    <x v="7"/>
    <x v="188"/>
    <x v="0"/>
    <x v="1"/>
    <m/>
    <m/>
    <s v="ROYAL CORD, POWERFLEX 4-CORE, #14 2.0 MM, METER"/>
    <s v="GE-000487"/>
    <n v="4"/>
    <n v="160"/>
    <m/>
    <n v="640"/>
    <x v="0"/>
    <n v="131"/>
    <n v="105"/>
    <n v="420"/>
    <n v="441"/>
    <n v="199"/>
    <n v="0"/>
    <x v="48"/>
    <x v="1"/>
    <e v="#REF!"/>
    <e v="#REF!"/>
    <s v=""/>
    <n v="0.31093749999999998"/>
  </r>
  <r>
    <x v="7"/>
    <x v="188"/>
    <x v="0"/>
    <x v="1"/>
    <m/>
    <m/>
    <s v="TAPE ELECTRICAL, ARMAK 0.16 MM X 19 MM X 16 M 04/25/26"/>
    <s v="GE-000491"/>
    <n v="1"/>
    <n v="55"/>
    <m/>
    <n v="55"/>
    <x v="0"/>
    <n v="73"/>
    <n v="42"/>
    <n v="42"/>
    <n v="44.1"/>
    <n v="10.899999999999999"/>
    <n v="0"/>
    <x v="50"/>
    <x v="1"/>
    <e v="#REF!"/>
    <e v="#REF!"/>
    <s v=""/>
    <n v="0.19818181818181815"/>
  </r>
  <r>
    <x v="7"/>
    <x v="188"/>
    <x v="0"/>
    <x v="141"/>
    <m/>
    <m/>
    <s v="CAPACITOR_SINGLE, PS CBB65 45 UF"/>
    <s v="GE-000074"/>
    <n v="1"/>
    <n v="470"/>
    <m/>
    <n v="470"/>
    <x v="0"/>
    <n v="331"/>
    <n v="180"/>
    <n v="180"/>
    <n v="189"/>
    <n v="281"/>
    <n v="0"/>
    <x v="38"/>
    <x v="1"/>
    <e v="#REF!"/>
    <e v="#REF!"/>
    <s v=""/>
    <n v="0.59787234042553195"/>
  </r>
  <r>
    <x v="7"/>
    <x v="188"/>
    <x v="0"/>
    <x v="11"/>
    <m/>
    <m/>
    <s v="THERMOSTAT, NEK CAR"/>
    <s v="CA-001647"/>
    <n v="1"/>
    <n v="250"/>
    <m/>
    <n v="250"/>
    <x v="0"/>
    <n v="180"/>
    <n v="90"/>
    <n v="90"/>
    <n v="94.5"/>
    <n v="155.5"/>
    <n v="0"/>
    <x v="31"/>
    <x v="2"/>
    <e v="#REF!"/>
    <e v="#REF!"/>
    <s v=""/>
    <n v="0.622"/>
  </r>
  <r>
    <x v="7"/>
    <x v="189"/>
    <x v="1"/>
    <x v="3"/>
    <m/>
    <m/>
    <s v="EXP. VALVE LT, POKKA 9A244 NISSAN NV350"/>
    <s v="CA-001471"/>
    <n v="1"/>
    <n v="550"/>
    <m/>
    <n v="550"/>
    <x v="0"/>
    <n v="515"/>
    <n v="280"/>
    <n v="280"/>
    <n v="294"/>
    <n v="256"/>
    <n v="76.8"/>
    <x v="23"/>
    <x v="2"/>
    <e v="#REF!"/>
    <e v="#REF!"/>
    <s v=""/>
    <n v="0.46545454545454545"/>
  </r>
  <r>
    <x v="7"/>
    <x v="189"/>
    <x v="1"/>
    <x v="3"/>
    <m/>
    <m/>
    <s v="CABIN_FILTER, NISSAN NV350"/>
    <s v="CA-001711"/>
    <n v="1"/>
    <n v="350"/>
    <m/>
    <n v="350"/>
    <x v="0"/>
    <n v="315"/>
    <n v="100"/>
    <n v="100"/>
    <n v="105"/>
    <n v="245"/>
    <n v="73.5"/>
    <x v="12"/>
    <x v="2"/>
    <e v="#REF!"/>
    <e v="#REF!"/>
    <s v=""/>
    <n v="0.7"/>
  </r>
  <r>
    <x v="7"/>
    <x v="189"/>
    <x v="0"/>
    <x v="18"/>
    <m/>
    <m/>
    <s v="BLOWER_MOTOR, HYUNDAI STAREX"/>
    <s v="CA-000163"/>
    <n v="1"/>
    <n v="2000"/>
    <m/>
    <n v="2000"/>
    <x v="0"/>
    <n v="2417"/>
    <n v="1315"/>
    <n v="1315"/>
    <n v="1380.75"/>
    <n v="619.25"/>
    <n v="0"/>
    <x v="15"/>
    <x v="2"/>
    <e v="#REF!"/>
    <e v="#REF!"/>
    <s v=""/>
    <n v="0.30962499999999998"/>
  </r>
  <r>
    <x v="7"/>
    <x v="189"/>
    <x v="0"/>
    <x v="6"/>
    <m/>
    <m/>
    <s v="RUBBER_INSULATION, M-FLEX 1/2&quot; 1/2"/>
    <s v="IM-000227"/>
    <n v="4"/>
    <n v="70"/>
    <m/>
    <n v="280"/>
    <x v="0"/>
    <n v="65"/>
    <n v="46.4"/>
    <n v="185.6"/>
    <n v="191.16800000000001"/>
    <n v="88.831999999999994"/>
    <n v="0"/>
    <x v="22"/>
    <x v="0"/>
    <e v="#REF!"/>
    <e v="#REF!"/>
    <s v=""/>
    <n v="0.31725714285714285"/>
  </r>
  <r>
    <x v="7"/>
    <x v="189"/>
    <x v="0"/>
    <x v="6"/>
    <m/>
    <m/>
    <s v="RUBBER_INSULATION, M-FLEX 1/2&quot; 1/4"/>
    <s v="IM-000229"/>
    <n v="4"/>
    <n v="50"/>
    <m/>
    <n v="200"/>
    <x v="0"/>
    <n v="47"/>
    <n v="33.6"/>
    <n v="134.4"/>
    <n v="138.43200000000002"/>
    <n v="61.567999999999984"/>
    <n v="0"/>
    <x v="22"/>
    <x v="0"/>
    <e v="#REF!"/>
    <e v="#REF!"/>
    <s v=""/>
    <n v="0.30783999999999989"/>
  </r>
  <r>
    <x v="7"/>
    <x v="189"/>
    <x v="0"/>
    <x v="6"/>
    <m/>
    <m/>
    <s v="TAPE_PE, PICUS Polythelene Tape (White)X 4&quot;"/>
    <s v="IM-000247"/>
    <n v="2"/>
    <n v="125"/>
    <m/>
    <n v="250"/>
    <x v="0"/>
    <n v="147"/>
    <n v="75"/>
    <n v="150"/>
    <n v="154.5"/>
    <n v="95.5"/>
    <n v="0"/>
    <x v="29"/>
    <x v="0"/>
    <e v="#REF!"/>
    <e v="#REF!"/>
    <s v=""/>
    <n v="0.38200000000000001"/>
  </r>
  <r>
    <x v="7"/>
    <x v="189"/>
    <x v="0"/>
    <x v="6"/>
    <m/>
    <m/>
    <s v="BRACKET , GB 2HP, COATED"/>
    <s v="IM-000011"/>
    <n v="1"/>
    <n v="460"/>
    <m/>
    <n v="460"/>
    <x v="0"/>
    <n v="532"/>
    <n v="295"/>
    <n v="295"/>
    <n v="303.85000000000002"/>
    <n v="156.14999999999998"/>
    <n v="0"/>
    <x v="1"/>
    <x v="0"/>
    <e v="#REF!"/>
    <e v="#REF!"/>
    <s v=""/>
    <n v="0.33945652173913038"/>
  </r>
  <r>
    <x v="7"/>
    <x v="189"/>
    <x v="0"/>
    <x v="6"/>
    <m/>
    <m/>
    <s v="COPPER_TUBE_SOFTDRAWN, EXZEL 0.028 X 1/4 x 15 mtr  05/28/26"/>
    <s v="IM-000329"/>
    <n v="0.4"/>
    <n v="2500"/>
    <m/>
    <n v="1000"/>
    <x v="0"/>
    <n v="3063"/>
    <n v="1699"/>
    <n v="679.6"/>
    <n v="699.98800000000006"/>
    <n v="300.01199999999994"/>
    <n v="0"/>
    <x v="0"/>
    <x v="0"/>
    <e v="#REF!"/>
    <e v="#REF!"/>
    <s v=""/>
    <n v="0.30001199999999995"/>
  </r>
  <r>
    <x v="7"/>
    <x v="189"/>
    <x v="0"/>
    <x v="6"/>
    <m/>
    <m/>
    <s v="COPPER_TUBE_SOFTDRAWN, HAILIANG 0.028 X 1/2 x 15 mtr 06/02/26"/>
    <s v="IM-000328"/>
    <n v="0.2"/>
    <n v="4500"/>
    <m/>
    <n v="900"/>
    <x v="0"/>
    <n v="6554"/>
    <n v="3636"/>
    <n v="727.2"/>
    <n v="749.01600000000008"/>
    <n v="150.98399999999992"/>
    <n v="0"/>
    <x v="0"/>
    <x v="0"/>
    <e v="#REF!"/>
    <e v="#REF!"/>
    <s v=""/>
    <n v="0.16775999999999991"/>
  </r>
  <r>
    <x v="7"/>
    <x v="189"/>
    <x v="0"/>
    <x v="6"/>
    <m/>
    <m/>
    <s v="ELECTRICAL WIRE_STRANDED, POWERFLEX THNN STRANDED   #14, MTR"/>
    <s v="GE-000122"/>
    <n v="30"/>
    <n v="35"/>
    <m/>
    <n v="1050"/>
    <x v="0"/>
    <n v="39"/>
    <n v="21"/>
    <n v="630"/>
    <n v="661.5"/>
    <n v="388.5"/>
    <n v="0"/>
    <x v="2"/>
    <x v="1"/>
    <e v="#REF!"/>
    <e v="#REF!"/>
    <s v=""/>
    <n v="0.37"/>
  </r>
  <r>
    <x v="7"/>
    <x v="189"/>
    <x v="0"/>
    <x v="6"/>
    <m/>
    <m/>
    <s v="ELECTRICAL WIRE_STRANDED, POWERFLEX THNN STRANDED   #12, MTR"/>
    <s v="GE-000120"/>
    <n v="12"/>
    <n v="45"/>
    <m/>
    <n v="540"/>
    <x v="0"/>
    <n v="50"/>
    <n v="27"/>
    <n v="324"/>
    <n v="340.2"/>
    <n v="199.8"/>
    <n v="0"/>
    <x v="2"/>
    <x v="1"/>
    <e v="#REF!"/>
    <e v="#REF!"/>
    <s v=""/>
    <n v="0.37"/>
  </r>
  <r>
    <x v="7"/>
    <x v="189"/>
    <x v="0"/>
    <x v="6"/>
    <m/>
    <m/>
    <s v="BOLT &amp; NUT, GI, SET 5/16"/>
    <s v="IM-000003"/>
    <n v="8"/>
    <n v="12"/>
    <m/>
    <n v="96"/>
    <x v="0"/>
    <n v="10"/>
    <n v="5"/>
    <n v="40"/>
    <n v="41.2"/>
    <n v="54.8"/>
    <n v="0"/>
    <x v="57"/>
    <x v="0"/>
    <e v="#REF!"/>
    <e v="#REF!"/>
    <s v=""/>
    <n v="0.5708333333333333"/>
  </r>
  <r>
    <x v="7"/>
    <x v="189"/>
    <x v="0"/>
    <x v="11"/>
    <m/>
    <m/>
    <s v="CABIN_FILTER, MITSUBISHI MIRAGE"/>
    <s v="CA-001702"/>
    <n v="1"/>
    <n v="350"/>
    <m/>
    <n v="350"/>
    <x v="0"/>
    <n v="473"/>
    <n v="150"/>
    <n v="150"/>
    <n v="157.5"/>
    <n v="192.5"/>
    <n v="0"/>
    <x v="12"/>
    <x v="2"/>
    <e v="#REF!"/>
    <e v="#REF!"/>
    <s v=""/>
    <n v="0.55000000000000004"/>
  </r>
  <r>
    <x v="7"/>
    <x v="189"/>
    <x v="0"/>
    <x v="11"/>
    <m/>
    <n v="200"/>
    <s v="SILICA_GEL, STAL SHORT"/>
    <s v="CA-001638"/>
    <n v="1"/>
    <n v="180"/>
    <m/>
    <n v="180"/>
    <x v="0"/>
    <n v="44"/>
    <n v="22"/>
    <n v="22"/>
    <n v="23.1"/>
    <n v="156.9"/>
    <n v="0"/>
    <x v="37"/>
    <x v="2"/>
    <e v="#REF!"/>
    <e v="#REF!"/>
    <n v="201.60000000000002"/>
    <n v="0.8716666666666667"/>
  </r>
  <r>
    <x v="7"/>
    <x v="189"/>
    <x v="0"/>
    <x v="62"/>
    <m/>
    <m/>
    <s v="BRACKET , ROBYN STEEL  1HP, COATED  (ISHABELLA)"/>
    <s v="IM-000330"/>
    <n v="1"/>
    <n v="352"/>
    <m/>
    <n v="352"/>
    <x v="0"/>
    <n v="352"/>
    <n v="195"/>
    <n v="195"/>
    <n v="200.85"/>
    <n v="151.15"/>
    <n v="0"/>
    <x v="1"/>
    <x v="0"/>
    <e v="#REF!"/>
    <e v="#REF!"/>
    <s v=""/>
    <n v="0.42940340909090913"/>
  </r>
  <r>
    <x v="7"/>
    <x v="189"/>
    <x v="0"/>
    <x v="62"/>
    <m/>
    <m/>
    <s v="BOLT &amp; NUT, GI, SET 5/16"/>
    <s v="IM-000003"/>
    <n v="4"/>
    <n v="12"/>
    <m/>
    <n v="48"/>
    <x v="0"/>
    <n v="10"/>
    <n v="5"/>
    <n v="20"/>
    <n v="20.6"/>
    <n v="27.4"/>
    <n v="0"/>
    <x v="57"/>
    <x v="0"/>
    <e v="#REF!"/>
    <e v="#REF!"/>
    <s v=""/>
    <n v="0.5708333333333333"/>
  </r>
  <r>
    <x v="7"/>
    <x v="189"/>
    <x v="0"/>
    <x v="62"/>
    <m/>
    <m/>
    <s v="BOLT &amp; NUT, DYNABOLT 5/16&quot;"/>
    <s v="GE-000397"/>
    <n v="4"/>
    <n v="20"/>
    <m/>
    <n v="80"/>
    <x v="0"/>
    <n v="14"/>
    <n v="6.5"/>
    <n v="26"/>
    <n v="27.3"/>
    <n v="52.7"/>
    <n v="0"/>
    <x v="57"/>
    <x v="1"/>
    <e v="#REF!"/>
    <e v="#REF!"/>
    <s v=""/>
    <n v="0.65875000000000006"/>
  </r>
  <r>
    <x v="7"/>
    <x v="189"/>
    <x v="0"/>
    <x v="62"/>
    <m/>
    <m/>
    <s v="RUBBER_INSULATION, M-FLEX 1/2&quot; 1/4"/>
    <s v="IM-000229"/>
    <n v="2"/>
    <n v="50"/>
    <m/>
    <n v="100"/>
    <x v="0"/>
    <n v="47"/>
    <n v="33.6"/>
    <n v="67.2"/>
    <n v="69.216000000000008"/>
    <n v="30.783999999999992"/>
    <n v="0"/>
    <x v="22"/>
    <x v="0"/>
    <e v="#REF!"/>
    <e v="#REF!"/>
    <s v=""/>
    <n v="0.30783999999999989"/>
  </r>
  <r>
    <x v="7"/>
    <x v="189"/>
    <x v="0"/>
    <x v="62"/>
    <m/>
    <m/>
    <s v="RUBBER_INSULATION, M-FLEX 1/2&quot; 3/8"/>
    <s v="IM-000231"/>
    <n v="2"/>
    <n v="70"/>
    <m/>
    <n v="140"/>
    <x v="0"/>
    <n v="53"/>
    <n v="37.6"/>
    <n v="75.2"/>
    <n v="77.456000000000003"/>
    <n v="62.543999999999997"/>
    <n v="0"/>
    <x v="22"/>
    <x v="0"/>
    <e v="#REF!"/>
    <e v="#REF!"/>
    <s v=""/>
    <n v="0.44674285714285711"/>
  </r>
  <r>
    <x v="7"/>
    <x v="189"/>
    <x v="0"/>
    <x v="18"/>
    <m/>
    <m/>
    <s v="AUXIALLIARY_FAN, POKKA 10 BLADES X 12VOLTS"/>
    <s v="CA-000106"/>
    <n v="1"/>
    <n v="650"/>
    <m/>
    <n v="650"/>
    <x v="0"/>
    <n v="772"/>
    <n v="420"/>
    <n v="420"/>
    <n v="441"/>
    <n v="209"/>
    <n v="0"/>
    <x v="16"/>
    <x v="2"/>
    <e v="#REF!"/>
    <e v="#REF!"/>
    <s v=""/>
    <n v="0.32153846153846155"/>
  </r>
  <r>
    <x v="7"/>
    <x v="189"/>
    <x v="0"/>
    <x v="10"/>
    <m/>
    <m/>
    <s v="EVAPORATOR, ISUZU MUX/D-MAX 2013 (STAL)"/>
    <s v="CA-000701"/>
    <n v="1"/>
    <n v="2000"/>
    <m/>
    <n v="2000"/>
    <x v="0"/>
    <n v="1995"/>
    <n v="1000"/>
    <n v="1000"/>
    <n v="1050"/>
    <n v="950"/>
    <n v="0"/>
    <x v="10"/>
    <x v="2"/>
    <e v="#REF!"/>
    <e v="#REF!"/>
    <s v=""/>
    <n v="0.47499999999999998"/>
  </r>
  <r>
    <x v="7"/>
    <x v="189"/>
    <x v="0"/>
    <x v="11"/>
    <m/>
    <m/>
    <s v="SYSTEM_CLEANER, Cleanse GREEN 141B 500 ML"/>
    <s v="GE-000369"/>
    <n v="2"/>
    <n v="120"/>
    <m/>
    <n v="240"/>
    <x v="0"/>
    <n v="113"/>
    <n v="65"/>
    <n v="130"/>
    <n v="136.5"/>
    <n v="103.5"/>
    <n v="0"/>
    <x v="28"/>
    <x v="1"/>
    <e v="#REF!"/>
    <e v="#REF!"/>
    <s v=""/>
    <n v="0.43125000000000002"/>
  </r>
  <r>
    <x v="7"/>
    <x v="189"/>
    <x v="2"/>
    <x v="7"/>
    <m/>
    <m/>
    <s v="REFRIGERANT, ENTALPIA EUROPE R134A 13.6   6/16/26 "/>
    <s v="GE-000517"/>
    <n v="1"/>
    <n v="8800"/>
    <m/>
    <n v="8800"/>
    <x v="0"/>
    <n v="10489"/>
    <n v="7684"/>
    <n v="7684"/>
    <n v="8068.2000000000007"/>
    <n v="731.79999999999927"/>
    <n v="219.53999999999976"/>
    <x v="5"/>
    <x v="1"/>
    <e v="#REF!"/>
    <e v="#REF!"/>
    <s v=""/>
    <n v="8.3159090909090821E-2"/>
  </r>
  <r>
    <x v="7"/>
    <x v="189"/>
    <x v="0"/>
    <x v="1"/>
    <m/>
    <m/>
    <s v="CAPILLARY TUBE,  2.0MMX0.5MMX1FT"/>
    <s v="GE-000386"/>
    <n v="2"/>
    <n v="25"/>
    <m/>
    <n v="50"/>
    <x v="0"/>
    <n v="16"/>
    <n v="10"/>
    <n v="20"/>
    <n v="21"/>
    <n v="29"/>
    <n v="0"/>
    <x v="75"/>
    <x v="1"/>
    <e v="#REF!"/>
    <e v="#REF!"/>
    <s v=""/>
    <n v="0.57999999999999996"/>
  </r>
  <r>
    <x v="7"/>
    <x v="189"/>
    <x v="0"/>
    <x v="1"/>
    <m/>
    <m/>
    <s v="CAPACITOR_DOUBLE, PS CBB65 25 + 3 UF"/>
    <s v="GE-000276"/>
    <n v="1"/>
    <n v="450"/>
    <m/>
    <n v="450"/>
    <x v="0"/>
    <n v="331"/>
    <n v="180"/>
    <n v="180"/>
    <n v="189"/>
    <n v="261"/>
    <n v="0"/>
    <x v="65"/>
    <x v="1"/>
    <e v="#REF!"/>
    <e v="#REF!"/>
    <s v=""/>
    <n v="0.57999999999999996"/>
  </r>
  <r>
    <x v="7"/>
    <x v="189"/>
    <x v="0"/>
    <x v="145"/>
    <m/>
    <m/>
    <s v="REFRIGERANT, ENTALPIA EUROPE R134A 13.6   6/16/26 "/>
    <s v="GE-000517"/>
    <n v="1"/>
    <n v="8800"/>
    <m/>
    <n v="8800"/>
    <x v="0"/>
    <n v="10489"/>
    <n v="7684"/>
    <n v="7684"/>
    <n v="8068.2000000000007"/>
    <n v="731.79999999999927"/>
    <n v="0"/>
    <x v="5"/>
    <x v="1"/>
    <e v="#REF!"/>
    <e v="#REF!"/>
    <s v=""/>
    <n v="8.3159090909090821E-2"/>
  </r>
  <r>
    <x v="7"/>
    <x v="189"/>
    <x v="0"/>
    <x v="164"/>
    <m/>
    <n v="140"/>
    <s v="TAPE_PE, PICUS Polythelene Tape (White)X 4&quot;"/>
    <s v="IM-000247"/>
    <n v="1"/>
    <n v="125"/>
    <m/>
    <n v="125"/>
    <x v="0"/>
    <n v="147"/>
    <n v="75"/>
    <n v="75"/>
    <n v="77.25"/>
    <n v="47.75"/>
    <n v="0"/>
    <x v="29"/>
    <x v="0"/>
    <e v="#REF!"/>
    <e v="#REF!"/>
    <n v="140"/>
    <n v="0.38200000000000001"/>
  </r>
  <r>
    <x v="7"/>
    <x v="189"/>
    <x v="0"/>
    <x v="160"/>
    <m/>
    <n v="40"/>
    <s v="ROD, HARRIS BRONZE"/>
    <s v="IM-000286"/>
    <n v="2"/>
    <n v="35"/>
    <m/>
    <n v="70"/>
    <x v="0"/>
    <n v="33"/>
    <n v="21"/>
    <n v="42"/>
    <n v="43.26"/>
    <n v="26.740000000000002"/>
    <n v="0"/>
    <x v="56"/>
    <x v="0"/>
    <e v="#REF!"/>
    <e v="#REF!"/>
    <n v="39.200000000000003"/>
    <n v="0.38200000000000001"/>
  </r>
  <r>
    <x v="7"/>
    <x v="189"/>
    <x v="0"/>
    <x v="165"/>
    <m/>
    <m/>
    <s v="CAPACITOR_SINGLE, PS CBB65 50 UF"/>
    <s v="GE-000076"/>
    <n v="1"/>
    <n v="470"/>
    <m/>
    <n v="470"/>
    <x v="0"/>
    <n v="350"/>
    <n v="190"/>
    <n v="190"/>
    <n v="199.5"/>
    <n v="270.5"/>
    <n v="0"/>
    <x v="38"/>
    <x v="1"/>
    <e v="#REF!"/>
    <e v="#REF!"/>
    <s v=""/>
    <n v="0.57553191489361699"/>
  </r>
  <r>
    <x v="7"/>
    <x v="189"/>
    <x v="1"/>
    <x v="166"/>
    <m/>
    <m/>
    <s v="REFRIGERANT, FU RYDER R600A CAN, 220 GRAMS"/>
    <s v="GE-000032"/>
    <n v="1"/>
    <n v="180"/>
    <m/>
    <n v="180"/>
    <x v="0"/>
    <n v="177"/>
    <n v="70"/>
    <n v="70"/>
    <n v="73.5"/>
    <n v="106.5"/>
    <n v="31.95"/>
    <x v="5"/>
    <x v="1"/>
    <e v="#REF!"/>
    <e v="#REF!"/>
    <s v=""/>
    <n v="0.59166666666666667"/>
  </r>
  <r>
    <x v="7"/>
    <x v="189"/>
    <x v="1"/>
    <x v="167"/>
    <m/>
    <m/>
    <s v="COPPER_TUBE_SOFTDRAWN, HAILIANG 0.028 X 1/2 x 15 mtr 06/02/26"/>
    <s v="IM-000328"/>
    <n v="0.2"/>
    <n v="4500"/>
    <m/>
    <n v="900"/>
    <x v="0"/>
    <n v="6554"/>
    <n v="3636"/>
    <n v="727.2"/>
    <n v="749.01600000000008"/>
    <n v="150.98399999999992"/>
    <n v="45.295199999999973"/>
    <x v="0"/>
    <x v="0"/>
    <e v="#REF!"/>
    <e v="#REF!"/>
    <s v=""/>
    <n v="0.16775999999999991"/>
  </r>
  <r>
    <x v="7"/>
    <x v="189"/>
    <x v="1"/>
    <x v="167"/>
    <m/>
    <m/>
    <s v="RUBBER_INSULATION, M-FLEX 1/2&quot; 1/4"/>
    <s v="IM-000229"/>
    <n v="2"/>
    <n v="50"/>
    <m/>
    <n v="100"/>
    <x v="0"/>
    <n v="47"/>
    <n v="33.6"/>
    <n v="67.2"/>
    <n v="69.216000000000008"/>
    <n v="30.783999999999992"/>
    <n v="9.2351999999999972"/>
    <x v="22"/>
    <x v="0"/>
    <e v="#REF!"/>
    <e v="#REF!"/>
    <s v=""/>
    <n v="0.30783999999999989"/>
  </r>
  <r>
    <x v="7"/>
    <x v="189"/>
    <x v="1"/>
    <x v="167"/>
    <m/>
    <m/>
    <s v="RUBBER_INSULATION, M-FLEX 1/2&quot; 1/2"/>
    <s v="IM-000227"/>
    <n v="2"/>
    <n v="70"/>
    <m/>
    <n v="140"/>
    <x v="0"/>
    <n v="65"/>
    <n v="46.4"/>
    <n v="92.8"/>
    <n v="95.584000000000003"/>
    <n v="44.415999999999997"/>
    <n v="13.324799999999998"/>
    <x v="22"/>
    <x v="0"/>
    <e v="#REF!"/>
    <e v="#REF!"/>
    <s v=""/>
    <n v="0.31725714285714285"/>
  </r>
  <r>
    <x v="7"/>
    <x v="189"/>
    <x v="1"/>
    <x v="167"/>
    <m/>
    <m/>
    <s v="BOLT &amp; NUT, DYNABOLT 3/8&quot;"/>
    <s v="GE-000396"/>
    <n v="4"/>
    <n v="25"/>
    <m/>
    <n v="100"/>
    <x v="0"/>
    <n v="19"/>
    <n v="8.9"/>
    <n v="35.6"/>
    <n v="37.380000000000003"/>
    <n v="62.62"/>
    <n v="18.785999999999998"/>
    <x v="57"/>
    <x v="1"/>
    <e v="#REF!"/>
    <e v="#REF!"/>
    <s v=""/>
    <n v="0.62619999999999998"/>
  </r>
  <r>
    <x v="7"/>
    <x v="189"/>
    <x v="1"/>
    <x v="167"/>
    <m/>
    <m/>
    <s v="BOLT &amp; NUT, GI, SET 3/8"/>
    <s v="IM-000002"/>
    <n v="4"/>
    <n v="14"/>
    <m/>
    <n v="56"/>
    <x v="0"/>
    <n v="10"/>
    <n v="5.43"/>
    <n v="21.72"/>
    <n v="22.371600000000001"/>
    <n v="33.628399999999999"/>
    <n v="10.088519999999999"/>
    <x v="57"/>
    <x v="0"/>
    <e v="#REF!"/>
    <e v="#REF!"/>
    <s v=""/>
    <n v="0.60050714285714279"/>
  </r>
  <r>
    <x v="7"/>
    <x v="189"/>
    <x v="1"/>
    <x v="167"/>
    <m/>
    <m/>
    <s v="TAPE_PE, PICUS Polythelene Tape (White)X 4&quot;"/>
    <s v="IM-000247"/>
    <n v="1"/>
    <n v="125"/>
    <m/>
    <n v="125"/>
    <x v="0"/>
    <n v="147"/>
    <n v="75"/>
    <n v="75"/>
    <n v="77.25"/>
    <n v="47.75"/>
    <n v="14.324999999999999"/>
    <x v="29"/>
    <x v="0"/>
    <e v="#REF!"/>
    <e v="#REF!"/>
    <s v=""/>
    <n v="0.38200000000000001"/>
  </r>
  <r>
    <x v="7"/>
    <x v="189"/>
    <x v="1"/>
    <x v="167"/>
    <m/>
    <m/>
    <s v="BRACKET , GB 2HP, COATED"/>
    <s v="IM-000011"/>
    <n v="1"/>
    <n v="450"/>
    <m/>
    <n v="450"/>
    <x v="0"/>
    <n v="532"/>
    <n v="295"/>
    <n v="295"/>
    <n v="303.85000000000002"/>
    <n v="146.14999999999998"/>
    <n v="43.844999999999992"/>
    <x v="1"/>
    <x v="0"/>
    <e v="#REF!"/>
    <e v="#REF!"/>
    <s v=""/>
    <n v="0.32477777777777772"/>
  </r>
  <r>
    <x v="7"/>
    <x v="189"/>
    <x v="0"/>
    <x v="58"/>
    <m/>
    <m/>
    <s v="BLOWER_MOTOR, NISSAN XTRAIL NO BLADE"/>
    <s v="CA-000202"/>
    <n v="1"/>
    <n v="1600"/>
    <m/>
    <n v="1600"/>
    <x v="0"/>
    <n v="1930"/>
    <n v="1050"/>
    <n v="1050"/>
    <n v="1102.5"/>
    <n v="497.5"/>
    <n v="0"/>
    <x v="15"/>
    <x v="2"/>
    <e v="#REF!"/>
    <e v="#REF!"/>
    <s v=""/>
    <n v="0.31093749999999998"/>
  </r>
  <r>
    <x v="7"/>
    <x v="189"/>
    <x v="0"/>
    <x v="168"/>
    <m/>
    <m/>
    <s v="COPPER_TUBE_SOFTDRAWN, HAILIANG 0.028 X 3/8 x 15 mtr 06/02/26"/>
    <s v="IM-000327"/>
    <n v="0.4"/>
    <n v="3500"/>
    <m/>
    <n v="1400"/>
    <x v="0"/>
    <n v="4774"/>
    <n v="2648"/>
    <n v="1059.2"/>
    <n v="1090.9760000000001"/>
    <n v="309.02399999999989"/>
    <n v="0"/>
    <x v="0"/>
    <x v="0"/>
    <e v="#REF!"/>
    <e v="#REF!"/>
    <s v=""/>
    <n v="0.2207314285714285"/>
  </r>
  <r>
    <x v="7"/>
    <x v="189"/>
    <x v="0"/>
    <x v="168"/>
    <m/>
    <m/>
    <s v="FITTINGS, COPPER COUPLING 3/8"/>
    <s v="IM-000064"/>
    <n v="8"/>
    <n v="25"/>
    <m/>
    <n v="200"/>
    <x v="0"/>
    <n v="22"/>
    <n v="12"/>
    <n v="96"/>
    <n v="98.88"/>
    <n v="101.12"/>
    <n v="0"/>
    <x v="33"/>
    <x v="0"/>
    <e v="#REF!"/>
    <e v="#REF!"/>
    <s v=""/>
    <n v="0.50560000000000005"/>
  </r>
  <r>
    <x v="7"/>
    <x v="189"/>
    <x v="0"/>
    <x v="168"/>
    <m/>
    <m/>
    <s v="MAPP_GAS, COOLIB (ISHABELLA) TORCH GAS"/>
    <s v="IM-000317"/>
    <n v="1"/>
    <n v="380"/>
    <m/>
    <n v="380"/>
    <x v="0"/>
    <n v="451"/>
    <n v="250"/>
    <n v="250"/>
    <n v="257.5"/>
    <n v="122.5"/>
    <n v="0"/>
    <x v="45"/>
    <x v="0"/>
    <e v="#REF!"/>
    <e v="#REF!"/>
    <s v=""/>
    <n v="0.32236842105263158"/>
  </r>
  <r>
    <x v="7"/>
    <x v="189"/>
    <x v="0"/>
    <x v="168"/>
    <m/>
    <m/>
    <s v="HAND_TORCH,  WITH IGNITER"/>
    <s v="TL-000026"/>
    <n v="1"/>
    <n v="1900"/>
    <m/>
    <n v="1900"/>
    <x v="0"/>
    <n v="1838"/>
    <n v="1000"/>
    <n v="1000"/>
    <n v="1050"/>
    <n v="850"/>
    <n v="0"/>
    <x v="55"/>
    <x v="4"/>
    <e v="#REF!"/>
    <e v="#REF!"/>
    <s v=""/>
    <n v="0.44736842105263158"/>
  </r>
  <r>
    <x v="7"/>
    <x v="189"/>
    <x v="0"/>
    <x v="8"/>
    <m/>
    <m/>
    <s v="HOSE, COOLMATE 1/2 DISCHARGE PER FT"/>
    <s v="GE-000179"/>
    <n v="3"/>
    <n v="90"/>
    <m/>
    <n v="270"/>
    <x v="0"/>
    <n v="80"/>
    <n v="43"/>
    <n v="129"/>
    <n v="135.45000000000002"/>
    <n v="134.54999999999998"/>
    <n v="0"/>
    <x v="19"/>
    <x v="1"/>
    <e v="#REF!"/>
    <e v="#REF!"/>
    <s v=""/>
    <n v="0.49833333333333329"/>
  </r>
  <r>
    <x v="7"/>
    <x v="189"/>
    <x v="0"/>
    <x v="8"/>
    <m/>
    <m/>
    <s v="FERULLE,  1/2&quot;"/>
    <s v="CA-000644"/>
    <n v="4"/>
    <n v="14"/>
    <m/>
    <n v="56"/>
    <x v="0"/>
    <n v="13"/>
    <n v="7"/>
    <n v="28"/>
    <n v="29.400000000000002"/>
    <n v="26.599999999999998"/>
    <n v="0"/>
    <x v="42"/>
    <x v="2"/>
    <e v="#REF!"/>
    <e v="#REF!"/>
    <s v=""/>
    <n v="0.47499999999999998"/>
  </r>
  <r>
    <x v="7"/>
    <x v="189"/>
    <x v="0"/>
    <x v="8"/>
    <m/>
    <m/>
    <s v="FITTINGS, STRAIGHT FLARE TYPE 1/2"/>
    <s v="CA-000671"/>
    <n v="4"/>
    <n v="40"/>
    <m/>
    <n v="160"/>
    <x v="0"/>
    <n v="30"/>
    <n v="16"/>
    <n v="64"/>
    <n v="67.2"/>
    <n v="92.8"/>
    <n v="0"/>
    <x v="33"/>
    <x v="2"/>
    <e v="#REF!"/>
    <e v="#REF!"/>
    <s v=""/>
    <n v="0.57999999999999996"/>
  </r>
  <r>
    <x v="7"/>
    <x v="190"/>
    <x v="0"/>
    <x v="150"/>
    <m/>
    <m/>
    <s v="CAPILLARY TUBE,  1.6MMX0.5MMx1FT"/>
    <s v="GE-000087"/>
    <n v="5"/>
    <n v="15"/>
    <m/>
    <n v="75"/>
    <x v="0"/>
    <n v="10"/>
    <n v="5"/>
    <n v="25"/>
    <n v="26.25"/>
    <n v="48.75"/>
    <n v="0"/>
    <x v="75"/>
    <x v="1"/>
    <e v="#REF!"/>
    <e v="#REF!"/>
    <s v=""/>
    <n v="0.65"/>
  </r>
  <r>
    <x v="7"/>
    <x v="190"/>
    <x v="0"/>
    <x v="8"/>
    <m/>
    <m/>
    <s v="REFRIGERANT, ENTALPIA EUROPE R134A 13.6   6/16/26 "/>
    <s v="GE-000517"/>
    <n v="1"/>
    <n v="8800"/>
    <m/>
    <n v="8800"/>
    <x v="0"/>
    <n v="10489"/>
    <n v="7684"/>
    <n v="7684"/>
    <n v="8068.2000000000007"/>
    <n v="731.79999999999927"/>
    <n v="0"/>
    <x v="5"/>
    <x v="1"/>
    <e v="#REF!"/>
    <e v="#REF!"/>
    <s v=""/>
    <n v="8.3159090909090821E-2"/>
  </r>
  <r>
    <x v="7"/>
    <x v="190"/>
    <x v="0"/>
    <x v="8"/>
    <m/>
    <m/>
    <s v="EVAPORATOR, TOYOTA INNOVA OLD (F) JBE-0103ZX (STAL)"/>
    <s v="CA-001633"/>
    <n v="1"/>
    <n v="2000"/>
    <m/>
    <n v="2000"/>
    <x v="0"/>
    <n v="1654"/>
    <n v="900"/>
    <n v="900"/>
    <n v="945"/>
    <n v="1055"/>
    <n v="0"/>
    <x v="10"/>
    <x v="2"/>
    <e v="#REF!"/>
    <e v="#REF!"/>
    <s v=""/>
    <n v="0.52749999999999997"/>
  </r>
  <r>
    <x v="7"/>
    <x v="190"/>
    <x v="0"/>
    <x v="11"/>
    <m/>
    <m/>
    <s v="BLOWER_MOTOR, UNIVERSAL DOUBLE SHAFTING (ADVENTURE/REVO) 12V"/>
    <s v="CA-000238"/>
    <n v="1"/>
    <n v="700"/>
    <m/>
    <n v="700"/>
    <x v="0"/>
    <n v="840"/>
    <n v="400"/>
    <n v="400"/>
    <n v="420"/>
    <n v="280"/>
    <n v="0"/>
    <x v="15"/>
    <x v="2"/>
    <e v="#REF!"/>
    <e v="#REF!"/>
    <s v=""/>
    <n v="0.4"/>
  </r>
  <r>
    <x v="7"/>
    <x v="190"/>
    <x v="0"/>
    <x v="11"/>
    <m/>
    <n v="200"/>
    <s v="SILICA_GEL, STAL LONG"/>
    <s v="CA-001637"/>
    <n v="1"/>
    <n v="180"/>
    <m/>
    <n v="180"/>
    <x v="0"/>
    <n v="50"/>
    <n v="25"/>
    <n v="25"/>
    <n v="26.25"/>
    <n v="153.75"/>
    <n v="0"/>
    <x v="37"/>
    <x v="2"/>
    <e v="#REF!"/>
    <e v="#REF!"/>
    <n v="201.60000000000002"/>
    <n v="0.85416666666666663"/>
  </r>
  <r>
    <x v="7"/>
    <x v="190"/>
    <x v="0"/>
    <x v="11"/>
    <m/>
    <n v="200"/>
    <s v="O_RING, NEK MANIPIS 5/16"/>
    <s v="CA-000846"/>
    <n v="1"/>
    <n v="180"/>
    <m/>
    <n v="180"/>
    <x v="0"/>
    <n v="111"/>
    <n v="60"/>
    <n v="60"/>
    <n v="63"/>
    <n v="117"/>
    <n v="0"/>
    <x v="44"/>
    <x v="2"/>
    <e v="#REF!"/>
    <e v="#REF!"/>
    <n v="201.60000000000002"/>
    <n v="0.65"/>
  </r>
  <r>
    <x v="7"/>
    <x v="190"/>
    <x v="0"/>
    <x v="32"/>
    <m/>
    <m/>
    <s v="CAPACITOR_SINGLE, PS CBB65 45 UF"/>
    <s v="GE-000074"/>
    <n v="1"/>
    <n v="470"/>
    <m/>
    <n v="470"/>
    <x v="0"/>
    <n v="331"/>
    <n v="180"/>
    <n v="180"/>
    <n v="189"/>
    <n v="281"/>
    <n v="0"/>
    <x v="38"/>
    <x v="1"/>
    <e v="#REF!"/>
    <e v="#REF!"/>
    <s v=""/>
    <n v="0.59787234042553195"/>
  </r>
  <r>
    <x v="7"/>
    <x v="190"/>
    <x v="0"/>
    <x v="150"/>
    <m/>
    <m/>
    <s v="CAPILLARY TUBE,  2.0MMX0.5MMX1FT"/>
    <s v="GE-000386"/>
    <n v="6"/>
    <n v="25"/>
    <m/>
    <n v="150"/>
    <x v="0"/>
    <n v="16"/>
    <n v="10"/>
    <n v="60"/>
    <n v="63"/>
    <n v="87"/>
    <n v="0"/>
    <x v="75"/>
    <x v="1"/>
    <e v="#REF!"/>
    <e v="#REF!"/>
    <s v=""/>
    <n v="0.57999999999999996"/>
  </r>
  <r>
    <x v="7"/>
    <x v="190"/>
    <x v="0"/>
    <x v="32"/>
    <m/>
    <m/>
    <s v="REFRIGERANT, FU RYDER R22 CAN, 500 GRAMS 7/26/26"/>
    <s v="GE-000523"/>
    <n v="2"/>
    <n v="500"/>
    <m/>
    <n v="1000"/>
    <x v="0"/>
    <n v="630"/>
    <n v="240"/>
    <n v="480"/>
    <n v="504"/>
    <n v="496"/>
    <n v="0"/>
    <x v="5"/>
    <x v="1"/>
    <e v="#REF!"/>
    <e v="#REF!"/>
    <s v=""/>
    <n v="0.496"/>
  </r>
  <r>
    <x v="7"/>
    <x v="190"/>
    <x v="2"/>
    <x v="22"/>
    <m/>
    <n v="1820"/>
    <s v="EVAPORATOR, TOYOTA INNOVA OLD (F) JBE-0103ZX (STAL)"/>
    <s v="CA-001633"/>
    <n v="1"/>
    <n v="1625"/>
    <m/>
    <n v="1625"/>
    <x v="0"/>
    <n v="1654"/>
    <n v="900"/>
    <n v="900"/>
    <n v="945"/>
    <n v="680"/>
    <n v="204"/>
    <x v="10"/>
    <x v="2"/>
    <e v="#REF!"/>
    <e v="#REF!"/>
    <n v="1820.0000000000002"/>
    <n v="0.41846153846153844"/>
  </r>
  <r>
    <x v="7"/>
    <x v="190"/>
    <x v="2"/>
    <x v="22"/>
    <m/>
    <n v="1820"/>
    <s v="EVAPORATOR, TOYOTA INNOVA OLD (R) JBE-0102X (STAL)"/>
    <s v="CA-001634"/>
    <n v="1"/>
    <n v="1625"/>
    <m/>
    <n v="1625"/>
    <x v="0"/>
    <n v="1470"/>
    <n v="800"/>
    <n v="800"/>
    <n v="840"/>
    <n v="785"/>
    <n v="235.5"/>
    <x v="10"/>
    <x v="2"/>
    <e v="#REF!"/>
    <e v="#REF!"/>
    <n v="1820.0000000000002"/>
    <n v="0.48307692307692307"/>
  </r>
  <r>
    <x v="7"/>
    <x v="190"/>
    <x v="2"/>
    <x v="22"/>
    <m/>
    <n v="2000"/>
    <s v="EVAPORATOR, TOYOTA INNOVA NEW (F) JBE-0115ZX (STAL)"/>
    <s v="CA-001631"/>
    <n v="1"/>
    <n v="1786"/>
    <m/>
    <n v="1786"/>
    <x v="0"/>
    <n v="1562"/>
    <n v="850"/>
    <n v="850"/>
    <n v="892.5"/>
    <n v="893.5"/>
    <n v="268.05"/>
    <x v="10"/>
    <x v="2"/>
    <e v="#REF!"/>
    <e v="#REF!"/>
    <n v="2000.3200000000002"/>
    <n v="0.50027995520716684"/>
  </r>
  <r>
    <x v="7"/>
    <x v="190"/>
    <x v="2"/>
    <x v="22"/>
    <m/>
    <n v="2000"/>
    <s v="EVAPORATOR, TOYOTA VIOS 2014 (SUPERMAN)_STAL"/>
    <s v="CA-000146"/>
    <n v="1"/>
    <n v="1786"/>
    <m/>
    <n v="1786"/>
    <x v="0"/>
    <n v="1434"/>
    <n v="780"/>
    <n v="780"/>
    <n v="819"/>
    <n v="967"/>
    <n v="290.09999999999997"/>
    <x v="10"/>
    <x v="2"/>
    <e v="#REF!"/>
    <e v="#REF!"/>
    <n v="2000.3200000000002"/>
    <n v="0.5414333706606943"/>
  </r>
  <r>
    <x v="7"/>
    <x v="190"/>
    <x v="2"/>
    <x v="22"/>
    <m/>
    <n v="220"/>
    <s v="CABIN_FILTER, HYUNDAI ACCENT 2013"/>
    <s v="CA-001681"/>
    <n v="1"/>
    <n v="197"/>
    <m/>
    <n v="197"/>
    <x v="0"/>
    <n v="315"/>
    <n v="100"/>
    <n v="100"/>
    <n v="105"/>
    <n v="92"/>
    <n v="27.599999999999998"/>
    <x v="12"/>
    <x v="2"/>
    <e v="#REF!"/>
    <e v="#REF!"/>
    <n v="220.64000000000001"/>
    <n v="0.46700507614213199"/>
  </r>
  <r>
    <x v="7"/>
    <x v="190"/>
    <x v="2"/>
    <x v="22"/>
    <m/>
    <n v="220"/>
    <s v="CABIN_FILTER, TOYOTA INNOVA"/>
    <s v="CA-001294"/>
    <n v="1"/>
    <n v="197"/>
    <m/>
    <n v="197"/>
    <x v="0"/>
    <n v="315"/>
    <n v="100"/>
    <n v="100"/>
    <n v="105"/>
    <n v="92"/>
    <n v="27.599999999999998"/>
    <x v="12"/>
    <x v="2"/>
    <e v="#REF!"/>
    <e v="#REF!"/>
    <n v="220.64000000000001"/>
    <n v="0.46700507614213199"/>
  </r>
  <r>
    <x v="7"/>
    <x v="190"/>
    <x v="2"/>
    <x v="22"/>
    <m/>
    <m/>
    <s v="SYSTEM_CLEANER, Cleanse GREEN 141B 500 ML"/>
    <s v="GE-000369"/>
    <n v="5"/>
    <n v="120"/>
    <m/>
    <n v="600"/>
    <x v="0"/>
    <n v="113"/>
    <n v="65"/>
    <n v="325"/>
    <n v="341.25"/>
    <n v="258.75"/>
    <n v="77.625"/>
    <x v="28"/>
    <x v="1"/>
    <e v="#REF!"/>
    <e v="#REF!"/>
    <s v=""/>
    <n v="0.43125000000000002"/>
  </r>
  <r>
    <x v="7"/>
    <x v="190"/>
    <x v="2"/>
    <x v="22"/>
    <m/>
    <m/>
    <s v="RECEIVER_DRIER_STEEL , MAXX 5116 (L300 F/B)"/>
    <s v="CA-001134"/>
    <n v="2"/>
    <n v="400"/>
    <m/>
    <n v="800"/>
    <x v="0"/>
    <n v="686"/>
    <n v="290"/>
    <n v="580"/>
    <n v="609"/>
    <n v="191"/>
    <n v="57.3"/>
    <x v="17"/>
    <x v="2"/>
    <e v="#REF!"/>
    <e v="#REF!"/>
    <s v=""/>
    <n v="0.23874999999999999"/>
  </r>
  <r>
    <x v="7"/>
    <x v="190"/>
    <x v="2"/>
    <x v="22"/>
    <m/>
    <m/>
    <s v="EXP. VALVE LT, POKKA 9A56 INNOVA F"/>
    <s v="CA-000637"/>
    <n v="1"/>
    <n v="420"/>
    <m/>
    <n v="420"/>
    <x v="0"/>
    <n v="460"/>
    <n v="250"/>
    <n v="250"/>
    <n v="262.5"/>
    <n v="157.5"/>
    <n v="47.25"/>
    <x v="23"/>
    <x v="2"/>
    <e v="#REF!"/>
    <e v="#REF!"/>
    <s v=""/>
    <n v="0.375"/>
  </r>
  <r>
    <x v="7"/>
    <x v="190"/>
    <x v="0"/>
    <x v="32"/>
    <m/>
    <m/>
    <s v="ADAPTOR, OPEN VALVE R600 (GREEN)"/>
    <s v="TL-000008"/>
    <n v="1"/>
    <n v="250"/>
    <m/>
    <n v="250"/>
    <x v="0"/>
    <n v="175"/>
    <n v="95"/>
    <n v="95"/>
    <n v="99.75"/>
    <n v="150.25"/>
    <n v="0"/>
    <x v="71"/>
    <x v="4"/>
    <e v="#REF!"/>
    <e v="#REF!"/>
    <s v=""/>
    <n v="0.60099999999999998"/>
  </r>
  <r>
    <x v="7"/>
    <x v="190"/>
    <x v="0"/>
    <x v="23"/>
    <m/>
    <m/>
    <s v="REFRIGERANT, ENTALPIA EUROPE R134A 13.6   6/16/26 "/>
    <s v="GE-000517"/>
    <n v="1"/>
    <n v="8800"/>
    <m/>
    <n v="8800"/>
    <x v="0"/>
    <n v="10489"/>
    <n v="7684"/>
    <n v="7684"/>
    <n v="8068.2000000000007"/>
    <n v="731.79999999999927"/>
    <n v="0"/>
    <x v="5"/>
    <x v="1"/>
    <e v="#REF!"/>
    <e v="#REF!"/>
    <s v=""/>
    <n v="8.3159090909090821E-2"/>
  </r>
  <r>
    <x v="7"/>
    <x v="190"/>
    <x v="0"/>
    <x v="34"/>
    <m/>
    <m/>
    <s v="REFRIGERANT, SHENGFUYUAN  R290, 380G"/>
    <s v="GE-000155"/>
    <n v="1"/>
    <n v="650"/>
    <m/>
    <n v="650"/>
    <x v="0"/>
    <n v="647"/>
    <n v="280"/>
    <n v="280"/>
    <n v="294"/>
    <n v="356"/>
    <n v="0"/>
    <x v="5"/>
    <x v="1"/>
    <e v="#REF!"/>
    <e v="#REF!"/>
    <s v=""/>
    <n v="0.5476923076923077"/>
  </r>
  <r>
    <x v="7"/>
    <x v="190"/>
    <x v="2"/>
    <x v="7"/>
    <m/>
    <m/>
    <s v="EVAPORATOR, ISUZU CROSSWIND (F)"/>
    <s v="CA-000498"/>
    <n v="1"/>
    <n v="1900"/>
    <m/>
    <n v="1900"/>
    <x v="0"/>
    <n v="2297"/>
    <n v="1250"/>
    <n v="1250"/>
    <n v="1312.5"/>
    <n v="587.5"/>
    <n v="176.25"/>
    <x v="10"/>
    <x v="2"/>
    <e v="#REF!"/>
    <e v="#REF!"/>
    <s v=""/>
    <n v="0.30921052631578949"/>
  </r>
  <r>
    <x v="7"/>
    <x v="190"/>
    <x v="0"/>
    <x v="58"/>
    <m/>
    <m/>
    <s v="DRAIN_PUMP, KING PUMP HIPPO 2 (SMALL), 3M"/>
    <s v="GE-000100"/>
    <n v="1"/>
    <n v="2250"/>
    <m/>
    <n v="2250"/>
    <x v="0"/>
    <n v="2757"/>
    <n v="1500"/>
    <n v="1500"/>
    <n v="1575"/>
    <n v="675"/>
    <n v="0"/>
    <x v="21"/>
    <x v="1"/>
    <e v="#REF!"/>
    <e v="#REF!"/>
    <s v=""/>
    <n v="0.3"/>
  </r>
  <r>
    <x v="7"/>
    <x v="190"/>
    <x v="0"/>
    <x v="1"/>
    <m/>
    <m/>
    <s v="TAPE_PE, PICUS Polythelene Tape (White)X 4&quot;"/>
    <s v="IM-000247"/>
    <n v="1"/>
    <n v="125"/>
    <m/>
    <n v="125"/>
    <x v="0"/>
    <n v="147"/>
    <n v="75"/>
    <n v="75"/>
    <n v="77.25"/>
    <n v="47.75"/>
    <n v="0"/>
    <x v="29"/>
    <x v="0"/>
    <e v="#REF!"/>
    <e v="#REF!"/>
    <s v=""/>
    <n v="0.38200000000000001"/>
  </r>
  <r>
    <x v="7"/>
    <x v="191"/>
    <x v="7"/>
    <x v="135"/>
    <m/>
    <m/>
    <m/>
    <s v=""/>
    <m/>
    <m/>
    <m/>
    <n v="0"/>
    <x v="0"/>
    <n v="0"/>
    <n v="0"/>
    <n v="0"/>
    <n v="0"/>
    <n v="0"/>
    <n v="0"/>
    <x v="13"/>
    <x v="3"/>
    <s v=""/>
    <s v=""/>
    <s v=""/>
    <n v="0"/>
  </r>
  <r>
    <x v="7"/>
    <x v="192"/>
    <x v="0"/>
    <x v="32"/>
    <m/>
    <m/>
    <s v="COPPER_TUBE_SOFTDRAWN, HAILIANG 0.028 X 1/2 x 15 mtr 06/02/26"/>
    <s v="IM-000328"/>
    <n v="0.4"/>
    <n v="4500"/>
    <m/>
    <n v="1800"/>
    <x v="0"/>
    <n v="6554"/>
    <n v="3636"/>
    <n v="1454.4"/>
    <n v="1498.0320000000002"/>
    <n v="301.96799999999985"/>
    <n v="0"/>
    <x v="0"/>
    <x v="0"/>
    <e v="#REF!"/>
    <e v="#REF!"/>
    <s v=""/>
    <n v="0.16775999999999991"/>
  </r>
  <r>
    <x v="7"/>
    <x v="192"/>
    <x v="0"/>
    <x v="32"/>
    <m/>
    <m/>
    <s v="COPPER_TUBE_SOFTDRAWN, EXZEL 0.028 X 1/4 x 15 mtr  05/28/26"/>
    <s v="IM-000329"/>
    <n v="0.4"/>
    <n v="2500"/>
    <m/>
    <n v="1000"/>
    <x v="0"/>
    <n v="3063"/>
    <n v="1699"/>
    <n v="679.6"/>
    <n v="699.98800000000006"/>
    <n v="300.01199999999994"/>
    <n v="0"/>
    <x v="0"/>
    <x v="0"/>
    <e v="#REF!"/>
    <e v="#REF!"/>
    <s v=""/>
    <n v="0.30001199999999995"/>
  </r>
  <r>
    <x v="7"/>
    <x v="192"/>
    <x v="0"/>
    <x v="32"/>
    <m/>
    <m/>
    <s v="RUBBER_INSULATION, M-FLEX 1/2&quot; 1/2"/>
    <s v="IM-000227"/>
    <n v="5"/>
    <n v="70"/>
    <m/>
    <n v="350"/>
    <x v="0"/>
    <n v="65"/>
    <n v="46.4"/>
    <n v="232"/>
    <n v="238.96"/>
    <n v="111.03999999999999"/>
    <n v="0"/>
    <x v="22"/>
    <x v="0"/>
    <e v="#REF!"/>
    <e v="#REF!"/>
    <s v=""/>
    <n v="0.31725714285714285"/>
  </r>
  <r>
    <x v="7"/>
    <x v="192"/>
    <x v="0"/>
    <x v="32"/>
    <m/>
    <m/>
    <s v="RUBBER_INSULATION, M-FLEX 1/2&quot; 1/4"/>
    <s v="IM-000229"/>
    <n v="5"/>
    <n v="50"/>
    <m/>
    <n v="250"/>
    <x v="0"/>
    <n v="47"/>
    <n v="33.6"/>
    <n v="168"/>
    <n v="173.04"/>
    <n v="76.960000000000008"/>
    <n v="0"/>
    <x v="22"/>
    <x v="0"/>
    <e v="#REF!"/>
    <e v="#REF!"/>
    <s v=""/>
    <n v="0.30784000000000006"/>
  </r>
  <r>
    <x v="7"/>
    <x v="192"/>
    <x v="0"/>
    <x v="32"/>
    <m/>
    <m/>
    <s v="HOSE,  DRAIN 5/8 PER METER"/>
    <s v="GE-000420"/>
    <n v="10"/>
    <n v="70"/>
    <m/>
    <n v="700"/>
    <x v="0"/>
    <n v="82"/>
    <n v="31"/>
    <n v="310"/>
    <n v="325.5"/>
    <n v="374.5"/>
    <n v="0"/>
    <x v="19"/>
    <x v="1"/>
    <e v="#REF!"/>
    <e v="#REF!"/>
    <s v=""/>
    <n v="0.53500000000000003"/>
  </r>
  <r>
    <x v="7"/>
    <x v="192"/>
    <x v="0"/>
    <x v="32"/>
    <m/>
    <m/>
    <s v="TAPE_FOAM, POKKA 5MM X 50 MM X 9.1 MTR"/>
    <s v="IM-000106"/>
    <n v="1"/>
    <n v="260"/>
    <m/>
    <n v="260"/>
    <x v="0"/>
    <n v="194"/>
    <n v="125"/>
    <n v="125"/>
    <n v="128.75"/>
    <n v="131.25"/>
    <n v="0"/>
    <x v="25"/>
    <x v="0"/>
    <e v="#REF!"/>
    <e v="#REF!"/>
    <s v=""/>
    <n v="0.50480769230769229"/>
  </r>
  <r>
    <x v="7"/>
    <x v="192"/>
    <x v="0"/>
    <x v="32"/>
    <m/>
    <m/>
    <s v="BOLT &amp; NUT, DYNABOLT 3/8&quot;"/>
    <s v="GE-000396"/>
    <n v="4"/>
    <n v="25"/>
    <m/>
    <n v="100"/>
    <x v="0"/>
    <n v="19"/>
    <n v="8.9"/>
    <n v="35.6"/>
    <n v="37.380000000000003"/>
    <n v="62.62"/>
    <n v="0"/>
    <x v="57"/>
    <x v="1"/>
    <e v="#REF!"/>
    <e v="#REF!"/>
    <s v=""/>
    <n v="0.62619999999999998"/>
  </r>
  <r>
    <x v="7"/>
    <x v="192"/>
    <x v="0"/>
    <x v="32"/>
    <m/>
    <m/>
    <s v="BOLT &amp; NUT, GI, SET 5/16"/>
    <s v="IM-000003"/>
    <n v="4"/>
    <n v="12"/>
    <m/>
    <n v="48"/>
    <x v="0"/>
    <n v="10"/>
    <n v="5"/>
    <n v="20"/>
    <n v="20.6"/>
    <n v="27.4"/>
    <n v="0"/>
    <x v="57"/>
    <x v="0"/>
    <e v="#REF!"/>
    <e v="#REF!"/>
    <s v=""/>
    <n v="0.5708333333333333"/>
  </r>
  <r>
    <x v="7"/>
    <x v="192"/>
    <x v="6"/>
    <x v="159"/>
    <m/>
    <n v="2200"/>
    <s v="EVAPORATOR, MITSUBISHI ADVENTURE LAM  (STAL)"/>
    <s v="CA-001719"/>
    <n v="1"/>
    <n v="1965"/>
    <m/>
    <n v="1965"/>
    <x v="0"/>
    <n v="2536"/>
    <n v="1380"/>
    <n v="1380"/>
    <n v="1449"/>
    <n v="516"/>
    <n v="154.79999999999998"/>
    <x v="10"/>
    <x v="2"/>
    <e v="#REF!"/>
    <e v="#REF!"/>
    <n v="2200.8000000000002"/>
    <n v="0.26259541984732826"/>
  </r>
  <r>
    <x v="7"/>
    <x v="192"/>
    <x v="6"/>
    <x v="159"/>
    <m/>
    <n v="2000"/>
    <s v="EVAPORATOR, TOYOTA VIOS 2014 (SUPERMAN)_STAL"/>
    <s v="CA-000146"/>
    <n v="1"/>
    <n v="1786"/>
    <m/>
    <n v="1786"/>
    <x v="0"/>
    <n v="1434"/>
    <n v="780"/>
    <n v="780"/>
    <n v="819"/>
    <n v="967"/>
    <n v="290.09999999999997"/>
    <x v="10"/>
    <x v="2"/>
    <e v="#REF!"/>
    <e v="#REF!"/>
    <n v="2000.3200000000002"/>
    <n v="0.5414333706606943"/>
  </r>
  <r>
    <x v="7"/>
    <x v="192"/>
    <x v="1"/>
    <x v="5"/>
    <m/>
    <m/>
    <s v="REFRIGERANT, ENTALPIA EUROPE R134A 13.6   6/16/26 "/>
    <s v="GE-000517"/>
    <n v="1"/>
    <n v="8800"/>
    <m/>
    <n v="8800"/>
    <x v="0"/>
    <n v="10489"/>
    <n v="7684"/>
    <n v="7684"/>
    <n v="8068.2000000000007"/>
    <n v="731.79999999999927"/>
    <n v="219.53999999999976"/>
    <x v="5"/>
    <x v="1"/>
    <e v="#REF!"/>
    <e v="#REF!"/>
    <s v=""/>
    <n v="8.3159090909090821E-2"/>
  </r>
  <r>
    <x v="7"/>
    <x v="192"/>
    <x v="1"/>
    <x v="5"/>
    <m/>
    <m/>
    <s v="TAPE, EVER SEAL CORK TAPE"/>
    <s v="GE-000344"/>
    <n v="1"/>
    <n v="260"/>
    <m/>
    <n v="260"/>
    <x v="0"/>
    <n v="226"/>
    <n v="130"/>
    <n v="130"/>
    <n v="136.5"/>
    <n v="123.5"/>
    <n v="37.049999999999997"/>
    <x v="41"/>
    <x v="1"/>
    <e v="#REF!"/>
    <e v="#REF!"/>
    <s v=""/>
    <n v="0.47499999999999998"/>
  </r>
  <r>
    <x v="7"/>
    <x v="192"/>
    <x v="1"/>
    <x v="5"/>
    <m/>
    <m/>
    <s v="TAPE_FOAM, AEROTAPE 3MM X 50 MM X 9.1 MTR  06/18/26"/>
    <s v="IM-000332"/>
    <n v="1"/>
    <n v="430"/>
    <m/>
    <n v="430"/>
    <x v="0"/>
    <n v="510"/>
    <n v="330"/>
    <n v="330"/>
    <n v="339.90000000000003"/>
    <n v="90.099999999999966"/>
    <n v="27.02999999999999"/>
    <x v="25"/>
    <x v="0"/>
    <e v="#REF!"/>
    <e v="#REF!"/>
    <s v=""/>
    <n v="0.20953488372093015"/>
  </r>
  <r>
    <x v="7"/>
    <x v="192"/>
    <x v="0"/>
    <x v="23"/>
    <m/>
    <m/>
    <s v="EVAPORATOR, ISUZU TRAVIS / NHR LT HS -40A506"/>
    <s v="CA-001835"/>
    <n v="1"/>
    <n v="1900"/>
    <m/>
    <n v="1900"/>
    <x v="0"/>
    <n v="2481"/>
    <n v="1350"/>
    <n v="1350"/>
    <n v="1417.5"/>
    <n v="482.5"/>
    <n v="0"/>
    <x v="10"/>
    <x v="2"/>
    <e v="#REF!"/>
    <e v="#REF!"/>
    <s v=""/>
    <n v="0.25394736842105264"/>
  </r>
  <r>
    <x v="7"/>
    <x v="192"/>
    <x v="1"/>
    <x v="3"/>
    <m/>
    <m/>
    <s v="EXP. VALVE LT, POKKA 9A56 INNOVA F"/>
    <s v="CA-000637"/>
    <n v="1"/>
    <n v="550"/>
    <m/>
    <n v="550"/>
    <x v="0"/>
    <n v="460"/>
    <n v="250"/>
    <n v="250"/>
    <n v="262.5"/>
    <n v="287.5"/>
    <n v="86.25"/>
    <x v="23"/>
    <x v="2"/>
    <e v="#REF!"/>
    <e v="#REF!"/>
    <s v=""/>
    <n v="0.52272727272727271"/>
  </r>
  <r>
    <x v="7"/>
    <x v="192"/>
    <x v="1"/>
    <x v="3"/>
    <m/>
    <m/>
    <s v="EXP. VALVE LT, POKKA 9A57 INNOVA R"/>
    <s v="CA-000638"/>
    <n v="1"/>
    <n v="550"/>
    <m/>
    <n v="550"/>
    <x v="0"/>
    <n v="460"/>
    <n v="250"/>
    <n v="250"/>
    <n v="262.5"/>
    <n v="287.5"/>
    <n v="86.25"/>
    <x v="23"/>
    <x v="2"/>
    <e v="#REF!"/>
    <e v="#REF!"/>
    <s v=""/>
    <n v="0.52272727272727271"/>
  </r>
  <r>
    <x v="7"/>
    <x v="192"/>
    <x v="1"/>
    <x v="3"/>
    <m/>
    <m/>
    <s v="BLOWER_MOTOR, TOYOTA INNOVA OLD F"/>
    <s v="CA-000227"/>
    <n v="1"/>
    <n v="2000"/>
    <m/>
    <n v="2000"/>
    <x v="0"/>
    <n v="2389"/>
    <n v="1300"/>
    <n v="1300"/>
    <n v="1365"/>
    <n v="635"/>
    <n v="190.5"/>
    <x v="15"/>
    <x v="2"/>
    <e v="#REF!"/>
    <e v="#REF!"/>
    <s v=""/>
    <n v="0.3175"/>
  </r>
  <r>
    <x v="7"/>
    <x v="192"/>
    <x v="1"/>
    <x v="3"/>
    <m/>
    <m/>
    <s v="O_RING, NEK MAKAPAL 1/2"/>
    <s v="CA-000840"/>
    <n v="1"/>
    <n v="180"/>
    <m/>
    <n v="180"/>
    <x v="0"/>
    <n v="111"/>
    <n v="60"/>
    <n v="60"/>
    <n v="63"/>
    <n v="117"/>
    <n v="35.1"/>
    <x v="44"/>
    <x v="2"/>
    <e v="#REF!"/>
    <e v="#REF!"/>
    <s v=""/>
    <n v="0.65"/>
  </r>
  <r>
    <x v="7"/>
    <x v="192"/>
    <x v="2"/>
    <x v="9"/>
    <m/>
    <m/>
    <s v="PULLEY_ASSEMBLY, TOYOTA INNOVA DENSO 7PK 2008"/>
    <s v="CA-000242"/>
    <n v="1"/>
    <n v="2100"/>
    <m/>
    <n v="2100"/>
    <x v="0"/>
    <n v="2520"/>
    <n v="1500"/>
    <n v="1500"/>
    <n v="1575"/>
    <n v="525"/>
    <n v="157.5"/>
    <x v="11"/>
    <x v="2"/>
    <e v="#REF!"/>
    <e v="#REF!"/>
    <s v=""/>
    <n v="0.25"/>
  </r>
  <r>
    <x v="7"/>
    <x v="192"/>
    <x v="2"/>
    <x v="9"/>
    <m/>
    <m/>
    <s v="AUXIALLIARY_FAN, POKKA 10 BLADES X 12VOLTS"/>
    <s v="CA-000106"/>
    <n v="2"/>
    <n v="600"/>
    <m/>
    <n v="1200"/>
    <x v="0"/>
    <n v="772"/>
    <n v="420"/>
    <n v="840"/>
    <n v="882"/>
    <n v="318"/>
    <n v="95.399999999999991"/>
    <x v="16"/>
    <x v="2"/>
    <e v="#REF!"/>
    <e v="#REF!"/>
    <s v=""/>
    <n v="0.26500000000000001"/>
  </r>
  <r>
    <x v="7"/>
    <x v="192"/>
    <x v="0"/>
    <x v="23"/>
    <m/>
    <m/>
    <s v="EVAPORATOR, TOYOTA INNOVA OLD (F) JBE-0103ZX (STAL)"/>
    <s v="CA-001633"/>
    <n v="1"/>
    <n v="2000"/>
    <m/>
    <n v="2000"/>
    <x v="0"/>
    <n v="1654"/>
    <n v="900"/>
    <n v="900"/>
    <n v="945"/>
    <n v="1055"/>
    <n v="0"/>
    <x v="10"/>
    <x v="2"/>
    <e v="#REF!"/>
    <e v="#REF!"/>
    <s v=""/>
    <n v="0.52749999999999997"/>
  </r>
  <r>
    <x v="7"/>
    <x v="193"/>
    <x v="3"/>
    <x v="12"/>
    <m/>
    <m/>
    <s v="FERULLE,  1/2&quot;"/>
    <s v="CA-000644"/>
    <n v="6"/>
    <n v="15"/>
    <m/>
    <n v="90"/>
    <x v="0"/>
    <n v="13"/>
    <n v="7"/>
    <n v="42"/>
    <n v="44.1"/>
    <n v="45.9"/>
    <n v="13.77"/>
    <x v="42"/>
    <x v="2"/>
    <e v="#REF!"/>
    <e v="#REF!"/>
    <s v=""/>
    <n v="0.51"/>
  </r>
  <r>
    <x v="7"/>
    <x v="193"/>
    <x v="3"/>
    <x v="12"/>
    <m/>
    <m/>
    <s v="FITTINGS, STRAIGHT FLARE TYPE 1/2"/>
    <s v="CA-000671"/>
    <n v="6"/>
    <n v="45"/>
    <m/>
    <n v="270"/>
    <x v="0"/>
    <n v="30"/>
    <n v="16"/>
    <n v="96"/>
    <n v="100.80000000000001"/>
    <n v="169.2"/>
    <n v="50.76"/>
    <x v="33"/>
    <x v="2"/>
    <e v="#REF!"/>
    <e v="#REF!"/>
    <s v=""/>
    <n v="0.62666666666666659"/>
  </r>
  <r>
    <x v="7"/>
    <x v="193"/>
    <x v="3"/>
    <x v="12"/>
    <m/>
    <n v="1900"/>
    <s v="ECV, HYUNDAI ACCENT, 8-22A"/>
    <s v="CA-000454"/>
    <n v="1"/>
    <n v="1700"/>
    <m/>
    <n v="1700"/>
    <x v="0"/>
    <n v="1838"/>
    <n v="1000"/>
    <n v="1000"/>
    <n v="1050"/>
    <n v="650"/>
    <n v="195"/>
    <x v="26"/>
    <x v="2"/>
    <e v="#REF!"/>
    <e v="#REF!"/>
    <n v="1904.0000000000002"/>
    <n v="0.38235294117647056"/>
  </r>
  <r>
    <x v="7"/>
    <x v="193"/>
    <x v="0"/>
    <x v="8"/>
    <m/>
    <m/>
    <s v="AUXIALLIARY_FAN, POKKA 10 BLADES X 12VOLTS"/>
    <s v="CA-000106"/>
    <n v="1"/>
    <n v="650"/>
    <m/>
    <n v="650"/>
    <x v="0"/>
    <n v="772"/>
    <n v="420"/>
    <n v="420"/>
    <n v="441"/>
    <n v="209"/>
    <n v="0"/>
    <x v="16"/>
    <x v="2"/>
    <e v="#REF!"/>
    <e v="#REF!"/>
    <s v=""/>
    <n v="0.32153846153846155"/>
  </r>
  <r>
    <x v="7"/>
    <x v="193"/>
    <x v="0"/>
    <x v="1"/>
    <m/>
    <m/>
    <s v="PULLEY_ASSEMBLY, MITSUBISHI MIRAGE LONG "/>
    <s v="CA-001037"/>
    <n v="1"/>
    <n v="2400"/>
    <m/>
    <n v="2400"/>
    <x v="0"/>
    <n v="2520"/>
    <n v="1500"/>
    <n v="1500"/>
    <n v="1575"/>
    <n v="825"/>
    <n v="0"/>
    <x v="11"/>
    <x v="2"/>
    <e v="#REF!"/>
    <e v="#REF!"/>
    <s v=""/>
    <n v="0.34375"/>
  </r>
  <r>
    <x v="7"/>
    <x v="193"/>
    <x v="1"/>
    <x v="3"/>
    <m/>
    <m/>
    <s v="EVAPORATOR, TOYOTA INNOVA OLD (R) JBE-0102X (STAL)"/>
    <s v="CA-001634"/>
    <n v="1"/>
    <n v="1900"/>
    <m/>
    <n v="1900"/>
    <x v="0"/>
    <n v="1470"/>
    <n v="800"/>
    <n v="800"/>
    <n v="840"/>
    <n v="1060"/>
    <n v="318"/>
    <x v="10"/>
    <x v="2"/>
    <e v="#REF!"/>
    <e v="#REF!"/>
    <s v=""/>
    <n v="0.55789473684210522"/>
  </r>
  <r>
    <x v="7"/>
    <x v="193"/>
    <x v="1"/>
    <x v="3"/>
    <m/>
    <m/>
    <s v="RECEIVER_DRIER_ALUMINUM, YK 40 X 290 (INNOVA)"/>
    <s v="CA-001083"/>
    <n v="1"/>
    <n v="560"/>
    <m/>
    <n v="560"/>
    <x v="0"/>
    <n v="638"/>
    <n v="270"/>
    <n v="270"/>
    <n v="283.5"/>
    <n v="276.5"/>
    <n v="82.95"/>
    <x v="27"/>
    <x v="2"/>
    <e v="#REF!"/>
    <e v="#REF!"/>
    <s v=""/>
    <n v="0.49375000000000002"/>
  </r>
  <r>
    <x v="7"/>
    <x v="193"/>
    <x v="1"/>
    <x v="3"/>
    <m/>
    <m/>
    <s v="EXP. VALVE LT, POKKA 9A56 INNOVA F"/>
    <s v="CA-000637"/>
    <n v="1"/>
    <n v="550"/>
    <m/>
    <n v="550"/>
    <x v="0"/>
    <n v="460"/>
    <n v="250"/>
    <n v="250"/>
    <n v="262.5"/>
    <n v="287.5"/>
    <n v="86.25"/>
    <x v="23"/>
    <x v="2"/>
    <e v="#REF!"/>
    <e v="#REF!"/>
    <s v=""/>
    <n v="0.52272727272727271"/>
  </r>
  <r>
    <x v="7"/>
    <x v="193"/>
    <x v="1"/>
    <x v="3"/>
    <m/>
    <m/>
    <s v="EXP. VALVE LT, POKKA 9A57 INNOVA R"/>
    <s v="CA-000638"/>
    <n v="1"/>
    <n v="550"/>
    <m/>
    <n v="550"/>
    <x v="0"/>
    <n v="460"/>
    <n v="250"/>
    <n v="250"/>
    <n v="262.5"/>
    <n v="287.5"/>
    <n v="86.25"/>
    <x v="23"/>
    <x v="2"/>
    <e v="#REF!"/>
    <e v="#REF!"/>
    <s v=""/>
    <n v="0.52272727272727271"/>
  </r>
  <r>
    <x v="7"/>
    <x v="193"/>
    <x v="1"/>
    <x v="3"/>
    <m/>
    <m/>
    <s v="THERMOSTAT, NEK CAR"/>
    <s v="CA-001647"/>
    <n v="1"/>
    <n v="250"/>
    <m/>
    <n v="250"/>
    <x v="0"/>
    <n v="180"/>
    <n v="90"/>
    <n v="90"/>
    <n v="94.5"/>
    <n v="155.5"/>
    <n v="46.65"/>
    <x v="31"/>
    <x v="2"/>
    <e v="#REF!"/>
    <e v="#REF!"/>
    <s v=""/>
    <n v="0.622"/>
  </r>
  <r>
    <x v="7"/>
    <x v="193"/>
    <x v="0"/>
    <x v="2"/>
    <m/>
    <m/>
    <s v="COPPER_TUBE_SOFTDRAWN, EXZEL 0.028 X 1/4 x 15 mtr  05/28/26"/>
    <s v="IM-000329"/>
    <n v="0.2"/>
    <n v="2500"/>
    <m/>
    <n v="500"/>
    <x v="0"/>
    <n v="3063"/>
    <n v="1699"/>
    <n v="339.8"/>
    <n v="349.99400000000003"/>
    <n v="150.00599999999997"/>
    <n v="0"/>
    <x v="0"/>
    <x v="0"/>
    <e v="#REF!"/>
    <e v="#REF!"/>
    <s v=""/>
    <n v="0.30001199999999995"/>
  </r>
  <r>
    <x v="7"/>
    <x v="193"/>
    <x v="0"/>
    <x v="2"/>
    <m/>
    <m/>
    <s v="COPPER_TUBE_SOFTDRAWN, HAILIANG 0.028 X 3/8 x 15 mtr 06/02/26"/>
    <s v="IM-000327"/>
    <n v="0.2"/>
    <n v="3500"/>
    <m/>
    <n v="700"/>
    <x v="0"/>
    <n v="4774"/>
    <n v="2648"/>
    <n v="529.6"/>
    <n v="545.48800000000006"/>
    <n v="154.51199999999994"/>
    <n v="0"/>
    <x v="0"/>
    <x v="0"/>
    <e v="#REF!"/>
    <e v="#REF!"/>
    <s v=""/>
    <n v="0.2207314285714285"/>
  </r>
  <r>
    <x v="7"/>
    <x v="193"/>
    <x v="0"/>
    <x v="2"/>
    <m/>
    <m/>
    <s v="BOLT &amp; NUT, DYNABOLT 3/8&quot;"/>
    <s v="GE-000396"/>
    <n v="5"/>
    <n v="25"/>
    <m/>
    <n v="125"/>
    <x v="0"/>
    <n v="19"/>
    <n v="8.9"/>
    <n v="44.5"/>
    <n v="46.725000000000001"/>
    <n v="78.275000000000006"/>
    <n v="0"/>
    <x v="57"/>
    <x v="1"/>
    <e v="#REF!"/>
    <e v="#REF!"/>
    <s v=""/>
    <n v="0.62620000000000009"/>
  </r>
  <r>
    <x v="7"/>
    <x v="193"/>
    <x v="0"/>
    <x v="2"/>
    <m/>
    <m/>
    <s v="RUBBER_INSULATION, M-FLEX 1/2&quot; 3/8"/>
    <s v="IM-000231"/>
    <n v="2"/>
    <n v="60"/>
    <m/>
    <n v="120"/>
    <x v="0"/>
    <n v="53"/>
    <n v="37.6"/>
    <n v="75.2"/>
    <n v="77.456000000000003"/>
    <n v="42.543999999999997"/>
    <n v="0"/>
    <x v="22"/>
    <x v="0"/>
    <e v="#REF!"/>
    <e v="#REF!"/>
    <s v=""/>
    <n v="0.35453333333333331"/>
  </r>
  <r>
    <x v="7"/>
    <x v="193"/>
    <x v="0"/>
    <x v="2"/>
    <m/>
    <m/>
    <s v="ROD, HARRIS SILVER "/>
    <s v="IM-000098"/>
    <n v="2"/>
    <n v="28"/>
    <m/>
    <n v="56"/>
    <x v="0"/>
    <n v="30"/>
    <n v="19"/>
    <n v="38"/>
    <n v="39.14"/>
    <n v="16.86"/>
    <n v="0"/>
    <x v="56"/>
    <x v="0"/>
    <e v="#REF!"/>
    <e v="#REF!"/>
    <s v=""/>
    <n v="0.30107142857142855"/>
  </r>
  <r>
    <x v="7"/>
    <x v="193"/>
    <x v="0"/>
    <x v="1"/>
    <m/>
    <m/>
    <s v="TAPE_PE, PICUS Polythelene Tape (White)X 4&quot;"/>
    <s v="IM-000247"/>
    <n v="2"/>
    <n v="125"/>
    <m/>
    <n v="250"/>
    <x v="0"/>
    <n v="147"/>
    <n v="75"/>
    <n v="150"/>
    <n v="154.5"/>
    <n v="95.5"/>
    <n v="0"/>
    <x v="29"/>
    <x v="0"/>
    <e v="#REF!"/>
    <e v="#REF!"/>
    <s v=""/>
    <n v="0.38200000000000001"/>
  </r>
  <r>
    <x v="7"/>
    <x v="193"/>
    <x v="0"/>
    <x v="8"/>
    <m/>
    <m/>
    <s v="RECEIVER_DRIER_ALUMINUM, YK 8793 (MAZDA 3)"/>
    <s v="CA-001122"/>
    <n v="1"/>
    <n v="550"/>
    <m/>
    <n v="550"/>
    <x v="0"/>
    <n v="567"/>
    <n v="240"/>
    <n v="240"/>
    <n v="252"/>
    <n v="298"/>
    <n v="0"/>
    <x v="27"/>
    <x v="2"/>
    <e v="#REF!"/>
    <e v="#REF!"/>
    <s v=""/>
    <n v="0.54181818181818187"/>
  </r>
  <r>
    <x v="7"/>
    <x v="193"/>
    <x v="0"/>
    <x v="8"/>
    <m/>
    <m/>
    <s v="EXP. VALVE LT, POKKA 9A214 MAZDA 3"/>
    <s v="CA-000633"/>
    <n v="1"/>
    <n v="550"/>
    <m/>
    <n v="550"/>
    <x v="0"/>
    <n v="460"/>
    <n v="250"/>
    <n v="250"/>
    <n v="262.5"/>
    <n v="287.5"/>
    <n v="0"/>
    <x v="23"/>
    <x v="2"/>
    <e v="#REF!"/>
    <e v="#REF!"/>
    <s v=""/>
    <n v="0.52272727272727271"/>
  </r>
  <r>
    <x v="7"/>
    <x v="193"/>
    <x v="0"/>
    <x v="8"/>
    <m/>
    <m/>
    <s v="SYSTEM_CLEANER, Cleanse GREEN 141B 500 ML"/>
    <s v="GE-000369"/>
    <n v="4"/>
    <n v="120"/>
    <m/>
    <n v="480"/>
    <x v="0"/>
    <n v="113"/>
    <n v="65"/>
    <n v="260"/>
    <n v="273"/>
    <n v="207"/>
    <n v="0"/>
    <x v="28"/>
    <x v="1"/>
    <e v="#REF!"/>
    <e v="#REF!"/>
    <s v=""/>
    <n v="0.43125000000000002"/>
  </r>
  <r>
    <x v="7"/>
    <x v="193"/>
    <x v="0"/>
    <x v="11"/>
    <m/>
    <m/>
    <s v="EXP. VALVE LT, POKKA 9A57 INNOVA R"/>
    <s v="CA-000638"/>
    <n v="1"/>
    <n v="550"/>
    <m/>
    <n v="550"/>
    <x v="0"/>
    <n v="460"/>
    <n v="250"/>
    <n v="250"/>
    <n v="262.5"/>
    <n v="287.5"/>
    <n v="0"/>
    <x v="23"/>
    <x v="2"/>
    <e v="#REF!"/>
    <e v="#REF!"/>
    <s v=""/>
    <n v="0.52272727272727271"/>
  </r>
  <r>
    <x v="7"/>
    <x v="193"/>
    <x v="0"/>
    <x v="11"/>
    <m/>
    <n v="200"/>
    <s v="SILICA_GEL, STAL SHORT"/>
    <s v="CA-001638"/>
    <n v="1"/>
    <n v="180"/>
    <m/>
    <n v="180"/>
    <x v="0"/>
    <n v="44"/>
    <n v="22"/>
    <n v="22"/>
    <n v="23.1"/>
    <n v="156.9"/>
    <n v="0"/>
    <x v="37"/>
    <x v="2"/>
    <e v="#REF!"/>
    <e v="#REF!"/>
    <n v="201.60000000000002"/>
    <n v="0.8716666666666667"/>
  </r>
  <r>
    <x v="7"/>
    <x v="194"/>
    <x v="1"/>
    <x v="3"/>
    <m/>
    <m/>
    <s v="RECEIVER_DRIER_STEEL , MAXX 5116 (L300 F/B)"/>
    <s v="CA-001134"/>
    <n v="1"/>
    <n v="600"/>
    <m/>
    <n v="600"/>
    <x v="0"/>
    <n v="686"/>
    <n v="290"/>
    <n v="290"/>
    <n v="304.5"/>
    <n v="295.5"/>
    <n v="88.649999999999991"/>
    <x v="17"/>
    <x v="2"/>
    <e v="#REF!"/>
    <e v="#REF!"/>
    <s v=""/>
    <n v="0.49249999999999999"/>
  </r>
  <r>
    <x v="7"/>
    <x v="194"/>
    <x v="10"/>
    <x v="82"/>
    <m/>
    <m/>
    <s v="AUXFAN_MOTOR, NISSAN NV350"/>
    <s v="CA-000066"/>
    <n v="1"/>
    <n v="1900"/>
    <m/>
    <n v="1900"/>
    <x v="0"/>
    <n v="2114"/>
    <n v="1150"/>
    <n v="1150"/>
    <n v="1207.5"/>
    <n v="692.5"/>
    <n v="207.75"/>
    <x v="14"/>
    <x v="2"/>
    <e v="#REF!"/>
    <e v="#REF!"/>
    <s v=""/>
    <n v="0.36447368421052634"/>
  </r>
  <r>
    <x v="7"/>
    <x v="194"/>
    <x v="0"/>
    <x v="1"/>
    <m/>
    <m/>
    <s v="BRACKET , GB 1HP, COATED"/>
    <s v="IM-000008"/>
    <n v="1"/>
    <n v="360"/>
    <m/>
    <n v="360"/>
    <x v="0"/>
    <n v="334"/>
    <n v="185"/>
    <n v="185"/>
    <n v="190.55"/>
    <n v="169.45"/>
    <n v="0"/>
    <x v="1"/>
    <x v="0"/>
    <e v="#REF!"/>
    <e v="#REF!"/>
    <s v=""/>
    <n v="0.47069444444444442"/>
  </r>
  <r>
    <x v="7"/>
    <x v="194"/>
    <x v="0"/>
    <x v="1"/>
    <m/>
    <m/>
    <s v="RUBBER_INSULATION, M-FLEX 1/2&quot; 1/4"/>
    <s v="IM-000229"/>
    <n v="1"/>
    <n v="50"/>
    <m/>
    <n v="50"/>
    <x v="0"/>
    <n v="47"/>
    <n v="33.6"/>
    <n v="33.6"/>
    <n v="34.608000000000004"/>
    <n v="15.391999999999996"/>
    <n v="0"/>
    <x v="22"/>
    <x v="0"/>
    <e v="#REF!"/>
    <e v="#REF!"/>
    <s v=""/>
    <n v="0.30783999999999989"/>
  </r>
  <r>
    <x v="7"/>
    <x v="194"/>
    <x v="0"/>
    <x v="1"/>
    <m/>
    <m/>
    <s v="RUBBER_INSULATION, M-FLEX 1/2&quot; 3/8"/>
    <s v="IM-000231"/>
    <n v="1"/>
    <n v="60"/>
    <m/>
    <n v="60"/>
    <x v="0"/>
    <n v="53"/>
    <n v="37.6"/>
    <n v="37.6"/>
    <n v="38.728000000000002"/>
    <n v="21.271999999999998"/>
    <n v="0"/>
    <x v="22"/>
    <x v="0"/>
    <e v="#REF!"/>
    <e v="#REF!"/>
    <s v=""/>
    <n v="0.35453333333333331"/>
  </r>
  <r>
    <x v="7"/>
    <x v="194"/>
    <x v="0"/>
    <x v="1"/>
    <m/>
    <m/>
    <s v="CAPACITOR_DOUBLE, PS CBB65 12 + 1.5 UF"/>
    <s v="GE-000349"/>
    <n v="1"/>
    <n v="340"/>
    <m/>
    <n v="340"/>
    <x v="0"/>
    <n v="276"/>
    <n v="150"/>
    <n v="150"/>
    <n v="157.5"/>
    <n v="182.5"/>
    <n v="0"/>
    <x v="65"/>
    <x v="1"/>
    <e v="#REF!"/>
    <e v="#REF!"/>
    <s v=""/>
    <n v="0.53676470588235292"/>
  </r>
  <r>
    <x v="7"/>
    <x v="194"/>
    <x v="0"/>
    <x v="1"/>
    <m/>
    <m/>
    <s v="COPPER_TUBE_SOFTDRAWN, EXZEL 0.028 X 1/4 x 15 mtr  05/28/26"/>
    <s v="IM-000329"/>
    <n v="0.4"/>
    <n v="2500"/>
    <m/>
    <n v="1000"/>
    <x v="0"/>
    <n v="3063"/>
    <n v="1699"/>
    <n v="679.6"/>
    <n v="699.98800000000006"/>
    <n v="300.01199999999994"/>
    <n v="0"/>
    <x v="0"/>
    <x v="0"/>
    <e v="#REF!"/>
    <e v="#REF!"/>
    <s v=""/>
    <n v="0.30001199999999995"/>
  </r>
  <r>
    <x v="7"/>
    <x v="194"/>
    <x v="0"/>
    <x v="1"/>
    <m/>
    <m/>
    <s v="COPPER_TUBE_SOFTDRAWN, HAILIANG 0.028 X 3/8 x 15 mtr 06/02/26"/>
    <s v="IM-000327"/>
    <n v="0.4"/>
    <n v="3500"/>
    <m/>
    <n v="1400"/>
    <x v="0"/>
    <n v="4774"/>
    <n v="2648"/>
    <n v="1059.2"/>
    <n v="1090.9760000000001"/>
    <n v="309.02399999999989"/>
    <n v="0"/>
    <x v="0"/>
    <x v="0"/>
    <e v="#REF!"/>
    <e v="#REF!"/>
    <s v=""/>
    <n v="0.2207314285714285"/>
  </r>
  <r>
    <x v="7"/>
    <x v="194"/>
    <x v="0"/>
    <x v="1"/>
    <m/>
    <m/>
    <s v="RUBBER_INSULATION, M-FLEX 1/2&quot; 1/4"/>
    <s v="IM-000229"/>
    <n v="3"/>
    <n v="50"/>
    <m/>
    <n v="150"/>
    <x v="0"/>
    <n v="47"/>
    <n v="33.6"/>
    <n v="100.80000000000001"/>
    <n v="103.82400000000001"/>
    <n v="46.175999999999988"/>
    <n v="0"/>
    <x v="22"/>
    <x v="0"/>
    <e v="#REF!"/>
    <e v="#REF!"/>
    <s v=""/>
    <n v="0.30783999999999989"/>
  </r>
  <r>
    <x v="7"/>
    <x v="194"/>
    <x v="0"/>
    <x v="1"/>
    <m/>
    <m/>
    <s v="RUBBER_INSULATION, M-FLEX 1/2&quot; 3/8"/>
    <s v="IM-000231"/>
    <n v="3"/>
    <n v="60"/>
    <m/>
    <n v="180"/>
    <x v="0"/>
    <n v="53"/>
    <n v="37.6"/>
    <n v="112.80000000000001"/>
    <n v="116.18400000000001"/>
    <n v="63.815999999999988"/>
    <n v="0"/>
    <x v="22"/>
    <x v="0"/>
    <e v="#REF!"/>
    <e v="#REF!"/>
    <s v=""/>
    <n v="0.35453333333333326"/>
  </r>
  <r>
    <x v="7"/>
    <x v="194"/>
    <x v="0"/>
    <x v="1"/>
    <m/>
    <m/>
    <s v="TAPE_PE, PICUS Polythelene Tape (White)X 4&quot;"/>
    <s v="IM-000247"/>
    <n v="3"/>
    <n v="125"/>
    <m/>
    <n v="375"/>
    <x v="0"/>
    <n v="147"/>
    <n v="75"/>
    <n v="225"/>
    <n v="231.75"/>
    <n v="143.25"/>
    <n v="0"/>
    <x v="29"/>
    <x v="0"/>
    <e v="#REF!"/>
    <e v="#REF!"/>
    <s v=""/>
    <n v="0.38200000000000001"/>
  </r>
  <r>
    <x v="7"/>
    <x v="194"/>
    <x v="0"/>
    <x v="1"/>
    <m/>
    <m/>
    <s v="ELECTRICAL WIRE_STRANDED, POWERFLEX THNN STRANDED   #14, MTR"/>
    <s v="GE-000122"/>
    <n v="20"/>
    <n v="35"/>
    <m/>
    <n v="700"/>
    <x v="0"/>
    <n v="39"/>
    <n v="21"/>
    <n v="420"/>
    <n v="441"/>
    <n v="259"/>
    <n v="0"/>
    <x v="2"/>
    <x v="1"/>
    <e v="#REF!"/>
    <e v="#REF!"/>
    <s v=""/>
    <n v="0.37"/>
  </r>
  <r>
    <x v="7"/>
    <x v="194"/>
    <x v="3"/>
    <x v="158"/>
    <m/>
    <m/>
    <s v="EXP. VALVE LT, POKKA 9A55 HONDA NEW"/>
    <s v="CA-000636"/>
    <n v="2"/>
    <n v="550"/>
    <m/>
    <n v="1100"/>
    <x v="0"/>
    <n v="497"/>
    <n v="270"/>
    <n v="540"/>
    <n v="567"/>
    <n v="533"/>
    <n v="159.9"/>
    <x v="23"/>
    <x v="2"/>
    <e v="#REF!"/>
    <e v="#REF!"/>
    <s v=""/>
    <n v="0.48454545454545456"/>
  </r>
  <r>
    <x v="7"/>
    <x v="194"/>
    <x v="3"/>
    <x v="158"/>
    <m/>
    <m/>
    <s v="EXP. VALVE LT, POKKA 9A56 INNOVA F"/>
    <s v="CA-000637"/>
    <n v="1"/>
    <n v="550"/>
    <m/>
    <n v="550"/>
    <x v="0"/>
    <n v="460"/>
    <n v="250"/>
    <n v="250"/>
    <n v="262.5"/>
    <n v="287.5"/>
    <n v="86.25"/>
    <x v="23"/>
    <x v="2"/>
    <e v="#REF!"/>
    <e v="#REF!"/>
    <s v=""/>
    <n v="0.52272727272727271"/>
  </r>
  <r>
    <x v="7"/>
    <x v="194"/>
    <x v="3"/>
    <x v="158"/>
    <m/>
    <m/>
    <s v="EXP. VALVE LT, POKKA 9A57 INNOVA R"/>
    <s v="CA-000638"/>
    <n v="1"/>
    <n v="550"/>
    <m/>
    <n v="550"/>
    <x v="0"/>
    <n v="460"/>
    <n v="250"/>
    <n v="250"/>
    <n v="262.5"/>
    <n v="287.5"/>
    <n v="86.25"/>
    <x v="23"/>
    <x v="2"/>
    <e v="#REF!"/>
    <e v="#REF!"/>
    <s v=""/>
    <n v="0.52272727272727271"/>
  </r>
  <r>
    <x v="7"/>
    <x v="194"/>
    <x v="0"/>
    <x v="1"/>
    <m/>
    <m/>
    <s v="REFRIGERANT, ENTALPIA EUROPE R32, 3KGS"/>
    <s v="GE-000475"/>
    <n v="1"/>
    <n v="3000"/>
    <m/>
    <n v="3000"/>
    <x v="0"/>
    <n v="2867"/>
    <n v="2100"/>
    <n v="2100"/>
    <n v="2205"/>
    <n v="795"/>
    <n v="0"/>
    <x v="5"/>
    <x v="1"/>
    <e v="#REF!"/>
    <e v="#REF!"/>
    <s v=""/>
    <n v="0.26500000000000001"/>
  </r>
  <r>
    <x v="7"/>
    <x v="194"/>
    <x v="2"/>
    <x v="7"/>
    <m/>
    <m/>
    <s v="EVAPORATOR, TOYOTA AVANZA 14 HS-40A523"/>
    <s v="CA-000536"/>
    <n v="1"/>
    <n v="2000"/>
    <m/>
    <n v="2000"/>
    <x v="0"/>
    <n v="2389"/>
    <n v="1300"/>
    <n v="1300"/>
    <n v="1365"/>
    <n v="635"/>
    <n v="190.5"/>
    <x v="10"/>
    <x v="2"/>
    <e v="#REF!"/>
    <e v="#REF!"/>
    <s v=""/>
    <n v="0.3175"/>
  </r>
  <r>
    <x v="7"/>
    <x v="194"/>
    <x v="0"/>
    <x v="8"/>
    <m/>
    <m/>
    <s v="EXP. VALVE LT, POKKA 9A56 INNOVA F"/>
    <s v="CA-000637"/>
    <n v="1"/>
    <n v="550"/>
    <m/>
    <n v="550"/>
    <x v="0"/>
    <n v="460"/>
    <n v="250"/>
    <n v="250"/>
    <n v="262.5"/>
    <n v="287.5"/>
    <n v="0"/>
    <x v="23"/>
    <x v="2"/>
    <e v="#REF!"/>
    <e v="#REF!"/>
    <s v=""/>
    <n v="0.52272727272727271"/>
  </r>
  <r>
    <x v="7"/>
    <x v="194"/>
    <x v="0"/>
    <x v="8"/>
    <m/>
    <m/>
    <s v="EXP. VALVE LT, POKKA 9A57 INNOVA R"/>
    <s v="CA-000638"/>
    <n v="1"/>
    <n v="550"/>
    <m/>
    <n v="550"/>
    <x v="0"/>
    <n v="460"/>
    <n v="250"/>
    <n v="250"/>
    <n v="262.5"/>
    <n v="287.5"/>
    <n v="0"/>
    <x v="23"/>
    <x v="2"/>
    <e v="#REF!"/>
    <e v="#REF!"/>
    <s v=""/>
    <n v="0.52272727272727271"/>
  </r>
  <r>
    <x v="7"/>
    <x v="194"/>
    <x v="0"/>
    <x v="8"/>
    <m/>
    <n v="200"/>
    <s v="SILICA_GEL, STAL LONG"/>
    <s v="CA-001637"/>
    <n v="1"/>
    <n v="180"/>
    <m/>
    <n v="180"/>
    <x v="0"/>
    <n v="50"/>
    <n v="25"/>
    <n v="25"/>
    <n v="26.25"/>
    <n v="153.75"/>
    <n v="0"/>
    <x v="37"/>
    <x v="2"/>
    <e v="#REF!"/>
    <e v="#REF!"/>
    <n v="201.60000000000002"/>
    <n v="0.85416666666666663"/>
  </r>
  <r>
    <x v="7"/>
    <x v="194"/>
    <x v="1"/>
    <x v="3"/>
    <m/>
    <m/>
    <s v="FITTINGS, STRAIGHT FLARE TYPE 5/8"/>
    <s v="CA-000673"/>
    <n v="1"/>
    <n v="40"/>
    <m/>
    <n v="40"/>
    <x v="0"/>
    <n v="30"/>
    <n v="16"/>
    <n v="16"/>
    <n v="16.8"/>
    <n v="23.2"/>
    <n v="6.96"/>
    <x v="33"/>
    <x v="2"/>
    <e v="#REF!"/>
    <e v="#REF!"/>
    <s v=""/>
    <n v="0.57999999999999996"/>
  </r>
  <r>
    <x v="7"/>
    <x v="194"/>
    <x v="1"/>
    <x v="3"/>
    <m/>
    <m/>
    <s v="FITTINGS, STRAIGHT 134A 5/8"/>
    <s v="CA-000667"/>
    <n v="1"/>
    <n v="45"/>
    <m/>
    <n v="45"/>
    <x v="0"/>
    <n v="39"/>
    <n v="21"/>
    <n v="21"/>
    <n v="22.05"/>
    <n v="22.95"/>
    <n v="6.8849999999999998"/>
    <x v="33"/>
    <x v="2"/>
    <e v="#REF!"/>
    <e v="#REF!"/>
    <s v=""/>
    <n v="0.51"/>
  </r>
  <r>
    <x v="7"/>
    <x v="194"/>
    <x v="0"/>
    <x v="156"/>
    <m/>
    <m/>
    <s v="COPPER_TUBE_SOFTDRAWN, EXZEL 0.028 X 1/4 x 15 mtr  05/28/26"/>
    <s v="IM-000329"/>
    <n v="0.2"/>
    <n v="2500"/>
    <m/>
    <n v="500"/>
    <x v="0"/>
    <n v="3063"/>
    <n v="1699"/>
    <n v="339.8"/>
    <n v="349.99400000000003"/>
    <n v="150.00599999999997"/>
    <n v="0"/>
    <x v="0"/>
    <x v="0"/>
    <e v="#REF!"/>
    <e v="#REF!"/>
    <s v=""/>
    <n v="0.30001199999999995"/>
  </r>
  <r>
    <x v="7"/>
    <x v="194"/>
    <x v="0"/>
    <x v="156"/>
    <m/>
    <m/>
    <s v="COPPER_TUBE_SOFTDRAWN, HAILIANG 0.028 X 3/8 x 15 mtr 06/02/26"/>
    <s v="IM-000327"/>
    <n v="0.2"/>
    <n v="3500"/>
    <m/>
    <n v="700"/>
    <x v="0"/>
    <n v="4774"/>
    <n v="2648"/>
    <n v="529.6"/>
    <n v="545.48800000000006"/>
    <n v="154.51199999999994"/>
    <n v="0"/>
    <x v="0"/>
    <x v="0"/>
    <e v="#REF!"/>
    <e v="#REF!"/>
    <s v=""/>
    <n v="0.2207314285714285"/>
  </r>
  <r>
    <x v="7"/>
    <x v="194"/>
    <x v="0"/>
    <x v="156"/>
    <m/>
    <m/>
    <s v="RUBBER_INSULATION, M-FLEX 1/2&quot; 1/4"/>
    <s v="IM-000229"/>
    <n v="2"/>
    <n v="50"/>
    <m/>
    <n v="100"/>
    <x v="0"/>
    <n v="47"/>
    <n v="33.6"/>
    <n v="67.2"/>
    <n v="69.216000000000008"/>
    <n v="30.783999999999992"/>
    <n v="0"/>
    <x v="22"/>
    <x v="0"/>
    <e v="#REF!"/>
    <e v="#REF!"/>
    <s v=""/>
    <n v="0.30783999999999989"/>
  </r>
  <r>
    <x v="7"/>
    <x v="194"/>
    <x v="0"/>
    <x v="156"/>
    <m/>
    <m/>
    <s v="RUBBER_INSULATION, M-FLEX 1/2&quot; 3/8"/>
    <s v="IM-000231"/>
    <n v="2"/>
    <n v="60"/>
    <m/>
    <n v="120"/>
    <x v="0"/>
    <n v="53"/>
    <n v="37.6"/>
    <n v="75.2"/>
    <n v="77.456000000000003"/>
    <n v="42.543999999999997"/>
    <n v="0"/>
    <x v="22"/>
    <x v="0"/>
    <e v="#REF!"/>
    <e v="#REF!"/>
    <s v=""/>
    <n v="0.35453333333333331"/>
  </r>
  <r>
    <x v="7"/>
    <x v="194"/>
    <x v="0"/>
    <x v="156"/>
    <m/>
    <m/>
    <s v="BOLT &amp; NUT, DYNABOLT 3/8&quot;"/>
    <s v="GE-000396"/>
    <n v="6"/>
    <n v="25"/>
    <m/>
    <n v="150"/>
    <x v="0"/>
    <n v="19"/>
    <n v="8.9"/>
    <n v="53.400000000000006"/>
    <n v="56.070000000000007"/>
    <n v="93.929999999999993"/>
    <n v="0"/>
    <x v="57"/>
    <x v="1"/>
    <e v="#REF!"/>
    <e v="#REF!"/>
    <s v=""/>
    <n v="0.62619999999999998"/>
  </r>
  <r>
    <x v="7"/>
    <x v="194"/>
    <x v="0"/>
    <x v="156"/>
    <m/>
    <m/>
    <s v="BOLT &amp; NUT, TOX WITH METAL SCREW #8"/>
    <s v="GE-000404"/>
    <n v="6"/>
    <n v="6"/>
    <m/>
    <n v="36"/>
    <x v="0"/>
    <n v="3"/>
    <n v="1.25"/>
    <n v="7.5"/>
    <n v="7.875"/>
    <n v="28.125"/>
    <n v="0"/>
    <x v="57"/>
    <x v="1"/>
    <e v="#REF!"/>
    <e v="#REF!"/>
    <s v=""/>
    <n v="0.78125"/>
  </r>
  <r>
    <x v="7"/>
    <x v="194"/>
    <x v="0"/>
    <x v="156"/>
    <m/>
    <m/>
    <s v="TAPE_PE, PICUS Polythelene Tape (White)X 4&quot;"/>
    <s v="IM-000247"/>
    <n v="1"/>
    <n v="125"/>
    <m/>
    <n v="125"/>
    <x v="0"/>
    <n v="147"/>
    <n v="75"/>
    <n v="75"/>
    <n v="77.25"/>
    <n v="47.75"/>
    <n v="0"/>
    <x v="29"/>
    <x v="0"/>
    <e v="#REF!"/>
    <e v="#REF!"/>
    <s v=""/>
    <n v="0.38200000000000001"/>
  </r>
  <r>
    <x v="7"/>
    <x v="194"/>
    <x v="0"/>
    <x v="11"/>
    <m/>
    <m/>
    <s v="AUXFAN_MOTOR, MITSUBISHI L300 NEW"/>
    <s v="CA-001724"/>
    <n v="2"/>
    <n v="1800"/>
    <m/>
    <n v="3600"/>
    <x v="0"/>
    <n v="2114"/>
    <n v="1150"/>
    <n v="2300"/>
    <n v="2415"/>
    <n v="1185"/>
    <n v="0"/>
    <x v="14"/>
    <x v="2"/>
    <e v="#REF!"/>
    <e v="#REF!"/>
    <s v=""/>
    <n v="0.32916666666666666"/>
  </r>
  <r>
    <x v="7"/>
    <x v="194"/>
    <x v="0"/>
    <x v="49"/>
    <m/>
    <m/>
    <s v="BLOWER_MOTOR, ISUZU D-MAX 2013 / MUX"/>
    <s v="CA-000171"/>
    <n v="1"/>
    <n v="2000"/>
    <m/>
    <n v="2000"/>
    <x v="0"/>
    <n v="2389"/>
    <n v="1300"/>
    <n v="1300"/>
    <n v="1365"/>
    <n v="635"/>
    <n v="0"/>
    <x v="15"/>
    <x v="2"/>
    <e v="#REF!"/>
    <e v="#REF!"/>
    <s v=""/>
    <n v="0.3175"/>
  </r>
  <r>
    <x v="7"/>
    <x v="194"/>
    <x v="0"/>
    <x v="169"/>
    <m/>
    <m/>
    <s v="REFRIGERANT, ENTALPIA EUROPE R134A 13.6   6/16/26 "/>
    <s v="GE-000517"/>
    <n v="1"/>
    <n v="8800"/>
    <m/>
    <n v="8800"/>
    <x v="0"/>
    <n v="10489"/>
    <n v="7684"/>
    <n v="7684"/>
    <n v="8068.2000000000007"/>
    <n v="731.79999999999927"/>
    <n v="0"/>
    <x v="5"/>
    <x v="1"/>
    <e v="#REF!"/>
    <e v="#REF!"/>
    <s v=""/>
    <n v="8.3159090909090821E-2"/>
  </r>
  <r>
    <x v="7"/>
    <x v="194"/>
    <x v="2"/>
    <x v="7"/>
    <m/>
    <m/>
    <s v="EXP. VALVE LT, POKKA 9A56 INNOVA F"/>
    <s v="CA-000637"/>
    <n v="2"/>
    <n v="550"/>
    <m/>
    <n v="1100"/>
    <x v="0"/>
    <n v="460"/>
    <n v="250"/>
    <n v="500"/>
    <n v="525"/>
    <n v="575"/>
    <n v="172.5"/>
    <x v="23"/>
    <x v="2"/>
    <e v="#REF!"/>
    <e v="#REF!"/>
    <s v=""/>
    <n v="0.52272727272727271"/>
  </r>
  <r>
    <x v="7"/>
    <x v="194"/>
    <x v="2"/>
    <x v="7"/>
    <m/>
    <m/>
    <s v="EXP. VALVE LT, POKKA 9A55 HONDA NEW"/>
    <s v="CA-000636"/>
    <n v="2"/>
    <n v="550"/>
    <m/>
    <n v="1100"/>
    <x v="0"/>
    <n v="497"/>
    <n v="270"/>
    <n v="540"/>
    <n v="567"/>
    <n v="533"/>
    <n v="159.9"/>
    <x v="23"/>
    <x v="2"/>
    <e v="#REF!"/>
    <e v="#REF!"/>
    <s v=""/>
    <n v="0.48454545454545456"/>
  </r>
  <r>
    <x v="7"/>
    <x v="194"/>
    <x v="2"/>
    <x v="7"/>
    <m/>
    <m/>
    <s v="EXP. VALVE SC, HONDA OVERSIZE / FX R134A"/>
    <s v="CA-000569"/>
    <n v="1"/>
    <n v="500"/>
    <m/>
    <n v="500"/>
    <x v="0"/>
    <n v="478"/>
    <n v="260"/>
    <n v="260"/>
    <n v="273"/>
    <n v="227"/>
    <n v="68.099999999999994"/>
    <x v="34"/>
    <x v="2"/>
    <e v="#REF!"/>
    <e v="#REF!"/>
    <s v=""/>
    <n v="0.45400000000000001"/>
  </r>
  <r>
    <x v="7"/>
    <x v="194"/>
    <x v="2"/>
    <x v="7"/>
    <m/>
    <m/>
    <s v="SYSTEM_CLEANER, Cleanse GREEN 141B 500 ML"/>
    <s v="GE-000369"/>
    <n v="6"/>
    <n v="120"/>
    <m/>
    <n v="720"/>
    <x v="0"/>
    <n v="113"/>
    <n v="65"/>
    <n v="390"/>
    <n v="409.5"/>
    <n v="310.5"/>
    <n v="93.149999999999991"/>
    <x v="28"/>
    <x v="1"/>
    <e v="#REF!"/>
    <e v="#REF!"/>
    <s v=""/>
    <n v="0.43125000000000002"/>
  </r>
  <r>
    <x v="7"/>
    <x v="194"/>
    <x v="0"/>
    <x v="115"/>
    <m/>
    <n v="952"/>
    <s v="BOARD, AC UNIVERSAL BLUE CASE"/>
    <s v="GE-000392"/>
    <n v="1"/>
    <n v="850"/>
    <m/>
    <n v="850"/>
    <x v="0"/>
    <n v="882"/>
    <n v="480"/>
    <n v="480"/>
    <n v="504"/>
    <n v="346"/>
    <n v="0"/>
    <x v="20"/>
    <x v="1"/>
    <e v="#REF!"/>
    <e v="#REF!"/>
    <n v="952.00000000000011"/>
    <n v="0.40705882352941175"/>
  </r>
  <r>
    <x v="7"/>
    <x v="194"/>
    <x v="0"/>
    <x v="160"/>
    <m/>
    <n v="40"/>
    <s v="ROD, HARRIS BRONZE"/>
    <s v="IM-000286"/>
    <n v="3"/>
    <n v="36"/>
    <m/>
    <n v="108"/>
    <x v="0"/>
    <n v="33"/>
    <n v="21"/>
    <n v="63"/>
    <n v="64.89"/>
    <n v="43.11"/>
    <n v="0"/>
    <x v="56"/>
    <x v="0"/>
    <e v="#REF!"/>
    <e v="#REF!"/>
    <n v="40.320000000000007"/>
    <n v="0.39916666666666667"/>
  </r>
  <r>
    <x v="7"/>
    <x v="195"/>
    <x v="0"/>
    <x v="1"/>
    <m/>
    <m/>
    <s v="RUBBER_INSULATION, M-FLEX 1/2&quot; 3/4"/>
    <s v="IM-000230"/>
    <n v="1"/>
    <n v="90"/>
    <m/>
    <n v="90"/>
    <x v="0"/>
    <n v="67"/>
    <n v="51.8"/>
    <n v="51.8"/>
    <n v="53.353999999999999"/>
    <n v="36.646000000000001"/>
    <n v="0"/>
    <x v="22"/>
    <x v="0"/>
    <e v="#REF!"/>
    <e v="#REF!"/>
    <s v=""/>
    <n v="0.40717777777777781"/>
  </r>
  <r>
    <x v="7"/>
    <x v="195"/>
    <x v="0"/>
    <x v="1"/>
    <m/>
    <m/>
    <s v="TAPE_PE, PICUS Polythelene Tape (White)X 4&quot;"/>
    <s v="IM-000247"/>
    <n v="1"/>
    <n v="125"/>
    <m/>
    <n v="125"/>
    <x v="0"/>
    <n v="147"/>
    <n v="75"/>
    <n v="75"/>
    <n v="77.25"/>
    <n v="47.75"/>
    <n v="0"/>
    <x v="29"/>
    <x v="0"/>
    <e v="#REF!"/>
    <e v="#REF!"/>
    <s v=""/>
    <n v="0.38200000000000001"/>
  </r>
  <r>
    <x v="7"/>
    <x v="195"/>
    <x v="0"/>
    <x v="49"/>
    <m/>
    <m/>
    <s v="AUXFAN_MOTOR, TOYOTA VIOS 14 8030"/>
    <s v="CA-000093"/>
    <n v="1"/>
    <n v="1900"/>
    <m/>
    <n v="1900"/>
    <x v="0"/>
    <n v="2022"/>
    <n v="1100"/>
    <n v="1100"/>
    <n v="1155"/>
    <n v="745"/>
    <n v="0"/>
    <x v="14"/>
    <x v="2"/>
    <e v="#REF!"/>
    <e v="#REF!"/>
    <s v=""/>
    <n v="0.39210526315789473"/>
  </r>
  <r>
    <x v="7"/>
    <x v="195"/>
    <x v="0"/>
    <x v="49"/>
    <m/>
    <m/>
    <s v="MAPP_GAS, COOLIB (ISHABELLA) TORCH GAS"/>
    <s v="IM-000317"/>
    <n v="1"/>
    <n v="380"/>
    <m/>
    <n v="380"/>
    <x v="0"/>
    <n v="451"/>
    <n v="250"/>
    <n v="250"/>
    <n v="257.5"/>
    <n v="122.5"/>
    <n v="0"/>
    <x v="45"/>
    <x v="0"/>
    <e v="#REF!"/>
    <e v="#REF!"/>
    <s v=""/>
    <n v="0.32236842105263158"/>
  </r>
  <r>
    <x v="7"/>
    <x v="195"/>
    <x v="1"/>
    <x v="3"/>
    <m/>
    <m/>
    <s v="EXP. VALVE LT, POKKA 9A128 VIOS '14"/>
    <s v="CA-000628"/>
    <n v="1"/>
    <n v="550"/>
    <m/>
    <n v="550"/>
    <x v="0"/>
    <n v="497"/>
    <n v="270"/>
    <n v="270"/>
    <n v="283.5"/>
    <n v="266.5"/>
    <n v="79.95"/>
    <x v="23"/>
    <x v="2"/>
    <e v="#REF!"/>
    <e v="#REF!"/>
    <s v=""/>
    <n v="0.48454545454545456"/>
  </r>
  <r>
    <x v="7"/>
    <x v="195"/>
    <x v="1"/>
    <x v="3"/>
    <m/>
    <m/>
    <s v="EVAPORATOR, SUZUKI APV"/>
    <s v="CA-000527"/>
    <n v="1"/>
    <n v="2000"/>
    <m/>
    <n v="2000"/>
    <x v="0"/>
    <n v="2481"/>
    <n v="1350"/>
    <n v="1350"/>
    <n v="1417.5"/>
    <n v="582.5"/>
    <n v="174.75"/>
    <x v="10"/>
    <x v="2"/>
    <e v="#REF!"/>
    <e v="#REF!"/>
    <s v=""/>
    <n v="0.29125000000000001"/>
  </r>
  <r>
    <x v="7"/>
    <x v="195"/>
    <x v="1"/>
    <x v="3"/>
    <m/>
    <m/>
    <s v="EXP. VALVE LT, POKKA 9A56 INNOVA F"/>
    <s v="CA-000637"/>
    <n v="1"/>
    <n v="550"/>
    <m/>
    <n v="550"/>
    <x v="0"/>
    <n v="460"/>
    <n v="250"/>
    <n v="250"/>
    <n v="262.5"/>
    <n v="287.5"/>
    <n v="86.25"/>
    <x v="23"/>
    <x v="2"/>
    <e v="#REF!"/>
    <e v="#REF!"/>
    <s v=""/>
    <n v="0.52272727272727271"/>
  </r>
  <r>
    <x v="7"/>
    <x v="195"/>
    <x v="1"/>
    <x v="3"/>
    <m/>
    <m/>
    <s v="REFRIGERANT, ENTALPIA EUROPE R134A 13.6   6/16/26 "/>
    <s v="GE-000517"/>
    <n v="1"/>
    <n v="8800"/>
    <m/>
    <n v="8800"/>
    <x v="0"/>
    <n v="10489"/>
    <n v="7684"/>
    <n v="7684"/>
    <n v="8068.2000000000007"/>
    <n v="731.79999999999927"/>
    <n v="219.53999999999976"/>
    <x v="5"/>
    <x v="1"/>
    <e v="#REF!"/>
    <e v="#REF!"/>
    <e v="#REF!"/>
    <n v="0"/>
  </r>
  <r>
    <x v="7"/>
    <x v="195"/>
    <x v="2"/>
    <x v="9"/>
    <m/>
    <m/>
    <s v="EVAPORATOR, NISSAN NV350  40A524"/>
    <s v="CA-000523"/>
    <n v="1"/>
    <n v="2100"/>
    <m/>
    <n v="2100"/>
    <x v="0"/>
    <n v="2849"/>
    <n v="1550"/>
    <n v="1550"/>
    <n v="1627.5"/>
    <n v="472.5"/>
    <n v="141.75"/>
    <x v="10"/>
    <x v="2"/>
    <e v="#REF!"/>
    <e v="#REF!"/>
    <e v="#REF!"/>
    <n v="0"/>
  </r>
  <r>
    <x v="7"/>
    <x v="195"/>
    <x v="2"/>
    <x v="9"/>
    <m/>
    <m/>
    <s v="RECEIVER_DRIER_ALUMINUM, YK 40 X 235 (DMAX)"/>
    <s v="CA-001082"/>
    <n v="2"/>
    <n v="560"/>
    <m/>
    <n v="1120"/>
    <x v="0"/>
    <n v="662"/>
    <n v="280"/>
    <n v="560"/>
    <n v="588"/>
    <n v="532"/>
    <n v="159.6"/>
    <x v="27"/>
    <x v="2"/>
    <e v="#REF!"/>
    <e v="#REF!"/>
    <e v="#REF!"/>
    <n v="0"/>
  </r>
  <r>
    <x v="7"/>
    <x v="195"/>
    <x v="0"/>
    <x v="23"/>
    <m/>
    <m/>
    <s v="EVAPORATOR, MITSUBISHI MIRAGE (STAL)"/>
    <s v="CA-000142"/>
    <n v="1"/>
    <n v="2000"/>
    <m/>
    <n v="2000"/>
    <x v="0"/>
    <n v="1976"/>
    <n v="1075"/>
    <n v="1075"/>
    <n v="1128.75"/>
    <n v="871.25"/>
    <n v="0"/>
    <x v="10"/>
    <x v="2"/>
    <e v="#REF!"/>
    <e v="#REF!"/>
    <e v="#REF!"/>
    <n v="0"/>
  </r>
  <r>
    <x v="7"/>
    <x v="195"/>
    <x v="0"/>
    <x v="11"/>
    <m/>
    <m/>
    <s v="EVAPORATOR, ISUZU CROSSWIND (F)"/>
    <s v="CA-000498"/>
    <n v="1"/>
    <n v="1900"/>
    <m/>
    <n v="1900"/>
    <x v="0"/>
    <n v="2297"/>
    <n v="1250"/>
    <n v="1250"/>
    <n v="1312.5"/>
    <n v="587.5"/>
    <n v="0"/>
    <x v="10"/>
    <x v="2"/>
    <e v="#REF!"/>
    <e v="#REF!"/>
    <e v="#REF!"/>
    <n v="0"/>
  </r>
  <r>
    <x v="7"/>
    <x v="195"/>
    <x v="0"/>
    <x v="83"/>
    <m/>
    <m/>
    <s v="EXP. VALVE LT, POKKA 9A56 INNOVA F"/>
    <s v="CA-000637"/>
    <n v="1"/>
    <n v="550"/>
    <m/>
    <n v="550"/>
    <x v="0"/>
    <n v="460"/>
    <n v="250"/>
    <n v="250"/>
    <n v="262.5"/>
    <n v="287.5"/>
    <n v="0"/>
    <x v="23"/>
    <x v="2"/>
    <e v="#REF!"/>
    <e v="#REF!"/>
    <e v="#REF!"/>
    <n v="0"/>
  </r>
  <r>
    <x v="7"/>
    <x v="195"/>
    <x v="1"/>
    <x v="3"/>
    <m/>
    <m/>
    <s v="BLOWER_MOTOR, TOYOTA REVO"/>
    <s v="CA-000229"/>
    <n v="1"/>
    <n v="1900"/>
    <m/>
    <n v="1900"/>
    <x v="0"/>
    <n v="2205"/>
    <n v="1200"/>
    <n v="1200"/>
    <n v="1260"/>
    <n v="640"/>
    <n v="192"/>
    <x v="15"/>
    <x v="2"/>
    <e v="#REF!"/>
    <e v="#REF!"/>
    <e v="#REF!"/>
    <n v="0"/>
  </r>
  <r>
    <x v="7"/>
    <x v="196"/>
    <x v="4"/>
    <x v="25"/>
    <m/>
    <m/>
    <s v="EVAPORATOR, SUZUKI ERTIGA OLD 40A518"/>
    <s v="CA-000529"/>
    <n v="1"/>
    <n v="2100"/>
    <m/>
    <n v="2100"/>
    <x v="0"/>
    <n v="2481"/>
    <n v="1350"/>
    <n v="1350"/>
    <n v="1417.5"/>
    <n v="682.5"/>
    <n v="204.75"/>
    <x v="10"/>
    <x v="2"/>
    <e v="#REF!"/>
    <e v="#REF!"/>
    <s v=""/>
    <n v="0.32500000000000001"/>
  </r>
  <r>
    <x v="7"/>
    <x v="196"/>
    <x v="2"/>
    <x v="22"/>
    <m/>
    <n v="1820"/>
    <s v="EVAPORATOR, TOYOTA WIGO 16-22 (STAL)"/>
    <s v="CA-000147"/>
    <n v="1"/>
    <n v="1625"/>
    <m/>
    <n v="1625"/>
    <x v="0"/>
    <n v="1930"/>
    <n v="1050"/>
    <n v="1050"/>
    <n v="1102.5"/>
    <n v="522.5"/>
    <n v="156.75"/>
    <x v="10"/>
    <x v="2"/>
    <e v="#REF!"/>
    <e v="#REF!"/>
    <n v="1820.0000000000002"/>
    <n v="0.32153846153846155"/>
  </r>
  <r>
    <x v="7"/>
    <x v="196"/>
    <x v="0"/>
    <x v="30"/>
    <m/>
    <m/>
    <s v="COPPER_TUBE_SOFTDRAWN, EXZEL 0.028 X 1/4 x 15 mtr  05/28/26"/>
    <s v="IM-000329"/>
    <n v="0.4"/>
    <n v="2500"/>
    <m/>
    <n v="1000"/>
    <x v="0"/>
    <n v="3063"/>
    <n v="1699"/>
    <n v="679.6"/>
    <n v="699.98800000000006"/>
    <n v="300.01199999999994"/>
    <n v="0"/>
    <x v="0"/>
    <x v="0"/>
    <e v="#REF!"/>
    <e v="#REF!"/>
    <s v=""/>
    <n v="0.30001199999999995"/>
  </r>
  <r>
    <x v="7"/>
    <x v="196"/>
    <x v="0"/>
    <x v="30"/>
    <m/>
    <m/>
    <s v="COPPER_TUBE_SOFTDRAWN, HAILIANG 0.028 X 3/8 x 15 mtr 06/02/26"/>
    <s v="IM-000327"/>
    <n v="0.4"/>
    <n v="3500"/>
    <m/>
    <n v="1400"/>
    <x v="0"/>
    <n v="4774"/>
    <n v="2648"/>
    <n v="1059.2"/>
    <n v="1090.9760000000001"/>
    <n v="309.02399999999989"/>
    <n v="0"/>
    <x v="0"/>
    <x v="0"/>
    <e v="#REF!"/>
    <e v="#REF!"/>
    <s v=""/>
    <n v="0.2207314285714285"/>
  </r>
  <r>
    <x v="7"/>
    <x v="196"/>
    <x v="0"/>
    <x v="30"/>
    <m/>
    <m/>
    <s v="TAPE_PE, PICUS Polythelene Tape (White)X 4&quot;"/>
    <s v="IM-000247"/>
    <n v="2"/>
    <n v="125"/>
    <m/>
    <n v="250"/>
    <x v="0"/>
    <n v="147"/>
    <n v="75"/>
    <n v="150"/>
    <n v="154.5"/>
    <n v="95.5"/>
    <n v="0"/>
    <x v="29"/>
    <x v="0"/>
    <e v="#REF!"/>
    <e v="#REF!"/>
    <s v=""/>
    <n v="0.38200000000000001"/>
  </r>
  <r>
    <x v="7"/>
    <x v="196"/>
    <x v="0"/>
    <x v="30"/>
    <m/>
    <m/>
    <s v="TAPE ELECTRICAL, ARMAK 0.16 MM X 19 MM X 16 M 04/25/26"/>
    <s v="GE-000491"/>
    <n v="1"/>
    <n v="55"/>
    <m/>
    <n v="55"/>
    <x v="0"/>
    <n v="73"/>
    <n v="42"/>
    <n v="42"/>
    <n v="44.1"/>
    <n v="10.899999999999999"/>
    <n v="0"/>
    <x v="50"/>
    <x v="1"/>
    <e v="#REF!"/>
    <e v="#REF!"/>
    <s v=""/>
    <n v="0.19818181818181815"/>
  </r>
  <r>
    <x v="7"/>
    <x v="196"/>
    <x v="0"/>
    <x v="30"/>
    <m/>
    <m/>
    <s v="BRACKET , GB 1HP, STAINLESS STEEL FLOOR"/>
    <s v="IM-000009"/>
    <n v="2"/>
    <n v="460"/>
    <m/>
    <n v="920"/>
    <x v="0"/>
    <n v="451"/>
    <n v="250"/>
    <n v="500"/>
    <n v="515"/>
    <n v="405"/>
    <n v="0"/>
    <x v="1"/>
    <x v="0"/>
    <e v="#REF!"/>
    <e v="#REF!"/>
    <s v=""/>
    <n v="0.44021739130434784"/>
  </r>
  <r>
    <x v="7"/>
    <x v="196"/>
    <x v="0"/>
    <x v="10"/>
    <m/>
    <m/>
    <s v="AUXFAN_MOTOR, HYUNDAI ACCENT  SINGLE WIRE/2PIN 2015"/>
    <s v="CA-000025"/>
    <n v="1"/>
    <n v="2000"/>
    <m/>
    <n v="2000"/>
    <x v="0"/>
    <n v="2481"/>
    <n v="1350"/>
    <n v="1350"/>
    <n v="1417.5"/>
    <n v="582.5"/>
    <n v="0"/>
    <x v="14"/>
    <x v="2"/>
    <e v="#REF!"/>
    <e v="#REF!"/>
    <s v=""/>
    <n v="0.29125000000000001"/>
  </r>
  <r>
    <x v="7"/>
    <x v="196"/>
    <x v="0"/>
    <x v="10"/>
    <m/>
    <m/>
    <s v="ECV, HYUNDAI ACCENT, 8-22A"/>
    <s v="CA-000454"/>
    <n v="1"/>
    <n v="1900"/>
    <m/>
    <n v="1900"/>
    <x v="0"/>
    <n v="1838"/>
    <n v="1000"/>
    <n v="1000"/>
    <n v="1050"/>
    <n v="850"/>
    <n v="0"/>
    <x v="26"/>
    <x v="2"/>
    <e v="#REF!"/>
    <e v="#REF!"/>
    <s v=""/>
    <n v="0.44736842105263158"/>
  </r>
  <r>
    <x v="7"/>
    <x v="196"/>
    <x v="0"/>
    <x v="77"/>
    <m/>
    <n v="200"/>
    <s v="SILICA_GEL, STAL LONG"/>
    <s v="CA-001637"/>
    <n v="1"/>
    <n v="180"/>
    <m/>
    <n v="180"/>
    <x v="0"/>
    <n v="50"/>
    <n v="25"/>
    <n v="25"/>
    <n v="26.25"/>
    <n v="153.75"/>
    <n v="0"/>
    <x v="37"/>
    <x v="2"/>
    <e v="#REF!"/>
    <e v="#REF!"/>
    <n v="201.60000000000002"/>
    <n v="0.85416666666666663"/>
  </r>
  <r>
    <x v="7"/>
    <x v="196"/>
    <x v="0"/>
    <x v="77"/>
    <m/>
    <m/>
    <s v="EXP. VALVE LT, POKKA 9A56 INNOVA F"/>
    <s v="CA-000637"/>
    <n v="1"/>
    <n v="550"/>
    <m/>
    <n v="550"/>
    <x v="0"/>
    <n v="460"/>
    <n v="250"/>
    <n v="250"/>
    <n v="262.5"/>
    <n v="287.5"/>
    <n v="0"/>
    <x v="23"/>
    <x v="2"/>
    <e v="#REF!"/>
    <e v="#REF!"/>
    <s v=""/>
    <n v="0.52272727272727271"/>
  </r>
  <r>
    <x v="7"/>
    <x v="196"/>
    <x v="0"/>
    <x v="77"/>
    <m/>
    <m/>
    <s v="EXP. VALVE LT, POKKA 9A57 INNOVA R"/>
    <s v="CA-000638"/>
    <n v="1"/>
    <n v="550"/>
    <m/>
    <n v="550"/>
    <x v="0"/>
    <n v="460"/>
    <n v="250"/>
    <n v="250"/>
    <n v="262.5"/>
    <n v="287.5"/>
    <n v="0"/>
    <x v="23"/>
    <x v="2"/>
    <e v="#REF!"/>
    <e v="#REF!"/>
    <s v=""/>
    <n v="0.52272727272727271"/>
  </r>
  <r>
    <x v="7"/>
    <x v="196"/>
    <x v="0"/>
    <x v="77"/>
    <m/>
    <m/>
    <s v="CABIN_FILTER, TOYOTA VIOS"/>
    <s v="CA-001295"/>
    <n v="1"/>
    <n v="350"/>
    <m/>
    <n v="350"/>
    <x v="0"/>
    <n v="315"/>
    <n v="100"/>
    <n v="100"/>
    <n v="105"/>
    <n v="245"/>
    <n v="0"/>
    <x v="12"/>
    <x v="2"/>
    <e v="#REF!"/>
    <e v="#REF!"/>
    <s v=""/>
    <n v="0.7"/>
  </r>
  <r>
    <x v="7"/>
    <x v="196"/>
    <x v="0"/>
    <x v="30"/>
    <m/>
    <m/>
    <s v="RUBBER_INSULATION, M-FLEX 1/2&quot; 1/4"/>
    <s v="IM-000229"/>
    <n v="5"/>
    <n v="50"/>
    <m/>
    <n v="250"/>
    <x v="0"/>
    <n v="47"/>
    <n v="33.6"/>
    <n v="168"/>
    <n v="173.04"/>
    <n v="76.960000000000008"/>
    <n v="0"/>
    <x v="22"/>
    <x v="0"/>
    <e v="#REF!"/>
    <e v="#REF!"/>
    <s v=""/>
    <n v="0.30784000000000006"/>
  </r>
  <r>
    <x v="7"/>
    <x v="196"/>
    <x v="0"/>
    <x v="30"/>
    <m/>
    <m/>
    <s v="RUBBER_INSULATION, M-FLEX 1/2&quot; 3/8"/>
    <s v="IM-000231"/>
    <n v="5"/>
    <n v="60"/>
    <m/>
    <n v="300"/>
    <x v="0"/>
    <n v="53"/>
    <n v="37.6"/>
    <n v="188"/>
    <n v="193.64000000000001"/>
    <n v="106.35999999999999"/>
    <n v="0"/>
    <x v="22"/>
    <x v="0"/>
    <e v="#REF!"/>
    <e v="#REF!"/>
    <s v=""/>
    <n v="0.35453333333333331"/>
  </r>
  <r>
    <x v="7"/>
    <x v="196"/>
    <x v="0"/>
    <x v="17"/>
    <m/>
    <n v="2200"/>
    <s v="EVAPORATOR, KIA PICANTO 2013 (STAL)"/>
    <s v="CA-001793"/>
    <n v="1"/>
    <n v="1965"/>
    <m/>
    <n v="1965"/>
    <x v="0"/>
    <n v="2114"/>
    <n v="1150"/>
    <n v="1150"/>
    <n v="1207.5"/>
    <n v="757.5"/>
    <n v="0"/>
    <x v="10"/>
    <x v="2"/>
    <e v="#REF!"/>
    <e v="#REF!"/>
    <n v="2200.8000000000002"/>
    <n v="0.38549618320610685"/>
  </r>
  <r>
    <x v="7"/>
    <x v="196"/>
    <x v="0"/>
    <x v="17"/>
    <m/>
    <m/>
    <s v="EXP. VALVE LT, POKKA 9A129B ACCENT"/>
    <s v="CA-000629"/>
    <n v="1"/>
    <n v="600"/>
    <m/>
    <n v="600"/>
    <x v="0"/>
    <n v="625"/>
    <n v="340"/>
    <n v="340"/>
    <n v="357"/>
    <n v="243"/>
    <n v="0"/>
    <x v="23"/>
    <x v="2"/>
    <e v="#REF!"/>
    <e v="#REF!"/>
    <s v=""/>
    <n v="0.40500000000000003"/>
  </r>
  <r>
    <x v="7"/>
    <x v="196"/>
    <x v="0"/>
    <x v="102"/>
    <m/>
    <m/>
    <s v="BRACKET , ROBYN STEEL  1HP, COATED  (ISHABELLA)"/>
    <s v="IM-000330"/>
    <n v="1"/>
    <n v="360"/>
    <m/>
    <n v="360"/>
    <x v="0"/>
    <n v="352"/>
    <n v="195"/>
    <n v="195"/>
    <n v="200.85"/>
    <n v="159.15"/>
    <n v="0"/>
    <x v="1"/>
    <x v="0"/>
    <e v="#REF!"/>
    <e v="#REF!"/>
    <s v=""/>
    <n v="0.44208333333333333"/>
  </r>
  <r>
    <x v="7"/>
    <x v="196"/>
    <x v="0"/>
    <x v="102"/>
    <m/>
    <m/>
    <s v="TAPE_FOAM, AEROTAPE 3MM X 50 MM X 9.1 MTR  06/18/26"/>
    <s v="IM-000332"/>
    <n v="1"/>
    <n v="430"/>
    <m/>
    <n v="430"/>
    <x v="0"/>
    <n v="510"/>
    <n v="330"/>
    <n v="330"/>
    <n v="339.90000000000003"/>
    <n v="90.099999999999966"/>
    <n v="0"/>
    <x v="25"/>
    <x v="0"/>
    <e v="#REF!"/>
    <e v="#REF!"/>
    <s v=""/>
    <n v="0.20953488372093015"/>
  </r>
  <r>
    <x v="7"/>
    <x v="196"/>
    <x v="0"/>
    <x v="102"/>
    <m/>
    <m/>
    <s v="BOLT &amp; NUT, DYNABOLT 5/16&quot;"/>
    <s v="GE-000397"/>
    <n v="6"/>
    <n v="20"/>
    <m/>
    <n v="120"/>
    <x v="0"/>
    <n v="14"/>
    <n v="6.5"/>
    <n v="39"/>
    <n v="40.950000000000003"/>
    <n v="79.05"/>
    <n v="0"/>
    <x v="57"/>
    <x v="1"/>
    <e v="#REF!"/>
    <e v="#REF!"/>
    <s v=""/>
    <n v="0.65874999999999995"/>
  </r>
  <r>
    <x v="7"/>
    <x v="196"/>
    <x v="0"/>
    <x v="102"/>
    <m/>
    <m/>
    <s v="BOLT &amp; NUT, GI, SET 5/16"/>
    <s v="IM-000003"/>
    <n v="4"/>
    <n v="12"/>
    <m/>
    <n v="48"/>
    <x v="0"/>
    <n v="10"/>
    <n v="5"/>
    <n v="20"/>
    <n v="20.6"/>
    <n v="27.4"/>
    <n v="0"/>
    <x v="57"/>
    <x v="0"/>
    <e v="#REF!"/>
    <e v="#REF!"/>
    <s v=""/>
    <n v="0.5708333333333333"/>
  </r>
  <r>
    <x v="7"/>
    <x v="196"/>
    <x v="0"/>
    <x v="102"/>
    <m/>
    <m/>
    <s v="BOLT &amp; NUT, TOX WITH METAL SCREW #8"/>
    <s v="GE-000404"/>
    <n v="15"/>
    <n v="6"/>
    <m/>
    <n v="90"/>
    <x v="0"/>
    <n v="3"/>
    <n v="1.25"/>
    <n v="18.75"/>
    <n v="19.6875"/>
    <n v="70.3125"/>
    <n v="0"/>
    <x v="57"/>
    <x v="1"/>
    <e v="#REF!"/>
    <e v="#REF!"/>
    <s v=""/>
    <n v="0.78125"/>
  </r>
  <r>
    <x v="7"/>
    <x v="196"/>
    <x v="0"/>
    <x v="102"/>
    <m/>
    <m/>
    <s v="RUBBER_INSULATION, M-FLEX 1/2&quot; 1/4"/>
    <s v="IM-000229"/>
    <n v="2"/>
    <n v="50"/>
    <m/>
    <n v="100"/>
    <x v="0"/>
    <n v="47"/>
    <n v="33.6"/>
    <n v="67.2"/>
    <n v="69.216000000000008"/>
    <n v="30.783999999999992"/>
    <n v="0"/>
    <x v="22"/>
    <x v="0"/>
    <e v="#REF!"/>
    <e v="#REF!"/>
    <s v=""/>
    <n v="0.30783999999999989"/>
  </r>
  <r>
    <x v="7"/>
    <x v="196"/>
    <x v="0"/>
    <x v="102"/>
    <m/>
    <m/>
    <s v="RUBBER_INSULATION, M-FLEX 1/2&quot; 3/8"/>
    <s v="IM-000231"/>
    <n v="2"/>
    <n v="60"/>
    <m/>
    <n v="120"/>
    <x v="0"/>
    <n v="53"/>
    <n v="37.6"/>
    <n v="75.2"/>
    <n v="77.456000000000003"/>
    <n v="42.543999999999997"/>
    <n v="0"/>
    <x v="22"/>
    <x v="0"/>
    <e v="#REF!"/>
    <e v="#REF!"/>
    <s v=""/>
    <n v="0.35453333333333331"/>
  </r>
  <r>
    <x v="7"/>
    <x v="196"/>
    <x v="0"/>
    <x v="102"/>
    <m/>
    <m/>
    <s v="TAPE_PE, PICUS Polythelene Tape (White)X 4&quot;"/>
    <s v="IM-000247"/>
    <n v="1"/>
    <n v="125"/>
    <m/>
    <n v="125"/>
    <x v="0"/>
    <n v="147"/>
    <n v="75"/>
    <n v="75"/>
    <n v="77.25"/>
    <n v="47.75"/>
    <n v="0"/>
    <x v="29"/>
    <x v="0"/>
    <e v="#REF!"/>
    <e v="#REF!"/>
    <s v=""/>
    <n v="0.38200000000000001"/>
  </r>
  <r>
    <x v="7"/>
    <x v="196"/>
    <x v="1"/>
    <x v="3"/>
    <m/>
    <m/>
    <s v="SYSTEM_CLEANER, Cleanse GREEN 141B 500 ML"/>
    <s v="GE-000369"/>
    <n v="2"/>
    <n v="120"/>
    <m/>
    <n v="240"/>
    <x v="0"/>
    <n v="113"/>
    <n v="65"/>
    <n v="130"/>
    <n v="136.5"/>
    <n v="103.5"/>
    <n v="31.049999999999997"/>
    <x v="28"/>
    <x v="1"/>
    <e v="#REF!"/>
    <e v="#REF!"/>
    <s v=""/>
    <n v="0.43125000000000002"/>
  </r>
  <r>
    <x v="7"/>
    <x v="196"/>
    <x v="1"/>
    <x v="3"/>
    <m/>
    <m/>
    <s v="RECEIVER_DRIER_ALUMINUM, YK 8227A (Montero)"/>
    <s v="CA-001109"/>
    <n v="1"/>
    <n v="560"/>
    <m/>
    <n v="560"/>
    <x v="0"/>
    <n v="579"/>
    <n v="245"/>
    <n v="245"/>
    <n v="257.25"/>
    <n v="302.75"/>
    <n v="90.825000000000003"/>
    <x v="27"/>
    <x v="2"/>
    <e v="#REF!"/>
    <e v="#REF!"/>
    <s v=""/>
    <n v="0.54062500000000002"/>
  </r>
  <r>
    <x v="7"/>
    <x v="196"/>
    <x v="1"/>
    <x v="3"/>
    <m/>
    <m/>
    <s v="EXP. VALVE LT, POKKA 9A63 MONTERO"/>
    <s v="CA-000641"/>
    <n v="1"/>
    <n v="550"/>
    <m/>
    <n v="550"/>
    <x v="0"/>
    <n v="441"/>
    <n v="240"/>
    <n v="240"/>
    <n v="252"/>
    <n v="298"/>
    <n v="89.399999999999991"/>
    <x v="23"/>
    <x v="2"/>
    <e v="#REF!"/>
    <e v="#REF!"/>
    <s v=""/>
    <n v="0.54181818181818187"/>
  </r>
  <r>
    <x v="7"/>
    <x v="196"/>
    <x v="1"/>
    <x v="3"/>
    <m/>
    <m/>
    <s v="CABIN_FILTER, HYUNDAI TUCSON 2008"/>
    <s v="CA-001686"/>
    <n v="1"/>
    <n v="350"/>
    <m/>
    <n v="350"/>
    <x v="0"/>
    <n v="315"/>
    <n v="100"/>
    <n v="100"/>
    <n v="105"/>
    <n v="245"/>
    <n v="73.5"/>
    <x v="12"/>
    <x v="2"/>
    <e v="#REF!"/>
    <e v="#REF!"/>
    <s v=""/>
    <n v="0.7"/>
  </r>
  <r>
    <x v="7"/>
    <x v="196"/>
    <x v="0"/>
    <x v="1"/>
    <m/>
    <m/>
    <s v="COPPER_TUBE_SOFTDRAWN, EVERSTRONG 0.028 X 5/8 x 15 mtr 03/24/26"/>
    <s v="IM-000320"/>
    <n v="0.4"/>
    <n v="5500"/>
    <m/>
    <n v="2200"/>
    <x v="0"/>
    <n v="8328"/>
    <n v="4255"/>
    <n v="1702"/>
    <n v="1753.06"/>
    <n v="446.94000000000005"/>
    <n v="0"/>
    <x v="0"/>
    <x v="0"/>
    <e v="#REF!"/>
    <e v="#REF!"/>
    <s v=""/>
    <n v="0.20315454545454548"/>
  </r>
  <r>
    <x v="7"/>
    <x v="196"/>
    <x v="0"/>
    <x v="11"/>
    <m/>
    <m/>
    <s v="PULLEY_ASSEMBLY, TOYOTA VIOS 2014  4PK"/>
    <s v="CA-001397"/>
    <n v="1"/>
    <n v="2000"/>
    <m/>
    <n v="2000"/>
    <x v="0"/>
    <n v="2016"/>
    <n v="1200"/>
    <n v="1200"/>
    <n v="1260"/>
    <n v="740"/>
    <n v="0"/>
    <x v="11"/>
    <x v="2"/>
    <e v="#REF!"/>
    <e v="#REF!"/>
    <s v=""/>
    <n v="0.37"/>
  </r>
  <r>
    <x v="7"/>
    <x v="196"/>
    <x v="0"/>
    <x v="11"/>
    <m/>
    <n v="200"/>
    <s v="SILICA_GEL, STAL SHORT"/>
    <s v="CA-001638"/>
    <n v="1"/>
    <n v="180"/>
    <m/>
    <n v="180"/>
    <x v="0"/>
    <n v="44"/>
    <n v="22"/>
    <n v="22"/>
    <n v="23.1"/>
    <n v="156.9"/>
    <n v="0"/>
    <x v="37"/>
    <x v="2"/>
    <e v="#REF!"/>
    <e v="#REF!"/>
    <n v="201.60000000000002"/>
    <n v="0.8716666666666667"/>
  </r>
  <r>
    <x v="7"/>
    <x v="196"/>
    <x v="0"/>
    <x v="11"/>
    <m/>
    <m/>
    <s v="SYSTEM_CLEANER, Cleanse GREEN 141B 500 ML"/>
    <s v="GE-000369"/>
    <n v="2"/>
    <n v="120"/>
    <m/>
    <n v="240"/>
    <x v="0"/>
    <n v="113"/>
    <n v="65"/>
    <n v="130"/>
    <n v="136.5"/>
    <n v="103.5"/>
    <n v="0"/>
    <x v="28"/>
    <x v="1"/>
    <e v="#REF!"/>
    <e v="#REF!"/>
    <s v=""/>
    <n v="0.43125000000000002"/>
  </r>
  <r>
    <x v="7"/>
    <x v="196"/>
    <x v="0"/>
    <x v="1"/>
    <m/>
    <m/>
    <s v="COPPER_TUBE_SOFTDRAWN, EXZEL 0.028 X 1/4 x 15 mtr  05/28/26"/>
    <s v="IM-000329"/>
    <n v="1"/>
    <n v="1950"/>
    <m/>
    <n v="1950"/>
    <x v="0"/>
    <n v="3063"/>
    <n v="1699"/>
    <n v="1699"/>
    <n v="1749.97"/>
    <n v="200.02999999999997"/>
    <n v="0"/>
    <x v="0"/>
    <x v="0"/>
    <e v="#REF!"/>
    <e v="#REF!"/>
    <s v=""/>
    <n v="0.10257948717948717"/>
  </r>
  <r>
    <x v="7"/>
    <x v="196"/>
    <x v="0"/>
    <x v="26"/>
    <m/>
    <m/>
    <s v="COPPER_TUBE_SOFTDRAWN, EXZEL 0.028 X 1/4 x 15 mtr  05/28/26"/>
    <s v="IM-000329"/>
    <n v="1"/>
    <n v="1950"/>
    <m/>
    <n v="1950"/>
    <x v="0"/>
    <n v="3063"/>
    <n v="1699"/>
    <n v="1699"/>
    <n v="1749.97"/>
    <n v="200.02999999999997"/>
    <n v="0"/>
    <x v="0"/>
    <x v="0"/>
    <e v="#REF!"/>
    <e v="#REF!"/>
    <s v=""/>
    <n v="0.10257948717948717"/>
  </r>
  <r>
    <x v="7"/>
    <x v="196"/>
    <x v="0"/>
    <x v="26"/>
    <m/>
    <m/>
    <s v="COPPER_TUBE_SOFTDRAWN, HAILIANG 0.028 X 3/8 x 15 mtr 06/02/26"/>
    <s v="IM-000327"/>
    <n v="1"/>
    <n v="2950"/>
    <m/>
    <n v="2950"/>
    <x v="0"/>
    <n v="4774"/>
    <n v="2648"/>
    <n v="2648"/>
    <n v="2727.44"/>
    <n v="222.55999999999995"/>
    <n v="0"/>
    <x v="0"/>
    <x v="0"/>
    <e v="#REF!"/>
    <e v="#REF!"/>
    <s v=""/>
    <n v="7.5444067796610156E-2"/>
  </r>
  <r>
    <x v="7"/>
    <x v="196"/>
    <x v="0"/>
    <x v="26"/>
    <m/>
    <m/>
    <s v="RUBBER_INSULATION, M-FLEX 1/2&quot; 5/8"/>
    <s v="IM-000232"/>
    <n v="12"/>
    <n v="80"/>
    <m/>
    <n v="960"/>
    <x v="0"/>
    <n v="77"/>
    <n v="55.2"/>
    <n v="662.40000000000009"/>
    <n v="682.27200000000016"/>
    <n v="277.72799999999984"/>
    <n v="0"/>
    <x v="22"/>
    <x v="0"/>
    <e v="#REF!"/>
    <e v="#REF!"/>
    <s v=""/>
    <n v="0.28929999999999984"/>
  </r>
  <r>
    <x v="7"/>
    <x v="196"/>
    <x v="0"/>
    <x v="26"/>
    <m/>
    <m/>
    <s v="TAPE_PE, PICUS Polythelene Tape (White)X 4&quot;"/>
    <s v="IM-000247"/>
    <n v="5"/>
    <n v="125"/>
    <m/>
    <n v="625"/>
    <x v="0"/>
    <n v="147"/>
    <n v="75"/>
    <n v="375"/>
    <n v="386.25"/>
    <n v="238.75"/>
    <n v="0"/>
    <x v="29"/>
    <x v="0"/>
    <e v="#REF!"/>
    <e v="#REF!"/>
    <s v=""/>
    <n v="0.38200000000000001"/>
  </r>
  <r>
    <x v="7"/>
    <x v="196"/>
    <x v="0"/>
    <x v="26"/>
    <m/>
    <m/>
    <s v="TAPE_FOAM, AEROTAPE 3MM X 50 MM X 9.1 MTR  06/18/26"/>
    <s v="IM-000332"/>
    <n v="3"/>
    <n v="430"/>
    <m/>
    <n v="1290"/>
    <x v="0"/>
    <n v="510"/>
    <n v="330"/>
    <n v="990"/>
    <n v="1019.7"/>
    <n v="270.29999999999995"/>
    <n v="0"/>
    <x v="25"/>
    <x v="0"/>
    <e v="#REF!"/>
    <e v="#REF!"/>
    <s v=""/>
    <n v="0.20953488372093021"/>
  </r>
  <r>
    <x v="7"/>
    <x v="196"/>
    <x v="0"/>
    <x v="26"/>
    <m/>
    <m/>
    <s v="ROD, HARRIS SILVER "/>
    <s v="IM-000098"/>
    <n v="5"/>
    <n v="28"/>
    <m/>
    <n v="140"/>
    <x v="0"/>
    <n v="30"/>
    <n v="19"/>
    <n v="95"/>
    <n v="97.850000000000009"/>
    <n v="42.149999999999991"/>
    <n v="0"/>
    <x v="56"/>
    <x v="0"/>
    <e v="#REF!"/>
    <e v="#REF!"/>
    <s v=""/>
    <n v="0.30107142857142849"/>
  </r>
  <r>
    <x v="7"/>
    <x v="196"/>
    <x v="0"/>
    <x v="26"/>
    <m/>
    <m/>
    <s v="TAPE ELECTRICAL, ARMAK 0.16 MM X 19 MM X 16 M 04/25/26"/>
    <s v="GE-000491"/>
    <n v="5"/>
    <n v="55"/>
    <m/>
    <n v="275"/>
    <x v="0"/>
    <n v="73"/>
    <n v="42"/>
    <n v="210"/>
    <n v="220.5"/>
    <n v="54.5"/>
    <n v="0"/>
    <x v="50"/>
    <x v="1"/>
    <e v="#REF!"/>
    <e v="#REF!"/>
    <s v=""/>
    <n v="0.19818181818181818"/>
  </r>
  <r>
    <x v="7"/>
    <x v="196"/>
    <x v="0"/>
    <x v="26"/>
    <m/>
    <m/>
    <s v="VACUUM_PUMP, VP115 (Single Stage, Rotary Vane) 1.8 CFM, 5 Pa, 220V, 1/4 HP"/>
    <s v="TL-000056"/>
    <n v="1"/>
    <n v="3500"/>
    <m/>
    <n v="3500"/>
    <x v="0"/>
    <n v="5028"/>
    <n v="2520"/>
    <n v="2520"/>
    <n v="2646"/>
    <n v="854"/>
    <n v="0"/>
    <x v="18"/>
    <x v="4"/>
    <e v="#REF!"/>
    <e v="#REF!"/>
    <s v=""/>
    <n v="0.24399999999999999"/>
  </r>
  <r>
    <x v="7"/>
    <x v="196"/>
    <x v="0"/>
    <x v="8"/>
    <m/>
    <m/>
    <s v="LUBRICANT, EMKARATE RL 68H, 1 LITER"/>
    <s v="GE-000135"/>
    <n v="1"/>
    <n v="450"/>
    <m/>
    <n v="450"/>
    <x v="0"/>
    <n v="331"/>
    <n v="180"/>
    <n v="180"/>
    <n v="189"/>
    <n v="261"/>
    <n v="0"/>
    <x v="9"/>
    <x v="1"/>
    <e v="#REF!"/>
    <e v="#REF!"/>
    <s v=""/>
    <n v="0.57999999999999996"/>
  </r>
  <r>
    <x v="7"/>
    <x v="196"/>
    <x v="0"/>
    <x v="8"/>
    <m/>
    <m/>
    <s v="FITTINGS, STRAIGHT ORING TYPE 5/16"/>
    <s v="CA-000676"/>
    <n v="2"/>
    <n v="45"/>
    <m/>
    <n v="90"/>
    <x v="0"/>
    <n v="30"/>
    <n v="16"/>
    <n v="32"/>
    <n v="33.6"/>
    <n v="56.4"/>
    <n v="0"/>
    <x v="33"/>
    <x v="2"/>
    <e v="#REF!"/>
    <e v="#REF!"/>
    <s v=""/>
    <n v="0.62666666666666671"/>
  </r>
  <r>
    <x v="7"/>
    <x v="196"/>
    <x v="0"/>
    <x v="8"/>
    <m/>
    <m/>
    <s v="FITTINGS, ELBOW ORING TYPE  5/16"/>
    <s v="CA-000660"/>
    <n v="1"/>
    <n v="45"/>
    <m/>
    <n v="45"/>
    <x v="0"/>
    <n v="27"/>
    <n v="14.5"/>
    <n v="14.5"/>
    <n v="15.225000000000001"/>
    <n v="29.774999999999999"/>
    <n v="0"/>
    <x v="33"/>
    <x v="2"/>
    <e v="#REF!"/>
    <e v="#REF!"/>
    <s v=""/>
    <n v="0.66166666666666663"/>
  </r>
  <r>
    <x v="7"/>
    <x v="196"/>
    <x v="0"/>
    <x v="8"/>
    <m/>
    <m/>
    <s v="FITTINGS, STRAIGHT FLARE TYPE 3/8"/>
    <s v="CA-000672"/>
    <n v="1"/>
    <n v="40"/>
    <m/>
    <n v="40"/>
    <x v="0"/>
    <n v="30"/>
    <n v="16"/>
    <n v="16"/>
    <n v="16.8"/>
    <n v="23.2"/>
    <n v="0"/>
    <x v="33"/>
    <x v="2"/>
    <e v="#REF!"/>
    <e v="#REF!"/>
    <s v=""/>
    <n v="0.57999999999999996"/>
  </r>
  <r>
    <x v="7"/>
    <x v="196"/>
    <x v="0"/>
    <x v="8"/>
    <m/>
    <m/>
    <s v="ROD, NIHONWELD ALUMINUM "/>
    <s v="IM-000100"/>
    <n v="5"/>
    <n v="15"/>
    <m/>
    <n v="75"/>
    <x v="0"/>
    <n v="11"/>
    <n v="7"/>
    <n v="35"/>
    <n v="36.050000000000004"/>
    <n v="38.949999999999996"/>
    <n v="0"/>
    <x v="56"/>
    <x v="0"/>
    <e v="#REF!"/>
    <e v="#REF!"/>
    <s v=""/>
    <n v="0.51933333333333331"/>
  </r>
  <r>
    <x v="7"/>
    <x v="196"/>
    <x v="0"/>
    <x v="10"/>
    <m/>
    <m/>
    <s v="BLOWER_MOTOR, NISSAN LEC/ FRONTIER 2005"/>
    <s v="CA-001713"/>
    <n v="1"/>
    <n v="2000"/>
    <m/>
    <n v="2000"/>
    <x v="0"/>
    <n v="2389"/>
    <n v="1300"/>
    <n v="1300"/>
    <n v="1365"/>
    <n v="635"/>
    <n v="0"/>
    <x v="15"/>
    <x v="2"/>
    <e v="#REF!"/>
    <e v="#REF!"/>
    <s v=""/>
    <n v="0.3175"/>
  </r>
  <r>
    <x v="7"/>
    <x v="196"/>
    <x v="0"/>
    <x v="27"/>
    <m/>
    <m/>
    <s v="REFRIGERANT, POKKA R32, 600 GRMS  05/09/26"/>
    <s v="GE-000509"/>
    <n v="1"/>
    <n v="680"/>
    <m/>
    <n v="680"/>
    <x v="0"/>
    <n v="756"/>
    <n v="480"/>
    <n v="480"/>
    <n v="504"/>
    <n v="176"/>
    <n v="0"/>
    <x v="5"/>
    <x v="1"/>
    <e v="#REF!"/>
    <e v="#REF!"/>
    <s v=""/>
    <n v="0.25882352941176473"/>
  </r>
  <r>
    <x v="7"/>
    <x v="196"/>
    <x v="1"/>
    <x v="3"/>
    <m/>
    <m/>
    <s v="CABIN_FILTER, MITSUBISHI MONTERO OLD"/>
    <s v="CA-001704"/>
    <n v="1"/>
    <n v="400"/>
    <m/>
    <n v="400"/>
    <x v="0"/>
    <n v="567"/>
    <n v="180"/>
    <n v="180"/>
    <n v="189"/>
    <n v="211"/>
    <n v="63.3"/>
    <x v="12"/>
    <x v="2"/>
    <e v="#REF!"/>
    <e v="#REF!"/>
    <s v=""/>
    <n v="0.52749999999999997"/>
  </r>
  <r>
    <x v="7"/>
    <x v="197"/>
    <x v="4"/>
    <x v="25"/>
    <m/>
    <m/>
    <s v="BLOWER_MOTOR, ISUZU D-MAX 2013 / MUX"/>
    <s v="CA-000171"/>
    <n v="1"/>
    <n v="2000"/>
    <m/>
    <n v="2000"/>
    <x v="0"/>
    <n v="2389"/>
    <n v="1300"/>
    <n v="1300"/>
    <n v="1365"/>
    <n v="635"/>
    <n v="190.5"/>
    <x v="15"/>
    <x v="2"/>
    <e v="#REF!"/>
    <e v="#REF!"/>
    <s v=""/>
    <n v="0.3175"/>
  </r>
  <r>
    <x v="7"/>
    <x v="197"/>
    <x v="1"/>
    <x v="3"/>
    <m/>
    <m/>
    <s v="BLOWER_MOTOR, UNIVERSAL DOUBLE SHAFTING (ADVENTURE/REVO) 12V"/>
    <s v="CA-000238"/>
    <n v="1"/>
    <n v="750"/>
    <m/>
    <n v="750"/>
    <x v="0"/>
    <n v="840"/>
    <n v="400"/>
    <n v="400"/>
    <n v="420"/>
    <n v="330"/>
    <n v="99"/>
    <x v="15"/>
    <x v="2"/>
    <e v="#REF!"/>
    <e v="#REF!"/>
    <s v=""/>
    <n v="0.44"/>
  </r>
  <r>
    <x v="7"/>
    <x v="197"/>
    <x v="0"/>
    <x v="17"/>
    <m/>
    <m/>
    <s v="REFRIGERANT, ENTALPIA EUROPE R134A 13.6   6/16/26 "/>
    <s v="GE-000517"/>
    <n v="1"/>
    <n v="8800"/>
    <m/>
    <n v="8800"/>
    <x v="0"/>
    <n v="10489"/>
    <n v="7684"/>
    <n v="7684"/>
    <n v="8068.2000000000007"/>
    <n v="731.79999999999927"/>
    <n v="0"/>
    <x v="5"/>
    <x v="1"/>
    <e v="#REF!"/>
    <e v="#REF!"/>
    <s v=""/>
    <n v="8.3159090909090821E-2"/>
  </r>
  <r>
    <x v="7"/>
    <x v="197"/>
    <x v="0"/>
    <x v="170"/>
    <m/>
    <m/>
    <s v="ROYAL CORD, POWERFLEX 4-CORE, #14 2.0 MM, METER"/>
    <s v="GE-000487"/>
    <n v="5"/>
    <n v="160"/>
    <m/>
    <n v="800"/>
    <x v="0"/>
    <n v="131"/>
    <n v="105"/>
    <n v="525"/>
    <n v="551.25"/>
    <n v="248.75"/>
    <n v="0"/>
    <x v="48"/>
    <x v="1"/>
    <e v="#REF!"/>
    <e v="#REF!"/>
    <s v=""/>
    <n v="0.31093749999999998"/>
  </r>
  <r>
    <x v="7"/>
    <x v="197"/>
    <x v="2"/>
    <x v="7"/>
    <m/>
    <n v="2000"/>
    <s v="EVAPORATOR, MITSUBISHI MONTERO 2008 (F) (STAL)"/>
    <s v="CA-001744"/>
    <n v="1"/>
    <n v="1786"/>
    <m/>
    <n v="1786"/>
    <x v="0"/>
    <n v="1930"/>
    <n v="1050"/>
    <n v="1050"/>
    <n v="1102.5"/>
    <n v="683.5"/>
    <n v="205.04999999999998"/>
    <x v="10"/>
    <x v="2"/>
    <e v="#REF!"/>
    <e v="#REF!"/>
    <n v="2000.3200000000002"/>
    <n v="0.38269876819708848"/>
  </r>
  <r>
    <x v="7"/>
    <x v="197"/>
    <x v="2"/>
    <x v="7"/>
    <m/>
    <m/>
    <s v="BLOWER_MOTOR, UNIVERSAL 6721"/>
    <s v="CA-000237"/>
    <n v="1"/>
    <n v="1300"/>
    <m/>
    <n v="1300"/>
    <x v="0"/>
    <n v="1379"/>
    <n v="750"/>
    <n v="750"/>
    <n v="787.5"/>
    <n v="512.5"/>
    <n v="153.75"/>
    <x v="15"/>
    <x v="2"/>
    <e v="#REF!"/>
    <e v="#REF!"/>
    <e v="#REF!"/>
    <n v="0"/>
  </r>
  <r>
    <x v="7"/>
    <x v="197"/>
    <x v="0"/>
    <x v="11"/>
    <m/>
    <m/>
    <s v="RECEIVER_DRIER_ALUMINUM, YK 8742 (CITY 03)"/>
    <s v="CA-001119"/>
    <n v="1"/>
    <n v="560"/>
    <m/>
    <n v="560"/>
    <x v="0"/>
    <n v="615"/>
    <n v="260"/>
    <n v="260"/>
    <n v="273"/>
    <n v="287"/>
    <n v="0"/>
    <x v="27"/>
    <x v="2"/>
    <e v="#REF!"/>
    <e v="#REF!"/>
    <s v=""/>
    <n v="0.51249999999999996"/>
  </r>
  <r>
    <x v="7"/>
    <x v="197"/>
    <x v="0"/>
    <x v="11"/>
    <m/>
    <m/>
    <s v="EVAPORATOR, SUZUKI JIMNY/ALTO"/>
    <s v="CA-000530"/>
    <n v="1"/>
    <n v="2000"/>
    <m/>
    <n v="2000"/>
    <x v="0"/>
    <n v="2389"/>
    <n v="1300"/>
    <n v="1300"/>
    <n v="1365"/>
    <n v="635"/>
    <n v="0"/>
    <x v="10"/>
    <x v="2"/>
    <e v="#REF!"/>
    <e v="#REF!"/>
    <s v=""/>
    <n v="0.3175"/>
  </r>
  <r>
    <x v="7"/>
    <x v="197"/>
    <x v="0"/>
    <x v="11"/>
    <m/>
    <m/>
    <s v="ECV, TOYOTA ALTIS, 8-25B ALTIS 2016"/>
    <s v="CA-001467"/>
    <n v="1"/>
    <n v="2100"/>
    <m/>
    <n v="2100"/>
    <x v="0"/>
    <n v="2389"/>
    <n v="1300"/>
    <n v="1300"/>
    <n v="1365"/>
    <n v="735"/>
    <n v="0"/>
    <x v="26"/>
    <x v="2"/>
    <e v="#REF!"/>
    <e v="#REF!"/>
    <s v=""/>
    <n v="0.35"/>
  </r>
  <r>
    <x v="7"/>
    <x v="197"/>
    <x v="0"/>
    <x v="48"/>
    <m/>
    <m/>
    <s v="PRESSURE_SWITCH, CHEVROLET TRAILBLAZER /DMAX 4PIN"/>
    <s v="CA-001769"/>
    <n v="1"/>
    <n v="900"/>
    <m/>
    <n v="900"/>
    <x v="0"/>
    <n v="439"/>
    <n v="220"/>
    <n v="220"/>
    <n v="231"/>
    <n v="669"/>
    <n v="0"/>
    <x v="47"/>
    <x v="2"/>
    <e v="#REF!"/>
    <e v="#REF!"/>
    <s v=""/>
    <n v="0.74333333333333329"/>
  </r>
  <r>
    <x v="7"/>
    <x v="197"/>
    <x v="0"/>
    <x v="1"/>
    <m/>
    <m/>
    <s v="EXP. VALVE SC, HONDA OVERSIZE / FX R134A"/>
    <s v="CA-000569"/>
    <n v="1"/>
    <n v="500"/>
    <m/>
    <n v="500"/>
    <x v="0"/>
    <n v="478"/>
    <n v="260"/>
    <n v="260"/>
    <n v="273"/>
    <n v="227"/>
    <n v="0"/>
    <x v="34"/>
    <x v="2"/>
    <e v="#REF!"/>
    <e v="#REF!"/>
    <s v=""/>
    <n v="0.45400000000000001"/>
  </r>
  <r>
    <x v="7"/>
    <x v="197"/>
    <x v="0"/>
    <x v="31"/>
    <m/>
    <m/>
    <s v="TAPE_PE, PICUS Polythelene Tape (White)X 4&quot;"/>
    <s v="IM-000247"/>
    <n v="1"/>
    <n v="125"/>
    <m/>
    <n v="125"/>
    <x v="0"/>
    <n v="147"/>
    <n v="75"/>
    <n v="75"/>
    <n v="77.25"/>
    <n v="47.75"/>
    <n v="0"/>
    <x v="29"/>
    <x v="0"/>
    <e v="#REF!"/>
    <e v="#REF!"/>
    <s v=""/>
    <n v="0.38200000000000001"/>
  </r>
  <r>
    <x v="7"/>
    <x v="198"/>
    <x v="1"/>
    <x v="3"/>
    <m/>
    <m/>
    <s v="EXP. VALVE SC, HONDA OVERSIZE / FX R134A"/>
    <s v="CA-000569"/>
    <n v="1"/>
    <n v="500"/>
    <m/>
    <n v="500"/>
    <x v="0"/>
    <n v="478"/>
    <n v="260"/>
    <n v="260"/>
    <n v="273"/>
    <n v="227"/>
    <n v="68.099999999999994"/>
    <x v="34"/>
    <x v="2"/>
    <e v="#REF!"/>
    <e v="#REF!"/>
    <s v=""/>
    <n v="0.45400000000000001"/>
  </r>
  <r>
    <x v="7"/>
    <x v="199"/>
    <x v="0"/>
    <x v="48"/>
    <m/>
    <m/>
    <s v="AUXFAN_MOTOR, TOYOTA AVANZA 2410"/>
    <s v="CA-000081"/>
    <n v="1"/>
    <n v="1800"/>
    <m/>
    <n v="1800"/>
    <x v="0"/>
    <n v="2022"/>
    <n v="1100"/>
    <n v="1100"/>
    <n v="1155"/>
    <n v="645"/>
    <n v="0"/>
    <x v="14"/>
    <x v="2"/>
    <e v="#REF!"/>
    <e v="#REF!"/>
    <s v=""/>
    <n v="0.35833333333333334"/>
  </r>
  <r>
    <x v="7"/>
    <x v="199"/>
    <x v="0"/>
    <x v="171"/>
    <m/>
    <m/>
    <s v="MANIFOLD_GAUGE, HEAVY DUTY, NEK R134A/R32 (BLACK GAUGE)"/>
    <s v="TL-000033"/>
    <n v="1"/>
    <n v="3500"/>
    <m/>
    <n v="3500"/>
    <x v="0"/>
    <n v="4043"/>
    <n v="2200"/>
    <n v="2200"/>
    <n v="2310"/>
    <n v="1190"/>
    <n v="0"/>
    <x v="24"/>
    <x v="4"/>
    <e v="#REF!"/>
    <e v="#REF!"/>
    <s v=""/>
    <n v="0.34"/>
  </r>
  <r>
    <x v="7"/>
    <x v="199"/>
    <x v="0"/>
    <x v="171"/>
    <m/>
    <m/>
    <s v="REFRIGERANT, POKKA R134A, 300GRMS"/>
    <s v="GE-000152"/>
    <n v="1"/>
    <n v="450"/>
    <m/>
    <n v="450"/>
    <x v="0"/>
    <n v="809"/>
    <n v="350"/>
    <n v="350"/>
    <n v="367.5"/>
    <n v="82.5"/>
    <n v="0"/>
    <x v="5"/>
    <x v="1"/>
    <e v="#REF!"/>
    <e v="#REF!"/>
    <s v=""/>
    <n v="0.18333333333333332"/>
  </r>
  <r>
    <x v="7"/>
    <x v="199"/>
    <x v="0"/>
    <x v="171"/>
    <m/>
    <m/>
    <s v="EXP. VALVE LT, POKKA 9A60 / 9A233 EXTRAIL"/>
    <s v="CA-001829"/>
    <n v="1"/>
    <n v="550"/>
    <m/>
    <n v="550"/>
    <x v="0"/>
    <n v="478"/>
    <n v="260"/>
    <n v="260"/>
    <n v="273"/>
    <n v="277"/>
    <n v="0"/>
    <x v="23"/>
    <x v="2"/>
    <e v="#REF!"/>
    <e v="#REF!"/>
    <s v=""/>
    <n v="0.50363636363636366"/>
  </r>
  <r>
    <x v="7"/>
    <x v="199"/>
    <x v="0"/>
    <x v="171"/>
    <m/>
    <m/>
    <s v="RECEIVER_DRIER_ALUMINUM, YK 8227A (Montero)"/>
    <s v="CA-001109"/>
    <n v="1"/>
    <n v="560"/>
    <m/>
    <n v="560"/>
    <x v="0"/>
    <n v="579"/>
    <n v="245"/>
    <n v="245"/>
    <n v="257.25"/>
    <n v="302.75"/>
    <n v="0"/>
    <x v="27"/>
    <x v="2"/>
    <e v="#REF!"/>
    <e v="#REF!"/>
    <s v=""/>
    <n v="0.54062500000000002"/>
  </r>
  <r>
    <x v="7"/>
    <x v="199"/>
    <x v="0"/>
    <x v="11"/>
    <m/>
    <m/>
    <s v="EXP. VALVE LT, POKKA 9A60 / 9A233 EXTRAIL"/>
    <s v="CA-001829"/>
    <n v="1"/>
    <n v="550"/>
    <m/>
    <n v="550"/>
    <x v="0"/>
    <n v="478"/>
    <n v="260"/>
    <n v="260"/>
    <n v="273"/>
    <n v="277"/>
    <n v="0"/>
    <x v="23"/>
    <x v="2"/>
    <e v="#REF!"/>
    <e v="#REF!"/>
    <s v=""/>
    <n v="0.50363636363636366"/>
  </r>
  <r>
    <x v="7"/>
    <x v="199"/>
    <x v="0"/>
    <x v="11"/>
    <m/>
    <m/>
    <s v="RECEIVER_DRIER_ALUMINUM, YK 8227A (Montero)"/>
    <s v="CA-001109"/>
    <n v="1"/>
    <n v="560"/>
    <m/>
    <n v="560"/>
    <x v="0"/>
    <n v="579"/>
    <n v="245"/>
    <n v="245"/>
    <n v="257.25"/>
    <n v="302.75"/>
    <n v="0"/>
    <x v="27"/>
    <x v="2"/>
    <e v="#REF!"/>
    <e v="#REF!"/>
    <s v=""/>
    <n v="0.54062500000000002"/>
  </r>
  <r>
    <x v="7"/>
    <x v="199"/>
    <x v="2"/>
    <x v="96"/>
    <m/>
    <m/>
    <s v="PULLEY_ASSEMBLY, TOYOTA INNOVA DENSO 7PK 2008"/>
    <s v="CA-000242"/>
    <n v="1"/>
    <n v="2150"/>
    <m/>
    <n v="2150"/>
    <x v="0"/>
    <n v="2520"/>
    <n v="1500"/>
    <n v="1500"/>
    <n v="1575"/>
    <n v="575"/>
    <n v="172.5"/>
    <x v="11"/>
    <x v="2"/>
    <e v="#REF!"/>
    <e v="#REF!"/>
    <s v=""/>
    <n v="0.26744186046511625"/>
  </r>
  <r>
    <x v="7"/>
    <x v="199"/>
    <x v="3"/>
    <x v="158"/>
    <m/>
    <m/>
    <s v="CONDENSER, UNIVERSAL 14 x 23 x 20"/>
    <s v="CA-000448"/>
    <n v="1"/>
    <n v="1800"/>
    <m/>
    <n v="1800"/>
    <x v="0"/>
    <n v="2114"/>
    <n v="1150"/>
    <n v="1150"/>
    <n v="1207.5"/>
    <n v="592.5"/>
    <n v="177.75"/>
    <x v="8"/>
    <x v="2"/>
    <e v="#REF!"/>
    <e v="#REF!"/>
    <s v=""/>
    <n v="0.32916666666666666"/>
  </r>
  <r>
    <x v="7"/>
    <x v="199"/>
    <x v="6"/>
    <x v="159"/>
    <m/>
    <m/>
    <s v="AUXIALLIARY_FAN, POKKA 12 BLADES X 12VOLTS"/>
    <s v="CA-000108"/>
    <n v="4"/>
    <n v="700"/>
    <m/>
    <n v="2800"/>
    <x v="0"/>
    <n v="827"/>
    <n v="450"/>
    <n v="1800"/>
    <n v="1890"/>
    <n v="910"/>
    <n v="273"/>
    <x v="16"/>
    <x v="2"/>
    <e v="#REF!"/>
    <e v="#REF!"/>
    <s v=""/>
    <n v="0.32500000000000001"/>
  </r>
  <r>
    <x v="7"/>
    <x v="199"/>
    <x v="6"/>
    <x v="159"/>
    <m/>
    <m/>
    <s v="EXP. VALVE LT, BOER 38683 EVEREST 2014"/>
    <s v="CA-000599"/>
    <n v="1"/>
    <n v="600"/>
    <m/>
    <n v="600"/>
    <x v="0"/>
    <n v="552"/>
    <n v="300"/>
    <n v="300"/>
    <n v="315"/>
    <n v="285"/>
    <n v="85.5"/>
    <x v="23"/>
    <x v="2"/>
    <e v="#REF!"/>
    <e v="#REF!"/>
    <s v=""/>
    <n v="0.47499999999999998"/>
  </r>
  <r>
    <x v="7"/>
    <x v="199"/>
    <x v="1"/>
    <x v="3"/>
    <m/>
    <m/>
    <s v="BLOWER_MOTOR, TOYOTA INNOVA OLD F"/>
    <s v="CA-000227"/>
    <n v="1"/>
    <n v="2000"/>
    <m/>
    <n v="2000"/>
    <x v="0"/>
    <n v="2389"/>
    <n v="1300"/>
    <n v="1300"/>
    <n v="1365"/>
    <n v="635"/>
    <n v="190.5"/>
    <x v="15"/>
    <x v="2"/>
    <e v="#REF!"/>
    <e v="#REF!"/>
    <s v=""/>
    <n v="0.3175"/>
  </r>
  <r>
    <x v="7"/>
    <x v="199"/>
    <x v="2"/>
    <x v="22"/>
    <m/>
    <m/>
    <s v="PULLEY_ASSEMBLY, TOYOTA HI LUX 7pk"/>
    <s v="CA-001067"/>
    <n v="1"/>
    <n v="2000"/>
    <m/>
    <n v="2000"/>
    <x v="0"/>
    <n v="2352"/>
    <n v="1400"/>
    <n v="1400"/>
    <n v="1470"/>
    <n v="530"/>
    <n v="159"/>
    <x v="11"/>
    <x v="2"/>
    <e v="#REF!"/>
    <e v="#REF!"/>
    <s v=""/>
    <n v="0.26500000000000001"/>
  </r>
  <r>
    <x v="7"/>
    <x v="199"/>
    <x v="2"/>
    <x v="22"/>
    <m/>
    <m/>
    <s v="HALF_UNION, R134A 5/8&quot;"/>
    <s v="CA-000692"/>
    <n v="5"/>
    <n v="45"/>
    <m/>
    <n v="225"/>
    <x v="0"/>
    <n v="30"/>
    <n v="16"/>
    <n v="80"/>
    <n v="84"/>
    <n v="141"/>
    <n v="42.3"/>
    <x v="6"/>
    <x v="2"/>
    <e v="#REF!"/>
    <e v="#REF!"/>
    <s v=""/>
    <n v="0.62666666666666671"/>
  </r>
  <r>
    <x v="7"/>
    <x v="199"/>
    <x v="0"/>
    <x v="49"/>
    <m/>
    <m/>
    <s v="EVAPORATOR, NISSAN NV350 (STAL)"/>
    <s v="CA-001660"/>
    <n v="1"/>
    <n v="2100"/>
    <m/>
    <n v="2100"/>
    <x v="0"/>
    <n v="2022"/>
    <n v="1100"/>
    <n v="1100"/>
    <n v="1155"/>
    <n v="945"/>
    <n v="0"/>
    <x v="10"/>
    <x v="2"/>
    <e v="#REF!"/>
    <e v="#REF!"/>
    <s v=""/>
    <n v="0.45"/>
  </r>
  <r>
    <x v="7"/>
    <x v="199"/>
    <x v="0"/>
    <x v="49"/>
    <m/>
    <m/>
    <s v="CABIN_FILTER, NISSAN NV350"/>
    <s v="CA-001711"/>
    <n v="1"/>
    <n v="350"/>
    <m/>
    <n v="350"/>
    <x v="0"/>
    <n v="315"/>
    <n v="100"/>
    <n v="100"/>
    <n v="105"/>
    <n v="245"/>
    <n v="0"/>
    <x v="12"/>
    <x v="2"/>
    <e v="#REF!"/>
    <e v="#REF!"/>
    <s v=""/>
    <n v="0.7"/>
  </r>
  <r>
    <x v="7"/>
    <x v="199"/>
    <x v="0"/>
    <x v="48"/>
    <m/>
    <m/>
    <s v="EXP. VALVE LT, POKKA 9A129B ACCENT"/>
    <s v="CA-000629"/>
    <n v="1"/>
    <n v="600"/>
    <m/>
    <n v="600"/>
    <x v="0"/>
    <n v="625"/>
    <n v="340"/>
    <n v="340"/>
    <n v="357"/>
    <n v="243"/>
    <n v="0"/>
    <x v="23"/>
    <x v="2"/>
    <e v="#REF!"/>
    <e v="#REF!"/>
    <s v=""/>
    <n v="0.40500000000000003"/>
  </r>
  <r>
    <x v="7"/>
    <x v="199"/>
    <x v="0"/>
    <x v="27"/>
    <m/>
    <m/>
    <s v="COPPER_TUBE_SOFTDRAWN, EXZEL 0.028 X 1/4 x 15 mtr  05/28/26"/>
    <s v="IM-000329"/>
    <n v="0.2"/>
    <n v="2500"/>
    <m/>
    <n v="500"/>
    <x v="0"/>
    <n v="3063"/>
    <n v="1699"/>
    <n v="339.8"/>
    <n v="349.99400000000003"/>
    <n v="150.00599999999997"/>
    <n v="0"/>
    <x v="0"/>
    <x v="0"/>
    <e v="#REF!"/>
    <e v="#REF!"/>
    <s v=""/>
    <n v="0.30001199999999995"/>
  </r>
  <r>
    <x v="7"/>
    <x v="199"/>
    <x v="0"/>
    <x v="153"/>
    <m/>
    <m/>
    <s v="COPPER_TUBE_SOFTDRAWN, EXZEL 0.028 X 1/4 x 15 mtr  05/28/26"/>
    <s v="IM-000329"/>
    <n v="1"/>
    <n v="1950"/>
    <m/>
    <n v="1950"/>
    <x v="0"/>
    <n v="3063"/>
    <n v="1699"/>
    <n v="1699"/>
    <n v="1749.97"/>
    <n v="200.02999999999997"/>
    <n v="0"/>
    <x v="0"/>
    <x v="0"/>
    <e v="#REF!"/>
    <e v="#REF!"/>
    <s v=""/>
    <n v="0.10257948717948717"/>
  </r>
  <r>
    <x v="7"/>
    <x v="199"/>
    <x v="0"/>
    <x v="153"/>
    <m/>
    <m/>
    <s v="COPPER_TUBE_SOFTDRAWN, HAILIANG 0.028 X 3/8 x 15 mtr 06/02/26"/>
    <s v="IM-000327"/>
    <n v="1"/>
    <n v="2950"/>
    <m/>
    <n v="2950"/>
    <x v="0"/>
    <n v="4774"/>
    <n v="2648"/>
    <n v="2648"/>
    <n v="2727.44"/>
    <n v="222.55999999999995"/>
    <n v="0"/>
    <x v="0"/>
    <x v="0"/>
    <e v="#REF!"/>
    <e v="#REF!"/>
    <s v=""/>
    <n v="7.5444067796610156E-2"/>
  </r>
  <r>
    <x v="7"/>
    <x v="199"/>
    <x v="0"/>
    <x v="153"/>
    <m/>
    <m/>
    <s v="RUBBER_INSULATION, M-FLEX 1/2&quot; 1/4"/>
    <s v="IM-000229"/>
    <n v="5"/>
    <n v="50"/>
    <m/>
    <n v="250"/>
    <x v="0"/>
    <n v="47"/>
    <n v="33.6"/>
    <n v="168"/>
    <n v="173.04"/>
    <n v="76.960000000000008"/>
    <n v="0"/>
    <x v="22"/>
    <x v="0"/>
    <e v="#REF!"/>
    <e v="#REF!"/>
    <s v=""/>
    <n v="0.30784000000000006"/>
  </r>
  <r>
    <x v="7"/>
    <x v="199"/>
    <x v="0"/>
    <x v="153"/>
    <m/>
    <m/>
    <s v="RUBBER_INSULATION, M-FLEX 1/2&quot; 3/8"/>
    <s v="IM-000231"/>
    <n v="2"/>
    <n v="70"/>
    <m/>
    <n v="140"/>
    <x v="0"/>
    <n v="53"/>
    <n v="37.6"/>
    <n v="75.2"/>
    <n v="77.456000000000003"/>
    <n v="62.543999999999997"/>
    <n v="0"/>
    <x v="22"/>
    <x v="0"/>
    <e v="#REF!"/>
    <e v="#REF!"/>
    <s v=""/>
    <n v="0.44674285714285711"/>
  </r>
  <r>
    <x v="7"/>
    <x v="199"/>
    <x v="0"/>
    <x v="23"/>
    <m/>
    <m/>
    <s v="EVAPORATOR, TOYOTA VIOS 2014 (SUPERMAN)_STAL"/>
    <s v="CA-000146"/>
    <n v="1"/>
    <n v="2000"/>
    <m/>
    <n v="2000"/>
    <x v="0"/>
    <n v="1434"/>
    <n v="780"/>
    <n v="780"/>
    <n v="819"/>
    <n v="1181"/>
    <n v="0"/>
    <x v="10"/>
    <x v="2"/>
    <e v="#REF!"/>
    <e v="#REF!"/>
    <s v=""/>
    <n v="0.59050000000000002"/>
  </r>
  <r>
    <x v="7"/>
    <x v="199"/>
    <x v="0"/>
    <x v="1"/>
    <m/>
    <m/>
    <s v="PULLEY_ASSEMBLY, TOYOTA VIOS 2017/ WIGO  6PK"/>
    <s v="CA-001788"/>
    <n v="1"/>
    <n v="2100"/>
    <m/>
    <n v="2100"/>
    <x v="0"/>
    <n v="2016"/>
    <n v="1200"/>
    <n v="1200"/>
    <n v="1260"/>
    <n v="840"/>
    <n v="0"/>
    <x v="11"/>
    <x v="2"/>
    <e v="#REF!"/>
    <e v="#REF!"/>
    <s v=""/>
    <n v="0.4"/>
  </r>
  <r>
    <x v="7"/>
    <x v="199"/>
    <x v="0"/>
    <x v="160"/>
    <m/>
    <n v="40"/>
    <s v="ROD, HARRIS BRONZE"/>
    <s v="IM-000286"/>
    <n v="1"/>
    <n v="35"/>
    <m/>
    <n v="35"/>
    <x v="0"/>
    <n v="33"/>
    <n v="21"/>
    <n v="21"/>
    <n v="21.63"/>
    <n v="13.370000000000001"/>
    <n v="0"/>
    <x v="56"/>
    <x v="0"/>
    <e v="#REF!"/>
    <e v="#REF!"/>
    <n v="39.200000000000003"/>
    <n v="0.38200000000000001"/>
  </r>
  <r>
    <x v="7"/>
    <x v="200"/>
    <x v="0"/>
    <x v="1"/>
    <m/>
    <m/>
    <s v="CAPACITOR_SINGLE, PS CBB65 15 UF"/>
    <s v="GE-000062"/>
    <n v="1"/>
    <n v="270"/>
    <m/>
    <n v="270"/>
    <x v="0"/>
    <n v="184"/>
    <n v="100"/>
    <n v="100"/>
    <n v="105"/>
    <n v="165"/>
    <n v="0"/>
    <x v="38"/>
    <x v="1"/>
    <e v="#REF!"/>
    <e v="#REF!"/>
    <s v=""/>
    <n v="0.61111111111111116"/>
  </r>
  <r>
    <x v="7"/>
    <x v="200"/>
    <x v="2"/>
    <x v="22"/>
    <m/>
    <m/>
    <s v="MAPP_GAS, Gazz Pro (Winterpine) TORCH GAS"/>
    <s v="IM-000310"/>
    <n v="1"/>
    <n v="360"/>
    <m/>
    <n v="360"/>
    <x v="0"/>
    <n v="451"/>
    <n v="250"/>
    <n v="250"/>
    <n v="257.5"/>
    <n v="102.5"/>
    <n v="30.75"/>
    <x v="45"/>
    <x v="0"/>
    <e v="#REF!"/>
    <e v="#REF!"/>
    <s v=""/>
    <n v="0.28472222222222221"/>
  </r>
  <r>
    <x v="7"/>
    <x v="200"/>
    <x v="0"/>
    <x v="8"/>
    <m/>
    <m/>
    <s v="REFRIGERANT, ENTALPIA EUROPE R134A 13.6   6/16/26 "/>
    <s v="GE-000517"/>
    <n v="1"/>
    <n v="8800"/>
    <m/>
    <n v="8800"/>
    <x v="0"/>
    <n v="10489"/>
    <n v="7684"/>
    <n v="7684"/>
    <n v="8068.2000000000007"/>
    <n v="731.79999999999927"/>
    <n v="0"/>
    <x v="5"/>
    <x v="1"/>
    <e v="#REF!"/>
    <e v="#REF!"/>
    <s v=""/>
    <n v="8.3159090909090821E-2"/>
  </r>
  <r>
    <x v="7"/>
    <x v="200"/>
    <x v="0"/>
    <x v="83"/>
    <m/>
    <m/>
    <s v="BLOWER_MOTOR, ISUZU D-MAX 2013 / MUX"/>
    <s v="CA-000171"/>
    <n v="1"/>
    <n v="2000"/>
    <m/>
    <n v="2000"/>
    <x v="0"/>
    <n v="2389"/>
    <n v="1300"/>
    <n v="1300"/>
    <n v="1365"/>
    <n v="635"/>
    <n v="0"/>
    <x v="15"/>
    <x v="2"/>
    <e v="#REF!"/>
    <e v="#REF!"/>
    <s v=""/>
    <n v="0.3175"/>
  </r>
  <r>
    <x v="7"/>
    <x v="200"/>
    <x v="2"/>
    <x v="7"/>
    <m/>
    <m/>
    <s v="REFRIGERANT, ENTALPIA EUROPE R134A 13.6   6/16/26 "/>
    <s v="GE-000517"/>
    <n v="1"/>
    <n v="8800"/>
    <m/>
    <n v="8800"/>
    <x v="0"/>
    <n v="10489"/>
    <n v="7684"/>
    <n v="7684"/>
    <n v="8068.2000000000007"/>
    <n v="731.79999999999927"/>
    <n v="219.53999999999976"/>
    <x v="5"/>
    <x v="1"/>
    <e v="#REF!"/>
    <e v="#REF!"/>
    <s v=""/>
    <n v="8.3159090909090821E-2"/>
  </r>
  <r>
    <x v="7"/>
    <x v="200"/>
    <x v="2"/>
    <x v="7"/>
    <m/>
    <m/>
    <s v="AUXIALLIARY_FAN, POKKA 14 BLADES X 24VOLTS"/>
    <s v="CA-000113"/>
    <n v="1"/>
    <n v="750"/>
    <m/>
    <n v="750"/>
    <x v="0"/>
    <n v="882"/>
    <n v="480"/>
    <n v="480"/>
    <n v="504"/>
    <n v="246"/>
    <n v="73.8"/>
    <x v="16"/>
    <x v="2"/>
    <e v="#REF!"/>
    <e v="#REF!"/>
    <s v=""/>
    <n v="0.32800000000000001"/>
  </r>
  <r>
    <x v="7"/>
    <x v="200"/>
    <x v="1"/>
    <x v="3"/>
    <m/>
    <m/>
    <s v="RECEIVER_DRIER_ALUMINUM, YK 8106 (CROSSWIND, PAJERO, DENSO 134A M)"/>
    <s v="CA-001100"/>
    <n v="1"/>
    <n v="560"/>
    <m/>
    <n v="560"/>
    <x v="0"/>
    <n v="485"/>
    <n v="205"/>
    <n v="205"/>
    <n v="215.25"/>
    <n v="344.75"/>
    <n v="103.425"/>
    <x v="27"/>
    <x v="2"/>
    <e v="#REF!"/>
    <e v="#REF!"/>
    <s v=""/>
    <n v="0.61562499999999998"/>
  </r>
  <r>
    <x v="7"/>
    <x v="200"/>
    <x v="1"/>
    <x v="3"/>
    <m/>
    <m/>
    <s v="EXP. VALVE LT, POKKA 9A50 134A, PAJERO"/>
    <s v="CA-001826"/>
    <n v="1"/>
    <n v="550"/>
    <m/>
    <n v="550"/>
    <x v="0"/>
    <n v="441"/>
    <n v="240"/>
    <n v="240"/>
    <n v="252"/>
    <n v="298"/>
    <n v="89.399999999999991"/>
    <x v="23"/>
    <x v="2"/>
    <e v="#REF!"/>
    <e v="#REF!"/>
    <s v=""/>
    <n v="0.54181818181818187"/>
  </r>
  <r>
    <x v="7"/>
    <x v="200"/>
    <x v="0"/>
    <x v="1"/>
    <m/>
    <m/>
    <s v="RUBBER_INSULATION, M-FLEX 3/4&quot; 1/4"/>
    <s v="IM-000235"/>
    <n v="8"/>
    <n v="95"/>
    <m/>
    <n v="760"/>
    <x v="0"/>
    <n v="79"/>
    <n v="56.7"/>
    <n v="453.6"/>
    <n v="467.20800000000003"/>
    <n v="292.79199999999997"/>
    <n v="0"/>
    <x v="22"/>
    <x v="0"/>
    <e v="#REF!"/>
    <e v="#REF!"/>
    <s v=""/>
    <n v="0.38525263157894735"/>
  </r>
  <r>
    <x v="7"/>
    <x v="200"/>
    <x v="0"/>
    <x v="8"/>
    <m/>
    <m/>
    <s v="EXP. VALVE LT, POKKA 9A55 HONDA NEW"/>
    <s v="CA-000636"/>
    <n v="1"/>
    <n v="550"/>
    <m/>
    <n v="550"/>
    <x v="0"/>
    <n v="497"/>
    <n v="270"/>
    <n v="270"/>
    <n v="283.5"/>
    <n v="266.5"/>
    <n v="0"/>
    <x v="23"/>
    <x v="2"/>
    <e v="#REF!"/>
    <e v="#REF!"/>
    <s v=""/>
    <n v="0.48454545454545456"/>
  </r>
  <r>
    <x v="7"/>
    <x v="200"/>
    <x v="1"/>
    <x v="3"/>
    <m/>
    <m/>
    <s v="AUXFAN_MOTOR, HONDA CRV 2002 (2492)"/>
    <s v="CA-000022"/>
    <n v="1"/>
    <n v="1500"/>
    <m/>
    <n v="1500"/>
    <x v="0"/>
    <n v="1470"/>
    <n v="800"/>
    <n v="800"/>
    <n v="840"/>
    <n v="660"/>
    <n v="198"/>
    <x v="14"/>
    <x v="2"/>
    <e v="#REF!"/>
    <e v="#REF!"/>
    <s v=""/>
    <n v="0.44"/>
  </r>
  <r>
    <x v="7"/>
    <x v="200"/>
    <x v="1"/>
    <x v="3"/>
    <m/>
    <m/>
    <s v="THERMOSTAT, NEK CAR"/>
    <s v="CA-001647"/>
    <n v="1"/>
    <n v="250"/>
    <m/>
    <n v="250"/>
    <x v="0"/>
    <n v="180"/>
    <n v="90"/>
    <n v="90"/>
    <n v="94.5"/>
    <n v="155.5"/>
    <n v="46.65"/>
    <x v="31"/>
    <x v="2"/>
    <e v="#REF!"/>
    <e v="#REF!"/>
    <s v=""/>
    <n v="0.622"/>
  </r>
  <r>
    <x v="7"/>
    <x v="200"/>
    <x v="1"/>
    <x v="3"/>
    <m/>
    <m/>
    <s v="ROD, NIHONWELD ALUMINUM "/>
    <s v="IM-000100"/>
    <n v="5"/>
    <n v="15"/>
    <m/>
    <n v="75"/>
    <x v="0"/>
    <n v="11"/>
    <n v="7"/>
    <n v="35"/>
    <n v="36.050000000000004"/>
    <n v="38.949999999999996"/>
    <n v="11.684999999999999"/>
    <x v="56"/>
    <x v="0"/>
    <e v="#REF!"/>
    <e v="#REF!"/>
    <s v=""/>
    <n v="0.51933333333333331"/>
  </r>
  <r>
    <x v="7"/>
    <x v="200"/>
    <x v="0"/>
    <x v="17"/>
    <m/>
    <n v="2200"/>
    <s v="EVAPORATOR, MITSUBISHI MONTERO 2016 (F)  (STAL)"/>
    <s v="CA-000341"/>
    <n v="1"/>
    <n v="1965"/>
    <m/>
    <n v="1965"/>
    <x v="0"/>
    <n v="1930"/>
    <n v="1050"/>
    <n v="1050"/>
    <n v="1102.5"/>
    <n v="862.5"/>
    <n v="0"/>
    <x v="10"/>
    <x v="2"/>
    <e v="#REF!"/>
    <e v="#REF!"/>
    <n v="2200.8000000000002"/>
    <n v="0.43893129770992367"/>
  </r>
  <r>
    <x v="7"/>
    <x v="200"/>
    <x v="0"/>
    <x v="17"/>
    <m/>
    <n v="2100"/>
    <s v="EVAPORATOR, TOYOTA VIOS 2014 (SUPERMAN)_STAL"/>
    <s v="CA-000146"/>
    <n v="1"/>
    <n v="1875"/>
    <m/>
    <n v="1875"/>
    <x v="0"/>
    <n v="1434"/>
    <n v="780"/>
    <n v="780"/>
    <n v="819"/>
    <n v="1056"/>
    <n v="0"/>
    <x v="10"/>
    <x v="2"/>
    <e v="#REF!"/>
    <e v="#REF!"/>
    <n v="2100"/>
    <n v="0.56320000000000003"/>
  </r>
  <r>
    <x v="7"/>
    <x v="200"/>
    <x v="0"/>
    <x v="1"/>
    <m/>
    <m/>
    <s v="TAPE_FOAM, AEROTAPE 3MM X 50 MM X 9.1 MTR  06/18/26"/>
    <s v="IM-000332"/>
    <n v="2"/>
    <n v="430"/>
    <m/>
    <n v="860"/>
    <x v="0"/>
    <n v="510"/>
    <n v="330"/>
    <n v="660"/>
    <n v="679.80000000000007"/>
    <n v="180.19999999999993"/>
    <n v="0"/>
    <x v="25"/>
    <x v="0"/>
    <e v="#REF!"/>
    <e v="#REF!"/>
    <s v=""/>
    <n v="0.20953488372093015"/>
  </r>
  <r>
    <x v="7"/>
    <x v="200"/>
    <x v="0"/>
    <x v="172"/>
    <m/>
    <m/>
    <s v="EVAPORATOR, FORD EVEREST (F) HS-40A205"/>
    <s v="CA-000465"/>
    <n v="1"/>
    <n v="2100"/>
    <m/>
    <n v="2100"/>
    <x v="0"/>
    <n v="2665"/>
    <n v="1450"/>
    <n v="1450"/>
    <n v="1522.5"/>
    <n v="577.5"/>
    <n v="0"/>
    <x v="10"/>
    <x v="2"/>
    <e v="#REF!"/>
    <e v="#REF!"/>
    <s v=""/>
    <n v="0.27500000000000002"/>
  </r>
  <r>
    <x v="7"/>
    <x v="200"/>
    <x v="0"/>
    <x v="1"/>
    <m/>
    <m/>
    <s v="REFRIGERANT, POKKA R32, 600 GRMS  05/09/26"/>
    <s v="GE-000509"/>
    <n v="1"/>
    <n v="680"/>
    <m/>
    <n v="680"/>
    <x v="0"/>
    <n v="756"/>
    <n v="480"/>
    <n v="480"/>
    <n v="504"/>
    <n v="176"/>
    <n v="0"/>
    <x v="5"/>
    <x v="1"/>
    <e v="#REF!"/>
    <e v="#REF!"/>
    <s v=""/>
    <n v="0.25882352941176473"/>
  </r>
  <r>
    <x v="7"/>
    <x v="200"/>
    <x v="0"/>
    <x v="1"/>
    <m/>
    <m/>
    <s v="ACCESS_VALVE, OMNI WELDED TYPE "/>
    <s v="GE-000253"/>
    <n v="1"/>
    <n v="50"/>
    <m/>
    <n v="50"/>
    <x v="0"/>
    <n v="47"/>
    <n v="21"/>
    <n v="21"/>
    <n v="22.05"/>
    <n v="27.95"/>
    <n v="0"/>
    <x v="67"/>
    <x v="1"/>
    <e v="#REF!"/>
    <e v="#REF!"/>
    <s v=""/>
    <n v="0.55899999999999994"/>
  </r>
  <r>
    <x v="7"/>
    <x v="200"/>
    <x v="0"/>
    <x v="1"/>
    <m/>
    <m/>
    <s v="REFRIGERANT, POKKA R32, 600 GRMS  05/09/26"/>
    <s v="GE-000509"/>
    <n v="1"/>
    <n v="680"/>
    <m/>
    <n v="680"/>
    <x v="0"/>
    <n v="756"/>
    <n v="480"/>
    <n v="480"/>
    <n v="504"/>
    <n v="176"/>
    <n v="0"/>
    <x v="5"/>
    <x v="1"/>
    <e v="#REF!"/>
    <e v="#REF!"/>
    <s v=""/>
    <n v="0.25882352941176473"/>
  </r>
  <r>
    <x v="7"/>
    <x v="200"/>
    <x v="0"/>
    <x v="49"/>
    <m/>
    <m/>
    <s v="RECEIVER_DRIER_ALUMINUM, YK 8106 (CROSSWIND, PAJERO, DENSO 134A M)"/>
    <s v="CA-001100"/>
    <n v="1"/>
    <n v="560"/>
    <m/>
    <n v="560"/>
    <x v="0"/>
    <n v="485"/>
    <n v="205"/>
    <n v="205"/>
    <n v="215.25"/>
    <n v="344.75"/>
    <n v="0"/>
    <x v="27"/>
    <x v="2"/>
    <e v="#REF!"/>
    <e v="#REF!"/>
    <s v=""/>
    <n v="0.61562499999999998"/>
  </r>
  <r>
    <x v="7"/>
    <x v="200"/>
    <x v="0"/>
    <x v="49"/>
    <m/>
    <m/>
    <s v="SYSTEM_CLEANER, Cleanse GREEN 141B 500 ML"/>
    <s v="GE-000369"/>
    <n v="2"/>
    <n v="120"/>
    <m/>
    <n v="240"/>
    <x v="0"/>
    <n v="113"/>
    <n v="65"/>
    <n v="130"/>
    <n v="136.5"/>
    <n v="103.5"/>
    <n v="0"/>
    <x v="28"/>
    <x v="1"/>
    <e v="#REF!"/>
    <e v="#REF!"/>
    <s v=""/>
    <n v="0.43125000000000002"/>
  </r>
  <r>
    <x v="7"/>
    <x v="200"/>
    <x v="0"/>
    <x v="49"/>
    <m/>
    <m/>
    <s v="FERULLE,  5/8&quot;"/>
    <s v="CA-000646"/>
    <n v="2"/>
    <n v="15"/>
    <m/>
    <n v="30"/>
    <x v="0"/>
    <n v="13"/>
    <n v="7"/>
    <n v="14"/>
    <n v="14.700000000000001"/>
    <n v="15.299999999999999"/>
    <n v="0"/>
    <x v="42"/>
    <x v="2"/>
    <e v="#REF!"/>
    <e v="#REF!"/>
    <s v=""/>
    <n v="0.51"/>
  </r>
  <r>
    <x v="7"/>
    <x v="200"/>
    <x v="0"/>
    <x v="49"/>
    <m/>
    <m/>
    <s v="HOSE, COOLMATE 5/8 SUNCTION PER FT"/>
    <s v="GE-000181"/>
    <n v="2"/>
    <n v="95"/>
    <m/>
    <n v="190"/>
    <x v="0"/>
    <n v="83"/>
    <n v="45"/>
    <n v="90"/>
    <n v="94.5"/>
    <n v="95.5"/>
    <n v="0"/>
    <x v="19"/>
    <x v="1"/>
    <e v="#REF!"/>
    <e v="#REF!"/>
    <s v=""/>
    <n v="0.50263157894736843"/>
  </r>
  <r>
    <x v="7"/>
    <x v="200"/>
    <x v="0"/>
    <x v="49"/>
    <m/>
    <m/>
    <s v="FITTINGS, STRAIGHT 134A 5/8"/>
    <s v="CA-000667"/>
    <n v="1"/>
    <n v="40"/>
    <m/>
    <n v="40"/>
    <x v="0"/>
    <n v="39"/>
    <n v="21"/>
    <n v="21"/>
    <n v="22.05"/>
    <n v="17.95"/>
    <n v="0"/>
    <x v="33"/>
    <x v="2"/>
    <e v="#REF!"/>
    <e v="#REF!"/>
    <s v=""/>
    <n v="0.44874999999999998"/>
  </r>
  <r>
    <x v="7"/>
    <x v="200"/>
    <x v="0"/>
    <x v="49"/>
    <m/>
    <m/>
    <s v="FITTINGS, STRAIGHT FLARE TYPE 5/8"/>
    <s v="CA-000673"/>
    <n v="1"/>
    <n v="40"/>
    <m/>
    <n v="40"/>
    <x v="0"/>
    <n v="30"/>
    <n v="16"/>
    <n v="16"/>
    <n v="16.8"/>
    <n v="23.2"/>
    <n v="0"/>
    <x v="33"/>
    <x v="2"/>
    <e v="#REF!"/>
    <e v="#REF!"/>
    <s v=""/>
    <n v="0.57999999999999996"/>
  </r>
  <r>
    <x v="7"/>
    <x v="200"/>
    <x v="0"/>
    <x v="1"/>
    <m/>
    <m/>
    <s v="BOLT &amp; NUT, DYNABOLT 5/16&quot;"/>
    <s v="GE-000397"/>
    <n v="5"/>
    <n v="20"/>
    <m/>
    <n v="100"/>
    <x v="0"/>
    <n v="14"/>
    <n v="6.5"/>
    <n v="32.5"/>
    <n v="34.125"/>
    <n v="65.875"/>
    <n v="0"/>
    <x v="57"/>
    <x v="1"/>
    <e v="#REF!"/>
    <e v="#REF!"/>
    <s v=""/>
    <n v="0.65874999999999995"/>
  </r>
  <r>
    <x v="7"/>
    <x v="200"/>
    <x v="0"/>
    <x v="1"/>
    <m/>
    <m/>
    <s v="TAPE_PE, PICUS Polythelene Tape (White)X 4&quot;"/>
    <s v="IM-000247"/>
    <n v="1"/>
    <n v="125"/>
    <m/>
    <n v="125"/>
    <x v="0"/>
    <n v="147"/>
    <n v="75"/>
    <n v="75"/>
    <n v="77.25"/>
    <n v="47.75"/>
    <n v="0"/>
    <x v="29"/>
    <x v="0"/>
    <e v="#REF!"/>
    <e v="#REF!"/>
    <s v=""/>
    <n v="0.38200000000000001"/>
  </r>
  <r>
    <x v="7"/>
    <x v="200"/>
    <x v="0"/>
    <x v="1"/>
    <m/>
    <m/>
    <s v="REFRIGERANT, POKKA R32, 600 GRMS  05/09/26"/>
    <s v="GE-000509"/>
    <n v="1"/>
    <n v="680"/>
    <m/>
    <n v="680"/>
    <x v="0"/>
    <n v="756"/>
    <n v="480"/>
    <n v="480"/>
    <n v="504"/>
    <n v="176"/>
    <n v="0"/>
    <x v="5"/>
    <x v="1"/>
    <e v="#REF!"/>
    <e v="#REF!"/>
    <s v=""/>
    <n v="0.25882352941176473"/>
  </r>
  <r>
    <x v="7"/>
    <x v="200"/>
    <x v="0"/>
    <x v="1"/>
    <m/>
    <n v="200"/>
    <s v="SILICA_GEL, STAL SHORT"/>
    <s v="CA-001638"/>
    <n v="1"/>
    <n v="180"/>
    <m/>
    <n v="180"/>
    <x v="0"/>
    <n v="44"/>
    <n v="22"/>
    <n v="22"/>
    <n v="23.1"/>
    <n v="156.9"/>
    <n v="0"/>
    <x v="37"/>
    <x v="2"/>
    <e v="#REF!"/>
    <e v="#REF!"/>
    <n v="201.60000000000002"/>
    <n v="0.8716666666666667"/>
  </r>
  <r>
    <x v="7"/>
    <x v="200"/>
    <x v="4"/>
    <x v="25"/>
    <m/>
    <m/>
    <s v="AUXFAN_MOTOR, SUZUKI CELERIO (8040)"/>
    <s v="CA-000072"/>
    <n v="1"/>
    <n v="1900"/>
    <m/>
    <n v="1900"/>
    <x v="0"/>
    <n v="2205"/>
    <n v="1200"/>
    <n v="1200"/>
    <n v="1260"/>
    <n v="640"/>
    <n v="192"/>
    <x v="14"/>
    <x v="2"/>
    <e v="#REF!"/>
    <e v="#REF!"/>
    <s v=""/>
    <n v="0.33684210526315789"/>
  </r>
  <r>
    <x v="7"/>
    <x v="200"/>
    <x v="0"/>
    <x v="1"/>
    <m/>
    <m/>
    <s v="ELECTRICAL SOCKET_BREAKER, AMERICA 20 AMP, 2P NO SOCKET"/>
    <s v="GE-000450"/>
    <n v="1"/>
    <n v="650"/>
    <m/>
    <n v="650"/>
    <x v="0"/>
    <n v="968"/>
    <n v="300"/>
    <n v="300"/>
    <n v="315"/>
    <n v="335"/>
    <n v="0"/>
    <x v="58"/>
    <x v="1"/>
    <e v="#REF!"/>
    <e v="#REF!"/>
    <s v=""/>
    <n v="0.51538461538461533"/>
  </r>
  <r>
    <x v="7"/>
    <x v="200"/>
    <x v="0"/>
    <x v="1"/>
    <m/>
    <m/>
    <s v="REFRIGERANT, FU RYDER R600A CAN, 220 GRAMS"/>
    <s v="GE-000032"/>
    <n v="1"/>
    <n v="180"/>
    <m/>
    <n v="180"/>
    <x v="0"/>
    <n v="177"/>
    <n v="70"/>
    <n v="70"/>
    <n v="73.5"/>
    <n v="106.5"/>
    <n v="0"/>
    <x v="5"/>
    <x v="1"/>
    <e v="#REF!"/>
    <e v="#REF!"/>
    <s v=""/>
    <n v="0.59166666666666667"/>
  </r>
  <r>
    <x v="7"/>
    <x v="200"/>
    <x v="2"/>
    <x v="7"/>
    <m/>
    <n v="350"/>
    <s v="CABIN_FILTER, NISSAN ALMERA"/>
    <s v="CA-001707"/>
    <n v="1"/>
    <n v="312"/>
    <m/>
    <n v="312"/>
    <x v="0"/>
    <n v="315"/>
    <n v="100"/>
    <n v="100"/>
    <n v="105"/>
    <n v="207"/>
    <n v="62.099999999999994"/>
    <x v="12"/>
    <x v="2"/>
    <e v="#REF!"/>
    <e v="#REF!"/>
    <n v="349.44000000000005"/>
    <n v="0.66346153846153844"/>
  </r>
  <r>
    <x v="7"/>
    <x v="200"/>
    <x v="0"/>
    <x v="88"/>
    <m/>
    <n v="2240"/>
    <s v="BLOWER_MOTOR, NISSAN NV350"/>
    <s v="CA-001715"/>
    <n v="2"/>
    <n v="2000"/>
    <m/>
    <n v="4000"/>
    <x v="0"/>
    <n v="2481"/>
    <n v="1350"/>
    <n v="2700"/>
    <n v="2835"/>
    <n v="1165"/>
    <n v="0"/>
    <x v="15"/>
    <x v="2"/>
    <e v="#REF!"/>
    <e v="#REF!"/>
    <e v="#REF!"/>
    <n v="0"/>
  </r>
  <r>
    <x v="7"/>
    <x v="200"/>
    <x v="0"/>
    <x v="58"/>
    <m/>
    <m/>
    <s v="RECEIVER_DRIER_ALUMINUM, YK 40 X 235 (DMAX)"/>
    <s v="CA-001082"/>
    <n v="1"/>
    <n v="550"/>
    <m/>
    <n v="550"/>
    <x v="0"/>
    <n v="662"/>
    <n v="280"/>
    <n v="280"/>
    <n v="294"/>
    <n v="256"/>
    <n v="0"/>
    <x v="27"/>
    <x v="2"/>
    <e v="#REF!"/>
    <e v="#REF!"/>
    <e v="#REF!"/>
    <n v="0"/>
  </r>
  <r>
    <x v="7"/>
    <x v="201"/>
    <x v="0"/>
    <x v="10"/>
    <m/>
    <m/>
    <s v="REFRIGERANT, ENTALPIA EUROPE R134A 13.6   6/16/26 "/>
    <s v="GE-000517"/>
    <n v="1"/>
    <n v="8800"/>
    <m/>
    <n v="8800"/>
    <x v="0"/>
    <n v="10489"/>
    <n v="7684"/>
    <n v="7684"/>
    <n v="8068.2000000000007"/>
    <n v="731.79999999999927"/>
    <n v="0"/>
    <x v="5"/>
    <x v="1"/>
    <e v="#REF!"/>
    <e v="#REF!"/>
    <s v=""/>
    <n v="8.3159090909090821E-2"/>
  </r>
  <r>
    <x v="7"/>
    <x v="201"/>
    <x v="0"/>
    <x v="17"/>
    <m/>
    <m/>
    <s v="SYSTEM_CLEANER, Cleanse GREEN 141B 500 ML"/>
    <s v="GE-000369"/>
    <n v="4"/>
    <n v="120"/>
    <m/>
    <n v="480"/>
    <x v="0"/>
    <n v="113"/>
    <n v="65"/>
    <n v="260"/>
    <n v="273"/>
    <n v="207"/>
    <n v="0"/>
    <x v="28"/>
    <x v="1"/>
    <e v="#REF!"/>
    <e v="#REF!"/>
    <s v=""/>
    <n v="0.43125000000000002"/>
  </r>
  <r>
    <x v="7"/>
    <x v="201"/>
    <x v="0"/>
    <x v="17"/>
    <m/>
    <n v="200"/>
    <s v="SILICA_GEL, STAL SHORT"/>
    <s v="CA-001638"/>
    <n v="4"/>
    <n v="180"/>
    <m/>
    <n v="720"/>
    <x v="0"/>
    <n v="44"/>
    <n v="22"/>
    <n v="88"/>
    <n v="92.4"/>
    <n v="627.6"/>
    <n v="0"/>
    <x v="37"/>
    <x v="2"/>
    <e v="#REF!"/>
    <e v="#REF!"/>
    <n v="201.60000000000002"/>
    <n v="0.8716666666666667"/>
  </r>
  <r>
    <x v="7"/>
    <x v="201"/>
    <x v="0"/>
    <x v="1"/>
    <m/>
    <m/>
    <s v="BRACKET , GB 1HP, COATED"/>
    <s v="IM-000008"/>
    <n v="1"/>
    <n v="360"/>
    <m/>
    <n v="360"/>
    <x v="0"/>
    <n v="334"/>
    <n v="185"/>
    <n v="185"/>
    <n v="190.55"/>
    <n v="169.45"/>
    <n v="0"/>
    <x v="1"/>
    <x v="0"/>
    <e v="#REF!"/>
    <e v="#REF!"/>
    <s v=""/>
    <n v="0.47069444444444442"/>
  </r>
  <r>
    <x v="7"/>
    <x v="201"/>
    <x v="0"/>
    <x v="1"/>
    <m/>
    <m/>
    <s v="TAPE ELECTRICAL, ARMAK 0.16 MM X 19 MM X 16 M 04/25/26"/>
    <s v="GE-000491"/>
    <n v="2"/>
    <n v="55"/>
    <m/>
    <n v="110"/>
    <x v="0"/>
    <n v="73"/>
    <n v="42"/>
    <n v="84"/>
    <n v="88.2"/>
    <n v="21.799999999999997"/>
    <n v="0"/>
    <x v="50"/>
    <x v="1"/>
    <e v="#REF!"/>
    <e v="#REF!"/>
    <s v=""/>
    <n v="0.19818181818181815"/>
  </r>
  <r>
    <x v="7"/>
    <x v="201"/>
    <x v="0"/>
    <x v="2"/>
    <m/>
    <m/>
    <s v="COPPER_TUBE_SOFTDRAWN, HAILIANG 0.028 X 3/8 x 15 mtr 06/02/26"/>
    <s v="IM-000327"/>
    <n v="0.2"/>
    <n v="3500"/>
    <m/>
    <n v="700"/>
    <x v="0"/>
    <n v="4774"/>
    <n v="2648"/>
    <n v="529.6"/>
    <n v="545.48800000000006"/>
    <n v="154.51199999999994"/>
    <n v="0"/>
    <x v="0"/>
    <x v="0"/>
    <e v="#REF!"/>
    <e v="#REF!"/>
    <s v=""/>
    <n v="0.2207314285714285"/>
  </r>
  <r>
    <x v="7"/>
    <x v="201"/>
    <x v="0"/>
    <x v="2"/>
    <m/>
    <m/>
    <s v="COPPER_TUBE_SOFTDRAWN, EXZEL 0.028 X 1/4 x 15 mtr  05/28/26"/>
    <s v="IM-000329"/>
    <n v="0.2"/>
    <n v="2500"/>
    <m/>
    <n v="500"/>
    <x v="0"/>
    <n v="3063"/>
    <n v="1699"/>
    <n v="339.8"/>
    <n v="349.99400000000003"/>
    <n v="150.00599999999997"/>
    <n v="0"/>
    <x v="0"/>
    <x v="0"/>
    <e v="#REF!"/>
    <e v="#REF!"/>
    <s v=""/>
    <n v="0.30001199999999995"/>
  </r>
  <r>
    <x v="7"/>
    <x v="201"/>
    <x v="0"/>
    <x v="2"/>
    <m/>
    <m/>
    <s v="RUBBER_INSULATION, M-FLEX 1/2&quot; 3/8"/>
    <s v="IM-000231"/>
    <n v="2"/>
    <n v="60"/>
    <m/>
    <n v="120"/>
    <x v="0"/>
    <n v="53"/>
    <n v="37.6"/>
    <n v="75.2"/>
    <n v="77.456000000000003"/>
    <n v="42.543999999999997"/>
    <n v="0"/>
    <x v="22"/>
    <x v="0"/>
    <e v="#REF!"/>
    <e v="#REF!"/>
    <s v=""/>
    <n v="0.35453333333333331"/>
  </r>
  <r>
    <x v="7"/>
    <x v="201"/>
    <x v="0"/>
    <x v="2"/>
    <m/>
    <m/>
    <s v="RUBBER_INSULATION, M-FLEX 1/2&quot; 1/4"/>
    <s v="IM-000229"/>
    <n v="2"/>
    <n v="50"/>
    <m/>
    <n v="100"/>
    <x v="0"/>
    <n v="47"/>
    <n v="33.6"/>
    <n v="67.2"/>
    <n v="69.216000000000008"/>
    <n v="30.783999999999992"/>
    <n v="0"/>
    <x v="22"/>
    <x v="0"/>
    <e v="#REF!"/>
    <e v="#REF!"/>
    <s v=""/>
    <n v="0.30783999999999989"/>
  </r>
  <r>
    <x v="7"/>
    <x v="201"/>
    <x v="0"/>
    <x v="2"/>
    <m/>
    <m/>
    <s v="TAPE_PE, PICUS Polythelene Tape (White)X 4&quot;"/>
    <s v="IM-000247"/>
    <n v="1"/>
    <n v="125"/>
    <m/>
    <n v="125"/>
    <x v="0"/>
    <n v="147"/>
    <n v="75"/>
    <n v="75"/>
    <n v="77.25"/>
    <n v="47.75"/>
    <n v="0"/>
    <x v="29"/>
    <x v="0"/>
    <e v="#REF!"/>
    <e v="#REF!"/>
    <s v=""/>
    <n v="0.38200000000000001"/>
  </r>
  <r>
    <x v="7"/>
    <x v="201"/>
    <x v="0"/>
    <x v="2"/>
    <m/>
    <m/>
    <s v="BOLT &amp; NUT, DYNABOLT 3/8&quot;"/>
    <s v="GE-000396"/>
    <n v="5"/>
    <n v="25"/>
    <m/>
    <n v="125"/>
    <x v="0"/>
    <n v="19"/>
    <n v="8.9"/>
    <n v="44.5"/>
    <n v="46.725000000000001"/>
    <n v="78.275000000000006"/>
    <n v="0"/>
    <x v="57"/>
    <x v="1"/>
    <e v="#REF!"/>
    <e v="#REF!"/>
    <s v=""/>
    <n v="0.62620000000000009"/>
  </r>
  <r>
    <x v="7"/>
    <x v="201"/>
    <x v="0"/>
    <x v="2"/>
    <m/>
    <m/>
    <s v="FITTINGS, BRASS FLARE NUT 3/8"/>
    <s v="IM-000050"/>
    <n v="2"/>
    <n v="55"/>
    <m/>
    <n v="110"/>
    <x v="0"/>
    <n v="44"/>
    <n v="24"/>
    <n v="48"/>
    <n v="49.44"/>
    <n v="60.56"/>
    <n v="0"/>
    <x v="33"/>
    <x v="0"/>
    <e v="#REF!"/>
    <e v="#REF!"/>
    <s v=""/>
    <n v="0.55054545454545456"/>
  </r>
  <r>
    <x v="7"/>
    <x v="201"/>
    <x v="0"/>
    <x v="2"/>
    <m/>
    <m/>
    <s v="FITTINGS, BRASS FLARE NUT 1/4"/>
    <s v="IM-000049"/>
    <n v="2"/>
    <n v="35"/>
    <m/>
    <n v="70"/>
    <x v="0"/>
    <n v="26"/>
    <n v="14"/>
    <n v="28"/>
    <n v="28.84"/>
    <n v="41.16"/>
    <n v="0"/>
    <x v="33"/>
    <x v="0"/>
    <e v="#REF!"/>
    <e v="#REF!"/>
    <s v=""/>
    <n v="0.58799999999999997"/>
  </r>
  <r>
    <x v="7"/>
    <x v="201"/>
    <x v="0"/>
    <x v="2"/>
    <m/>
    <m/>
    <s v="BOLT &amp; NUT, TOX WITH METAL SCREW #8"/>
    <s v="GE-000404"/>
    <n v="10"/>
    <n v="6"/>
    <m/>
    <n v="60"/>
    <x v="0"/>
    <n v="3"/>
    <n v="1.25"/>
    <n v="12.5"/>
    <n v="13.125"/>
    <n v="46.875"/>
    <n v="0"/>
    <x v="57"/>
    <x v="1"/>
    <e v="#REF!"/>
    <e v="#REF!"/>
    <s v=""/>
    <n v="0.78125"/>
  </r>
  <r>
    <x v="7"/>
    <x v="201"/>
    <x v="0"/>
    <x v="2"/>
    <m/>
    <m/>
    <s v="BRACKET , GB 2HP, COATED"/>
    <s v="IM-000011"/>
    <n v="1"/>
    <n v="460"/>
    <m/>
    <n v="460"/>
    <x v="0"/>
    <n v="532"/>
    <n v="295"/>
    <n v="295"/>
    <n v="303.85000000000002"/>
    <n v="156.14999999999998"/>
    <n v="0"/>
    <x v="1"/>
    <x v="0"/>
    <e v="#REF!"/>
    <e v="#REF!"/>
    <s v=""/>
    <n v="0.33945652173913038"/>
  </r>
  <r>
    <x v="7"/>
    <x v="201"/>
    <x v="0"/>
    <x v="2"/>
    <m/>
    <m/>
    <s v="TAPE ELECTRICAL, ARMAK 0.16 MM X 19 MM X 16 M 04/25/26"/>
    <s v="GE-000491"/>
    <n v="1"/>
    <n v="55"/>
    <m/>
    <n v="55"/>
    <x v="0"/>
    <n v="73"/>
    <n v="42"/>
    <n v="42"/>
    <n v="44.1"/>
    <n v="10.899999999999999"/>
    <n v="0"/>
    <x v="50"/>
    <x v="1"/>
    <e v="#REF!"/>
    <e v="#REF!"/>
    <s v=""/>
    <n v="0.19818181818181815"/>
  </r>
  <r>
    <x v="7"/>
    <x v="201"/>
    <x v="0"/>
    <x v="10"/>
    <m/>
    <m/>
    <s v="EVAPORATOR, TOYOTA INNOVA OLD (F) JBE-0103ZX (STAL)"/>
    <s v="CA-001633"/>
    <n v="1"/>
    <n v="2000"/>
    <m/>
    <n v="2000"/>
    <x v="0"/>
    <n v="1654"/>
    <n v="900"/>
    <n v="900"/>
    <n v="945"/>
    <n v="1055"/>
    <n v="0"/>
    <x v="10"/>
    <x v="2"/>
    <e v="#REF!"/>
    <e v="#REF!"/>
    <s v=""/>
    <n v="0.52749999999999997"/>
  </r>
  <r>
    <x v="7"/>
    <x v="201"/>
    <x v="0"/>
    <x v="45"/>
    <m/>
    <m/>
    <s v="TAPE_PE, PICUS Polythelene Tape (White)X 4&quot;"/>
    <s v="IM-000247"/>
    <n v="1"/>
    <n v="125"/>
    <m/>
    <n v="125"/>
    <x v="0"/>
    <n v="147"/>
    <n v="75"/>
    <n v="75"/>
    <n v="77.25"/>
    <n v="47.75"/>
    <n v="0"/>
    <x v="29"/>
    <x v="0"/>
    <e v="#REF!"/>
    <e v="#REF!"/>
    <s v=""/>
    <n v="0.38200000000000001"/>
  </r>
  <r>
    <x v="7"/>
    <x v="201"/>
    <x v="0"/>
    <x v="45"/>
    <m/>
    <m/>
    <s v="TAPE_FOAM, POKKA 5MM X 50 MM X 9.1 MTR"/>
    <s v="IM-000106"/>
    <n v="1"/>
    <n v="260"/>
    <m/>
    <n v="260"/>
    <x v="0"/>
    <n v="194"/>
    <n v="125"/>
    <n v="125"/>
    <n v="128.75"/>
    <n v="131.25"/>
    <n v="0"/>
    <x v="25"/>
    <x v="0"/>
    <e v="#REF!"/>
    <e v="#REF!"/>
    <s v=""/>
    <n v="0.50480769230769229"/>
  </r>
  <r>
    <x v="7"/>
    <x v="201"/>
    <x v="1"/>
    <x v="3"/>
    <m/>
    <m/>
    <s v="EXP. VALVE LT, POKKA 9A60 / 9A233 EXTRAIL"/>
    <s v="CA-001829"/>
    <n v="1"/>
    <n v="550"/>
    <m/>
    <n v="550"/>
    <x v="0"/>
    <n v="478"/>
    <n v="260"/>
    <n v="260"/>
    <n v="273"/>
    <n v="277"/>
    <n v="83.1"/>
    <x v="23"/>
    <x v="2"/>
    <e v="#REF!"/>
    <e v="#REF!"/>
    <s v=""/>
    <n v="0.50363636363636366"/>
  </r>
  <r>
    <x v="7"/>
    <x v="201"/>
    <x v="1"/>
    <x v="3"/>
    <m/>
    <m/>
    <s v="RECEIVER_DRIER_ALUMINUM, YK 8739 (S) (MONTERO)"/>
    <s v="CA-001118"/>
    <n v="1"/>
    <n v="550"/>
    <m/>
    <n v="550"/>
    <x v="0"/>
    <n v="520"/>
    <n v="220"/>
    <n v="220"/>
    <n v="231"/>
    <n v="319"/>
    <n v="95.7"/>
    <x v="27"/>
    <x v="2"/>
    <e v="#REF!"/>
    <e v="#REF!"/>
    <s v=""/>
    <n v="0.57999999999999996"/>
  </r>
  <r>
    <x v="7"/>
    <x v="201"/>
    <x v="1"/>
    <x v="3"/>
    <m/>
    <m/>
    <s v="EXP. VALVE LT, POKKA 9A129B ACCENT"/>
    <s v="CA-000629"/>
    <n v="1"/>
    <n v="600"/>
    <m/>
    <n v="600"/>
    <x v="0"/>
    <n v="625"/>
    <n v="340"/>
    <n v="340"/>
    <n v="357"/>
    <n v="243"/>
    <n v="72.899999999999991"/>
    <x v="23"/>
    <x v="2"/>
    <e v="#REF!"/>
    <e v="#REF!"/>
    <s v=""/>
    <n v="0.40500000000000003"/>
  </r>
  <r>
    <x v="7"/>
    <x v="201"/>
    <x v="0"/>
    <x v="10"/>
    <m/>
    <m/>
    <s v="AUXIALLIARY_FAN, POKKA 14 BLADES X 12VOLTS"/>
    <s v="CA-000112"/>
    <n v="1"/>
    <n v="750"/>
    <m/>
    <n v="750"/>
    <x v="0"/>
    <n v="882"/>
    <n v="480"/>
    <n v="480"/>
    <n v="504"/>
    <n v="246"/>
    <n v="0"/>
    <x v="16"/>
    <x v="2"/>
    <e v="#REF!"/>
    <e v="#REF!"/>
    <s v=""/>
    <n v="0.32800000000000001"/>
  </r>
  <r>
    <x v="7"/>
    <x v="201"/>
    <x v="0"/>
    <x v="8"/>
    <m/>
    <m/>
    <s v="PULLEY_ASSEMBLY, TOYOTA VIOS 2017/ WIGO  6PK"/>
    <s v="CA-001788"/>
    <n v="1"/>
    <n v="2100"/>
    <m/>
    <n v="2100"/>
    <x v="0"/>
    <n v="2016"/>
    <n v="1200"/>
    <n v="1200"/>
    <n v="1260"/>
    <n v="840"/>
    <n v="0"/>
    <x v="11"/>
    <x v="2"/>
    <e v="#REF!"/>
    <e v="#REF!"/>
    <s v=""/>
    <n v="0.4"/>
  </r>
  <r>
    <x v="7"/>
    <x v="201"/>
    <x v="0"/>
    <x v="17"/>
    <m/>
    <n v="2100"/>
    <s v="EVAPORATOR, HYUNDAI ACCENT 2019  STAL"/>
    <s v="CA-001648"/>
    <n v="1"/>
    <n v="1875"/>
    <m/>
    <n v="1875"/>
    <x v="0"/>
    <n v="2205"/>
    <n v="1200"/>
    <n v="1200"/>
    <n v="1260"/>
    <n v="615"/>
    <n v="0"/>
    <x v="10"/>
    <x v="2"/>
    <e v="#REF!"/>
    <e v="#REF!"/>
    <n v="2100"/>
    <n v="0.32800000000000001"/>
  </r>
  <r>
    <x v="7"/>
    <x v="201"/>
    <x v="0"/>
    <x v="11"/>
    <m/>
    <m/>
    <s v="AUXFAN_MOTOR, MITSUBISHI MIRAGE 2 PIN / WIGO 1030"/>
    <s v="CA-000053"/>
    <n v="1"/>
    <n v="1800"/>
    <m/>
    <n v="1800"/>
    <x v="0"/>
    <n v="2022"/>
    <n v="1100"/>
    <n v="1100"/>
    <n v="1155"/>
    <n v="645"/>
    <n v="0"/>
    <x v="14"/>
    <x v="2"/>
    <e v="#REF!"/>
    <e v="#REF!"/>
    <s v=""/>
    <n v="0.35833333333333334"/>
  </r>
  <r>
    <x v="7"/>
    <x v="201"/>
    <x v="0"/>
    <x v="11"/>
    <m/>
    <n v="200"/>
    <s v="SILICA_GEL, STAL SHORT"/>
    <s v="CA-001638"/>
    <n v="1"/>
    <n v="180"/>
    <m/>
    <n v="180"/>
    <x v="0"/>
    <n v="44"/>
    <n v="22"/>
    <n v="22"/>
    <n v="23.1"/>
    <n v="156.9"/>
    <n v="0"/>
    <x v="37"/>
    <x v="2"/>
    <e v="#REF!"/>
    <e v="#REF!"/>
    <n v="201.60000000000002"/>
    <n v="0.8716666666666667"/>
  </r>
  <r>
    <x v="7"/>
    <x v="202"/>
    <x v="8"/>
    <x v="173"/>
    <m/>
    <n v="800"/>
    <s v="AC FILTER DRIER , GENESSO 1/2  FLARE TYPE 164FT"/>
    <s v="GE-000007"/>
    <n v="1"/>
    <n v="714"/>
    <m/>
    <n v="714"/>
    <x v="0"/>
    <n v="607"/>
    <n v="210"/>
    <n v="210"/>
    <n v="220.5"/>
    <n v="493.5"/>
    <n v="148.04999999999998"/>
    <x v="66"/>
    <x v="1"/>
    <e v="#REF!"/>
    <e v="#REF!"/>
    <n v="799.68000000000006"/>
    <n v="0.69117647058823528"/>
  </r>
  <r>
    <x v="7"/>
    <x v="202"/>
    <x v="0"/>
    <x v="31"/>
    <m/>
    <m/>
    <s v="COPPER_TUBE_SOFTDRAWN, EXZEL 0.028 X 1/4 x 15 mtr  05/28/26"/>
    <s v="IM-000329"/>
    <n v="1"/>
    <n v="1950"/>
    <m/>
    <n v="1950"/>
    <x v="0"/>
    <n v="3063"/>
    <n v="1699"/>
    <n v="1699"/>
    <n v="1749.97"/>
    <n v="200.02999999999997"/>
    <n v="0"/>
    <x v="0"/>
    <x v="0"/>
    <e v="#REF!"/>
    <e v="#REF!"/>
    <s v=""/>
    <n v="0.10257948717948717"/>
  </r>
  <r>
    <x v="7"/>
    <x v="202"/>
    <x v="0"/>
    <x v="31"/>
    <m/>
    <m/>
    <s v="COPPER_TUBE_SOFTDRAWN, HAILIANG 0.028 X 1/2 x 15 mtr 06/02/26"/>
    <s v="IM-000328"/>
    <n v="1"/>
    <n v="3950"/>
    <m/>
    <n v="3950"/>
    <x v="0"/>
    <n v="6554"/>
    <n v="3636"/>
    <n v="3636"/>
    <n v="3745.08"/>
    <n v="204.92000000000007"/>
    <n v="0"/>
    <x v="0"/>
    <x v="0"/>
    <e v="#REF!"/>
    <e v="#REF!"/>
    <s v=""/>
    <n v="5.1878481012658247E-2"/>
  </r>
  <r>
    <x v="7"/>
    <x v="202"/>
    <x v="0"/>
    <x v="31"/>
    <m/>
    <m/>
    <s v="RUBBER_INSULATION, M-FLEX 3/4&quot; 1/4"/>
    <s v="IM-000235"/>
    <n v="6"/>
    <n v="95"/>
    <m/>
    <n v="570"/>
    <x v="0"/>
    <n v="79"/>
    <n v="56.7"/>
    <n v="340.20000000000005"/>
    <n v="350.40600000000006"/>
    <n v="219.59399999999994"/>
    <n v="0"/>
    <x v="22"/>
    <x v="0"/>
    <e v="#REF!"/>
    <e v="#REF!"/>
    <s v=""/>
    <n v="0.38525263157894724"/>
  </r>
  <r>
    <x v="7"/>
    <x v="202"/>
    <x v="0"/>
    <x v="31"/>
    <m/>
    <m/>
    <s v="RUBBER_INSULATION, M-FLEX 3/4&quot; 1/2"/>
    <s v="IM-000234"/>
    <n v="6"/>
    <n v="110"/>
    <m/>
    <n v="660"/>
    <x v="0"/>
    <n v="103"/>
    <n v="73.5"/>
    <n v="441"/>
    <n v="454.23"/>
    <n v="205.76999999999998"/>
    <n v="0"/>
    <x v="22"/>
    <x v="0"/>
    <e v="#REF!"/>
    <e v="#REF!"/>
    <s v=""/>
    <n v="0.31177272727272726"/>
  </r>
  <r>
    <x v="7"/>
    <x v="202"/>
    <x v="0"/>
    <x v="31"/>
    <m/>
    <m/>
    <s v="RUBBER_INSULATION, M-FLEX 1/2&quot; 1/4"/>
    <s v="IM-000229"/>
    <n v="2"/>
    <n v="50"/>
    <m/>
    <n v="100"/>
    <x v="0"/>
    <n v="47"/>
    <n v="33.6"/>
    <n v="67.2"/>
    <n v="69.216000000000008"/>
    <n v="30.783999999999992"/>
    <n v="0"/>
    <x v="22"/>
    <x v="0"/>
    <e v="#REF!"/>
    <e v="#REF!"/>
    <s v=""/>
    <n v="0.30783999999999989"/>
  </r>
  <r>
    <x v="7"/>
    <x v="202"/>
    <x v="0"/>
    <x v="31"/>
    <m/>
    <m/>
    <s v="RUBBER_INSULATION, M-FLEX 1/2&quot; 1/2"/>
    <s v="IM-000227"/>
    <n v="2"/>
    <n v="70"/>
    <m/>
    <n v="140"/>
    <x v="0"/>
    <n v="65"/>
    <n v="46.4"/>
    <n v="92.8"/>
    <n v="95.584000000000003"/>
    <n v="44.415999999999997"/>
    <n v="0"/>
    <x v="22"/>
    <x v="0"/>
    <e v="#REF!"/>
    <e v="#REF!"/>
    <s v=""/>
    <n v="0.31725714285714285"/>
  </r>
  <r>
    <x v="7"/>
    <x v="202"/>
    <x v="0"/>
    <x v="8"/>
    <m/>
    <m/>
    <s v="EVAPORATOR, ISUZU CROSSWIND (F)"/>
    <s v="CA-000498"/>
    <n v="1"/>
    <n v="1900"/>
    <m/>
    <n v="1900"/>
    <x v="0"/>
    <n v="2297"/>
    <n v="1250"/>
    <n v="1250"/>
    <n v="1312.5"/>
    <n v="587.5"/>
    <n v="0"/>
    <x v="10"/>
    <x v="2"/>
    <e v="#REF!"/>
    <e v="#REF!"/>
    <s v=""/>
    <n v="0.30921052631578949"/>
  </r>
  <r>
    <x v="7"/>
    <x v="202"/>
    <x v="2"/>
    <x v="7"/>
    <m/>
    <n v="1900"/>
    <s v="EVAPORATOR, ISUZU CROSSWIND (F)"/>
    <s v="CA-000498"/>
    <n v="1"/>
    <n v="1696"/>
    <m/>
    <n v="1696"/>
    <x v="0"/>
    <n v="2297"/>
    <n v="1250"/>
    <n v="1250"/>
    <n v="1312.5"/>
    <n v="383.5"/>
    <n v="115.05"/>
    <x v="10"/>
    <x v="2"/>
    <e v="#REF!"/>
    <e v="#REF!"/>
    <n v="1899.5200000000002"/>
    <n v="0.22612028301886791"/>
  </r>
  <r>
    <x v="7"/>
    <x v="202"/>
    <x v="2"/>
    <x v="7"/>
    <m/>
    <n v="500"/>
    <s v="EXP. VALVE SC, MITSUBISHI ORING TYPE 5/16"/>
    <s v="CA-000567"/>
    <n v="1"/>
    <n v="446"/>
    <m/>
    <n v="446"/>
    <x v="0"/>
    <n v="386"/>
    <n v="210"/>
    <n v="210"/>
    <n v="220.5"/>
    <n v="225.5"/>
    <n v="67.649999999999991"/>
    <x v="34"/>
    <x v="2"/>
    <e v="#REF!"/>
    <e v="#REF!"/>
    <n v="499.52000000000004"/>
    <n v="0.50560538116591924"/>
  </r>
  <r>
    <x v="7"/>
    <x v="202"/>
    <x v="2"/>
    <x v="7"/>
    <m/>
    <n v="2200"/>
    <s v="EVAPORATOR, FORD EVEREST (R)"/>
    <s v="CA-000466"/>
    <n v="1"/>
    <n v="1964"/>
    <m/>
    <n v="1964"/>
    <x v="0"/>
    <n v="2481"/>
    <n v="1350"/>
    <n v="1350"/>
    <n v="1417.5"/>
    <n v="546.5"/>
    <n v="163.95"/>
    <x v="10"/>
    <x v="2"/>
    <e v="#REF!"/>
    <e v="#REF!"/>
    <n v="2199.6800000000003"/>
    <n v="0.27825865580448067"/>
  </r>
  <r>
    <x v="7"/>
    <x v="202"/>
    <x v="4"/>
    <x v="25"/>
    <m/>
    <n v="2200"/>
    <s v="EVAPORATOR, NISSAN NAVARRA 2015 /TERRA/ CALIBRE 16  (STAL)"/>
    <s v="CA-001659"/>
    <n v="1"/>
    <n v="1965"/>
    <m/>
    <n v="1965"/>
    <x v="0"/>
    <n v="2205"/>
    <n v="1200"/>
    <n v="1200"/>
    <n v="1260"/>
    <n v="705"/>
    <n v="211.5"/>
    <x v="10"/>
    <x v="2"/>
    <e v="#REF!"/>
    <e v="#REF!"/>
    <n v="2200.8000000000002"/>
    <n v="0.35877862595419846"/>
  </r>
  <r>
    <x v="7"/>
    <x v="202"/>
    <x v="0"/>
    <x v="49"/>
    <m/>
    <m/>
    <s v="RECEIVER_DRIER_ALUMINUM, YK 8227A (Montero)"/>
    <s v="CA-001109"/>
    <n v="1"/>
    <n v="560"/>
    <m/>
    <n v="560"/>
    <x v="0"/>
    <n v="579"/>
    <n v="245"/>
    <n v="245"/>
    <n v="257.25"/>
    <n v="302.75"/>
    <n v="0"/>
    <x v="27"/>
    <x v="2"/>
    <e v="#REF!"/>
    <e v="#REF!"/>
    <s v=""/>
    <n v="0.54062500000000002"/>
  </r>
  <r>
    <x v="7"/>
    <x v="202"/>
    <x v="0"/>
    <x v="49"/>
    <m/>
    <m/>
    <s v="SYSTEM_CLEANER, Cleanse GREEN 141B 500 ML"/>
    <s v="GE-000369"/>
    <n v="2"/>
    <n v="120"/>
    <m/>
    <n v="240"/>
    <x v="0"/>
    <n v="113"/>
    <n v="65"/>
    <n v="130"/>
    <n v="136.5"/>
    <n v="103.5"/>
    <n v="0"/>
    <x v="28"/>
    <x v="1"/>
    <e v="#REF!"/>
    <e v="#REF!"/>
    <s v=""/>
    <n v="0.43125000000000002"/>
  </r>
  <r>
    <x v="7"/>
    <x v="202"/>
    <x v="0"/>
    <x v="49"/>
    <m/>
    <m/>
    <s v="FERULLE,  1/2&quot;"/>
    <s v="CA-000644"/>
    <n v="2"/>
    <n v="15"/>
    <m/>
    <n v="30"/>
    <x v="0"/>
    <n v="13"/>
    <n v="7"/>
    <n v="14"/>
    <n v="14.700000000000001"/>
    <n v="15.299999999999999"/>
    <n v="0"/>
    <x v="42"/>
    <x v="2"/>
    <e v="#REF!"/>
    <e v="#REF!"/>
    <s v=""/>
    <n v="0.51"/>
  </r>
  <r>
    <x v="7"/>
    <x v="202"/>
    <x v="0"/>
    <x v="49"/>
    <m/>
    <m/>
    <s v="HOSE, COOLMATE 1/2 DISCHARGE PER FT"/>
    <s v="GE-000179"/>
    <n v="2"/>
    <n v="90"/>
    <m/>
    <n v="180"/>
    <x v="0"/>
    <n v="80"/>
    <n v="43"/>
    <n v="86"/>
    <n v="90.3"/>
    <n v="89.7"/>
    <n v="0"/>
    <x v="19"/>
    <x v="1"/>
    <e v="#REF!"/>
    <e v="#REF!"/>
    <s v=""/>
    <n v="0.49833333333333335"/>
  </r>
  <r>
    <x v="7"/>
    <x v="202"/>
    <x v="0"/>
    <x v="49"/>
    <m/>
    <m/>
    <s v="REFRIGERANT, ENTALPIA EUROPE R134A 13.6   6/16/26 "/>
    <s v="GE-000517"/>
    <n v="1"/>
    <n v="8800"/>
    <m/>
    <n v="8800"/>
    <x v="0"/>
    <n v="10489"/>
    <n v="7684"/>
    <n v="7684"/>
    <n v="8068.2000000000007"/>
    <n v="731.79999999999927"/>
    <n v="0"/>
    <x v="5"/>
    <x v="1"/>
    <e v="#REF!"/>
    <e v="#REF!"/>
    <s v=""/>
    <n v="8.3159090909090821E-2"/>
  </r>
  <r>
    <x v="7"/>
    <x v="202"/>
    <x v="0"/>
    <x v="174"/>
    <m/>
    <m/>
    <s v="SPRING BENDER,  .5/8"/>
    <s v="TL-000047"/>
    <n v="1"/>
    <n v="250"/>
    <m/>
    <n v="250"/>
    <x v="0"/>
    <n v="189"/>
    <n v="72"/>
    <n v="72"/>
    <n v="75.600000000000009"/>
    <n v="174.39999999999998"/>
    <n v="0"/>
    <x v="74"/>
    <x v="4"/>
    <e v="#REF!"/>
    <e v="#REF!"/>
    <s v=""/>
    <n v="0.69759999999999989"/>
  </r>
  <r>
    <x v="7"/>
    <x v="202"/>
    <x v="9"/>
    <x v="55"/>
    <m/>
    <m/>
    <s v="COPPER_TUBE_SOFTDRAWN, EXZEL 0.028 X 1/4 x 15 mtr  05/28/26"/>
    <s v="IM-000329"/>
    <n v="1"/>
    <n v="1950"/>
    <m/>
    <n v="1950"/>
    <x v="0"/>
    <n v="3063"/>
    <n v="1699"/>
    <n v="1699"/>
    <n v="1749.97"/>
    <n v="200.02999999999997"/>
    <n v="60.008999999999986"/>
    <x v="0"/>
    <x v="0"/>
    <e v="#REF!"/>
    <e v="#REF!"/>
    <s v=""/>
    <n v="0.10257948717948717"/>
  </r>
  <r>
    <x v="7"/>
    <x v="202"/>
    <x v="9"/>
    <x v="55"/>
    <m/>
    <m/>
    <s v="COPPER_TUBE_SOFTDRAWN, HAILIANG 0.028 X 1/2 x 15 mtr 06/02/26"/>
    <s v="IM-000328"/>
    <n v="1"/>
    <n v="3950"/>
    <m/>
    <n v="3950"/>
    <x v="0"/>
    <n v="6554"/>
    <n v="3636"/>
    <n v="3636"/>
    <n v="3745.08"/>
    <n v="204.92000000000007"/>
    <n v="61.47600000000002"/>
    <x v="0"/>
    <x v="0"/>
    <e v="#REF!"/>
    <e v="#REF!"/>
    <e v="#REF!"/>
    <n v="0"/>
  </r>
  <r>
    <x v="7"/>
    <x v="202"/>
    <x v="9"/>
    <x v="55"/>
    <m/>
    <m/>
    <s v="RUBBER_INSULATION, M-FLEX 1/2&quot; 1/2"/>
    <s v="IM-000227"/>
    <n v="4"/>
    <n v="70"/>
    <m/>
    <n v="280"/>
    <x v="0"/>
    <n v="65"/>
    <n v="46.4"/>
    <n v="185.6"/>
    <n v="191.16800000000001"/>
    <n v="88.831999999999994"/>
    <n v="26.649599999999996"/>
    <x v="22"/>
    <x v="0"/>
    <e v="#REF!"/>
    <e v="#REF!"/>
    <e v="#REF!"/>
    <n v="0"/>
  </r>
  <r>
    <x v="7"/>
    <x v="202"/>
    <x v="1"/>
    <x v="3"/>
    <m/>
    <m/>
    <s v="EXP. VALVE LT, POKKA 9A56 INNOVA F"/>
    <s v="CA-000637"/>
    <n v="1"/>
    <n v="550"/>
    <m/>
    <n v="550"/>
    <x v="0"/>
    <n v="460"/>
    <n v="250"/>
    <n v="250"/>
    <n v="262.5"/>
    <n v="287.5"/>
    <n v="86.25"/>
    <x v="23"/>
    <x v="2"/>
    <e v="#REF!"/>
    <e v="#REF!"/>
    <e v="#REF!"/>
    <n v="0"/>
  </r>
  <r>
    <x v="7"/>
    <x v="202"/>
    <x v="1"/>
    <x v="3"/>
    <m/>
    <m/>
    <s v="EXP. VALVE LT, POKKA 9A57 INNOVA R"/>
    <s v="CA-000638"/>
    <n v="1"/>
    <n v="550"/>
    <m/>
    <n v="550"/>
    <x v="0"/>
    <n v="460"/>
    <n v="250"/>
    <n v="250"/>
    <n v="262.5"/>
    <n v="287.5"/>
    <n v="86.25"/>
    <x v="23"/>
    <x v="2"/>
    <e v="#REF!"/>
    <e v="#REF!"/>
    <e v="#REF!"/>
    <n v="0"/>
  </r>
  <r>
    <x v="7"/>
    <x v="202"/>
    <x v="1"/>
    <x v="3"/>
    <m/>
    <m/>
    <s v="RECEIVER_DRIER_ALUMINUM, YK 40 X 290 (INNOVA)"/>
    <s v="CA-001083"/>
    <n v="1"/>
    <n v="560"/>
    <m/>
    <n v="560"/>
    <x v="0"/>
    <n v="638"/>
    <n v="270"/>
    <n v="270"/>
    <n v="283.5"/>
    <n v="276.5"/>
    <n v="82.95"/>
    <x v="27"/>
    <x v="2"/>
    <e v="#REF!"/>
    <e v="#REF!"/>
    <e v="#REF!"/>
    <n v="0"/>
  </r>
  <r>
    <x v="7"/>
    <x v="202"/>
    <x v="0"/>
    <x v="1"/>
    <m/>
    <m/>
    <s v="COPPER_TUBE_SOFTDRAWN, EXZEL 0.028 X 1/4 x 15 mtr  05/28/26"/>
    <s v="IM-000329"/>
    <n v="0.2"/>
    <n v="2500"/>
    <m/>
    <n v="500"/>
    <x v="0"/>
    <n v="3063"/>
    <n v="1699"/>
    <n v="339.8"/>
    <n v="349.99400000000003"/>
    <n v="150.00599999999997"/>
    <n v="0"/>
    <x v="0"/>
    <x v="0"/>
    <e v="#REF!"/>
    <e v="#REF!"/>
    <e v="#REF!"/>
    <n v="0"/>
  </r>
  <r>
    <x v="7"/>
    <x v="202"/>
    <x v="0"/>
    <x v="1"/>
    <m/>
    <m/>
    <s v="COPPER_TUBE_SOFTDRAWN, HAILIANG 0.028 X 3/8 x 15 mtr 06/02/26"/>
    <s v="IM-000327"/>
    <n v="0.2"/>
    <n v="3500"/>
    <m/>
    <n v="700"/>
    <x v="0"/>
    <n v="4774"/>
    <n v="2648"/>
    <n v="529.6"/>
    <n v="545.48800000000006"/>
    <n v="154.51199999999994"/>
    <n v="0"/>
    <x v="0"/>
    <x v="0"/>
    <e v="#REF!"/>
    <e v="#REF!"/>
    <e v="#REF!"/>
    <n v="0"/>
  </r>
  <r>
    <x v="7"/>
    <x v="202"/>
    <x v="0"/>
    <x v="1"/>
    <m/>
    <m/>
    <s v="RUBBER_INSULATION, M-FLEX 1/2&quot; 3/8"/>
    <s v="IM-000231"/>
    <n v="2"/>
    <n v="60"/>
    <m/>
    <n v="120"/>
    <x v="0"/>
    <n v="53"/>
    <n v="37.6"/>
    <n v="75.2"/>
    <n v="77.456000000000003"/>
    <n v="42.543999999999997"/>
    <n v="0"/>
    <x v="22"/>
    <x v="0"/>
    <e v="#REF!"/>
    <e v="#REF!"/>
    <e v="#REF!"/>
    <n v="0"/>
  </r>
  <r>
    <x v="7"/>
    <x v="202"/>
    <x v="0"/>
    <x v="1"/>
    <m/>
    <m/>
    <s v="RUBBER_INSULATION, M-FLEX 1/2&quot; 1/4"/>
    <s v="IM-000229"/>
    <n v="2"/>
    <n v="50"/>
    <m/>
    <n v="100"/>
    <x v="0"/>
    <n v="47"/>
    <n v="33.6"/>
    <n v="67.2"/>
    <n v="69.216000000000008"/>
    <n v="30.783999999999992"/>
    <n v="0"/>
    <x v="22"/>
    <x v="0"/>
    <e v="#REF!"/>
    <e v="#REF!"/>
    <e v="#REF!"/>
    <n v="0"/>
  </r>
  <r>
    <x v="7"/>
    <x v="202"/>
    <x v="0"/>
    <x v="1"/>
    <m/>
    <m/>
    <s v="TAPE_PE, PICUS Polythelene Tape (White)X 4&quot;"/>
    <s v="IM-000247"/>
    <n v="1"/>
    <n v="125"/>
    <m/>
    <n v="125"/>
    <x v="0"/>
    <n v="147"/>
    <n v="75"/>
    <n v="75"/>
    <n v="77.25"/>
    <n v="47.75"/>
    <n v="0"/>
    <x v="29"/>
    <x v="0"/>
    <e v="#REF!"/>
    <e v="#REF!"/>
    <e v="#REF!"/>
    <n v="0"/>
  </r>
  <r>
    <x v="7"/>
    <x v="202"/>
    <x v="0"/>
    <x v="1"/>
    <m/>
    <m/>
    <s v="ELECTRICAL WIRE_STRANDED, POWERFLEX THNN STRANDED   #14, MTR"/>
    <s v="GE-000122"/>
    <n v="10"/>
    <n v="35"/>
    <m/>
    <n v="350"/>
    <x v="0"/>
    <n v="39"/>
    <n v="21"/>
    <n v="210"/>
    <n v="220.5"/>
    <n v="129.5"/>
    <n v="0"/>
    <x v="2"/>
    <x v="1"/>
    <e v="#REF!"/>
    <e v="#REF!"/>
    <e v="#REF!"/>
    <n v="0"/>
  </r>
  <r>
    <x v="7"/>
    <x v="202"/>
    <x v="0"/>
    <x v="1"/>
    <m/>
    <m/>
    <s v="COPPER_TUBE_SOFTDRAWN, EXZEL 0.028 X 1/4 x 15 mtr  05/28/26"/>
    <s v="IM-000329"/>
    <n v="0.2"/>
    <n v="2500"/>
    <m/>
    <n v="500"/>
    <x v="0"/>
    <n v="3063"/>
    <n v="1699"/>
    <n v="339.8"/>
    <n v="349.99400000000003"/>
    <n v="150.00599999999997"/>
    <n v="0"/>
    <x v="0"/>
    <x v="0"/>
    <e v="#REF!"/>
    <e v="#REF!"/>
    <e v="#REF!"/>
    <n v="0"/>
  </r>
  <r>
    <x v="7"/>
    <x v="202"/>
    <x v="0"/>
    <x v="17"/>
    <m/>
    <m/>
    <s v="EVAPORATOR, ISUZU MUX/D-MAX 2013"/>
    <s v="CA-000500"/>
    <n v="1"/>
    <n v="2000"/>
    <m/>
    <n v="2000"/>
    <x v="0"/>
    <n v="2481"/>
    <n v="1350"/>
    <n v="1350"/>
    <n v="1417.5"/>
    <n v="582.5"/>
    <n v="0"/>
    <x v="10"/>
    <x v="2"/>
    <e v="#REF!"/>
    <e v="#REF!"/>
    <e v="#REF!"/>
    <n v="0"/>
  </r>
  <r>
    <x v="7"/>
    <x v="202"/>
    <x v="0"/>
    <x v="17"/>
    <m/>
    <m/>
    <s v="CABIN_FILTER, ISUZU MUX/DMAX 2013"/>
    <s v="CA-001689"/>
    <n v="1"/>
    <n v="350"/>
    <m/>
    <n v="350"/>
    <x v="0"/>
    <n v="315"/>
    <n v="100"/>
    <n v="100"/>
    <n v="105"/>
    <n v="245"/>
    <n v="0"/>
    <x v="12"/>
    <x v="2"/>
    <e v="#REF!"/>
    <e v="#REF!"/>
    <e v="#REF!"/>
    <n v="0"/>
  </r>
  <r>
    <x v="7"/>
    <x v="202"/>
    <x v="0"/>
    <x v="10"/>
    <m/>
    <m/>
    <s v="AUXIALLIARY_FAN, POKKA 14 BLADES X 12VOLTS"/>
    <s v="CA-000112"/>
    <n v="1"/>
    <n v="750"/>
    <m/>
    <n v="750"/>
    <x v="0"/>
    <n v="882"/>
    <n v="480"/>
    <n v="480"/>
    <n v="504"/>
    <n v="246"/>
    <n v="0"/>
    <x v="16"/>
    <x v="2"/>
    <e v="#REF!"/>
    <e v="#REF!"/>
    <e v="#REF!"/>
    <n v="0"/>
  </r>
  <r>
    <x v="7"/>
    <x v="202"/>
    <x v="0"/>
    <x v="1"/>
    <m/>
    <m/>
    <s v="ROD, HARRIS SILVER "/>
    <s v="IM-000098"/>
    <n v="20"/>
    <n v="28"/>
    <m/>
    <n v="560"/>
    <x v="0"/>
    <n v="30"/>
    <n v="19"/>
    <n v="380"/>
    <n v="391.40000000000003"/>
    <n v="168.59999999999997"/>
    <n v="0"/>
    <x v="56"/>
    <x v="0"/>
    <e v="#REF!"/>
    <e v="#REF!"/>
    <e v="#REF!"/>
    <n v="0"/>
  </r>
  <r>
    <x v="7"/>
    <x v="202"/>
    <x v="0"/>
    <x v="1"/>
    <m/>
    <m/>
    <s v="TAPE_PE, PICUS Polythelene Tape (White)X 4&quot;"/>
    <s v="IM-000247"/>
    <n v="2"/>
    <n v="125"/>
    <m/>
    <n v="250"/>
    <x v="0"/>
    <n v="147"/>
    <n v="75"/>
    <n v="150"/>
    <n v="154.5"/>
    <n v="95.5"/>
    <n v="0"/>
    <x v="29"/>
    <x v="0"/>
    <e v="#REF!"/>
    <e v="#REF!"/>
    <e v="#REF!"/>
    <n v="0"/>
  </r>
  <r>
    <x v="7"/>
    <x v="202"/>
    <x v="0"/>
    <x v="1"/>
    <m/>
    <m/>
    <s v="RUBBER_INSULATION, M-FLEX 1/2&quot; 1/4"/>
    <s v="IM-000229"/>
    <n v="6"/>
    <n v="50"/>
    <m/>
    <n v="300"/>
    <x v="0"/>
    <n v="47"/>
    <n v="33.6"/>
    <n v="201.60000000000002"/>
    <n v="207.64800000000002"/>
    <n v="92.351999999999975"/>
    <n v="0"/>
    <x v="22"/>
    <x v="0"/>
    <e v="#REF!"/>
    <e v="#REF!"/>
    <e v="#REF!"/>
    <n v="0"/>
  </r>
  <r>
    <x v="7"/>
    <x v="202"/>
    <x v="0"/>
    <x v="1"/>
    <m/>
    <m/>
    <s v="RUBBER_INSULATION, M-FLEX 1/2&quot; 3/8"/>
    <s v="IM-000231"/>
    <n v="3"/>
    <n v="60"/>
    <m/>
    <n v="180"/>
    <x v="0"/>
    <n v="53"/>
    <n v="37.6"/>
    <n v="112.80000000000001"/>
    <n v="116.18400000000001"/>
    <n v="63.815999999999988"/>
    <n v="0"/>
    <x v="22"/>
    <x v="0"/>
    <e v="#REF!"/>
    <e v="#REF!"/>
    <e v="#REF!"/>
    <n v="0"/>
  </r>
  <r>
    <x v="7"/>
    <x v="202"/>
    <x v="0"/>
    <x v="1"/>
    <m/>
    <m/>
    <s v="RUBBER_INSULATION, M-FLEX 1/2&quot; 1/2"/>
    <s v="IM-000227"/>
    <n v="3"/>
    <n v="70"/>
    <m/>
    <n v="210"/>
    <x v="0"/>
    <n v="65"/>
    <n v="46.4"/>
    <n v="139.19999999999999"/>
    <n v="143.376"/>
    <n v="66.623999999999995"/>
    <n v="0"/>
    <x v="22"/>
    <x v="0"/>
    <e v="#REF!"/>
    <e v="#REF!"/>
    <e v="#REF!"/>
    <n v="0"/>
  </r>
  <r>
    <x v="7"/>
    <x v="202"/>
    <x v="0"/>
    <x v="153"/>
    <m/>
    <m/>
    <s v="TAPE_PE, PICUS Polythelene Tape (White)X 4&quot;"/>
    <s v="IM-000247"/>
    <n v="2"/>
    <n v="125"/>
    <m/>
    <n v="250"/>
    <x v="0"/>
    <n v="147"/>
    <n v="75"/>
    <n v="150"/>
    <n v="154.5"/>
    <n v="95.5"/>
    <n v="0"/>
    <x v="29"/>
    <x v="0"/>
    <e v="#REF!"/>
    <e v="#REF!"/>
    <e v="#REF!"/>
    <n v="0"/>
  </r>
  <r>
    <x v="7"/>
    <x v="202"/>
    <x v="0"/>
    <x v="153"/>
    <m/>
    <m/>
    <s v="RUBBER_INSULATION, M-FLEX 1/2&quot; 1/4"/>
    <s v="IM-000229"/>
    <n v="6"/>
    <n v="50"/>
    <m/>
    <n v="300"/>
    <x v="0"/>
    <n v="47"/>
    <n v="33.6"/>
    <n v="201.60000000000002"/>
    <n v="207.64800000000002"/>
    <n v="92.351999999999975"/>
    <n v="0"/>
    <x v="22"/>
    <x v="0"/>
    <e v="#REF!"/>
    <e v="#REF!"/>
    <e v="#REF!"/>
    <n v="0"/>
  </r>
  <r>
    <x v="7"/>
    <x v="202"/>
    <x v="0"/>
    <x v="153"/>
    <m/>
    <m/>
    <s v="RUBBER_INSULATION, M-FLEX 1/2&quot; 3/8"/>
    <s v="IM-000231"/>
    <n v="3"/>
    <n v="60"/>
    <m/>
    <n v="180"/>
    <x v="0"/>
    <n v="53"/>
    <n v="37.6"/>
    <n v="112.80000000000001"/>
    <n v="116.18400000000001"/>
    <n v="63.815999999999988"/>
    <n v="0"/>
    <x v="22"/>
    <x v="0"/>
    <e v="#REF!"/>
    <e v="#REF!"/>
    <e v="#REF!"/>
    <n v="0"/>
  </r>
  <r>
    <x v="7"/>
    <x v="202"/>
    <x v="0"/>
    <x v="153"/>
    <m/>
    <m/>
    <s v="RUBBER_INSULATION, M-FLEX 1/2&quot; 1/2"/>
    <s v="IM-000227"/>
    <n v="3"/>
    <n v="70"/>
    <m/>
    <n v="210"/>
    <x v="0"/>
    <n v="65"/>
    <n v="46.4"/>
    <n v="139.19999999999999"/>
    <n v="143.376"/>
    <n v="66.623999999999995"/>
    <n v="0"/>
    <x v="22"/>
    <x v="0"/>
    <e v="#REF!"/>
    <e v="#REF!"/>
    <e v="#REF!"/>
    <n v="0"/>
  </r>
  <r>
    <x v="7"/>
    <x v="202"/>
    <x v="6"/>
    <x v="147"/>
    <m/>
    <m/>
    <s v="REFRIGERANT, EUFRON 507  11.3 KGS 06/30/26"/>
    <s v="GE-000521"/>
    <n v="4"/>
    <n v="7900"/>
    <m/>
    <n v="31600"/>
    <x v="0"/>
    <n v="8568"/>
    <n v="6800"/>
    <n v="27200"/>
    <n v="28560"/>
    <n v="3040"/>
    <n v="912"/>
    <x v="5"/>
    <x v="1"/>
    <e v="#REF!"/>
    <e v="#REF!"/>
    <e v="#REF!"/>
    <n v="0"/>
  </r>
  <r>
    <x v="7"/>
    <x v="203"/>
    <x v="1"/>
    <x v="3"/>
    <m/>
    <m/>
    <s v="EVAPORATOR, HONDA CIVIC 1998  40A227"/>
    <s v=""/>
    <n v="1"/>
    <n v="2000"/>
    <m/>
    <n v="2000"/>
    <x v="0"/>
    <n v="0"/>
    <n v="0"/>
    <n v="0"/>
    <n v="0"/>
    <n v="2000"/>
    <n v="600"/>
    <x v="13"/>
    <x v="3"/>
    <e v="#REF!"/>
    <e v="#REF!"/>
    <s v=""/>
    <n v="1"/>
  </r>
  <r>
    <x v="7"/>
    <x v="203"/>
    <x v="1"/>
    <x v="3"/>
    <m/>
    <m/>
    <s v="CONDENSER, UNIVERSAL 12 x 23 x 20 5/16"/>
    <s v="CA-000445"/>
    <n v="1"/>
    <n v="1800"/>
    <m/>
    <n v="1800"/>
    <x v="0"/>
    <n v="2022"/>
    <n v="1100"/>
    <n v="1100"/>
    <n v="1155"/>
    <n v="645"/>
    <n v="193.5"/>
    <x v="8"/>
    <x v="2"/>
    <e v="#REF!"/>
    <e v="#REF!"/>
    <s v=""/>
    <n v="0.35833333333333334"/>
  </r>
  <r>
    <x v="7"/>
    <x v="203"/>
    <x v="1"/>
    <x v="3"/>
    <m/>
    <m/>
    <s v="BRACKET,  CONDENSER"/>
    <s v="CA-001666"/>
    <n v="4"/>
    <n v="25"/>
    <m/>
    <n v="100"/>
    <x v="0"/>
    <n v="21"/>
    <n v="9"/>
    <n v="36"/>
    <n v="37.800000000000004"/>
    <n v="62.199999999999996"/>
    <n v="18.659999999999997"/>
    <x v="3"/>
    <x v="2"/>
    <e v="#REF!"/>
    <e v="#REF!"/>
    <s v=""/>
    <n v="0.622"/>
  </r>
  <r>
    <x v="7"/>
    <x v="203"/>
    <x v="2"/>
    <x v="22"/>
    <m/>
    <n v="1900"/>
    <s v="EVAPORATOR, MITSUBISHI MIRAGE (STAL)"/>
    <s v="CA-000142"/>
    <n v="1"/>
    <n v="1700"/>
    <m/>
    <n v="1700"/>
    <x v="0"/>
    <n v="1976"/>
    <n v="1075"/>
    <n v="1075"/>
    <n v="1128.75"/>
    <n v="571.25"/>
    <n v="171.375"/>
    <x v="10"/>
    <x v="2"/>
    <e v="#REF!"/>
    <e v="#REF!"/>
    <n v="1904.0000000000002"/>
    <n v="0.33602941176470591"/>
  </r>
  <r>
    <x v="7"/>
    <x v="203"/>
    <x v="0"/>
    <x v="11"/>
    <m/>
    <m/>
    <s v="REFRIGERANT, ENTALPIA EUROPE R134A 13.6   6/16/26 "/>
    <s v="GE-000517"/>
    <n v="1"/>
    <n v="8800"/>
    <m/>
    <n v="8800"/>
    <x v="0"/>
    <n v="10489"/>
    <n v="7684"/>
    <n v="7684"/>
    <n v="8068.2000000000007"/>
    <n v="731.79999999999927"/>
    <n v="0"/>
    <x v="5"/>
    <x v="1"/>
    <e v="#REF!"/>
    <e v="#REF!"/>
    <s v=""/>
    <n v="8.3159090909090821E-2"/>
  </r>
  <r>
    <x v="7"/>
    <x v="203"/>
    <x v="0"/>
    <x v="11"/>
    <m/>
    <m/>
    <s v="SYSTEM_CLEANER, Cleanse GREEN 141B 500 ML"/>
    <s v="GE-000369"/>
    <n v="2"/>
    <n v="120"/>
    <m/>
    <n v="240"/>
    <x v="0"/>
    <n v="113"/>
    <n v="65"/>
    <n v="130"/>
    <n v="136.5"/>
    <n v="103.5"/>
    <n v="0"/>
    <x v="28"/>
    <x v="1"/>
    <e v="#REF!"/>
    <e v="#REF!"/>
    <s v=""/>
    <n v="0.43125000000000002"/>
  </r>
  <r>
    <x v="7"/>
    <x v="203"/>
    <x v="0"/>
    <x v="87"/>
    <m/>
    <m/>
    <s v="EVAPORATOR, MITSUBISHI MIRAGE (STAL)"/>
    <s v="CA-000142"/>
    <n v="1"/>
    <n v="2100"/>
    <m/>
    <n v="2100"/>
    <x v="0"/>
    <n v="1976"/>
    <n v="1075"/>
    <n v="1075"/>
    <n v="1128.75"/>
    <n v="971.25"/>
    <n v="0"/>
    <x v="10"/>
    <x v="2"/>
    <e v="#REF!"/>
    <e v="#REF!"/>
    <s v=""/>
    <n v="0.46250000000000002"/>
  </r>
  <r>
    <x v="7"/>
    <x v="203"/>
    <x v="0"/>
    <x v="1"/>
    <m/>
    <m/>
    <s v="REFRIGERANT, POKKA R32, 600 GRMS  05/09/26"/>
    <s v="GE-000509"/>
    <n v="1"/>
    <n v="680"/>
    <m/>
    <n v="680"/>
    <x v="0"/>
    <n v="756"/>
    <n v="480"/>
    <n v="480"/>
    <n v="504"/>
    <n v="176"/>
    <n v="0"/>
    <x v="5"/>
    <x v="1"/>
    <e v="#REF!"/>
    <e v="#REF!"/>
    <s v=""/>
    <n v="0.25882352941176473"/>
  </r>
  <r>
    <x v="7"/>
    <x v="203"/>
    <x v="0"/>
    <x v="175"/>
    <m/>
    <m/>
    <s v="DRAIN_PUMP, KING PUMP HIPPO 2 (SMALL), 3M"/>
    <s v="GE-000100"/>
    <n v="1"/>
    <n v="2500"/>
    <m/>
    <n v="2500"/>
    <x v="0"/>
    <n v="2757"/>
    <n v="1500"/>
    <n v="1500"/>
    <n v="1575"/>
    <n v="925"/>
    <n v="0"/>
    <x v="21"/>
    <x v="1"/>
    <e v="#REF!"/>
    <e v="#REF!"/>
    <s v=""/>
    <n v="0.37"/>
  </r>
  <r>
    <x v="7"/>
    <x v="203"/>
    <x v="0"/>
    <x v="175"/>
    <m/>
    <m/>
    <s v="HOSE,  DRAIN PUMP PER MTR"/>
    <s v="GE-000242"/>
    <n v="3"/>
    <n v="50"/>
    <m/>
    <n v="150"/>
    <x v="0"/>
    <n v="65"/>
    <n v="35"/>
    <n v="105"/>
    <n v="110.25"/>
    <n v="39.75"/>
    <n v="0"/>
    <x v="19"/>
    <x v="1"/>
    <e v="#REF!"/>
    <e v="#REF!"/>
    <s v=""/>
    <n v="0.26500000000000001"/>
  </r>
  <r>
    <x v="7"/>
    <x v="203"/>
    <x v="0"/>
    <x v="175"/>
    <m/>
    <m/>
    <s v="COPPER_TUBE_SOFTDRAWN, EXZEL 0.028 X 1/4 x 15 mtr  05/28/26"/>
    <s v="IM-000329"/>
    <n v="1"/>
    <n v="1950"/>
    <m/>
    <n v="1950"/>
    <x v="0"/>
    <n v="3063"/>
    <n v="1699"/>
    <n v="1699"/>
    <n v="1749.97"/>
    <n v="200.02999999999997"/>
    <n v="0"/>
    <x v="0"/>
    <x v="0"/>
    <e v="#REF!"/>
    <e v="#REF!"/>
    <s v=""/>
    <n v="0.10257948717948717"/>
  </r>
  <r>
    <x v="7"/>
    <x v="203"/>
    <x v="0"/>
    <x v="175"/>
    <m/>
    <m/>
    <s v="COPPER_TUBE_SOFTDRAWN, HAILIANG 0.028 X 1/2 x 15 mtr 06/02/26"/>
    <s v="IM-000328"/>
    <n v="1"/>
    <n v="3950"/>
    <m/>
    <n v="3950"/>
    <x v="0"/>
    <n v="6554"/>
    <n v="3636"/>
    <n v="3636"/>
    <n v="3745.08"/>
    <n v="204.92000000000007"/>
    <n v="0"/>
    <x v="0"/>
    <x v="0"/>
    <e v="#REF!"/>
    <e v="#REF!"/>
    <s v=""/>
    <n v="5.1878481012658247E-2"/>
  </r>
  <r>
    <x v="7"/>
    <x v="203"/>
    <x v="0"/>
    <x v="175"/>
    <m/>
    <m/>
    <s v="RUBBER_INSULATION, M-FLEX 3/4&quot; 1/4"/>
    <s v="IM-000235"/>
    <n v="12"/>
    <n v="95"/>
    <m/>
    <n v="1140"/>
    <x v="0"/>
    <n v="79"/>
    <n v="56.7"/>
    <n v="680.40000000000009"/>
    <n v="700.81200000000013"/>
    <n v="439.18799999999987"/>
    <n v="0"/>
    <x v="22"/>
    <x v="0"/>
    <e v="#REF!"/>
    <e v="#REF!"/>
    <s v=""/>
    <n v="0.38525263157894724"/>
  </r>
  <r>
    <x v="7"/>
    <x v="203"/>
    <x v="0"/>
    <x v="175"/>
    <m/>
    <m/>
    <s v="RUBBER_INSULATION, M-FLEX 3/4&quot; 1/2"/>
    <s v="IM-000234"/>
    <n v="12"/>
    <n v="110"/>
    <m/>
    <n v="1320"/>
    <x v="0"/>
    <n v="103"/>
    <n v="73.5"/>
    <n v="882"/>
    <n v="908.46"/>
    <n v="411.53999999999996"/>
    <n v="0"/>
    <x v="22"/>
    <x v="0"/>
    <e v="#REF!"/>
    <e v="#REF!"/>
    <s v=""/>
    <n v="0.31177272727272726"/>
  </r>
  <r>
    <x v="7"/>
    <x v="203"/>
    <x v="0"/>
    <x v="175"/>
    <m/>
    <m/>
    <s v="RUBBER_INSULATION, M-FLEX 3/8&quot; X 7/8"/>
    <s v="IM-000245"/>
    <n v="10"/>
    <n v="65"/>
    <m/>
    <n v="650"/>
    <x v="0"/>
    <n v="55"/>
    <n v="39.200000000000003"/>
    <n v="392"/>
    <n v="403.76"/>
    <n v="246.24"/>
    <n v="0"/>
    <x v="22"/>
    <x v="0"/>
    <e v="#REF!"/>
    <e v="#REF!"/>
    <s v=""/>
    <n v="0.37883076923076925"/>
  </r>
  <r>
    <x v="7"/>
    <x v="203"/>
    <x v="0"/>
    <x v="175"/>
    <m/>
    <m/>
    <s v="TAPE_PE, PICUS Polythelene Tape (White)X 4&quot;"/>
    <s v="IM-000247"/>
    <n v="2"/>
    <n v="125"/>
    <m/>
    <n v="250"/>
    <x v="0"/>
    <n v="147"/>
    <n v="75"/>
    <n v="150"/>
    <n v="154.5"/>
    <n v="95.5"/>
    <n v="0"/>
    <x v="29"/>
    <x v="0"/>
    <e v="#REF!"/>
    <e v="#REF!"/>
    <s v=""/>
    <n v="0.38200000000000001"/>
  </r>
  <r>
    <x v="7"/>
    <x v="203"/>
    <x v="0"/>
    <x v="175"/>
    <m/>
    <m/>
    <s v="ELECTRICAL WIRE_STRANDED, POWERFLEX THNN STRANDED   #12,  06/13/26"/>
    <s v="GE-000513"/>
    <n v="1"/>
    <n v="4300"/>
    <m/>
    <n v="4300"/>
    <x v="0"/>
    <n v="6331"/>
    <n v="3445"/>
    <n v="3445"/>
    <n v="3617.25"/>
    <n v="682.75"/>
    <n v="0"/>
    <x v="2"/>
    <x v="1"/>
    <e v="#REF!"/>
    <e v="#REF!"/>
    <s v=""/>
    <n v="0.15877906976744185"/>
  </r>
  <r>
    <x v="7"/>
    <x v="203"/>
    <x v="0"/>
    <x v="1"/>
    <m/>
    <m/>
    <s v="REFRIGERANT, POKKA R32, 600 GRMS  05/09/26"/>
    <s v="GE-000509"/>
    <n v="1"/>
    <n v="680"/>
    <m/>
    <n v="680"/>
    <x v="0"/>
    <n v="756"/>
    <n v="480"/>
    <n v="480"/>
    <n v="504"/>
    <n v="176"/>
    <n v="0"/>
    <x v="5"/>
    <x v="1"/>
    <e v="#REF!"/>
    <e v="#REF!"/>
    <s v=""/>
    <n v="0.25882352941176473"/>
  </r>
  <r>
    <x v="7"/>
    <x v="203"/>
    <x v="0"/>
    <x v="27"/>
    <m/>
    <m/>
    <s v="RUBBER_INSULATION, M-FLEX 1/2&quot; 1/4"/>
    <s v="IM-000229"/>
    <n v="2"/>
    <n v="50"/>
    <m/>
    <n v="100"/>
    <x v="0"/>
    <n v="47"/>
    <n v="33.6"/>
    <n v="67.2"/>
    <n v="69.216000000000008"/>
    <n v="30.783999999999992"/>
    <n v="0"/>
    <x v="22"/>
    <x v="0"/>
    <e v="#REF!"/>
    <e v="#REF!"/>
    <s v=""/>
    <n v="0.30783999999999989"/>
  </r>
  <r>
    <x v="7"/>
    <x v="203"/>
    <x v="0"/>
    <x v="27"/>
    <m/>
    <m/>
    <s v="RUBBER_INSULATION, M-FLEX 1/2&quot; 3/8"/>
    <s v="IM-000231"/>
    <n v="2"/>
    <n v="60"/>
    <m/>
    <n v="120"/>
    <x v="0"/>
    <n v="53"/>
    <n v="37.6"/>
    <n v="75.2"/>
    <n v="77.456000000000003"/>
    <n v="42.543999999999997"/>
    <n v="0"/>
    <x v="22"/>
    <x v="0"/>
    <e v="#REF!"/>
    <e v="#REF!"/>
    <s v=""/>
    <n v="0.35453333333333331"/>
  </r>
  <r>
    <x v="7"/>
    <x v="203"/>
    <x v="0"/>
    <x v="27"/>
    <m/>
    <m/>
    <s v="TAPE_PE, PICUS Polythelene Tape (White)X 4&quot;"/>
    <s v="IM-000247"/>
    <n v="1"/>
    <n v="125"/>
    <m/>
    <n v="125"/>
    <x v="0"/>
    <n v="147"/>
    <n v="75"/>
    <n v="75"/>
    <n v="77.25"/>
    <n v="47.75"/>
    <n v="0"/>
    <x v="29"/>
    <x v="0"/>
    <e v="#REF!"/>
    <e v="#REF!"/>
    <s v=""/>
    <n v="0.38200000000000001"/>
  </r>
  <r>
    <x v="7"/>
    <x v="203"/>
    <x v="0"/>
    <x v="1"/>
    <m/>
    <m/>
    <s v="REFRIGERANT, NO BRAND ORANGE 410A,  650 GRAMS"/>
    <s v="GE-000149"/>
    <n v="1"/>
    <n v="680"/>
    <m/>
    <n v="680"/>
    <x v="0"/>
    <n v="756"/>
    <n v="300"/>
    <n v="300"/>
    <n v="315"/>
    <n v="365"/>
    <n v="0"/>
    <x v="5"/>
    <x v="1"/>
    <e v="#REF!"/>
    <e v="#REF!"/>
    <s v=""/>
    <n v="0.53676470588235292"/>
  </r>
  <r>
    <x v="7"/>
    <x v="203"/>
    <x v="0"/>
    <x v="1"/>
    <m/>
    <m/>
    <s v="ADAPTOR, OPEN VALVE R600 (GREEN)"/>
    <s v="TL-000008"/>
    <n v="1"/>
    <n v="250"/>
    <m/>
    <n v="250"/>
    <x v="0"/>
    <n v="175"/>
    <n v="95"/>
    <n v="95"/>
    <n v="99.75"/>
    <n v="150.25"/>
    <n v="0"/>
    <x v="71"/>
    <x v="4"/>
    <e v="#REF!"/>
    <e v="#REF!"/>
    <s v=""/>
    <n v="0.60099999999999998"/>
  </r>
  <r>
    <x v="7"/>
    <x v="203"/>
    <x v="0"/>
    <x v="1"/>
    <m/>
    <m/>
    <s v="EXP. VALVE LT, POKKA 9A172 FORD RANGER 12"/>
    <s v="CA-001385"/>
    <n v="1"/>
    <n v="600"/>
    <m/>
    <n v="600"/>
    <x v="0"/>
    <n v="588"/>
    <n v="320"/>
    <n v="320"/>
    <n v="336"/>
    <n v="264"/>
    <n v="0"/>
    <x v="23"/>
    <x v="2"/>
    <e v="#REF!"/>
    <e v="#REF!"/>
    <s v=""/>
    <n v="0.44"/>
  </r>
  <r>
    <x v="7"/>
    <x v="203"/>
    <x v="0"/>
    <x v="1"/>
    <m/>
    <n v="200"/>
    <s v="SILICA_GEL, STAL LONG"/>
    <s v="CA-001637"/>
    <n v="1"/>
    <n v="180"/>
    <m/>
    <n v="180"/>
    <x v="0"/>
    <n v="50"/>
    <n v="25"/>
    <n v="25"/>
    <n v="26.25"/>
    <n v="153.75"/>
    <n v="0"/>
    <x v="37"/>
    <x v="2"/>
    <e v="#REF!"/>
    <e v="#REF!"/>
    <n v="201.60000000000002"/>
    <n v="0.85416666666666663"/>
  </r>
  <r>
    <x v="7"/>
    <x v="203"/>
    <x v="0"/>
    <x v="1"/>
    <m/>
    <m/>
    <s v="O_RING, NEK MAKAPAL 5/8 TINGI"/>
    <s v="CA-001494"/>
    <n v="10"/>
    <n v="7"/>
    <m/>
    <n v="70"/>
    <x v="0"/>
    <n v="2"/>
    <n v="1"/>
    <n v="10"/>
    <n v="10.5"/>
    <n v="59.5"/>
    <n v="0"/>
    <x v="44"/>
    <x v="2"/>
    <e v="#REF!"/>
    <e v="#REF!"/>
    <s v=""/>
    <n v="0.85"/>
  </r>
  <r>
    <x v="7"/>
    <x v="203"/>
    <x v="0"/>
    <x v="1"/>
    <m/>
    <m/>
    <s v="O_RING, NEK MAKAPAL 3/8 TINGI"/>
    <s v="CA-001492"/>
    <n v="10"/>
    <n v="5"/>
    <m/>
    <n v="50"/>
    <x v="0"/>
    <n v="2"/>
    <n v="1"/>
    <n v="10"/>
    <n v="10.5"/>
    <n v="39.5"/>
    <n v="0"/>
    <x v="44"/>
    <x v="2"/>
    <e v="#REF!"/>
    <e v="#REF!"/>
    <s v=""/>
    <n v="0.79"/>
  </r>
  <r>
    <x v="7"/>
    <x v="203"/>
    <x v="7"/>
    <x v="43"/>
    <m/>
    <m/>
    <s v="RUBBER_INSULATION, M-FLEX 1/2&quot; 1/4"/>
    <s v="IM-000229"/>
    <n v="2"/>
    <n v="50"/>
    <m/>
    <n v="100"/>
    <x v="0"/>
    <n v="47"/>
    <n v="33.6"/>
    <n v="67.2"/>
    <n v="69.216000000000008"/>
    <n v="30.783999999999992"/>
    <n v="9.2351999999999972"/>
    <x v="22"/>
    <x v="0"/>
    <e v="#REF!"/>
    <e v="#REF!"/>
    <s v=""/>
    <n v="0.30783999999999989"/>
  </r>
  <r>
    <x v="7"/>
    <x v="203"/>
    <x v="7"/>
    <x v="43"/>
    <m/>
    <m/>
    <s v="RUBBER_INSULATION, M-FLEX 1/2&quot; 3/8"/>
    <s v="IM-000231"/>
    <n v="2"/>
    <n v="60"/>
    <m/>
    <n v="120"/>
    <x v="0"/>
    <n v="53"/>
    <n v="37.6"/>
    <n v="75.2"/>
    <n v="77.456000000000003"/>
    <n v="42.543999999999997"/>
    <n v="12.763199999999999"/>
    <x v="22"/>
    <x v="0"/>
    <e v="#REF!"/>
    <e v="#REF!"/>
    <s v=""/>
    <n v="0.35453333333333331"/>
  </r>
  <r>
    <x v="7"/>
    <x v="203"/>
    <x v="7"/>
    <x v="43"/>
    <m/>
    <m/>
    <s v="TAPE_FOAM, POKKA 5MM X 50 MM X 9.1 MTR"/>
    <s v="IM-000106"/>
    <n v="1"/>
    <n v="260"/>
    <m/>
    <n v="260"/>
    <x v="0"/>
    <n v="194"/>
    <n v="125"/>
    <n v="125"/>
    <n v="128.75"/>
    <n v="131.25"/>
    <n v="39.375"/>
    <x v="25"/>
    <x v="0"/>
    <e v="#REF!"/>
    <e v="#REF!"/>
    <s v=""/>
    <n v="0.50480769230769229"/>
  </r>
  <r>
    <x v="7"/>
    <x v="203"/>
    <x v="4"/>
    <x v="25"/>
    <m/>
    <n v="2200"/>
    <s v="EVAPORATOR, FORD RANGER 12 40A547"/>
    <s v="CA-001833"/>
    <n v="1"/>
    <n v="1964"/>
    <m/>
    <n v="1964"/>
    <x v="0"/>
    <n v="2757"/>
    <n v="1500"/>
    <n v="1500"/>
    <n v="1575"/>
    <n v="389"/>
    <n v="116.69999999999999"/>
    <x v="10"/>
    <x v="2"/>
    <e v="#REF!"/>
    <e v="#REF!"/>
    <n v="2199.6800000000003"/>
    <n v="0.19806517311608962"/>
  </r>
  <r>
    <x v="7"/>
    <x v="203"/>
    <x v="0"/>
    <x v="58"/>
    <m/>
    <m/>
    <s v="EVAPORATOR, KIA RIO 2008"/>
    <s v="CA-000506"/>
    <n v="1"/>
    <n v="2000"/>
    <m/>
    <n v="2000"/>
    <x v="0"/>
    <n v="2757"/>
    <n v="1500"/>
    <n v="1500"/>
    <n v="1575"/>
    <n v="425"/>
    <n v="0"/>
    <x v="10"/>
    <x v="2"/>
    <e v="#REF!"/>
    <e v="#REF!"/>
    <s v=""/>
    <n v="0.21249999999999999"/>
  </r>
  <r>
    <x v="7"/>
    <x v="204"/>
    <x v="0"/>
    <x v="1"/>
    <m/>
    <m/>
    <s v="REFRIGERANT, FU RYDER R600A CAN, 220 GRAMS"/>
    <s v="GE-000032"/>
    <n v="2"/>
    <n v="180"/>
    <m/>
    <n v="360"/>
    <x v="0"/>
    <n v="177"/>
    <n v="70"/>
    <n v="140"/>
    <n v="147"/>
    <n v="213"/>
    <n v="0"/>
    <x v="5"/>
    <x v="1"/>
    <e v="#REF!"/>
    <e v="#REF!"/>
    <s v=""/>
    <n v="0.59166666666666667"/>
  </r>
  <r>
    <x v="7"/>
    <x v="204"/>
    <x v="0"/>
    <x v="1"/>
    <m/>
    <m/>
    <s v="ACCESS_VALVE, OMNI WELDED TYPE "/>
    <s v="GE-000253"/>
    <n v="1"/>
    <n v="60"/>
    <m/>
    <n v="60"/>
    <x v="0"/>
    <n v="47"/>
    <n v="21"/>
    <n v="21"/>
    <n v="22.05"/>
    <n v="37.950000000000003"/>
    <n v="0"/>
    <x v="67"/>
    <x v="1"/>
    <e v="#REF!"/>
    <e v="#REF!"/>
    <s v=""/>
    <n v="0.63250000000000006"/>
  </r>
  <r>
    <x v="7"/>
    <x v="204"/>
    <x v="4"/>
    <x v="25"/>
    <m/>
    <n v="2200"/>
    <s v="EVAPORATOR, KIA PICANTO 2013"/>
    <s v="CA-001240"/>
    <n v="1"/>
    <n v="1964"/>
    <m/>
    <n v="1964"/>
    <x v="0"/>
    <n v="2665"/>
    <n v="1450"/>
    <n v="1450"/>
    <n v="1522.5"/>
    <n v="441.5"/>
    <n v="132.44999999999999"/>
    <x v="10"/>
    <x v="2"/>
    <e v="#REF!"/>
    <e v="#REF!"/>
    <n v="2199.6800000000003"/>
    <n v="0.22479633401221996"/>
  </r>
  <r>
    <x v="7"/>
    <x v="204"/>
    <x v="0"/>
    <x v="11"/>
    <m/>
    <m/>
    <s v="BLOWER_MOTOR, ISUZU D-MAX 2013 / MUX"/>
    <s v="CA-000171"/>
    <n v="1"/>
    <n v="2000"/>
    <m/>
    <n v="2000"/>
    <x v="0"/>
    <n v="2389"/>
    <n v="1300"/>
    <n v="1300"/>
    <n v="1365"/>
    <n v="635"/>
    <n v="0"/>
    <x v="15"/>
    <x v="2"/>
    <e v="#REF!"/>
    <e v="#REF!"/>
    <s v=""/>
    <n v="0.3175"/>
  </r>
  <r>
    <x v="7"/>
    <x v="204"/>
    <x v="0"/>
    <x v="8"/>
    <m/>
    <m/>
    <s v="RECEIVER_DRIER_ALUMINUM, YK 40 X 290 (INNOVA)"/>
    <s v="CA-001083"/>
    <n v="1"/>
    <n v="560"/>
    <m/>
    <n v="560"/>
    <x v="0"/>
    <n v="638"/>
    <n v="270"/>
    <n v="270"/>
    <n v="283.5"/>
    <n v="276.5"/>
    <n v="0"/>
    <x v="27"/>
    <x v="2"/>
    <e v="#REF!"/>
    <e v="#REF!"/>
    <s v=""/>
    <n v="0.49375000000000002"/>
  </r>
  <r>
    <x v="7"/>
    <x v="204"/>
    <x v="1"/>
    <x v="3"/>
    <m/>
    <m/>
    <s v="RECEIVER_DRIER_ALUMINUM, YK 9096 (EXTRAIL)"/>
    <s v="CA-001128"/>
    <n v="1"/>
    <n v="560"/>
    <m/>
    <n v="560"/>
    <x v="0"/>
    <n v="615"/>
    <n v="260"/>
    <n v="260"/>
    <n v="273"/>
    <n v="287"/>
    <n v="86.1"/>
    <x v="27"/>
    <x v="2"/>
    <e v="#REF!"/>
    <e v="#REF!"/>
    <s v=""/>
    <n v="0.51249999999999996"/>
  </r>
  <r>
    <x v="7"/>
    <x v="204"/>
    <x v="0"/>
    <x v="23"/>
    <m/>
    <m/>
    <s v="EVAPORATOR, HYUNDAI EON"/>
    <s v="CA-000485"/>
    <n v="1"/>
    <n v="2000"/>
    <m/>
    <n v="2000"/>
    <x v="0"/>
    <n v="2573"/>
    <n v="1400"/>
    <n v="1400"/>
    <n v="1470"/>
    <n v="530"/>
    <n v="0"/>
    <x v="10"/>
    <x v="2"/>
    <e v="#REF!"/>
    <e v="#REF!"/>
    <s v=""/>
    <n v="0.26500000000000001"/>
  </r>
  <r>
    <x v="7"/>
    <x v="204"/>
    <x v="0"/>
    <x v="87"/>
    <m/>
    <m/>
    <s v="EXP. VALVE LT, POKKA 9A55 HONDA NEW"/>
    <s v="CA-000636"/>
    <n v="1"/>
    <n v="550"/>
    <m/>
    <n v="550"/>
    <x v="0"/>
    <n v="497"/>
    <n v="270"/>
    <n v="270"/>
    <n v="283.5"/>
    <n v="266.5"/>
    <n v="0"/>
    <x v="23"/>
    <x v="2"/>
    <e v="#REF!"/>
    <e v="#REF!"/>
    <s v=""/>
    <n v="0.48454545454545456"/>
  </r>
  <r>
    <x v="7"/>
    <x v="204"/>
    <x v="0"/>
    <x v="87"/>
    <m/>
    <n v="200"/>
    <s v="SILICA_GEL, STAL SHORT"/>
    <s v="CA-001638"/>
    <n v="1"/>
    <n v="180"/>
    <m/>
    <n v="180"/>
    <x v="0"/>
    <n v="44"/>
    <n v="22"/>
    <n v="22"/>
    <n v="23.1"/>
    <n v="156.9"/>
    <n v="0"/>
    <x v="37"/>
    <x v="2"/>
    <e v="#REF!"/>
    <e v="#REF!"/>
    <n v="201.60000000000002"/>
    <n v="0.8716666666666667"/>
  </r>
  <r>
    <x v="7"/>
    <x v="204"/>
    <x v="0"/>
    <x v="87"/>
    <m/>
    <m/>
    <s v="EVAPORATOR, TOYOTA INNOVA OLD (F) JBE-0103ZX (STAL)"/>
    <s v="CA-001633"/>
    <n v="1"/>
    <n v="2000"/>
    <m/>
    <n v="2000"/>
    <x v="0"/>
    <n v="1654"/>
    <n v="900"/>
    <n v="900"/>
    <n v="945"/>
    <n v="1055"/>
    <n v="0"/>
    <x v="10"/>
    <x v="2"/>
    <e v="#REF!"/>
    <e v="#REF!"/>
    <s v=""/>
    <n v="0.52749999999999997"/>
  </r>
  <r>
    <x v="7"/>
    <x v="204"/>
    <x v="0"/>
    <x v="1"/>
    <m/>
    <m/>
    <s v="ELECTRICAL WIRE_STRANDED, POWERFLEX THNN STRANDED   #12, MTR"/>
    <s v="GE-000120"/>
    <n v="24"/>
    <n v="45"/>
    <m/>
    <n v="1080"/>
    <x v="0"/>
    <n v="50"/>
    <n v="27"/>
    <n v="648"/>
    <n v="680.4"/>
    <n v="399.6"/>
    <n v="0"/>
    <x v="2"/>
    <x v="1"/>
    <e v="#REF!"/>
    <e v="#REF!"/>
    <s v=""/>
    <n v="0.37"/>
  </r>
  <r>
    <x v="7"/>
    <x v="204"/>
    <x v="0"/>
    <x v="1"/>
    <m/>
    <m/>
    <s v="HOSE, ELECTRICAL FLEXIBLE ROLL PER METER"/>
    <s v="G-E000235"/>
    <n v="10"/>
    <n v="15"/>
    <m/>
    <n v="150"/>
    <x v="0"/>
    <n v="15"/>
    <n v="8"/>
    <n v="80"/>
    <n v="84"/>
    <n v="66"/>
    <n v="0"/>
    <x v="19"/>
    <x v="1"/>
    <e v="#REF!"/>
    <e v="#REF!"/>
    <s v=""/>
    <n v="0.44"/>
  </r>
  <r>
    <x v="7"/>
    <x v="204"/>
    <x v="1"/>
    <x v="3"/>
    <m/>
    <m/>
    <s v="LUBRICANT, EMKARATE RL 68H, 1 LITER"/>
    <s v="GE-000135"/>
    <n v="1"/>
    <n v="450"/>
    <m/>
    <n v="450"/>
    <x v="0"/>
    <n v="331"/>
    <n v="180"/>
    <n v="180"/>
    <n v="189"/>
    <n v="261"/>
    <n v="78.3"/>
    <x v="9"/>
    <x v="1"/>
    <e v="#REF!"/>
    <e v="#REF!"/>
    <s v=""/>
    <n v="0.57999999999999996"/>
  </r>
  <r>
    <x v="7"/>
    <x v="204"/>
    <x v="2"/>
    <x v="7"/>
    <m/>
    <n v="2000"/>
    <s v="EVAPORATOR, MITSUBISHI MONTERO 2008 (F) (STAL)"/>
    <s v="CA-001744"/>
    <n v="1"/>
    <n v="1786"/>
    <m/>
    <n v="1786"/>
    <x v="0"/>
    <n v="1930"/>
    <n v="1050"/>
    <n v="1050"/>
    <n v="1102.5"/>
    <n v="683.5"/>
    <n v="205.04999999999998"/>
    <x v="10"/>
    <x v="2"/>
    <e v="#REF!"/>
    <e v="#REF!"/>
    <n v="2000.3200000000002"/>
    <n v="0.38269876819708848"/>
  </r>
  <r>
    <x v="7"/>
    <x v="204"/>
    <x v="2"/>
    <x v="22"/>
    <m/>
    <n v="1820"/>
    <s v="EVAPORATOR, TOYOTA INNOVA OLD (F) JBE-0103ZX (STAL)"/>
    <s v="CA-001633"/>
    <n v="1"/>
    <n v="1625"/>
    <m/>
    <n v="1625"/>
    <x v="0"/>
    <n v="1654"/>
    <n v="900"/>
    <n v="900"/>
    <n v="945"/>
    <n v="680"/>
    <n v="204"/>
    <x v="10"/>
    <x v="2"/>
    <e v="#REF!"/>
    <e v="#REF!"/>
    <n v="1820.0000000000002"/>
    <n v="0.41846153846153844"/>
  </r>
  <r>
    <x v="7"/>
    <x v="204"/>
    <x v="2"/>
    <x v="22"/>
    <m/>
    <m/>
    <s v="EVAPORATOR, TOYOTA COROLLA SANDEN/ BIG BODY - 40A548"/>
    <s v="CA-000541"/>
    <n v="1"/>
    <n v="2000"/>
    <m/>
    <n v="2000"/>
    <x v="0"/>
    <n v="2573"/>
    <n v="1400"/>
    <n v="1400"/>
    <n v="1470"/>
    <n v="530"/>
    <n v="159"/>
    <x v="10"/>
    <x v="2"/>
    <e v="#REF!"/>
    <e v="#REF!"/>
    <s v=""/>
    <n v="0.26500000000000001"/>
  </r>
  <r>
    <x v="7"/>
    <x v="204"/>
    <x v="2"/>
    <x v="22"/>
    <m/>
    <m/>
    <s v="EVAPORATOR, ISUZU CROSSWIND ('R)"/>
    <s v="CA-000499"/>
    <n v="1"/>
    <n v="2000"/>
    <m/>
    <n v="2000"/>
    <x v="0"/>
    <n v="2665"/>
    <n v="1450"/>
    <n v="1450"/>
    <n v="1522.5"/>
    <n v="477.5"/>
    <n v="143.25"/>
    <x v="10"/>
    <x v="2"/>
    <e v="#REF!"/>
    <e v="#REF!"/>
    <s v=""/>
    <n v="0.23874999999999999"/>
  </r>
  <r>
    <x v="7"/>
    <x v="204"/>
    <x v="2"/>
    <x v="22"/>
    <m/>
    <n v="2000"/>
    <s v="EVAPORATOR, TOYOTA INNOVA NEW (F) JBE-0115ZX (STAL)"/>
    <s v="CA-001631"/>
    <n v="1"/>
    <n v="1786"/>
    <m/>
    <n v="1786"/>
    <x v="0"/>
    <n v="1562"/>
    <n v="850"/>
    <n v="850"/>
    <n v="892.5"/>
    <n v="893.5"/>
    <n v="268.05"/>
    <x v="10"/>
    <x v="2"/>
    <e v="#REF!"/>
    <e v="#REF!"/>
    <n v="2000.3200000000002"/>
    <n v="0.50027995520716684"/>
  </r>
  <r>
    <x v="7"/>
    <x v="204"/>
    <x v="2"/>
    <x v="22"/>
    <m/>
    <n v="1900"/>
    <s v="EVAPORATOR, MITSUBISHI MIRAGE (STAL)"/>
    <s v="CA-000142"/>
    <n v="1"/>
    <n v="1700"/>
    <m/>
    <n v="1700"/>
    <x v="0"/>
    <n v="1976"/>
    <n v="1075"/>
    <n v="1075"/>
    <n v="1128.75"/>
    <n v="571.25"/>
    <n v="171.375"/>
    <x v="10"/>
    <x v="2"/>
    <e v="#REF!"/>
    <e v="#REF!"/>
    <n v="1904.0000000000002"/>
    <n v="0.33602941176470591"/>
  </r>
  <r>
    <x v="7"/>
    <x v="204"/>
    <x v="2"/>
    <x v="22"/>
    <m/>
    <m/>
    <s v="EVAPORATOR, ISUZU MUX/D-MAX 2013"/>
    <s v="CA-000500"/>
    <n v="1"/>
    <n v="1850"/>
    <m/>
    <n v="1850"/>
    <x v="0"/>
    <n v="2481"/>
    <n v="1350"/>
    <n v="1350"/>
    <n v="1417.5"/>
    <n v="432.5"/>
    <n v="129.75"/>
    <x v="10"/>
    <x v="2"/>
    <e v="#REF!"/>
    <e v="#REF!"/>
    <s v=""/>
    <n v="0.23378378378378378"/>
  </r>
  <r>
    <x v="7"/>
    <x v="204"/>
    <x v="2"/>
    <x v="22"/>
    <m/>
    <m/>
    <s v="CABIN_FILTER, TOYOTA WIGO"/>
    <s v="CA-000387"/>
    <n v="1"/>
    <n v="220"/>
    <m/>
    <n v="220"/>
    <x v="0"/>
    <n v="315"/>
    <n v="100"/>
    <n v="100"/>
    <n v="105"/>
    <n v="115"/>
    <n v="34.5"/>
    <x v="12"/>
    <x v="2"/>
    <e v="#REF!"/>
    <e v="#REF!"/>
    <s v=""/>
    <n v="0.52272727272727271"/>
  </r>
  <r>
    <x v="7"/>
    <x v="204"/>
    <x v="2"/>
    <x v="22"/>
    <m/>
    <m/>
    <s v="CABIN_FILTER, TOYOTA INNOVA"/>
    <s v="CA-001294"/>
    <n v="1"/>
    <n v="220"/>
    <m/>
    <n v="220"/>
    <x v="0"/>
    <n v="315"/>
    <n v="100"/>
    <n v="100"/>
    <n v="105"/>
    <n v="115"/>
    <n v="34.5"/>
    <x v="12"/>
    <x v="2"/>
    <e v="#REF!"/>
    <e v="#REF!"/>
    <s v=""/>
    <n v="0.52272727272727271"/>
  </r>
  <r>
    <x v="7"/>
    <x v="204"/>
    <x v="2"/>
    <x v="22"/>
    <m/>
    <m/>
    <s v="SYSTEM_CLEANER, Cleanse GREEN 141B 500 ML"/>
    <s v="GE-000369"/>
    <n v="5"/>
    <n v="95"/>
    <m/>
    <n v="475"/>
    <x v="0"/>
    <n v="113"/>
    <n v="65"/>
    <n v="325"/>
    <n v="341.25"/>
    <n v="133.75"/>
    <n v="40.125"/>
    <x v="28"/>
    <x v="1"/>
    <e v="#REF!"/>
    <e v="#REF!"/>
    <s v=""/>
    <n v="0.28157894736842104"/>
  </r>
  <r>
    <x v="7"/>
    <x v="204"/>
    <x v="2"/>
    <x v="22"/>
    <m/>
    <m/>
    <s v="LUBRICANT, EMKARATE RL 68H, 1 LITER"/>
    <s v="GE-000135"/>
    <n v="1"/>
    <n v="380"/>
    <m/>
    <n v="380"/>
    <x v="0"/>
    <n v="331"/>
    <n v="180"/>
    <n v="180"/>
    <n v="189"/>
    <n v="191"/>
    <n v="57.3"/>
    <x v="9"/>
    <x v="1"/>
    <e v="#REF!"/>
    <e v="#REF!"/>
    <s v=""/>
    <n v="0.50263157894736843"/>
  </r>
  <r>
    <x v="7"/>
    <x v="204"/>
    <x v="2"/>
    <x v="22"/>
    <m/>
    <m/>
    <s v="MAPP_GAS, Gazz Pro (Winterpine) TORCH GAS"/>
    <s v="IM-000310"/>
    <n v="1"/>
    <n v="360"/>
    <m/>
    <n v="360"/>
    <x v="0"/>
    <n v="451"/>
    <n v="250"/>
    <n v="250"/>
    <n v="257.5"/>
    <n v="102.5"/>
    <n v="30.75"/>
    <x v="45"/>
    <x v="0"/>
    <e v="#REF!"/>
    <e v="#REF!"/>
    <s v=""/>
    <n v="0.28472222222222221"/>
  </r>
  <r>
    <x v="7"/>
    <x v="204"/>
    <x v="2"/>
    <x v="22"/>
    <m/>
    <m/>
    <s v="TAPE, EVER SEAL CORK TAPE"/>
    <s v="GE-000344"/>
    <n v="1"/>
    <n v="250"/>
    <m/>
    <n v="250"/>
    <x v="0"/>
    <n v="226"/>
    <n v="130"/>
    <n v="130"/>
    <n v="136.5"/>
    <n v="113.5"/>
    <n v="34.049999999999997"/>
    <x v="41"/>
    <x v="1"/>
    <e v="#REF!"/>
    <e v="#REF!"/>
    <s v=""/>
    <n v="0.45400000000000001"/>
  </r>
  <r>
    <x v="7"/>
    <x v="204"/>
    <x v="2"/>
    <x v="22"/>
    <m/>
    <m/>
    <s v="TAPE_FOAM, AEROTAPE 3MM X 50 MM X 9.1 MTR  06/18/26"/>
    <s v="IM-000332"/>
    <n v="1"/>
    <n v="360"/>
    <m/>
    <n v="360"/>
    <x v="0"/>
    <n v="510"/>
    <n v="330"/>
    <n v="330"/>
    <n v="339.90000000000003"/>
    <n v="20.099999999999966"/>
    <n v="6.0299999999999896"/>
    <x v="25"/>
    <x v="0"/>
    <e v="#REF!"/>
    <e v="#REF!"/>
    <s v=""/>
    <n v="5.5833333333333242E-2"/>
  </r>
  <r>
    <x v="7"/>
    <x v="204"/>
    <x v="2"/>
    <x v="22"/>
    <m/>
    <m/>
    <s v="FERULLE,  5/8&quot;"/>
    <s v="CA-000646"/>
    <n v="20"/>
    <n v="12"/>
    <m/>
    <n v="240"/>
    <x v="0"/>
    <n v="13"/>
    <n v="7"/>
    <n v="140"/>
    <n v="147"/>
    <n v="93"/>
    <n v="27.9"/>
    <x v="42"/>
    <x v="2"/>
    <e v="#REF!"/>
    <e v="#REF!"/>
    <s v=""/>
    <n v="0.38750000000000001"/>
  </r>
  <r>
    <x v="7"/>
    <x v="204"/>
    <x v="2"/>
    <x v="22"/>
    <m/>
    <m/>
    <s v="FERULLE,  1/2&quot;"/>
    <s v="CA-000644"/>
    <n v="20"/>
    <n v="12"/>
    <m/>
    <n v="240"/>
    <x v="0"/>
    <n v="13"/>
    <n v="7"/>
    <n v="140"/>
    <n v="147"/>
    <n v="93"/>
    <n v="27.9"/>
    <x v="42"/>
    <x v="2"/>
    <e v="#REF!"/>
    <e v="#REF!"/>
    <s v=""/>
    <n v="0.38750000000000001"/>
  </r>
  <r>
    <x v="7"/>
    <x v="204"/>
    <x v="2"/>
    <x v="22"/>
    <m/>
    <m/>
    <s v="FITTINGS, STRAIGHT FLARE TYPE 1/2"/>
    <s v="CA-000671"/>
    <n v="15"/>
    <n v="23"/>
    <m/>
    <n v="345"/>
    <x v="0"/>
    <n v="30"/>
    <n v="16"/>
    <n v="240"/>
    <n v="252"/>
    <n v="93"/>
    <n v="27.9"/>
    <x v="33"/>
    <x v="2"/>
    <e v="#REF!"/>
    <e v="#REF!"/>
    <s v=""/>
    <n v="0.26956521739130435"/>
  </r>
  <r>
    <x v="7"/>
    <x v="204"/>
    <x v="0"/>
    <x v="49"/>
    <m/>
    <m/>
    <s v="EVAPORATOR, TOYOTA INNOVA OLD (F) JBE-0103ZX (STAL)"/>
    <s v="CA-001633"/>
    <n v="1"/>
    <n v="2000"/>
    <m/>
    <n v="2000"/>
    <x v="0"/>
    <n v="1654"/>
    <n v="900"/>
    <n v="900"/>
    <n v="945"/>
    <n v="1055"/>
    <n v="0"/>
    <x v="10"/>
    <x v="2"/>
    <e v="#REF!"/>
    <e v="#REF!"/>
    <s v=""/>
    <n v="0.52749999999999997"/>
  </r>
  <r>
    <x v="7"/>
    <x v="204"/>
    <x v="1"/>
    <x v="3"/>
    <m/>
    <m/>
    <s v="EVAPORATOR, NISSAN XTRAIL"/>
    <s v="CA-000526"/>
    <n v="1"/>
    <n v="2200"/>
    <m/>
    <n v="2200"/>
    <x v="0"/>
    <n v="2940"/>
    <n v="1600"/>
    <n v="1600"/>
    <n v="1680"/>
    <n v="520"/>
    <n v="156"/>
    <x v="10"/>
    <x v="2"/>
    <e v="#REF!"/>
    <e v="#REF!"/>
    <s v=""/>
    <n v="0.23636363636363636"/>
  </r>
  <r>
    <x v="7"/>
    <x v="204"/>
    <x v="1"/>
    <x v="3"/>
    <m/>
    <m/>
    <s v="EXP. VALVE LT, POKKA 9A50 134A, PAJERO"/>
    <s v="CA-001826"/>
    <n v="1"/>
    <n v="550"/>
    <m/>
    <n v="550"/>
    <x v="0"/>
    <n v="441"/>
    <n v="240"/>
    <n v="240"/>
    <n v="252"/>
    <n v="298"/>
    <n v="89.399999999999991"/>
    <x v="23"/>
    <x v="2"/>
    <e v="#REF!"/>
    <e v="#REF!"/>
    <e v="#REF!"/>
    <n v="0"/>
  </r>
  <r>
    <x v="7"/>
    <x v="204"/>
    <x v="2"/>
    <x v="7"/>
    <m/>
    <m/>
    <s v="PULLEY_ASSEMBLY, MITSUBISHI MONTERO 2.5"/>
    <s v="CA-001038"/>
    <n v="1"/>
    <n v="2200"/>
    <m/>
    <n v="2200"/>
    <x v="0"/>
    <n v="2520"/>
    <n v="1500"/>
    <n v="1500"/>
    <n v="1575"/>
    <n v="625"/>
    <n v="187.5"/>
    <x v="11"/>
    <x v="2"/>
    <e v="#REF!"/>
    <e v="#REF!"/>
    <s v=""/>
    <n v="0.28409090909090912"/>
  </r>
  <r>
    <x v="7"/>
    <x v="204"/>
    <x v="0"/>
    <x v="11"/>
    <m/>
    <m/>
    <s v="RECEIVER_DRIER_ALUMINUM, YK 40 X 235 (DMAX)"/>
    <s v="CA-001082"/>
    <n v="1"/>
    <n v="560"/>
    <m/>
    <n v="560"/>
    <x v="0"/>
    <n v="662"/>
    <n v="280"/>
    <n v="280"/>
    <n v="294"/>
    <n v="266"/>
    <n v="0"/>
    <x v="27"/>
    <x v="2"/>
    <e v="#REF!"/>
    <e v="#REF!"/>
    <s v=""/>
    <n v="0.47499999999999998"/>
  </r>
  <r>
    <x v="7"/>
    <x v="204"/>
    <x v="0"/>
    <x v="11"/>
    <m/>
    <n v="200"/>
    <s v="O_RING, NEK MAKAPAL 1/2"/>
    <s v="CA-000840"/>
    <n v="1"/>
    <n v="180"/>
    <m/>
    <n v="180"/>
    <x v="0"/>
    <n v="111"/>
    <n v="60"/>
    <n v="60"/>
    <n v="63"/>
    <n v="117"/>
    <n v="0"/>
    <x v="44"/>
    <x v="2"/>
    <e v="#REF!"/>
    <e v="#REF!"/>
    <n v="201.60000000000002"/>
    <n v="0.65"/>
  </r>
  <r>
    <x v="7"/>
    <x v="204"/>
    <x v="0"/>
    <x v="11"/>
    <m/>
    <m/>
    <s v="CLEANER, AMBER AIRCON LIQUID LYE"/>
    <s v="GE-000251"/>
    <n v="1"/>
    <n v="550"/>
    <m/>
    <n v="550"/>
    <x v="0"/>
    <n v="596"/>
    <n v="270"/>
    <n v="270"/>
    <n v="283.5"/>
    <n v="266.5"/>
    <n v="0"/>
    <x v="35"/>
    <x v="1"/>
    <e v="#REF!"/>
    <e v="#REF!"/>
    <s v=""/>
    <n v="0.48454545454545456"/>
  </r>
  <r>
    <x v="7"/>
    <x v="204"/>
    <x v="0"/>
    <x v="41"/>
    <m/>
    <m/>
    <s v="COPPER_TUBE_SOFTDRAWN, HAILIANG 0.028 X 3/8 x 15 mtr 06/02/26"/>
    <s v="IM-000327"/>
    <n v="0.2"/>
    <n v="3500"/>
    <m/>
    <n v="700"/>
    <x v="0"/>
    <n v="4774"/>
    <n v="2648"/>
    <n v="529.6"/>
    <n v="545.48800000000006"/>
    <n v="154.51199999999994"/>
    <n v="0"/>
    <x v="0"/>
    <x v="0"/>
    <e v="#REF!"/>
    <e v="#REF!"/>
    <s v=""/>
    <n v="0.2207314285714285"/>
  </r>
  <r>
    <x v="7"/>
    <x v="204"/>
    <x v="0"/>
    <x v="41"/>
    <m/>
    <m/>
    <s v="COPPER_TUBE_SOFTDRAWN, EXZEL 0.028 X 1/4 x 15 mtr  05/28/26"/>
    <s v="IM-000329"/>
    <n v="0.2"/>
    <n v="2500"/>
    <m/>
    <n v="500"/>
    <x v="0"/>
    <n v="3063"/>
    <n v="1699"/>
    <n v="339.8"/>
    <n v="349.99400000000003"/>
    <n v="150.00599999999997"/>
    <n v="0"/>
    <x v="0"/>
    <x v="0"/>
    <e v="#REF!"/>
    <e v="#REF!"/>
    <s v=""/>
    <n v="0.30001199999999995"/>
  </r>
  <r>
    <x v="7"/>
    <x v="204"/>
    <x v="0"/>
    <x v="41"/>
    <m/>
    <m/>
    <s v="RUBBER_INSULATION, M-FLEX 1/2&quot; 3/8"/>
    <s v="IM-000231"/>
    <n v="2"/>
    <n v="60"/>
    <m/>
    <n v="120"/>
    <x v="0"/>
    <n v="53"/>
    <n v="37.6"/>
    <n v="75.2"/>
    <n v="77.456000000000003"/>
    <n v="42.543999999999997"/>
    <n v="0"/>
    <x v="22"/>
    <x v="0"/>
    <e v="#REF!"/>
    <e v="#REF!"/>
    <s v=""/>
    <n v="0.35453333333333331"/>
  </r>
  <r>
    <x v="7"/>
    <x v="204"/>
    <x v="0"/>
    <x v="41"/>
    <m/>
    <m/>
    <s v="RUBBER_INSULATION, M-FLEX 1/2&quot; 1/4"/>
    <s v="IM-000229"/>
    <n v="2"/>
    <n v="50"/>
    <m/>
    <n v="100"/>
    <x v="0"/>
    <n v="47"/>
    <n v="33.6"/>
    <n v="67.2"/>
    <n v="69.216000000000008"/>
    <n v="30.783999999999992"/>
    <n v="0"/>
    <x v="22"/>
    <x v="0"/>
    <e v="#REF!"/>
    <e v="#REF!"/>
    <s v=""/>
    <n v="0.30783999999999989"/>
  </r>
  <r>
    <x v="7"/>
    <x v="204"/>
    <x v="0"/>
    <x v="41"/>
    <m/>
    <m/>
    <s v="TAPE_PE, PICUS Polythelene Tape (White)X 4&quot;"/>
    <s v="IM-000247"/>
    <n v="1"/>
    <n v="125"/>
    <m/>
    <n v="125"/>
    <x v="0"/>
    <n v="147"/>
    <n v="75"/>
    <n v="75"/>
    <n v="77.25"/>
    <n v="47.75"/>
    <n v="0"/>
    <x v="29"/>
    <x v="0"/>
    <e v="#REF!"/>
    <e v="#REF!"/>
    <s v=""/>
    <n v="0.38200000000000001"/>
  </r>
  <r>
    <x v="7"/>
    <x v="204"/>
    <x v="0"/>
    <x v="41"/>
    <m/>
    <m/>
    <s v="BRACKET , GB 1HP, COATED"/>
    <s v="IM-000008"/>
    <n v="1"/>
    <n v="360"/>
    <m/>
    <n v="360"/>
    <x v="0"/>
    <n v="334"/>
    <n v="185"/>
    <n v="185"/>
    <n v="190.55"/>
    <n v="169.45"/>
    <n v="0"/>
    <x v="1"/>
    <x v="0"/>
    <e v="#REF!"/>
    <e v="#REF!"/>
    <s v=""/>
    <n v="0.47069444444444442"/>
  </r>
  <r>
    <x v="7"/>
    <x v="204"/>
    <x v="0"/>
    <x v="41"/>
    <m/>
    <m/>
    <s v="BOLT &amp; NUT, GI, SET 3/8"/>
    <s v="IM-000002"/>
    <n v="4"/>
    <n v="14"/>
    <m/>
    <n v="56"/>
    <x v="0"/>
    <n v="10"/>
    <n v="5.43"/>
    <n v="21.72"/>
    <n v="22.371600000000001"/>
    <n v="33.628399999999999"/>
    <n v="0"/>
    <x v="57"/>
    <x v="0"/>
    <e v="#REF!"/>
    <e v="#REF!"/>
    <s v=""/>
    <n v="0.60050714285714279"/>
  </r>
  <r>
    <x v="7"/>
    <x v="204"/>
    <x v="0"/>
    <x v="41"/>
    <m/>
    <m/>
    <s v="BOLT &amp; NUT, DYNABOLT 3/8&quot;"/>
    <s v="GE-000396"/>
    <n v="4"/>
    <n v="25"/>
    <m/>
    <n v="100"/>
    <x v="0"/>
    <n v="19"/>
    <n v="8.9"/>
    <n v="35.6"/>
    <n v="37.380000000000003"/>
    <n v="62.62"/>
    <n v="0"/>
    <x v="57"/>
    <x v="1"/>
    <e v="#REF!"/>
    <e v="#REF!"/>
    <s v=""/>
    <n v="0.62619999999999998"/>
  </r>
  <r>
    <x v="7"/>
    <x v="204"/>
    <x v="4"/>
    <x v="25"/>
    <m/>
    <n v="200"/>
    <s v="O_RING, NEK MAKAPAL 5/8"/>
    <s v="CA-000843"/>
    <n v="1"/>
    <n v="180"/>
    <m/>
    <n v="180"/>
    <x v="0"/>
    <n v="111"/>
    <n v="60"/>
    <n v="60"/>
    <n v="63"/>
    <n v="117"/>
    <n v="35.1"/>
    <x v="44"/>
    <x v="2"/>
    <e v="#REF!"/>
    <e v="#REF!"/>
    <n v="201.60000000000002"/>
    <n v="0.65"/>
  </r>
  <r>
    <x v="7"/>
    <x v="204"/>
    <x v="4"/>
    <x v="25"/>
    <m/>
    <n v="200"/>
    <s v="O_RING, NEK MAKAPAL 1/2"/>
    <s v="CA-000840"/>
    <n v="1"/>
    <n v="180"/>
    <m/>
    <n v="180"/>
    <x v="0"/>
    <n v="111"/>
    <n v="60"/>
    <n v="60"/>
    <n v="63"/>
    <n v="117"/>
    <n v="35.1"/>
    <x v="44"/>
    <x v="2"/>
    <e v="#REF!"/>
    <e v="#REF!"/>
    <n v="201.60000000000002"/>
    <n v="0.65"/>
  </r>
  <r>
    <x v="7"/>
    <x v="204"/>
    <x v="4"/>
    <x v="25"/>
    <m/>
    <n v="200"/>
    <s v="O_RING, NEK MAKAPAL 5/16"/>
    <s v="CA-000842"/>
    <n v="1"/>
    <n v="180"/>
    <m/>
    <n v="180"/>
    <x v="0"/>
    <n v="111"/>
    <n v="60"/>
    <n v="60"/>
    <n v="63"/>
    <n v="117"/>
    <n v="35.1"/>
    <x v="44"/>
    <x v="2"/>
    <e v="#REF!"/>
    <e v="#REF!"/>
    <n v="201.60000000000002"/>
    <n v="0.65"/>
  </r>
  <r>
    <x v="7"/>
    <x v="205"/>
    <x v="7"/>
    <x v="135"/>
    <m/>
    <m/>
    <m/>
    <s v=""/>
    <m/>
    <m/>
    <m/>
    <n v="0"/>
    <x v="0"/>
    <n v="0"/>
    <n v="0"/>
    <n v="0"/>
    <n v="0"/>
    <n v="0"/>
    <n v="0"/>
    <x v="13"/>
    <x v="3"/>
    <s v=""/>
    <s v=""/>
    <s v=""/>
    <n v="0"/>
  </r>
  <r>
    <x v="7"/>
    <x v="206"/>
    <x v="0"/>
    <x v="1"/>
    <m/>
    <m/>
    <s v="ACCESS_VALVE, OMNI WELDED TYPE "/>
    <s v="GE-000253"/>
    <n v="1"/>
    <n v="50"/>
    <m/>
    <n v="50"/>
    <x v="0"/>
    <n v="47"/>
    <n v="21"/>
    <n v="21"/>
    <n v="22.05"/>
    <n v="27.95"/>
    <n v="0"/>
    <x v="67"/>
    <x v="1"/>
    <e v="#REF!"/>
    <e v="#REF!"/>
    <s v=""/>
    <n v="0.55899999999999994"/>
  </r>
  <r>
    <x v="7"/>
    <x v="206"/>
    <x v="0"/>
    <x v="1"/>
    <m/>
    <m/>
    <s v="REFRIGERANT, POKKA R134A, 300GRMS"/>
    <s v="GE-000152"/>
    <n v="1"/>
    <n v="450"/>
    <m/>
    <n v="450"/>
    <x v="0"/>
    <n v="809"/>
    <n v="350"/>
    <n v="350"/>
    <n v="367.5"/>
    <n v="82.5"/>
    <n v="0"/>
    <x v="5"/>
    <x v="1"/>
    <e v="#REF!"/>
    <e v="#REF!"/>
    <s v=""/>
    <n v="0.18333333333333332"/>
  </r>
  <r>
    <x v="7"/>
    <x v="206"/>
    <x v="0"/>
    <x v="1"/>
    <m/>
    <m/>
    <s v="REF_DRIER, OMNI WELDED TYPE  SINGLE"/>
    <s v="GE-000005"/>
    <n v="1"/>
    <n v="60"/>
    <m/>
    <n v="60"/>
    <x v="0"/>
    <n v="58.800000000000004"/>
    <n v="28"/>
    <n v="28"/>
    <n v="29.400000000000002"/>
    <n v="30.599999999999998"/>
    <n v="0"/>
    <x v="73"/>
    <x v="1"/>
    <e v="#REF!"/>
    <e v="#REF!"/>
    <s v=""/>
    <n v="0.51"/>
  </r>
  <r>
    <x v="7"/>
    <x v="206"/>
    <x v="2"/>
    <x v="7"/>
    <m/>
    <m/>
    <s v="PULLEY_ASSEMBLY, MITSUBISHI MIRAGE SHORT"/>
    <s v="CA-001305"/>
    <n v="1"/>
    <n v="2200"/>
    <m/>
    <n v="2200"/>
    <x v="0"/>
    <n v="2520"/>
    <n v="1500"/>
    <n v="1500"/>
    <n v="1575"/>
    <n v="625"/>
    <n v="187.5"/>
    <x v="11"/>
    <x v="2"/>
    <e v="#REF!"/>
    <e v="#REF!"/>
    <s v=""/>
    <n v="0.28409090909090912"/>
  </r>
  <r>
    <x v="7"/>
    <x v="206"/>
    <x v="0"/>
    <x v="49"/>
    <m/>
    <m/>
    <s v="ECV, HYUNDAI SANTA FE 8-39k"/>
    <s v="CA-001555"/>
    <n v="1"/>
    <n v="2200"/>
    <m/>
    <n v="2200"/>
    <x v="0"/>
    <n v="2389"/>
    <n v="1300"/>
    <n v="1300"/>
    <n v="1365"/>
    <n v="835"/>
    <n v="0"/>
    <x v="26"/>
    <x v="2"/>
    <e v="#REF!"/>
    <e v="#REF!"/>
    <s v=""/>
    <n v="0.37954545454545452"/>
  </r>
  <r>
    <x v="7"/>
    <x v="206"/>
    <x v="2"/>
    <x v="22"/>
    <m/>
    <m/>
    <s v="O_RING COMPRESSOR, TRS "/>
    <s v="CA-000839"/>
    <n v="6"/>
    <n v="50"/>
    <m/>
    <n v="300"/>
    <x v="0"/>
    <n v="30"/>
    <n v="16"/>
    <n v="96"/>
    <n v="100.80000000000001"/>
    <n v="199.2"/>
    <n v="59.759999999999991"/>
    <x v="87"/>
    <x v="2"/>
    <e v="#REF!"/>
    <e v="#REF!"/>
    <s v=""/>
    <n v="0.66399999999999992"/>
  </r>
  <r>
    <x v="7"/>
    <x v="206"/>
    <x v="3"/>
    <x v="158"/>
    <m/>
    <m/>
    <s v="EXP. VALVE LT, POKKA 9A63 MONTERO"/>
    <s v="CA-000641"/>
    <n v="2"/>
    <n v="550"/>
    <m/>
    <n v="1100"/>
    <x v="0"/>
    <n v="441"/>
    <n v="240"/>
    <n v="480"/>
    <n v="504"/>
    <n v="596"/>
    <n v="178.79999999999998"/>
    <x v="23"/>
    <x v="2"/>
    <e v="#REF!"/>
    <e v="#REF!"/>
    <s v=""/>
    <n v="0.54181818181818187"/>
  </r>
  <r>
    <x v="7"/>
    <x v="206"/>
    <x v="0"/>
    <x v="18"/>
    <m/>
    <m/>
    <s v="EVAPORATOR, MITSUBISHI MONTERO 2016 (F)  (STAL)"/>
    <s v="CA-000341"/>
    <n v="1"/>
    <n v="2100"/>
    <m/>
    <n v="2100"/>
    <x v="0"/>
    <n v="1930"/>
    <n v="1050"/>
    <n v="1050"/>
    <n v="1102.5"/>
    <n v="997.5"/>
    <n v="0"/>
    <x v="10"/>
    <x v="2"/>
    <e v="#REF!"/>
    <e v="#REF!"/>
    <s v=""/>
    <n v="0.47499999999999998"/>
  </r>
  <r>
    <x v="7"/>
    <x v="206"/>
    <x v="0"/>
    <x v="18"/>
    <m/>
    <m/>
    <s v="EXP. VALVE LT, POKKA 9A56 INNOVA F"/>
    <s v="CA-000637"/>
    <n v="1"/>
    <n v="550"/>
    <m/>
    <n v="550"/>
    <x v="0"/>
    <n v="460"/>
    <n v="250"/>
    <n v="250"/>
    <n v="262.5"/>
    <n v="287.5"/>
    <n v="0"/>
    <x v="23"/>
    <x v="2"/>
    <e v="#REF!"/>
    <e v="#REF!"/>
    <s v=""/>
    <n v="0.52272727272727271"/>
  </r>
  <r>
    <x v="7"/>
    <x v="206"/>
    <x v="3"/>
    <x v="158"/>
    <m/>
    <m/>
    <s v="EXP. VALVE LT, POKKA 9A56 INNOVA F"/>
    <s v="CA-000637"/>
    <n v="2"/>
    <n v="550"/>
    <m/>
    <n v="1100"/>
    <x v="0"/>
    <n v="460"/>
    <n v="250"/>
    <n v="500"/>
    <n v="525"/>
    <n v="575"/>
    <n v="172.5"/>
    <x v="23"/>
    <x v="2"/>
    <e v="#REF!"/>
    <e v="#REF!"/>
    <s v=""/>
    <n v="0.52272727272727271"/>
  </r>
  <r>
    <x v="7"/>
    <x v="206"/>
    <x v="0"/>
    <x v="1"/>
    <m/>
    <m/>
    <s v="RUBBER_INSULATION, M-FLEX 1/2&quot; 1/4"/>
    <s v="IM-000229"/>
    <n v="2"/>
    <n v="50"/>
    <m/>
    <n v="100"/>
    <x v="0"/>
    <n v="47"/>
    <n v="33.6"/>
    <n v="67.2"/>
    <n v="69.216000000000008"/>
    <n v="30.783999999999992"/>
    <n v="0"/>
    <x v="22"/>
    <x v="0"/>
    <e v="#REF!"/>
    <e v="#REF!"/>
    <s v=""/>
    <n v="0.30783999999999989"/>
  </r>
  <r>
    <x v="7"/>
    <x v="206"/>
    <x v="6"/>
    <x v="159"/>
    <m/>
    <m/>
    <s v="BLOWER_MOTOR, TOYOTA INNOVA NEW F"/>
    <s v="CA-000225"/>
    <n v="1"/>
    <n v="2100"/>
    <m/>
    <n v="2100"/>
    <x v="0"/>
    <n v="2665"/>
    <n v="1450"/>
    <n v="1450"/>
    <n v="1522.5"/>
    <n v="577.5"/>
    <n v="173.25"/>
    <x v="15"/>
    <x v="2"/>
    <e v="#REF!"/>
    <e v="#REF!"/>
    <s v=""/>
    <n v="0.27500000000000002"/>
  </r>
  <r>
    <x v="7"/>
    <x v="206"/>
    <x v="6"/>
    <x v="159"/>
    <m/>
    <m/>
    <s v="CABIN_FILTER, TOYOTA INNOVA"/>
    <s v="CA-001294"/>
    <n v="1"/>
    <n v="350"/>
    <m/>
    <n v="350"/>
    <x v="0"/>
    <n v="315"/>
    <n v="100"/>
    <n v="100"/>
    <n v="105"/>
    <n v="245"/>
    <n v="73.5"/>
    <x v="12"/>
    <x v="2"/>
    <e v="#REF!"/>
    <e v="#REF!"/>
    <s v=""/>
    <n v="0.7"/>
  </r>
  <r>
    <x v="7"/>
    <x v="206"/>
    <x v="0"/>
    <x v="134"/>
    <m/>
    <m/>
    <s v="EXP. VALVE LT, BOER 38682 CHEV SPIN, CRUIZE, ECOSPORT"/>
    <s v="CA-000597"/>
    <n v="1"/>
    <n v="600"/>
    <m/>
    <n v="600"/>
    <x v="0"/>
    <n v="552"/>
    <n v="300"/>
    <n v="300"/>
    <n v="315"/>
    <n v="285"/>
    <n v="0"/>
    <x v="23"/>
    <x v="2"/>
    <e v="#REF!"/>
    <e v="#REF!"/>
    <s v=""/>
    <n v="0.47499999999999998"/>
  </r>
  <r>
    <x v="7"/>
    <x v="206"/>
    <x v="0"/>
    <x v="134"/>
    <m/>
    <n v="200"/>
    <s v="SILICA_GEL, STAL LONG"/>
    <s v="CA-001637"/>
    <n v="1"/>
    <n v="180"/>
    <m/>
    <n v="180"/>
    <x v="0"/>
    <n v="50"/>
    <n v="25"/>
    <n v="25"/>
    <n v="26.25"/>
    <n v="153.75"/>
    <n v="0"/>
    <x v="37"/>
    <x v="2"/>
    <e v="#REF!"/>
    <e v="#REF!"/>
    <n v="201.60000000000002"/>
    <n v="0.85416666666666663"/>
  </r>
  <r>
    <x v="7"/>
    <x v="206"/>
    <x v="0"/>
    <x v="1"/>
    <m/>
    <m/>
    <s v="RUBBER_INSULATION, M-FLEX 1/2&quot; 1/4"/>
    <s v="IM-000229"/>
    <n v="2"/>
    <n v="50"/>
    <m/>
    <n v="100"/>
    <x v="0"/>
    <n v="47"/>
    <n v="33.6"/>
    <n v="67.2"/>
    <n v="69.216000000000008"/>
    <n v="30.783999999999992"/>
    <n v="0"/>
    <x v="22"/>
    <x v="0"/>
    <e v="#REF!"/>
    <e v="#REF!"/>
    <s v=""/>
    <n v="0.30783999999999989"/>
  </r>
  <r>
    <x v="7"/>
    <x v="206"/>
    <x v="0"/>
    <x v="1"/>
    <m/>
    <m/>
    <s v="RUBBER_INSULATION, M-FLEX 1/2&quot; 1/2"/>
    <s v="IM-000227"/>
    <n v="2"/>
    <n v="70"/>
    <m/>
    <n v="140"/>
    <x v="0"/>
    <n v="65"/>
    <n v="46.4"/>
    <n v="92.8"/>
    <n v="95.584000000000003"/>
    <n v="44.415999999999997"/>
    <n v="0"/>
    <x v="22"/>
    <x v="0"/>
    <e v="#REF!"/>
    <e v="#REF!"/>
    <s v=""/>
    <n v="0.31725714285714285"/>
  </r>
  <r>
    <x v="7"/>
    <x v="206"/>
    <x v="0"/>
    <x v="1"/>
    <m/>
    <m/>
    <s v="TAPE_PE, PICUS Polythelene Tape (White)X 4&quot;"/>
    <s v="IM-000247"/>
    <n v="1"/>
    <n v="125"/>
    <m/>
    <n v="125"/>
    <x v="0"/>
    <n v="147"/>
    <n v="75"/>
    <n v="75"/>
    <n v="77.25"/>
    <n v="47.75"/>
    <n v="0"/>
    <x v="29"/>
    <x v="0"/>
    <e v="#REF!"/>
    <e v="#REF!"/>
    <s v=""/>
    <n v="0.38200000000000001"/>
  </r>
  <r>
    <x v="7"/>
    <x v="206"/>
    <x v="0"/>
    <x v="1"/>
    <m/>
    <m/>
    <s v="COPPER_TUBE_SOFTDRAWN, EXZEL 0.028 X 1/4 x 15 mtr  05/28/26"/>
    <s v="IM-000329"/>
    <n v="0.2"/>
    <n v="2500"/>
    <m/>
    <n v="500"/>
    <x v="0"/>
    <n v="3063"/>
    <n v="1699"/>
    <n v="339.8"/>
    <n v="349.99400000000003"/>
    <n v="150.00599999999997"/>
    <n v="0"/>
    <x v="0"/>
    <x v="0"/>
    <e v="#REF!"/>
    <e v="#REF!"/>
    <s v=""/>
    <n v="0.30001199999999995"/>
  </r>
  <r>
    <x v="7"/>
    <x v="206"/>
    <x v="0"/>
    <x v="1"/>
    <m/>
    <m/>
    <s v="COPPER_TUBE_SOFTDRAWN, HAILIANG 0.028 X 1/2 x 15 mtr 06/02/26"/>
    <s v="IM-000328"/>
    <n v="0.2"/>
    <n v="4500"/>
    <m/>
    <n v="900"/>
    <x v="0"/>
    <n v="6554"/>
    <n v="3636"/>
    <n v="727.2"/>
    <n v="749.01600000000008"/>
    <n v="150.98399999999992"/>
    <n v="0"/>
    <x v="0"/>
    <x v="0"/>
    <e v="#REF!"/>
    <e v="#REF!"/>
    <s v=""/>
    <n v="0.16775999999999991"/>
  </r>
  <r>
    <x v="7"/>
    <x v="206"/>
    <x v="0"/>
    <x v="1"/>
    <m/>
    <n v="504"/>
    <s v="CAPACITOR_DOUBLE, PS CBB65 25 + 2 UF"/>
    <s v="GE-000323"/>
    <n v="1"/>
    <n v="450"/>
    <m/>
    <n v="450"/>
    <x v="0"/>
    <n v="331"/>
    <n v="180"/>
    <n v="180"/>
    <n v="189"/>
    <n v="261"/>
    <n v="0"/>
    <x v="65"/>
    <x v="1"/>
    <e v="#REF!"/>
    <e v="#REF!"/>
    <e v="#REF!"/>
    <n v="0"/>
  </r>
  <r>
    <x v="7"/>
    <x v="207"/>
    <x v="0"/>
    <x v="1"/>
    <m/>
    <m/>
    <s v="THERMOSTAT, NEK CAR"/>
    <s v="CA-001647"/>
    <n v="1"/>
    <n v="250"/>
    <m/>
    <n v="250"/>
    <x v="0"/>
    <n v="180"/>
    <n v="90"/>
    <n v="90"/>
    <n v="94.5"/>
    <n v="155.5"/>
    <n v="0"/>
    <x v="31"/>
    <x v="2"/>
    <e v="#REF!"/>
    <e v="#REF!"/>
    <s v=""/>
    <n v="0.622"/>
  </r>
  <r>
    <x v="7"/>
    <x v="207"/>
    <x v="1"/>
    <x v="3"/>
    <m/>
    <m/>
    <s v="AUXIALLIARY_FAN, POKKA 12 BLADES X 24VOLTS"/>
    <s v="CA-000109"/>
    <n v="1"/>
    <n v="700"/>
    <m/>
    <n v="700"/>
    <x v="0"/>
    <n v="772"/>
    <n v="420"/>
    <n v="420"/>
    <n v="441"/>
    <n v="259"/>
    <n v="77.7"/>
    <x v="16"/>
    <x v="2"/>
    <e v="#REF!"/>
    <e v="#REF!"/>
    <s v=""/>
    <n v="0.37"/>
  </r>
  <r>
    <x v="7"/>
    <x v="207"/>
    <x v="0"/>
    <x v="2"/>
    <m/>
    <m/>
    <s v="RUBBER_INSULATION, M-FLEX 1/2&quot; 3/8"/>
    <s v="IM-000231"/>
    <n v="5"/>
    <n v="60"/>
    <m/>
    <n v="300"/>
    <x v="0"/>
    <n v="53"/>
    <n v="37.6"/>
    <n v="188"/>
    <n v="193.64000000000001"/>
    <n v="106.35999999999999"/>
    <n v="0"/>
    <x v="22"/>
    <x v="0"/>
    <e v="#REF!"/>
    <e v="#REF!"/>
    <s v=""/>
    <n v="0.35453333333333331"/>
  </r>
  <r>
    <x v="7"/>
    <x v="207"/>
    <x v="0"/>
    <x v="2"/>
    <m/>
    <m/>
    <s v="RUBBER_INSULATION, M-FLEX 1/2&quot; 1/4"/>
    <s v="IM-000229"/>
    <n v="2"/>
    <n v="50"/>
    <m/>
    <n v="100"/>
    <x v="0"/>
    <n v="47"/>
    <n v="33.6"/>
    <n v="67.2"/>
    <n v="69.216000000000008"/>
    <n v="30.783999999999992"/>
    <n v="0"/>
    <x v="22"/>
    <x v="0"/>
    <e v="#REF!"/>
    <e v="#REF!"/>
    <s v=""/>
    <n v="0.30783999999999989"/>
  </r>
  <r>
    <x v="7"/>
    <x v="207"/>
    <x v="0"/>
    <x v="2"/>
    <m/>
    <m/>
    <s v="TAPE_PE, PICUS Polythelene Tape (White)X 4&quot;"/>
    <s v="IM-000247"/>
    <n v="2"/>
    <n v="125"/>
    <m/>
    <n v="250"/>
    <x v="0"/>
    <n v="147"/>
    <n v="75"/>
    <n v="150"/>
    <n v="154.5"/>
    <n v="95.5"/>
    <n v="0"/>
    <x v="29"/>
    <x v="0"/>
    <e v="#REF!"/>
    <e v="#REF!"/>
    <s v=""/>
    <n v="0.38200000000000001"/>
  </r>
  <r>
    <x v="7"/>
    <x v="207"/>
    <x v="0"/>
    <x v="2"/>
    <m/>
    <m/>
    <s v="ROD, HARRIS SILVER "/>
    <s v="IM-000098"/>
    <n v="3"/>
    <n v="28"/>
    <m/>
    <n v="84"/>
    <x v="0"/>
    <n v="30"/>
    <n v="19"/>
    <n v="57"/>
    <n v="58.71"/>
    <n v="25.29"/>
    <n v="0"/>
    <x v="56"/>
    <x v="0"/>
    <e v="#REF!"/>
    <e v="#REF!"/>
    <s v=""/>
    <n v="0.30107142857142855"/>
  </r>
  <r>
    <x v="7"/>
    <x v="207"/>
    <x v="0"/>
    <x v="2"/>
    <m/>
    <m/>
    <s v="MAPP_GAS, Gazz Pro (Winterpine) TORCH GAS"/>
    <s v="IM-000310"/>
    <n v="1"/>
    <n v="380"/>
    <m/>
    <n v="380"/>
    <x v="0"/>
    <n v="451"/>
    <n v="250"/>
    <n v="250"/>
    <n v="257.5"/>
    <n v="122.5"/>
    <n v="0"/>
    <x v="45"/>
    <x v="0"/>
    <e v="#REF!"/>
    <e v="#REF!"/>
    <s v=""/>
    <n v="0.32236842105263158"/>
  </r>
  <r>
    <x v="7"/>
    <x v="207"/>
    <x v="0"/>
    <x v="49"/>
    <m/>
    <m/>
    <s v="HOSE, COOLMATE 1/2 DISCHARGE PER FT"/>
    <s v="GE-000179"/>
    <n v="2"/>
    <n v="90"/>
    <m/>
    <n v="180"/>
    <x v="0"/>
    <n v="80"/>
    <n v="43"/>
    <n v="86"/>
    <n v="90.3"/>
    <n v="89.7"/>
    <n v="0"/>
    <x v="19"/>
    <x v="1"/>
    <e v="#REF!"/>
    <e v="#REF!"/>
    <s v=""/>
    <n v="0.49833333333333335"/>
  </r>
  <r>
    <x v="7"/>
    <x v="207"/>
    <x v="0"/>
    <x v="49"/>
    <m/>
    <m/>
    <s v="FERULLE,  1/2&quot;"/>
    <s v="CA-000644"/>
    <n v="2"/>
    <n v="15"/>
    <m/>
    <n v="30"/>
    <x v="0"/>
    <n v="13"/>
    <n v="7"/>
    <n v="14"/>
    <n v="14.700000000000001"/>
    <n v="15.299999999999999"/>
    <n v="0"/>
    <x v="42"/>
    <x v="2"/>
    <e v="#REF!"/>
    <e v="#REF!"/>
    <s v=""/>
    <n v="0.51"/>
  </r>
  <r>
    <x v="7"/>
    <x v="207"/>
    <x v="0"/>
    <x v="49"/>
    <m/>
    <n v="200"/>
    <s v="O_RING, NEK MAKAPAL 5/16"/>
    <s v="CA-000842"/>
    <n v="1"/>
    <n v="180"/>
    <m/>
    <n v="180"/>
    <x v="0"/>
    <n v="111"/>
    <n v="60"/>
    <n v="60"/>
    <n v="63"/>
    <n v="117"/>
    <n v="0"/>
    <x v="44"/>
    <x v="2"/>
    <e v="#REF!"/>
    <e v="#REF!"/>
    <n v="201.60000000000002"/>
    <n v="0.65"/>
  </r>
  <r>
    <x v="7"/>
    <x v="207"/>
    <x v="1"/>
    <x v="3"/>
    <m/>
    <m/>
    <s v="BLOWER_MOTOR, UNIVERSAL 6711"/>
    <s v="CA-000236"/>
    <n v="1"/>
    <n v="1300"/>
    <m/>
    <n v="1300"/>
    <x v="0"/>
    <n v="1379"/>
    <n v="750"/>
    <n v="750"/>
    <n v="787.5"/>
    <n v="512.5"/>
    <n v="153.75"/>
    <x v="15"/>
    <x v="2"/>
    <e v="#REF!"/>
    <e v="#REF!"/>
    <s v=""/>
    <n v="0.39423076923076922"/>
  </r>
  <r>
    <x v="7"/>
    <x v="207"/>
    <x v="1"/>
    <x v="3"/>
    <m/>
    <m/>
    <s v="BLOWER_MOTOR, UNIVERSAL 6721"/>
    <s v="CA-000237"/>
    <n v="1"/>
    <n v="1300"/>
    <m/>
    <n v="1300"/>
    <x v="0"/>
    <n v="1379"/>
    <n v="750"/>
    <n v="750"/>
    <n v="787.5"/>
    <n v="512.5"/>
    <n v="153.75"/>
    <x v="15"/>
    <x v="2"/>
    <e v="#REF!"/>
    <e v="#REF!"/>
    <s v=""/>
    <n v="0.39423076923076922"/>
  </r>
  <r>
    <x v="7"/>
    <x v="207"/>
    <x v="0"/>
    <x v="141"/>
    <m/>
    <m/>
    <s v="COPPER_TUBE_SOFTDRAWN, EXZEL 0.028 X 1/4 x 15 mtr  05/28/26"/>
    <s v="IM-000329"/>
    <n v="0.2"/>
    <n v="2500"/>
    <m/>
    <n v="500"/>
    <x v="0"/>
    <n v="3063"/>
    <n v="1699"/>
    <n v="339.8"/>
    <n v="349.99400000000003"/>
    <n v="150.00599999999997"/>
    <n v="0"/>
    <x v="0"/>
    <x v="0"/>
    <e v="#REF!"/>
    <e v="#REF!"/>
    <s v=""/>
    <n v="0.30001199999999995"/>
  </r>
  <r>
    <x v="7"/>
    <x v="207"/>
    <x v="0"/>
    <x v="141"/>
    <m/>
    <m/>
    <s v="COPPER_TUBE_SOFTDRAWN, HAILIANG 0.028 X 3/8 x 15 mtr 06/02/26"/>
    <s v="IM-000327"/>
    <n v="0.2"/>
    <n v="3500"/>
    <m/>
    <n v="700"/>
    <x v="0"/>
    <n v="4774"/>
    <n v="2648"/>
    <n v="529.6"/>
    <n v="545.48800000000006"/>
    <n v="154.51199999999994"/>
    <n v="0"/>
    <x v="0"/>
    <x v="0"/>
    <e v="#REF!"/>
    <e v="#REF!"/>
    <s v=""/>
    <n v="0.2207314285714285"/>
  </r>
  <r>
    <x v="7"/>
    <x v="207"/>
    <x v="0"/>
    <x v="141"/>
    <m/>
    <m/>
    <s v="RUBBER_INSULATION, M-FLEX 1/2&quot; 1/4"/>
    <s v="IM-000229"/>
    <n v="2"/>
    <n v="50"/>
    <m/>
    <n v="100"/>
    <x v="0"/>
    <n v="47"/>
    <n v="33.6"/>
    <n v="67.2"/>
    <n v="69.216000000000008"/>
    <n v="30.783999999999992"/>
    <n v="0"/>
    <x v="22"/>
    <x v="0"/>
    <e v="#REF!"/>
    <e v="#REF!"/>
    <s v=""/>
    <n v="0.30783999999999989"/>
  </r>
  <r>
    <x v="7"/>
    <x v="207"/>
    <x v="0"/>
    <x v="141"/>
    <m/>
    <m/>
    <s v="RUBBER_INSULATION, M-FLEX 1/2&quot; 3/8"/>
    <s v="IM-000231"/>
    <n v="2"/>
    <n v="60"/>
    <m/>
    <n v="120"/>
    <x v="0"/>
    <n v="53"/>
    <n v="37.6"/>
    <n v="75.2"/>
    <n v="77.456000000000003"/>
    <n v="42.543999999999997"/>
    <n v="0"/>
    <x v="22"/>
    <x v="0"/>
    <e v="#REF!"/>
    <e v="#REF!"/>
    <s v=""/>
    <n v="0.35453333333333331"/>
  </r>
  <r>
    <x v="7"/>
    <x v="207"/>
    <x v="0"/>
    <x v="141"/>
    <m/>
    <m/>
    <s v="BOLT &amp; NUT, DYNABOLT 3/8&quot;"/>
    <s v="GE-000396"/>
    <n v="4"/>
    <n v="25"/>
    <m/>
    <n v="100"/>
    <x v="0"/>
    <n v="19"/>
    <n v="8.9"/>
    <n v="35.6"/>
    <n v="37.380000000000003"/>
    <n v="62.62"/>
    <n v="0"/>
    <x v="57"/>
    <x v="1"/>
    <e v="#REF!"/>
    <e v="#REF!"/>
    <s v=""/>
    <n v="0.62619999999999998"/>
  </r>
  <r>
    <x v="7"/>
    <x v="207"/>
    <x v="0"/>
    <x v="141"/>
    <m/>
    <m/>
    <s v="BOLT &amp; NUT, GI, SET 3/8"/>
    <s v="IM-000002"/>
    <n v="4"/>
    <n v="14"/>
    <m/>
    <n v="56"/>
    <x v="0"/>
    <n v="10"/>
    <n v="5.43"/>
    <n v="21.72"/>
    <n v="22.371600000000001"/>
    <n v="33.628399999999999"/>
    <n v="0"/>
    <x v="57"/>
    <x v="0"/>
    <e v="#REF!"/>
    <e v="#REF!"/>
    <s v=""/>
    <n v="0.60050714285714279"/>
  </r>
  <r>
    <x v="7"/>
    <x v="207"/>
    <x v="0"/>
    <x v="141"/>
    <m/>
    <m/>
    <s v="ROYAL CORD, POWERFLEX 4-CORE, #14 2.0 MM, METER"/>
    <s v="GE-000487"/>
    <n v="3"/>
    <n v="160"/>
    <m/>
    <n v="480"/>
    <x v="0"/>
    <n v="131"/>
    <n v="105"/>
    <n v="315"/>
    <n v="330.75"/>
    <n v="149.25"/>
    <n v="0"/>
    <x v="48"/>
    <x v="1"/>
    <e v="#REF!"/>
    <e v="#REF!"/>
    <s v=""/>
    <n v="0.31093749999999998"/>
  </r>
  <r>
    <x v="7"/>
    <x v="207"/>
    <x v="0"/>
    <x v="1"/>
    <m/>
    <m/>
    <s v="REFRIGERANT, POKKA R32, 600 GRMS  05/09/26"/>
    <s v="GE-000509"/>
    <n v="1"/>
    <n v="680"/>
    <m/>
    <n v="680"/>
    <x v="0"/>
    <n v="756"/>
    <n v="480"/>
    <n v="480"/>
    <n v="504"/>
    <n v="176"/>
    <n v="0"/>
    <x v="5"/>
    <x v="1"/>
    <e v="#REF!"/>
    <e v="#REF!"/>
    <s v=""/>
    <n v="0.25882352941176473"/>
  </r>
  <r>
    <x v="7"/>
    <x v="207"/>
    <x v="0"/>
    <x v="84"/>
    <m/>
    <m/>
    <s v="BLOWER_MOTOR, MITSUBISHI MIRAGE"/>
    <s v="CA-001727"/>
    <n v="1"/>
    <n v="2000"/>
    <m/>
    <n v="2000"/>
    <x v="0"/>
    <n v="2389"/>
    <n v="1300"/>
    <n v="1300"/>
    <n v="1365"/>
    <n v="635"/>
    <n v="0"/>
    <x v="15"/>
    <x v="2"/>
    <e v="#REF!"/>
    <e v="#REF!"/>
    <s v=""/>
    <n v="0.3175"/>
  </r>
  <r>
    <x v="7"/>
    <x v="207"/>
    <x v="0"/>
    <x v="84"/>
    <m/>
    <m/>
    <s v="CABIN_FILTER, MITSUBISHI MIRAGE"/>
    <s v="CA-001702"/>
    <n v="1"/>
    <n v="370"/>
    <m/>
    <n v="370"/>
    <x v="0"/>
    <n v="473"/>
    <n v="150"/>
    <n v="150"/>
    <n v="157.5"/>
    <n v="212.5"/>
    <n v="0"/>
    <x v="12"/>
    <x v="2"/>
    <e v="#REF!"/>
    <e v="#REF!"/>
    <s v=""/>
    <n v="0.57432432432432434"/>
  </r>
  <r>
    <x v="7"/>
    <x v="207"/>
    <x v="0"/>
    <x v="11"/>
    <m/>
    <m/>
    <s v="EVAPORATOR, FORD RANGER 12 40A547"/>
    <s v="CA-001833"/>
    <n v="1"/>
    <n v="2200"/>
    <m/>
    <n v="2200"/>
    <x v="0"/>
    <n v="2757"/>
    <n v="1500"/>
    <n v="1500"/>
    <n v="1575"/>
    <n v="625"/>
    <n v="0"/>
    <x v="10"/>
    <x v="2"/>
    <e v="#REF!"/>
    <e v="#REF!"/>
    <s v=""/>
    <n v="0.28409090909090912"/>
  </r>
  <r>
    <x v="7"/>
    <x v="207"/>
    <x v="0"/>
    <x v="11"/>
    <m/>
    <m/>
    <s v="SYSTEM_CLEANER, Cleanse GREEN 141B 500 ML"/>
    <s v="GE-000369"/>
    <n v="2"/>
    <n v="120"/>
    <m/>
    <n v="240"/>
    <x v="0"/>
    <n v="113"/>
    <n v="65"/>
    <n v="130"/>
    <n v="136.5"/>
    <n v="103.5"/>
    <n v="0"/>
    <x v="28"/>
    <x v="1"/>
    <e v="#REF!"/>
    <e v="#REF!"/>
    <e v="#REF!"/>
    <n v="0"/>
  </r>
  <r>
    <x v="7"/>
    <x v="207"/>
    <x v="1"/>
    <x v="3"/>
    <m/>
    <m/>
    <s v="REFRIGERANT, ENTALPIA EUROPE R134A 13.6   6/16/26 "/>
    <s v="GE-000517"/>
    <n v="1"/>
    <n v="9000"/>
    <m/>
    <n v="9000"/>
    <x v="0"/>
    <n v="10489"/>
    <n v="7684"/>
    <n v="7684"/>
    <n v="8068.2000000000007"/>
    <n v="931.79999999999927"/>
    <n v="279.53999999999979"/>
    <x v="5"/>
    <x v="1"/>
    <e v="#REF!"/>
    <e v="#REF!"/>
    <s v=""/>
    <n v="0.10353333333333326"/>
  </r>
  <r>
    <x v="7"/>
    <x v="207"/>
    <x v="1"/>
    <x v="3"/>
    <m/>
    <m/>
    <s v="ECV, HONDA CIVIC, 8-37"/>
    <s v="CA-001360"/>
    <n v="1"/>
    <n v="2100"/>
    <m/>
    <n v="2100"/>
    <x v="0"/>
    <n v="2481"/>
    <n v="1350"/>
    <n v="1350"/>
    <n v="1417.5"/>
    <n v="682.5"/>
    <n v="204.75"/>
    <x v="26"/>
    <x v="2"/>
    <e v="#REF!"/>
    <e v="#REF!"/>
    <s v=""/>
    <n v="0.32500000000000001"/>
  </r>
  <r>
    <x v="7"/>
    <x v="207"/>
    <x v="1"/>
    <x v="3"/>
    <m/>
    <m/>
    <s v="EXP. VALVE LT, POKKA 9A56 INNOVA F"/>
    <s v="CA-000637"/>
    <n v="1"/>
    <n v="550"/>
    <m/>
    <n v="550"/>
    <x v="0"/>
    <n v="460"/>
    <n v="250"/>
    <n v="250"/>
    <n v="262.5"/>
    <n v="287.5"/>
    <n v="86.25"/>
    <x v="23"/>
    <x v="2"/>
    <e v="#REF!"/>
    <e v="#REF!"/>
    <e v="#REF!"/>
    <n v="0"/>
  </r>
  <r>
    <x v="7"/>
    <x v="207"/>
    <x v="3"/>
    <x v="158"/>
    <m/>
    <n v="1800"/>
    <s v="AUXFAN_MOTOR, HONDA CITY 2016 (38616)"/>
    <s v="CA-000018"/>
    <n v="1"/>
    <n v="1601"/>
    <m/>
    <n v="1601"/>
    <x v="0"/>
    <n v="2114"/>
    <n v="1150"/>
    <n v="1150"/>
    <n v="1207.5"/>
    <n v="393.5"/>
    <n v="118.05"/>
    <x v="14"/>
    <x v="2"/>
    <e v="#REF!"/>
    <e v="#REF!"/>
    <n v="1793.1200000000001"/>
    <n v="0.2457838850718301"/>
  </r>
  <r>
    <x v="7"/>
    <x v="207"/>
    <x v="3"/>
    <x v="158"/>
    <m/>
    <n v="1800"/>
    <s v="AUXFAN_MOTOR, HONDA CITY 2009 (19030)"/>
    <s v="CA-000016"/>
    <n v="1"/>
    <n v="1601"/>
    <m/>
    <n v="1601"/>
    <x v="0"/>
    <n v="2114"/>
    <n v="1150"/>
    <n v="1150"/>
    <n v="1207.5"/>
    <n v="393.5"/>
    <n v="118.05"/>
    <x v="14"/>
    <x v="2"/>
    <e v="#REF!"/>
    <e v="#REF!"/>
    <n v="1793.1200000000001"/>
    <n v="0.2457838850718301"/>
  </r>
  <r>
    <x v="7"/>
    <x v="207"/>
    <x v="0"/>
    <x v="90"/>
    <m/>
    <m/>
    <s v="ECV, TOYOTA VIOS BATMAN, 8-5A"/>
    <s v="CA-000458"/>
    <n v="1"/>
    <n v="2000"/>
    <m/>
    <n v="2000"/>
    <x v="0"/>
    <n v="1838"/>
    <n v="1000"/>
    <n v="1000"/>
    <n v="1050"/>
    <n v="950"/>
    <n v="0"/>
    <x v="26"/>
    <x v="2"/>
    <e v="#REF!"/>
    <e v="#REF!"/>
    <s v=""/>
    <n v="0.47499999999999998"/>
  </r>
  <r>
    <x v="7"/>
    <x v="207"/>
    <x v="0"/>
    <x v="83"/>
    <m/>
    <m/>
    <s v="MAGNETIC_CLUTCH, DENSO 507"/>
    <s v="CA-000741"/>
    <n v="1"/>
    <n v="800"/>
    <m/>
    <n v="800"/>
    <x v="0"/>
    <n v="405"/>
    <n v="220"/>
    <n v="220"/>
    <n v="231"/>
    <n v="569"/>
    <n v="0"/>
    <x v="4"/>
    <x v="2"/>
    <e v="#REF!"/>
    <e v="#REF!"/>
    <s v=""/>
    <n v="0.71125000000000005"/>
  </r>
  <r>
    <x v="7"/>
    <x v="208"/>
    <x v="0"/>
    <x v="176"/>
    <m/>
    <n v="2700"/>
    <s v="HOSE, DRAIN PUMP PER MTR  TRANSPARENT 6MM"/>
    <s v="GE-000444"/>
    <n v="100"/>
    <n v="24.11"/>
    <m/>
    <n v="2411"/>
    <x v="0"/>
    <n v="34"/>
    <n v="15"/>
    <n v="1500"/>
    <n v="1575"/>
    <n v="836"/>
    <n v="0"/>
    <x v="19"/>
    <x v="1"/>
    <e v="#REF!"/>
    <e v="#REF!"/>
    <n v="27.003200000000003"/>
    <n v="0.34674408958938202"/>
  </r>
  <r>
    <x v="7"/>
    <x v="208"/>
    <x v="0"/>
    <x v="1"/>
    <m/>
    <m/>
    <s v="TAPE_PE, PICUS Polythelene Tape (White)X 4&quot;"/>
    <s v="IM-000247"/>
    <n v="1"/>
    <n v="125"/>
    <m/>
    <n v="125"/>
    <x v="0"/>
    <n v="147"/>
    <n v="75"/>
    <n v="75"/>
    <n v="77.25"/>
    <n v="47.75"/>
    <n v="0"/>
    <x v="29"/>
    <x v="0"/>
    <e v="#REF!"/>
    <e v="#REF!"/>
    <s v=""/>
    <n v="0.38200000000000001"/>
  </r>
  <r>
    <x v="7"/>
    <x v="208"/>
    <x v="0"/>
    <x v="1"/>
    <m/>
    <m/>
    <s v="REFRIGERANT, SHENGFUYUAN  R290, 380G"/>
    <s v="GE-000155"/>
    <n v="1"/>
    <n v="650"/>
    <m/>
    <n v="650"/>
    <x v="0"/>
    <n v="647"/>
    <n v="280"/>
    <n v="280"/>
    <n v="294"/>
    <n v="356"/>
    <n v="0"/>
    <x v="5"/>
    <x v="1"/>
    <e v="#REF!"/>
    <e v="#REF!"/>
    <s v=""/>
    <n v="0.5476923076923077"/>
  </r>
  <r>
    <x v="7"/>
    <x v="208"/>
    <x v="0"/>
    <x v="1"/>
    <m/>
    <m/>
    <s v="ROD, HARRIS SILVER "/>
    <s v="IM-000098"/>
    <n v="4"/>
    <n v="28"/>
    <m/>
    <n v="112"/>
    <x v="0"/>
    <n v="30"/>
    <n v="19"/>
    <n v="76"/>
    <n v="78.28"/>
    <n v="33.72"/>
    <n v="0"/>
    <x v="56"/>
    <x v="0"/>
    <e v="#REF!"/>
    <e v="#REF!"/>
    <s v=""/>
    <n v="0.30107142857142855"/>
  </r>
  <r>
    <x v="7"/>
    <x v="208"/>
    <x v="0"/>
    <x v="1"/>
    <m/>
    <m/>
    <s v="ACCESS_VALVE, OMNI WELDED TYPE "/>
    <s v="GE-000253"/>
    <n v="1"/>
    <n v="50"/>
    <m/>
    <n v="50"/>
    <x v="0"/>
    <n v="47"/>
    <n v="21"/>
    <n v="21"/>
    <n v="22.05"/>
    <n v="27.95"/>
    <n v="0"/>
    <x v="67"/>
    <x v="1"/>
    <e v="#REF!"/>
    <e v="#REF!"/>
    <s v=""/>
    <n v="0.55899999999999994"/>
  </r>
  <r>
    <x v="7"/>
    <x v="208"/>
    <x v="2"/>
    <x v="7"/>
    <m/>
    <m/>
    <s v="BLOWER_MOTOR, TOYOTA INNOVA OLD F"/>
    <s v="CA-000227"/>
    <n v="1"/>
    <n v="2000"/>
    <m/>
    <n v="2000"/>
    <x v="0"/>
    <n v="2389"/>
    <n v="1300"/>
    <n v="1300"/>
    <n v="1365"/>
    <n v="635"/>
    <n v="190.5"/>
    <x v="15"/>
    <x v="2"/>
    <e v="#REF!"/>
    <e v="#REF!"/>
    <s v=""/>
    <n v="0.3175"/>
  </r>
  <r>
    <x v="7"/>
    <x v="208"/>
    <x v="0"/>
    <x v="11"/>
    <m/>
    <m/>
    <s v="EVAPORATOR, TOYOTA INNOVA OLD (F) JBE-0103ZX (STAL)"/>
    <s v="CA-001633"/>
    <n v="1"/>
    <n v="2000"/>
    <m/>
    <n v="2000"/>
    <x v="0"/>
    <n v="1654"/>
    <n v="900"/>
    <n v="900"/>
    <n v="945"/>
    <n v="1055"/>
    <n v="0"/>
    <x v="10"/>
    <x v="2"/>
    <e v="#REF!"/>
    <e v="#REF!"/>
    <s v=""/>
    <n v="0.52749999999999997"/>
  </r>
  <r>
    <x v="7"/>
    <x v="208"/>
    <x v="1"/>
    <x v="3"/>
    <m/>
    <m/>
    <s v="O_RING, NEK MAKAPAL 5/8"/>
    <s v="CA-000843"/>
    <n v="1"/>
    <n v="200"/>
    <m/>
    <n v="200"/>
    <x v="0"/>
    <n v="111"/>
    <n v="60"/>
    <n v="60"/>
    <n v="63"/>
    <n v="137"/>
    <n v="41.1"/>
    <x v="44"/>
    <x v="2"/>
    <e v="#REF!"/>
    <e v="#REF!"/>
    <s v=""/>
    <n v="0.68500000000000005"/>
  </r>
  <r>
    <x v="7"/>
    <x v="208"/>
    <x v="1"/>
    <x v="167"/>
    <m/>
    <m/>
    <s v="BRACKET , GB 1HP, COATED"/>
    <s v="IM-000008"/>
    <n v="2"/>
    <n v="360"/>
    <m/>
    <n v="720"/>
    <x v="0"/>
    <n v="334"/>
    <n v="185"/>
    <n v="370"/>
    <n v="381.1"/>
    <n v="338.9"/>
    <n v="101.66999999999999"/>
    <x v="1"/>
    <x v="0"/>
    <e v="#REF!"/>
    <e v="#REF!"/>
    <s v=""/>
    <n v="0.47069444444444442"/>
  </r>
  <r>
    <x v="7"/>
    <x v="209"/>
    <x v="0"/>
    <x v="1"/>
    <m/>
    <m/>
    <s v="SILICA_GEL, STAL LONG"/>
    <s v="CA-001637"/>
    <n v="1"/>
    <n v="200"/>
    <m/>
    <n v="200"/>
    <x v="0"/>
    <n v="50"/>
    <n v="25"/>
    <n v="25"/>
    <n v="26.25"/>
    <n v="173.75"/>
    <n v="0"/>
    <x v="37"/>
    <x v="2"/>
    <e v="#REF!"/>
    <e v="#REF!"/>
    <s v=""/>
    <n v="0.86875000000000002"/>
  </r>
  <r>
    <x v="7"/>
    <x v="209"/>
    <x v="0"/>
    <x v="1"/>
    <m/>
    <m/>
    <s v="SYSTEM_CLEANER, Cleanse GREEN 141B 500 ML"/>
    <s v="GE-000369"/>
    <n v="1"/>
    <n v="120"/>
    <m/>
    <n v="120"/>
    <x v="0"/>
    <n v="113"/>
    <n v="65"/>
    <n v="65"/>
    <n v="68.25"/>
    <n v="51.75"/>
    <n v="0"/>
    <x v="28"/>
    <x v="1"/>
    <e v="#REF!"/>
    <e v="#REF!"/>
    <s v=""/>
    <n v="0.43125000000000002"/>
  </r>
  <r>
    <x v="7"/>
    <x v="209"/>
    <x v="0"/>
    <x v="11"/>
    <m/>
    <m/>
    <s v="EXP. VALVE LT, POKKA 9A63 MONTERO"/>
    <s v="CA-000641"/>
    <n v="1"/>
    <n v="550"/>
    <m/>
    <n v="550"/>
    <x v="0"/>
    <n v="441"/>
    <n v="240"/>
    <n v="240"/>
    <n v="252"/>
    <n v="298"/>
    <n v="0"/>
    <x v="23"/>
    <x v="2"/>
    <e v="#REF!"/>
    <e v="#REF!"/>
    <s v=""/>
    <n v="0.54181818181818187"/>
  </r>
  <r>
    <x v="7"/>
    <x v="209"/>
    <x v="0"/>
    <x v="11"/>
    <m/>
    <m/>
    <s v="EXP. VALVE LT, POKKA 9A55 HONDA NEW"/>
    <s v="CA-000636"/>
    <n v="1"/>
    <n v="550"/>
    <m/>
    <n v="550"/>
    <x v="0"/>
    <n v="497"/>
    <n v="270"/>
    <n v="270"/>
    <n v="283.5"/>
    <n v="266.5"/>
    <n v="0"/>
    <x v="23"/>
    <x v="2"/>
    <e v="#REF!"/>
    <e v="#REF!"/>
    <s v=""/>
    <n v="0.48454545454545456"/>
  </r>
  <r>
    <x v="7"/>
    <x v="209"/>
    <x v="0"/>
    <x v="11"/>
    <m/>
    <m/>
    <s v="TAPE_FOAM, AEROTAPE 3MM X 50 MM X 9.1 MTR  06/18/26"/>
    <s v="IM-000332"/>
    <n v="1"/>
    <n v="430"/>
    <m/>
    <n v="430"/>
    <x v="0"/>
    <n v="510"/>
    <n v="330"/>
    <n v="330"/>
    <n v="339.90000000000003"/>
    <n v="90.099999999999966"/>
    <n v="0"/>
    <x v="25"/>
    <x v="0"/>
    <e v="#REF!"/>
    <e v="#REF!"/>
    <s v=""/>
    <n v="0.20953488372093015"/>
  </r>
  <r>
    <x v="7"/>
    <x v="209"/>
    <x v="0"/>
    <x v="11"/>
    <m/>
    <m/>
    <s v="SYSTEM_CLEANER, Cleanse GREEN 141B 500 ML"/>
    <s v="GE-000369"/>
    <n v="2"/>
    <n v="120"/>
    <m/>
    <n v="240"/>
    <x v="0"/>
    <n v="113"/>
    <n v="65"/>
    <n v="130"/>
    <n v="136.5"/>
    <n v="103.5"/>
    <n v="0"/>
    <x v="28"/>
    <x v="1"/>
    <e v="#REF!"/>
    <e v="#REF!"/>
    <s v=""/>
    <n v="0.43125000000000002"/>
  </r>
  <r>
    <x v="7"/>
    <x v="209"/>
    <x v="0"/>
    <x v="17"/>
    <m/>
    <m/>
    <s v="ECV, FORD ECOSPORT 10A25"/>
    <s v="CA-001624"/>
    <n v="1"/>
    <n v="1500"/>
    <m/>
    <n v="1500"/>
    <x v="0"/>
    <n v="1103"/>
    <n v="600"/>
    <n v="600"/>
    <n v="630"/>
    <n v="870"/>
    <n v="0"/>
    <x v="26"/>
    <x v="2"/>
    <e v="#REF!"/>
    <e v="#REF!"/>
    <s v=""/>
    <n v="0.57999999999999996"/>
  </r>
  <r>
    <x v="7"/>
    <x v="209"/>
    <x v="0"/>
    <x v="17"/>
    <m/>
    <m/>
    <s v="EXP. VALVE LT, POKKA 9A83 ECOSPORT"/>
    <s v="CA-001621"/>
    <n v="1"/>
    <n v="600"/>
    <m/>
    <n v="600"/>
    <x v="0"/>
    <n v="662"/>
    <n v="360"/>
    <n v="360"/>
    <n v="378"/>
    <n v="222"/>
    <n v="0"/>
    <x v="23"/>
    <x v="2"/>
    <e v="#REF!"/>
    <e v="#REF!"/>
    <s v=""/>
    <n v="0.37"/>
  </r>
  <r>
    <x v="7"/>
    <x v="209"/>
    <x v="2"/>
    <x v="7"/>
    <m/>
    <m/>
    <s v="EXP. VALVE LT, POKKA 9A55 HONDA NEW"/>
    <s v="CA-000636"/>
    <n v="4"/>
    <n v="550"/>
    <m/>
    <n v="2200"/>
    <x v="0"/>
    <n v="497"/>
    <n v="270"/>
    <n v="1080"/>
    <n v="1134"/>
    <n v="1066"/>
    <n v="319.8"/>
    <x v="23"/>
    <x v="2"/>
    <e v="#REF!"/>
    <e v="#REF!"/>
    <s v=""/>
    <n v="0.48454545454545456"/>
  </r>
  <r>
    <x v="7"/>
    <x v="209"/>
    <x v="0"/>
    <x v="72"/>
    <m/>
    <m/>
    <s v="EVAPORATOR, ISUZU TRAVIS / NHR LT HS -40A506"/>
    <s v="CA-001835"/>
    <n v="1"/>
    <n v="2100"/>
    <m/>
    <n v="2100"/>
    <x v="0"/>
    <n v="2481"/>
    <n v="1350"/>
    <n v="1350"/>
    <n v="1417.5"/>
    <n v="682.5"/>
    <n v="0"/>
    <x v="10"/>
    <x v="2"/>
    <e v="#REF!"/>
    <e v="#REF!"/>
    <s v=""/>
    <n v="0.32500000000000001"/>
  </r>
  <r>
    <x v="7"/>
    <x v="209"/>
    <x v="0"/>
    <x v="1"/>
    <m/>
    <m/>
    <s v="TAPE ELECTRICAL, ARMAK 0.16 MM X 19 MM X 16 M 04/25/26"/>
    <s v="GE-000491"/>
    <n v="1"/>
    <n v="55"/>
    <m/>
    <n v="55"/>
    <x v="0"/>
    <n v="73"/>
    <n v="42"/>
    <n v="42"/>
    <n v="44.1"/>
    <n v="10.899999999999999"/>
    <n v="0"/>
    <x v="50"/>
    <x v="1"/>
    <e v="#REF!"/>
    <e v="#REF!"/>
    <s v=""/>
    <n v="0.19818181818181815"/>
  </r>
  <r>
    <x v="7"/>
    <x v="209"/>
    <x v="0"/>
    <x v="1"/>
    <m/>
    <m/>
    <s v="FITTINGS, BRASS FLARE NUT 1/4"/>
    <s v="IM-000049"/>
    <n v="2"/>
    <n v="35"/>
    <m/>
    <n v="70"/>
    <x v="0"/>
    <n v="26"/>
    <n v="14"/>
    <n v="28"/>
    <n v="28.84"/>
    <n v="41.16"/>
    <n v="0"/>
    <x v="33"/>
    <x v="0"/>
    <e v="#REF!"/>
    <e v="#REF!"/>
    <s v=""/>
    <n v="0.58799999999999997"/>
  </r>
  <r>
    <x v="7"/>
    <x v="209"/>
    <x v="0"/>
    <x v="1"/>
    <m/>
    <m/>
    <s v="FITTINGS, BRASS FLARE NUT 3/8"/>
    <s v="IM-000050"/>
    <n v="2"/>
    <n v="65"/>
    <m/>
    <n v="130"/>
    <x v="0"/>
    <n v="44"/>
    <n v="24"/>
    <n v="48"/>
    <n v="49.44"/>
    <n v="80.56"/>
    <n v="0"/>
    <x v="33"/>
    <x v="0"/>
    <e v="#REF!"/>
    <e v="#REF!"/>
    <s v=""/>
    <n v="0.61969230769230776"/>
  </r>
  <r>
    <x v="7"/>
    <x v="209"/>
    <x v="0"/>
    <x v="1"/>
    <m/>
    <m/>
    <s v="ROD, HARRIS SILVER "/>
    <s v="IM-000098"/>
    <n v="2"/>
    <n v="30"/>
    <m/>
    <n v="60"/>
    <x v="0"/>
    <n v="30"/>
    <n v="19"/>
    <n v="38"/>
    <n v="39.14"/>
    <n v="20.86"/>
    <n v="0"/>
    <x v="56"/>
    <x v="0"/>
    <e v="#REF!"/>
    <e v="#REF!"/>
    <s v=""/>
    <n v="0.34766666666666668"/>
  </r>
  <r>
    <x v="7"/>
    <x v="210"/>
    <x v="0"/>
    <x v="34"/>
    <m/>
    <m/>
    <s v="COPPER_TUBE_SOFTDRAWN, EXZEL 0.028 X 1/4 x 15 mtr  05/28/26"/>
    <s v="IM-000329"/>
    <n v="1"/>
    <n v="1950"/>
    <m/>
    <n v="1950"/>
    <x v="0"/>
    <n v="3063"/>
    <n v="1699"/>
    <n v="1699"/>
    <n v="1749.97"/>
    <n v="200.02999999999997"/>
    <n v="0"/>
    <x v="0"/>
    <x v="0"/>
    <e v="#REF!"/>
    <e v="#REF!"/>
    <s v=""/>
    <n v="0.10257948717948717"/>
  </r>
  <r>
    <x v="7"/>
    <x v="210"/>
    <x v="0"/>
    <x v="34"/>
    <m/>
    <m/>
    <s v="COPPER_TUBE_SOFTDRAWN, HAILIANG 0.028 X 1/2 x 15 mtr 06/02/26"/>
    <s v="IM-000328"/>
    <n v="1"/>
    <n v="3950"/>
    <m/>
    <n v="3950"/>
    <x v="0"/>
    <n v="6554"/>
    <n v="3636"/>
    <n v="3636"/>
    <n v="3745.08"/>
    <n v="204.92000000000007"/>
    <n v="0"/>
    <x v="0"/>
    <x v="0"/>
    <e v="#REF!"/>
    <e v="#REF!"/>
    <s v=""/>
    <n v="5.1878481012658247E-2"/>
  </r>
  <r>
    <x v="7"/>
    <x v="210"/>
    <x v="0"/>
    <x v="34"/>
    <m/>
    <m/>
    <s v="RUBBER_INSULATION, M-FLEX 1/2&quot; 1/4"/>
    <s v="IM-000229"/>
    <n v="5"/>
    <n v="50"/>
    <m/>
    <n v="250"/>
    <x v="0"/>
    <n v="47"/>
    <n v="33.6"/>
    <n v="168"/>
    <n v="173.04"/>
    <n v="76.960000000000008"/>
    <n v="0"/>
    <x v="22"/>
    <x v="0"/>
    <e v="#REF!"/>
    <e v="#REF!"/>
    <s v=""/>
    <n v="0.30784000000000006"/>
  </r>
  <r>
    <x v="7"/>
    <x v="210"/>
    <x v="0"/>
    <x v="34"/>
    <m/>
    <m/>
    <s v="RUBBER_INSULATION, M-FLEX 1/2&quot; 1/2"/>
    <s v="IM-000227"/>
    <n v="5"/>
    <n v="70"/>
    <m/>
    <n v="350"/>
    <x v="0"/>
    <n v="65"/>
    <n v="46.4"/>
    <n v="232"/>
    <n v="238.96"/>
    <n v="111.03999999999999"/>
    <n v="0"/>
    <x v="22"/>
    <x v="0"/>
    <e v="#REF!"/>
    <e v="#REF!"/>
    <s v=""/>
    <n v="0.31725714285714285"/>
  </r>
  <r>
    <x v="7"/>
    <x v="210"/>
    <x v="0"/>
    <x v="34"/>
    <m/>
    <m/>
    <s v="ELECTRICAL_PANEL, AMERICA NEMA 3R, 2P"/>
    <s v="GE-000418"/>
    <n v="1"/>
    <n v="550"/>
    <m/>
    <n v="550"/>
    <x v="0"/>
    <n v="478"/>
    <n v="260"/>
    <n v="260"/>
    <n v="273"/>
    <n v="277"/>
    <n v="0"/>
    <x v="39"/>
    <x v="1"/>
    <e v="#REF!"/>
    <e v="#REF!"/>
    <s v=""/>
    <n v="0.50363636363636366"/>
  </r>
  <r>
    <x v="7"/>
    <x v="210"/>
    <x v="0"/>
    <x v="34"/>
    <m/>
    <m/>
    <s v="ELECTRICAL CIRCUIT_BREAKER, AMERICA 20 AMP, 2P"/>
    <s v="GE-000469"/>
    <n v="1"/>
    <n v="400"/>
    <m/>
    <n v="400"/>
    <x v="0"/>
    <n v="380"/>
    <n v="190"/>
    <n v="190"/>
    <n v="199.5"/>
    <n v="200.5"/>
    <n v="0"/>
    <x v="59"/>
    <x v="1"/>
    <e v="#REF!"/>
    <e v="#REF!"/>
    <s v=""/>
    <n v="0.50124999999999997"/>
  </r>
  <r>
    <x v="7"/>
    <x v="210"/>
    <x v="0"/>
    <x v="34"/>
    <m/>
    <m/>
    <s v="TAPE_PE, PICUS Polythelene Tape (White)X 4&quot;"/>
    <s v="IM-000247"/>
    <n v="2"/>
    <n v="125"/>
    <m/>
    <n v="250"/>
    <x v="0"/>
    <n v="147"/>
    <n v="75"/>
    <n v="150"/>
    <n v="154.5"/>
    <n v="95.5"/>
    <n v="0"/>
    <x v="29"/>
    <x v="0"/>
    <e v="#REF!"/>
    <e v="#REF!"/>
    <s v=""/>
    <n v="0.38200000000000001"/>
  </r>
  <r>
    <x v="7"/>
    <x v="210"/>
    <x v="1"/>
    <x v="3"/>
    <m/>
    <m/>
    <s v="CHARGING_VALVE,  LOW"/>
    <s v="GE-000092"/>
    <n v="1"/>
    <n v="100"/>
    <m/>
    <n v="100"/>
    <x v="0"/>
    <n v="92"/>
    <n v="35"/>
    <n v="35"/>
    <n v="36.75"/>
    <n v="63.25"/>
    <n v="18.974999999999998"/>
    <x v="40"/>
    <x v="1"/>
    <e v="#REF!"/>
    <e v="#REF!"/>
    <s v=""/>
    <n v="0.63249999999999995"/>
  </r>
  <r>
    <x v="7"/>
    <x v="210"/>
    <x v="0"/>
    <x v="62"/>
    <m/>
    <m/>
    <s v="CLEANER, AMBER AIRCON LIQUID LYE"/>
    <s v="GE-000251"/>
    <n v="1"/>
    <n v="550"/>
    <m/>
    <n v="550"/>
    <x v="0"/>
    <n v="596"/>
    <n v="270"/>
    <n v="270"/>
    <n v="283.5"/>
    <n v="266.5"/>
    <n v="0"/>
    <x v="35"/>
    <x v="1"/>
    <e v="#REF!"/>
    <e v="#REF!"/>
    <s v=""/>
    <n v="0.48454545454545456"/>
  </r>
  <r>
    <x v="7"/>
    <x v="210"/>
    <x v="0"/>
    <x v="1"/>
    <m/>
    <m/>
    <s v="BRACKET , GB 1HP, COATED"/>
    <s v="IM-000008"/>
    <n v="2"/>
    <n v="360"/>
    <m/>
    <n v="720"/>
    <x v="0"/>
    <n v="334"/>
    <n v="185"/>
    <n v="370"/>
    <n v="381.1"/>
    <n v="338.9"/>
    <n v="0"/>
    <x v="1"/>
    <x v="0"/>
    <e v="#REF!"/>
    <e v="#REF!"/>
    <s v=""/>
    <n v="0.47069444444444442"/>
  </r>
  <r>
    <x v="7"/>
    <x v="210"/>
    <x v="0"/>
    <x v="1"/>
    <m/>
    <m/>
    <s v="BOLT &amp; NUT, DYNABOLT 3/8&quot;"/>
    <s v="GE-000396"/>
    <n v="9"/>
    <n v="25"/>
    <m/>
    <n v="225"/>
    <x v="0"/>
    <n v="19"/>
    <n v="8.9"/>
    <n v="80.100000000000009"/>
    <n v="84.105000000000018"/>
    <n v="140.89499999999998"/>
    <n v="0"/>
    <x v="57"/>
    <x v="1"/>
    <e v="#REF!"/>
    <e v="#REF!"/>
    <s v=""/>
    <n v="0.62619999999999987"/>
  </r>
  <r>
    <x v="7"/>
    <x v="210"/>
    <x v="0"/>
    <x v="1"/>
    <m/>
    <m/>
    <s v="REFRIGERANT, NO BRAND ORANGE 410A,  650 GRAMS"/>
    <s v="GE-000149"/>
    <n v="1"/>
    <n v="680"/>
    <m/>
    <n v="680"/>
    <x v="0"/>
    <n v="756"/>
    <n v="300"/>
    <n v="300"/>
    <n v="315"/>
    <n v="365"/>
    <n v="0"/>
    <x v="5"/>
    <x v="1"/>
    <e v="#REF!"/>
    <e v="#REF!"/>
    <s v=""/>
    <n v="0.53676470588235292"/>
  </r>
  <r>
    <x v="7"/>
    <x v="210"/>
    <x v="0"/>
    <x v="1"/>
    <m/>
    <m/>
    <s v="ADAPTOR, OPEN VALVE R600 (GREEN)"/>
    <s v="TL-000008"/>
    <n v="1"/>
    <n v="250"/>
    <m/>
    <n v="250"/>
    <x v="0"/>
    <n v="175"/>
    <n v="95"/>
    <n v="95"/>
    <n v="99.75"/>
    <n v="150.25"/>
    <n v="0"/>
    <x v="71"/>
    <x v="4"/>
    <e v="#REF!"/>
    <e v="#REF!"/>
    <s v=""/>
    <n v="0.60099999999999998"/>
  </r>
  <r>
    <x v="7"/>
    <x v="210"/>
    <x v="9"/>
    <x v="55"/>
    <m/>
    <m/>
    <s v="RUBBER_INSULATION, M-FLEX 1/2&quot; 1/4"/>
    <s v="IM-000229"/>
    <n v="4"/>
    <n v="50"/>
    <m/>
    <n v="200"/>
    <x v="0"/>
    <n v="47"/>
    <n v="33.6"/>
    <n v="134.4"/>
    <n v="138.43200000000002"/>
    <n v="61.567999999999984"/>
    <n v="18.470399999999994"/>
    <x v="22"/>
    <x v="0"/>
    <e v="#REF!"/>
    <e v="#REF!"/>
    <s v=""/>
    <n v="0.30783999999999989"/>
  </r>
  <r>
    <x v="7"/>
    <x v="210"/>
    <x v="9"/>
    <x v="55"/>
    <m/>
    <m/>
    <s v="RUBBER_INSULATION, M-FLEX 1/2&quot; 3/8"/>
    <s v="IM-000231"/>
    <n v="4"/>
    <n v="60"/>
    <m/>
    <n v="240"/>
    <x v="0"/>
    <n v="53"/>
    <n v="37.6"/>
    <n v="150.4"/>
    <n v="154.91200000000001"/>
    <n v="85.087999999999994"/>
    <n v="25.526399999999999"/>
    <x v="22"/>
    <x v="0"/>
    <e v="#REF!"/>
    <e v="#REF!"/>
    <s v=""/>
    <n v="0.35453333333333331"/>
  </r>
  <r>
    <x v="7"/>
    <x v="210"/>
    <x v="0"/>
    <x v="27"/>
    <m/>
    <m/>
    <s v="COPPER_TUBE_SOFTDRAWN, EXZEL 0.028 X 1/4 x 15 mtr  05/28/26"/>
    <s v="IM-000329"/>
    <n v="0.2"/>
    <n v="2500"/>
    <m/>
    <n v="500"/>
    <x v="0"/>
    <n v="3063"/>
    <n v="1699"/>
    <n v="339.8"/>
    <n v="349.99400000000003"/>
    <n v="150.00599999999997"/>
    <n v="0"/>
    <x v="0"/>
    <x v="0"/>
    <e v="#REF!"/>
    <e v="#REF!"/>
    <s v=""/>
    <n v="0.30001199999999995"/>
  </r>
  <r>
    <x v="7"/>
    <x v="210"/>
    <x v="0"/>
    <x v="27"/>
    <m/>
    <m/>
    <s v="RUBBER_INSULATION, M-FLEX 1/2&quot; 1/4"/>
    <s v="IM-000229"/>
    <n v="2"/>
    <n v="50"/>
    <m/>
    <n v="100"/>
    <x v="0"/>
    <n v="47"/>
    <n v="33.6"/>
    <n v="67.2"/>
    <n v="69.216000000000008"/>
    <n v="30.783999999999992"/>
    <n v="0"/>
    <x v="22"/>
    <x v="0"/>
    <e v="#REF!"/>
    <e v="#REF!"/>
    <s v=""/>
    <n v="0.30783999999999989"/>
  </r>
  <r>
    <x v="7"/>
    <x v="210"/>
    <x v="0"/>
    <x v="27"/>
    <m/>
    <m/>
    <s v="RUBBER_INSULATION, M-FLEX 1/2&quot; 3/8"/>
    <s v="IM-000231"/>
    <n v="2"/>
    <n v="60"/>
    <m/>
    <n v="120"/>
    <x v="0"/>
    <n v="53"/>
    <n v="37.6"/>
    <n v="75.2"/>
    <n v="77.456000000000003"/>
    <n v="42.543999999999997"/>
    <n v="0"/>
    <x v="22"/>
    <x v="0"/>
    <e v="#REF!"/>
    <e v="#REF!"/>
    <s v=""/>
    <n v="0.35453333333333331"/>
  </r>
  <r>
    <x v="7"/>
    <x v="210"/>
    <x v="0"/>
    <x v="27"/>
    <m/>
    <m/>
    <s v="TAPE_PE, PICUS Polythelene Tape (White)X 4&quot;"/>
    <s v="IM-000247"/>
    <n v="1"/>
    <n v="125"/>
    <m/>
    <n v="125"/>
    <x v="0"/>
    <n v="147"/>
    <n v="75"/>
    <n v="75"/>
    <n v="77.25"/>
    <n v="47.75"/>
    <n v="0"/>
    <x v="29"/>
    <x v="0"/>
    <e v="#REF!"/>
    <e v="#REF!"/>
    <s v=""/>
    <n v="0.38200000000000001"/>
  </r>
  <r>
    <x v="7"/>
    <x v="210"/>
    <x v="1"/>
    <x v="5"/>
    <m/>
    <m/>
    <s v="REFRIGERANT, ENTALPIA EUROPE R134A 13.6   6/16/26 "/>
    <s v="GE-000517"/>
    <n v="1"/>
    <n v="9000"/>
    <m/>
    <n v="9000"/>
    <x v="0"/>
    <n v="10489"/>
    <n v="7684"/>
    <n v="7684"/>
    <n v="8068.2000000000007"/>
    <n v="931.79999999999927"/>
    <n v="279.53999999999979"/>
    <x v="5"/>
    <x v="1"/>
    <e v="#REF!"/>
    <e v="#REF!"/>
    <s v=""/>
    <n v="0.10353333333333326"/>
  </r>
  <r>
    <x v="7"/>
    <x v="210"/>
    <x v="1"/>
    <x v="5"/>
    <m/>
    <m/>
    <s v="LUBRICANT, EMKARATE RL 68H, 1 LITER"/>
    <s v="GE-000135"/>
    <n v="1"/>
    <n v="450"/>
    <m/>
    <n v="450"/>
    <x v="0"/>
    <n v="331"/>
    <n v="180"/>
    <n v="180"/>
    <n v="189"/>
    <n v="261"/>
    <n v="78.3"/>
    <x v="9"/>
    <x v="1"/>
    <e v="#REF!"/>
    <e v="#REF!"/>
    <s v=""/>
    <n v="0.57999999999999996"/>
  </r>
  <r>
    <x v="8"/>
    <x v="211"/>
    <x v="1"/>
    <x v="5"/>
    <m/>
    <m/>
    <s v="LUBRICANT, EMKARATE RL 68H, 1 LITER"/>
    <s v="GE-000135"/>
    <n v="1"/>
    <n v="450"/>
    <m/>
    <n v="450"/>
    <x v="0"/>
    <n v="331"/>
    <n v="180"/>
    <n v="180"/>
    <n v="189"/>
    <n v="261"/>
    <n v="78.3"/>
    <x v="9"/>
    <x v="1"/>
    <e v="#REF!"/>
    <e v="#REF!"/>
    <s v=""/>
    <n v="0.57999999999999996"/>
  </r>
  <r>
    <x v="8"/>
    <x v="211"/>
    <x v="0"/>
    <x v="48"/>
    <m/>
    <m/>
    <s v="AUXIALLIARY_FAN, POKKA 10 BLADES X 12VOLTS"/>
    <s v="CA-000106"/>
    <n v="1"/>
    <n v="650"/>
    <m/>
    <n v="650"/>
    <x v="0"/>
    <n v="772"/>
    <n v="420"/>
    <n v="420"/>
    <n v="441"/>
    <n v="209"/>
    <n v="0"/>
    <x v="16"/>
    <x v="2"/>
    <e v="#REF!"/>
    <e v="#REF!"/>
    <s v=""/>
    <n v="0.32153846153846155"/>
  </r>
  <r>
    <x v="8"/>
    <x v="211"/>
    <x v="4"/>
    <x v="25"/>
    <m/>
    <m/>
    <s v="EVAPORATOR, TOYOTA CAMRY 2008 - 2017"/>
    <s v="CA-000539"/>
    <n v="1"/>
    <n v="2200"/>
    <m/>
    <n v="2200"/>
    <x v="0"/>
    <n v="2757"/>
    <n v="1500"/>
    <n v="1500"/>
    <n v="1575"/>
    <n v="625"/>
    <n v="187.5"/>
    <x v="10"/>
    <x v="2"/>
    <e v="#REF!"/>
    <e v="#REF!"/>
    <s v=""/>
    <n v="0.28409090909090912"/>
  </r>
  <r>
    <x v="8"/>
    <x v="211"/>
    <x v="1"/>
    <x v="3"/>
    <m/>
    <m/>
    <s v="EVAPORATOR, HYUNDAI ACCENT 2013 40A522"/>
    <s v="CA-001861"/>
    <n v="1"/>
    <n v="2000"/>
    <m/>
    <n v="2000"/>
    <x v="0"/>
    <n v="2389"/>
    <n v="1300"/>
    <n v="1300"/>
    <n v="1365"/>
    <n v="635"/>
    <n v="190.5"/>
    <x v="10"/>
    <x v="2"/>
    <e v="#REF!"/>
    <e v="#REF!"/>
    <s v=""/>
    <n v="0.3175"/>
  </r>
  <r>
    <x v="8"/>
    <x v="211"/>
    <x v="1"/>
    <x v="3"/>
    <m/>
    <m/>
    <s v="EXP. VALVE LT, POKKA 9A129B ACCENT"/>
    <s v="CA-000629"/>
    <n v="1"/>
    <n v="600"/>
    <m/>
    <n v="600"/>
    <x v="0"/>
    <n v="625"/>
    <n v="340"/>
    <n v="340"/>
    <n v="357"/>
    <n v="243"/>
    <n v="72.899999999999991"/>
    <x v="23"/>
    <x v="2"/>
    <e v="#REF!"/>
    <e v="#REF!"/>
    <s v=""/>
    <n v="0.40500000000000003"/>
  </r>
  <r>
    <x v="8"/>
    <x v="211"/>
    <x v="0"/>
    <x v="1"/>
    <m/>
    <m/>
    <s v="CAPACITOR_DOUBLE, PS CBB65 15 + 4 UF"/>
    <s v="GE-000376"/>
    <n v="1"/>
    <n v="340"/>
    <m/>
    <n v="340"/>
    <x v="0"/>
    <n v="276"/>
    <n v="150"/>
    <n v="150"/>
    <n v="157.5"/>
    <n v="182.5"/>
    <n v="0"/>
    <x v="65"/>
    <x v="1"/>
    <e v="#REF!"/>
    <e v="#REF!"/>
    <s v=""/>
    <n v="0.53676470588235292"/>
  </r>
  <r>
    <x v="8"/>
    <x v="211"/>
    <x v="0"/>
    <x v="1"/>
    <m/>
    <m/>
    <s v="ROD, HARRIS SILVER "/>
    <s v="IM-000098"/>
    <n v="1"/>
    <n v="25"/>
    <m/>
    <n v="25"/>
    <x v="0"/>
    <n v="30"/>
    <n v="19"/>
    <n v="19"/>
    <n v="19.57"/>
    <n v="5.43"/>
    <n v="0"/>
    <x v="56"/>
    <x v="0"/>
    <e v="#REF!"/>
    <e v="#REF!"/>
    <s v=""/>
    <n v="0.21719999999999998"/>
  </r>
  <r>
    <x v="8"/>
    <x v="211"/>
    <x v="0"/>
    <x v="1"/>
    <m/>
    <m/>
    <s v="REFRIGERANT, FU RYDER R600A CAN, 220 GRAMS"/>
    <s v="GE-000032"/>
    <n v="1"/>
    <n v="180"/>
    <m/>
    <n v="180"/>
    <x v="0"/>
    <n v="177"/>
    <n v="70"/>
    <n v="70"/>
    <n v="73.5"/>
    <n v="106.5"/>
    <n v="0"/>
    <x v="5"/>
    <x v="1"/>
    <e v="#REF!"/>
    <e v="#REF!"/>
    <s v=""/>
    <n v="0.59166666666666667"/>
  </r>
  <r>
    <x v="8"/>
    <x v="211"/>
    <x v="0"/>
    <x v="177"/>
    <m/>
    <m/>
    <s v="COPPER_TUBE_SOFTDRAWN, EVERSTRONG 0.028 X 5/8 x 15 mtr 03/24/26"/>
    <s v="IM-000320"/>
    <n v="1"/>
    <n v="5000"/>
    <m/>
    <n v="5000"/>
    <x v="0"/>
    <n v="8328"/>
    <n v="4255"/>
    <n v="4255"/>
    <n v="4382.6500000000005"/>
    <n v="617.34999999999945"/>
    <n v="0"/>
    <x v="0"/>
    <x v="0"/>
    <e v="#REF!"/>
    <e v="#REF!"/>
    <s v=""/>
    <n v="0.12346999999999989"/>
  </r>
  <r>
    <x v="8"/>
    <x v="211"/>
    <x v="0"/>
    <x v="177"/>
    <m/>
    <m/>
    <s v="COPPER_TUBE_SOFTDRAWN, HAILIANG 0.028 X 3/8 x 15 mtr 06/02/26"/>
    <s v="IM-000327"/>
    <n v="1"/>
    <n v="2950"/>
    <m/>
    <n v="2950"/>
    <x v="0"/>
    <n v="4774"/>
    <n v="2648"/>
    <n v="2648"/>
    <n v="2727.44"/>
    <n v="222.55999999999995"/>
    <n v="0"/>
    <x v="0"/>
    <x v="0"/>
    <e v="#REF!"/>
    <e v="#REF!"/>
    <s v=""/>
    <n v="7.5444067796610156E-2"/>
  </r>
  <r>
    <x v="8"/>
    <x v="211"/>
    <x v="0"/>
    <x v="177"/>
    <m/>
    <m/>
    <s v="COPPER_TUBE_SOFTDRAWN, HAILIANG 0.028 X 1/2 x 15 mtr 06/02/26"/>
    <s v="IM-000328"/>
    <n v="0.4"/>
    <n v="4500"/>
    <m/>
    <n v="1800"/>
    <x v="0"/>
    <n v="6554"/>
    <n v="3636"/>
    <n v="1454.4"/>
    <n v="1498.0320000000002"/>
    <n v="301.96799999999985"/>
    <n v="0"/>
    <x v="0"/>
    <x v="0"/>
    <e v="#REF!"/>
    <e v="#REF!"/>
    <s v=""/>
    <n v="0.16775999999999991"/>
  </r>
  <r>
    <x v="8"/>
    <x v="211"/>
    <x v="0"/>
    <x v="177"/>
    <m/>
    <m/>
    <s v="RUBBER_INSULATION, M-FLEX 1/2&quot; 5/8"/>
    <s v="IM-000232"/>
    <n v="8"/>
    <n v="80"/>
    <m/>
    <n v="640"/>
    <x v="0"/>
    <n v="77"/>
    <n v="55.2"/>
    <n v="441.6"/>
    <n v="454.84800000000001"/>
    <n v="185.15199999999999"/>
    <n v="0"/>
    <x v="22"/>
    <x v="0"/>
    <e v="#REF!"/>
    <e v="#REF!"/>
    <s v=""/>
    <n v="0.2893"/>
  </r>
  <r>
    <x v="8"/>
    <x v="211"/>
    <x v="0"/>
    <x v="177"/>
    <m/>
    <m/>
    <s v="RUBBER_INSULATION, M-FLEX 1/2&quot; 3/8"/>
    <s v="IM-000231"/>
    <n v="8"/>
    <n v="60"/>
    <m/>
    <n v="480"/>
    <x v="0"/>
    <n v="53"/>
    <n v="37.6"/>
    <n v="300.8"/>
    <n v="309.82400000000001"/>
    <n v="170.17599999999999"/>
    <n v="0"/>
    <x v="22"/>
    <x v="0"/>
    <e v="#REF!"/>
    <e v="#REF!"/>
    <s v=""/>
    <n v="0.35453333333333331"/>
  </r>
  <r>
    <x v="8"/>
    <x v="211"/>
    <x v="0"/>
    <x v="177"/>
    <m/>
    <m/>
    <s v="RUBBER_INSULATION, M-FLEX 1/2&quot; 1/2"/>
    <s v="IM-000227"/>
    <n v="4"/>
    <n v="70"/>
    <m/>
    <n v="280"/>
    <x v="0"/>
    <n v="65"/>
    <n v="46.4"/>
    <n v="185.6"/>
    <n v="191.16800000000001"/>
    <n v="88.831999999999994"/>
    <n v="0"/>
    <x v="22"/>
    <x v="0"/>
    <e v="#REF!"/>
    <e v="#REF!"/>
    <s v=""/>
    <n v="0.31725714285714285"/>
  </r>
  <r>
    <x v="8"/>
    <x v="211"/>
    <x v="0"/>
    <x v="177"/>
    <m/>
    <m/>
    <s v="RUBBER_INSULATION, M-FLEX 1/2&quot; 1/4"/>
    <s v="IM-000229"/>
    <n v="4"/>
    <n v="50"/>
    <m/>
    <n v="200"/>
    <x v="0"/>
    <n v="47"/>
    <n v="33.6"/>
    <n v="134.4"/>
    <n v="138.43200000000002"/>
    <n v="61.567999999999984"/>
    <n v="0"/>
    <x v="22"/>
    <x v="0"/>
    <e v="#REF!"/>
    <e v="#REF!"/>
    <s v=""/>
    <n v="0.30783999999999989"/>
  </r>
  <r>
    <x v="8"/>
    <x v="211"/>
    <x v="0"/>
    <x v="177"/>
    <m/>
    <m/>
    <s v="TAPE_PE, PICUS Polythelene Tape (White)X 4&quot;"/>
    <s v="IM-000247"/>
    <n v="8"/>
    <n v="125"/>
    <m/>
    <n v="1000"/>
    <x v="0"/>
    <n v="147"/>
    <n v="75"/>
    <n v="600"/>
    <n v="618"/>
    <n v="382"/>
    <n v="0"/>
    <x v="29"/>
    <x v="0"/>
    <e v="#REF!"/>
    <e v="#REF!"/>
    <s v=""/>
    <n v="0.38200000000000001"/>
  </r>
  <r>
    <x v="8"/>
    <x v="211"/>
    <x v="0"/>
    <x v="177"/>
    <m/>
    <m/>
    <s v="RUBBER_INSULATION, M-FLEX 3/8&quot; X 7/8"/>
    <s v="IM-000245"/>
    <n v="6"/>
    <n v="65"/>
    <m/>
    <n v="390"/>
    <x v="0"/>
    <n v="55"/>
    <n v="39.200000000000003"/>
    <n v="235.20000000000002"/>
    <n v="242.25600000000003"/>
    <n v="147.74399999999997"/>
    <n v="0"/>
    <x v="22"/>
    <x v="0"/>
    <e v="#REF!"/>
    <e v="#REF!"/>
    <s v=""/>
    <n v="0.37883076923076914"/>
  </r>
  <r>
    <x v="8"/>
    <x v="211"/>
    <x v="0"/>
    <x v="177"/>
    <m/>
    <m/>
    <s v="MAPP_GAS, Gazz Pro (Winterpine) TORCH GAS"/>
    <s v="IM-000310"/>
    <n v="1"/>
    <n v="380"/>
    <m/>
    <n v="380"/>
    <x v="0"/>
    <n v="451"/>
    <n v="250"/>
    <n v="250"/>
    <n v="257.5"/>
    <n v="122.5"/>
    <n v="0"/>
    <x v="45"/>
    <x v="0"/>
    <e v="#REF!"/>
    <e v="#REF!"/>
    <s v=""/>
    <n v="0.32236842105263158"/>
  </r>
  <r>
    <x v="8"/>
    <x v="211"/>
    <x v="0"/>
    <x v="177"/>
    <m/>
    <m/>
    <s v="ROD, HARRIS SILVER "/>
    <s v="IM-000098"/>
    <n v="4"/>
    <n v="35"/>
    <m/>
    <n v="140"/>
    <x v="0"/>
    <n v="30"/>
    <n v="19"/>
    <n v="76"/>
    <n v="78.28"/>
    <n v="61.72"/>
    <n v="0"/>
    <x v="56"/>
    <x v="0"/>
    <e v="#REF!"/>
    <e v="#REF!"/>
    <s v=""/>
    <n v="0.44085714285714284"/>
  </r>
  <r>
    <x v="8"/>
    <x v="211"/>
    <x v="0"/>
    <x v="177"/>
    <m/>
    <m/>
    <s v="ELECTRICAL CIRCUIT_BREAKER, AMERICA 20 AMP, 2P"/>
    <s v="GE-000469"/>
    <n v="1"/>
    <n v="450"/>
    <m/>
    <n v="450"/>
    <x v="0"/>
    <n v="380"/>
    <n v="190"/>
    <n v="190"/>
    <n v="199.5"/>
    <n v="250.5"/>
    <n v="0"/>
    <x v="59"/>
    <x v="1"/>
    <e v="#REF!"/>
    <e v="#REF!"/>
    <s v=""/>
    <n v="0.55666666666666664"/>
  </r>
  <r>
    <x v="8"/>
    <x v="211"/>
    <x v="0"/>
    <x v="177"/>
    <m/>
    <m/>
    <s v="ELECTRICAL CIRCUIT_BREAKER, AMERICA 30 AMP, 2P"/>
    <s v="GE-000470"/>
    <n v="1"/>
    <n v="450"/>
    <m/>
    <n v="450"/>
    <x v="0"/>
    <n v="380"/>
    <n v="190"/>
    <n v="190"/>
    <n v="199.5"/>
    <n v="250.5"/>
    <n v="0"/>
    <x v="59"/>
    <x v="1"/>
    <e v="#REF!"/>
    <e v="#REF!"/>
    <s v=""/>
    <n v="0.55666666666666664"/>
  </r>
  <r>
    <x v="8"/>
    <x v="211"/>
    <x v="0"/>
    <x v="177"/>
    <m/>
    <m/>
    <s v="ELECTRICAL_PANEL, AMERICA NEMA 3R, 2P"/>
    <s v="GE-000418"/>
    <n v="2"/>
    <n v="500"/>
    <m/>
    <n v="1000"/>
    <x v="0"/>
    <n v="478"/>
    <n v="260"/>
    <n v="520"/>
    <n v="546"/>
    <n v="454"/>
    <n v="0"/>
    <x v="39"/>
    <x v="1"/>
    <e v="#REF!"/>
    <e v="#REF!"/>
    <s v=""/>
    <n v="0.45400000000000001"/>
  </r>
  <r>
    <x v="8"/>
    <x v="211"/>
    <x v="0"/>
    <x v="177"/>
    <m/>
    <m/>
    <s v="ROYAL CORD, POWERFLEX 4-CORE, #16 1.2 MM, METER"/>
    <s v="GE-000485"/>
    <n v="16"/>
    <n v="125"/>
    <m/>
    <n v="2000"/>
    <x v="0"/>
    <n v="90"/>
    <n v="72"/>
    <n v="1152"/>
    <n v="1209.6000000000001"/>
    <n v="790.39999999999986"/>
    <n v="0"/>
    <x v="48"/>
    <x v="1"/>
    <e v="#REF!"/>
    <e v="#REF!"/>
    <s v=""/>
    <n v="0.39519999999999994"/>
  </r>
  <r>
    <x v="8"/>
    <x v="211"/>
    <x v="0"/>
    <x v="177"/>
    <m/>
    <m/>
    <s v="FITTINGS, COPPER ELBOW 5/8 LR"/>
    <s v="IM-000087"/>
    <n v="1"/>
    <n v="75"/>
    <m/>
    <n v="75"/>
    <x v="0"/>
    <n v="55"/>
    <n v="30"/>
    <n v="30"/>
    <n v="30.900000000000002"/>
    <n v="44.099999999999994"/>
    <n v="0"/>
    <x v="33"/>
    <x v="0"/>
    <e v="#REF!"/>
    <e v="#REF!"/>
    <s v=""/>
    <n v="0.58799999999999997"/>
  </r>
  <r>
    <x v="8"/>
    <x v="212"/>
    <x v="7"/>
    <x v="135"/>
    <m/>
    <m/>
    <m/>
    <s v=""/>
    <m/>
    <m/>
    <m/>
    <n v="0"/>
    <x v="0"/>
    <n v="0"/>
    <n v="0"/>
    <n v="0"/>
    <n v="0"/>
    <n v="0"/>
    <n v="0"/>
    <x v="13"/>
    <x v="3"/>
    <s v=""/>
    <s v=""/>
    <s v=""/>
    <n v="0"/>
  </r>
  <r>
    <x v="8"/>
    <x v="213"/>
    <x v="2"/>
    <x v="7"/>
    <m/>
    <m/>
    <s v="AUXFAN_MOTOR, SUZUKI ERTIGA 0260   2019-2022"/>
    <s v="CA-001853"/>
    <n v="1"/>
    <n v="2000"/>
    <m/>
    <n v="2000"/>
    <x v="0"/>
    <n v="2665"/>
    <n v="1450"/>
    <n v="1450"/>
    <n v="1522.5"/>
    <n v="477.5"/>
    <n v="143.25"/>
    <x v="14"/>
    <x v="2"/>
    <e v="#REF!"/>
    <e v="#REF!"/>
    <s v=""/>
    <n v="0.23874999999999999"/>
  </r>
  <r>
    <x v="8"/>
    <x v="213"/>
    <x v="2"/>
    <x v="9"/>
    <m/>
    <m/>
    <s v="EVAPORATOR, ISUZU MUX/D-MAX 2013"/>
    <s v="CA-000500"/>
    <n v="1"/>
    <n v="2000"/>
    <m/>
    <n v="2000"/>
    <x v="0"/>
    <n v="2481"/>
    <n v="1350"/>
    <n v="1350"/>
    <n v="1417.5"/>
    <n v="582.5"/>
    <n v="174.75"/>
    <x v="10"/>
    <x v="2"/>
    <e v="#REF!"/>
    <e v="#REF!"/>
    <s v=""/>
    <n v="0.29125000000000001"/>
  </r>
  <r>
    <x v="8"/>
    <x v="213"/>
    <x v="2"/>
    <x v="9"/>
    <m/>
    <m/>
    <s v="EVAPORATOR, CHEVROLET TRAILBLAZER REAR"/>
    <s v="CA-001379"/>
    <n v="1"/>
    <n v="2000"/>
    <m/>
    <n v="2000"/>
    <x v="0"/>
    <n v="2665"/>
    <n v="1450"/>
    <n v="1450"/>
    <n v="1522.5"/>
    <n v="477.5"/>
    <n v="143.25"/>
    <x v="10"/>
    <x v="2"/>
    <e v="#REF!"/>
    <e v="#REF!"/>
    <s v=""/>
    <n v="0.23874999999999999"/>
  </r>
  <r>
    <x v="8"/>
    <x v="213"/>
    <x v="2"/>
    <x v="9"/>
    <m/>
    <m/>
    <s v="EXP. VALVE LT, POKKA 9A60 / 9A233 EXTRAIL"/>
    <s v="CA-001829"/>
    <n v="1"/>
    <n v="550"/>
    <m/>
    <n v="550"/>
    <x v="0"/>
    <n v="478"/>
    <n v="260"/>
    <n v="260"/>
    <n v="273"/>
    <n v="277"/>
    <n v="83.1"/>
    <x v="23"/>
    <x v="2"/>
    <e v="#REF!"/>
    <e v="#REF!"/>
    <s v=""/>
    <n v="0.50363636363636366"/>
  </r>
  <r>
    <x v="8"/>
    <x v="213"/>
    <x v="0"/>
    <x v="11"/>
    <m/>
    <m/>
    <s v="EXP. VALVE LT, POKKA 9A62 ADVENTURE"/>
    <s v="CA-001413"/>
    <n v="1"/>
    <n v="550"/>
    <m/>
    <n v="550"/>
    <x v="0"/>
    <n v="478"/>
    <n v="260"/>
    <n v="260"/>
    <n v="273"/>
    <n v="277"/>
    <n v="0"/>
    <x v="23"/>
    <x v="2"/>
    <e v="#REF!"/>
    <e v="#REF!"/>
    <s v=""/>
    <n v="0.50363636363636366"/>
  </r>
  <r>
    <x v="8"/>
    <x v="213"/>
    <x v="0"/>
    <x v="11"/>
    <m/>
    <n v="350"/>
    <s v="CABIN_FILTER, HONDA MEDIUM"/>
    <s v="CA-001679"/>
    <n v="1"/>
    <n v="313"/>
    <m/>
    <n v="313"/>
    <x v="0"/>
    <n v="315"/>
    <n v="100"/>
    <n v="100"/>
    <n v="105"/>
    <n v="208"/>
    <n v="0"/>
    <x v="12"/>
    <x v="2"/>
    <e v="#REF!"/>
    <e v="#REF!"/>
    <n v="350.56000000000006"/>
    <n v="0.66453674121405748"/>
  </r>
  <r>
    <x v="8"/>
    <x v="213"/>
    <x v="0"/>
    <x v="1"/>
    <m/>
    <m/>
    <s v="BRACKET , ROBYN STEEL  1HP, COATED  (ISHABELLA)"/>
    <s v="IM-000330"/>
    <n v="1"/>
    <n v="360"/>
    <m/>
    <n v="360"/>
    <x v="0"/>
    <n v="352"/>
    <n v="195"/>
    <n v="195"/>
    <n v="200.85"/>
    <n v="159.15"/>
    <n v="0"/>
    <x v="1"/>
    <x v="0"/>
    <e v="#REF!"/>
    <e v="#REF!"/>
    <s v=""/>
    <n v="0.44208333333333333"/>
  </r>
  <r>
    <x v="8"/>
    <x v="213"/>
    <x v="0"/>
    <x v="11"/>
    <m/>
    <m/>
    <s v="ACTUATOR GOLD, PORCH "/>
    <s v="CA-000008"/>
    <n v="1"/>
    <n v="450"/>
    <m/>
    <n v="450"/>
    <x v="0"/>
    <n v="347"/>
    <n v="110"/>
    <n v="110"/>
    <n v="115.5"/>
    <n v="334.5"/>
    <n v="0"/>
    <x v="88"/>
    <x v="2"/>
    <e v="#REF!"/>
    <e v="#REF!"/>
    <s v=""/>
    <n v="0.74333333333333329"/>
  </r>
  <r>
    <x v="8"/>
    <x v="213"/>
    <x v="0"/>
    <x v="11"/>
    <m/>
    <m/>
    <s v="HOSE, COOLMATE 1/2 DISCHARGE PER FT"/>
    <s v="GE-000179"/>
    <n v="1.5"/>
    <n v="90"/>
    <m/>
    <n v="135"/>
    <x v="0"/>
    <n v="80"/>
    <n v="43"/>
    <n v="64.5"/>
    <n v="67.725000000000009"/>
    <n v="67.274999999999991"/>
    <n v="0"/>
    <x v="19"/>
    <x v="1"/>
    <e v="#REF!"/>
    <e v="#REF!"/>
    <s v=""/>
    <n v="0.49833333333333329"/>
  </r>
  <r>
    <x v="8"/>
    <x v="213"/>
    <x v="0"/>
    <x v="11"/>
    <m/>
    <m/>
    <s v="FERULLE,  1/2&quot;"/>
    <s v="CA-000644"/>
    <n v="2"/>
    <n v="15"/>
    <m/>
    <n v="30"/>
    <x v="0"/>
    <n v="13"/>
    <n v="7"/>
    <n v="14"/>
    <n v="14.700000000000001"/>
    <n v="15.299999999999999"/>
    <n v="0"/>
    <x v="42"/>
    <x v="2"/>
    <e v="#REF!"/>
    <e v="#REF!"/>
    <s v=""/>
    <n v="0.51"/>
  </r>
  <r>
    <x v="8"/>
    <x v="213"/>
    <x v="0"/>
    <x v="11"/>
    <m/>
    <m/>
    <s v="FITTINGS, STRAIGHT FLARE TYPE 1/2"/>
    <s v="CA-000671"/>
    <n v="2"/>
    <n v="40"/>
    <m/>
    <n v="80"/>
    <x v="0"/>
    <n v="30"/>
    <n v="16"/>
    <n v="32"/>
    <n v="33.6"/>
    <n v="46.4"/>
    <n v="0"/>
    <x v="33"/>
    <x v="2"/>
    <e v="#REF!"/>
    <e v="#REF!"/>
    <s v=""/>
    <n v="0.57999999999999996"/>
  </r>
  <r>
    <x v="8"/>
    <x v="213"/>
    <x v="0"/>
    <x v="23"/>
    <m/>
    <m/>
    <s v="EVAPORATOR, TOYOTA RUSH  40A507"/>
    <s v="CA-001613"/>
    <n v="1"/>
    <n v="2100"/>
    <m/>
    <n v="2100"/>
    <x v="0"/>
    <n v="2665"/>
    <n v="1450"/>
    <n v="1450"/>
    <n v="1522.5"/>
    <n v="577.5"/>
    <n v="0"/>
    <x v="10"/>
    <x v="2"/>
    <e v="#REF!"/>
    <e v="#REF!"/>
    <s v=""/>
    <n v="0.27500000000000002"/>
  </r>
  <r>
    <x v="8"/>
    <x v="213"/>
    <x v="7"/>
    <x v="135"/>
    <m/>
    <m/>
    <m/>
    <s v=""/>
    <m/>
    <m/>
    <m/>
    <n v="0"/>
    <x v="0"/>
    <n v="0"/>
    <n v="0"/>
    <n v="0"/>
    <n v="0"/>
    <n v="0"/>
    <n v="0"/>
    <x v="13"/>
    <x v="3"/>
    <s v=""/>
    <s v=""/>
    <s v=""/>
    <n v="0"/>
  </r>
  <r>
    <x v="8"/>
    <x v="214"/>
    <x v="0"/>
    <x v="23"/>
    <m/>
    <m/>
    <s v="AUXFAN_MOTOR, SUZUKI ERTIGA 0260   2019-2022"/>
    <s v="CA-001853"/>
    <n v="1"/>
    <n v="2000"/>
    <m/>
    <n v="2000"/>
    <x v="0"/>
    <n v="2665"/>
    <n v="1450"/>
    <n v="1450"/>
    <n v="1522.5"/>
    <n v="477.5"/>
    <n v="0"/>
    <x v="14"/>
    <x v="2"/>
    <e v="#REF!"/>
    <e v="#REF!"/>
    <s v=""/>
    <n v="0.23874999999999999"/>
  </r>
  <r>
    <x v="8"/>
    <x v="214"/>
    <x v="0"/>
    <x v="1"/>
    <m/>
    <m/>
    <s v="AC FILTER DRIER , WELL-COOL 3/8  SOLDER TYPE 163 S"/>
    <s v="GE-000495"/>
    <n v="1"/>
    <n v="650"/>
    <m/>
    <n v="650"/>
    <x v="0"/>
    <n v="564"/>
    <n v="195"/>
    <n v="195"/>
    <n v="204.75"/>
    <n v="445.25"/>
    <n v="0"/>
    <x v="66"/>
    <x v="1"/>
    <e v="#REF!"/>
    <e v="#REF!"/>
    <s v=""/>
    <n v="0.68500000000000005"/>
  </r>
  <r>
    <x v="8"/>
    <x v="214"/>
    <x v="6"/>
    <x v="159"/>
    <m/>
    <m/>
    <s v="SILICA_GEL, DENSO SHORT"/>
    <s v="CA-001229"/>
    <n v="2"/>
    <n v="230"/>
    <m/>
    <n v="460"/>
    <x v="0"/>
    <n v="120"/>
    <n v="60"/>
    <n v="120"/>
    <n v="126"/>
    <n v="334"/>
    <n v="100.2"/>
    <x v="37"/>
    <x v="2"/>
    <e v="#REF!"/>
    <e v="#REF!"/>
    <s v=""/>
    <n v="0.72608695652173916"/>
  </r>
  <r>
    <x v="8"/>
    <x v="214"/>
    <x v="2"/>
    <x v="22"/>
    <m/>
    <m/>
    <s v="BLOWER_MOTOR, HONDA CIVIC 2003"/>
    <s v="CA-000150"/>
    <n v="1"/>
    <n v="1700"/>
    <m/>
    <n v="1700"/>
    <x v="0"/>
    <n v="2389"/>
    <n v="1300"/>
    <n v="1300"/>
    <n v="1365"/>
    <n v="335"/>
    <n v="100.5"/>
    <x v="15"/>
    <x v="2"/>
    <e v="#REF!"/>
    <e v="#REF!"/>
    <s v=""/>
    <n v="0.19705882352941176"/>
  </r>
  <r>
    <x v="8"/>
    <x v="214"/>
    <x v="0"/>
    <x v="26"/>
    <m/>
    <m/>
    <s v="COPPER_TUBE_SOFTDRAWN, HAILIANG 0.028 X 1/4 x 15 mtr  08/03/26"/>
    <s v="IM-000333"/>
    <n v="1"/>
    <n v="1950"/>
    <m/>
    <n v="1950"/>
    <x v="0"/>
    <n v="3063"/>
    <n v="1699"/>
    <n v="1699"/>
    <n v="1749.97"/>
    <n v="200.02999999999997"/>
    <n v="0"/>
    <x v="0"/>
    <x v="0"/>
    <e v="#REF!"/>
    <e v="#REF!"/>
    <s v=""/>
    <n v="0.10257948717948717"/>
  </r>
  <r>
    <x v="8"/>
    <x v="214"/>
    <x v="0"/>
    <x v="26"/>
    <m/>
    <m/>
    <s v="COPPER_TUBE_SOFTDRAWN, HAILIANG 0.028 X 1/2 x 15 mtr 06/02/26"/>
    <s v="IM-000328"/>
    <n v="1"/>
    <n v="3950"/>
    <m/>
    <n v="3950"/>
    <x v="0"/>
    <n v="6554"/>
    <n v="3636"/>
    <n v="3636"/>
    <n v="3745.08"/>
    <n v="204.92000000000007"/>
    <n v="0"/>
    <x v="0"/>
    <x v="0"/>
    <e v="#REF!"/>
    <e v="#REF!"/>
    <s v=""/>
    <n v="5.1878481012658247E-2"/>
  </r>
  <r>
    <x v="8"/>
    <x v="214"/>
    <x v="0"/>
    <x v="26"/>
    <m/>
    <m/>
    <s v="COPPER_TUBE_SOFTDRAWN, HAILIANG 0.028 X 3/8 x 15 mtr 06/02/26"/>
    <s v="IM-000327"/>
    <n v="1"/>
    <n v="2950"/>
    <m/>
    <n v="2950"/>
    <x v="0"/>
    <n v="4774"/>
    <n v="2648"/>
    <n v="2648"/>
    <n v="2727.44"/>
    <n v="222.55999999999995"/>
    <n v="0"/>
    <x v="0"/>
    <x v="0"/>
    <e v="#REF!"/>
    <e v="#REF!"/>
    <s v=""/>
    <n v="7.5444067796610156E-2"/>
  </r>
  <r>
    <x v="8"/>
    <x v="214"/>
    <x v="0"/>
    <x v="26"/>
    <m/>
    <m/>
    <s v="RUBBER_INSULATION, M-FLEX 3/4&quot; X 3/4"/>
    <s v="IM-000240"/>
    <n v="10"/>
    <n v="150"/>
    <m/>
    <n v="1500"/>
    <x v="0"/>
    <n v="151"/>
    <n v="108"/>
    <n v="1080"/>
    <n v="1112.4000000000001"/>
    <n v="387.59999999999991"/>
    <n v="0"/>
    <x v="22"/>
    <x v="0"/>
    <e v="#REF!"/>
    <e v="#REF!"/>
    <s v=""/>
    <n v="0.25839999999999996"/>
  </r>
  <r>
    <x v="8"/>
    <x v="214"/>
    <x v="0"/>
    <x v="26"/>
    <m/>
    <m/>
    <s v="TAPE_PE, PICUS Polythelene Tape (White)X 4&quot;"/>
    <s v="IM-000247"/>
    <n v="10"/>
    <n v="125"/>
    <m/>
    <n v="1250"/>
    <x v="0"/>
    <n v="147"/>
    <n v="75"/>
    <n v="750"/>
    <n v="772.5"/>
    <n v="477.5"/>
    <n v="0"/>
    <x v="29"/>
    <x v="0"/>
    <e v="#REF!"/>
    <e v="#REF!"/>
    <m/>
    <n v="0.38200000000000001"/>
  </r>
  <r>
    <x v="8"/>
    <x v="214"/>
    <x v="0"/>
    <x v="26"/>
    <m/>
    <m/>
    <s v="TAPE ELECTRICAL, ARMAK 0.16 MM X 19 MM X 16 M 04/25/26"/>
    <s v="GE-000491"/>
    <n v="5"/>
    <n v="55"/>
    <m/>
    <n v="275"/>
    <x v="0"/>
    <n v="73"/>
    <n v="42"/>
    <n v="210"/>
    <n v="220.5"/>
    <n v="54.5"/>
    <n v="0"/>
    <x v="50"/>
    <x v="1"/>
    <e v="#REF!"/>
    <e v="#REF!"/>
    <m/>
    <n v="0.19818181818181818"/>
  </r>
  <r>
    <x v="8"/>
    <x v="214"/>
    <x v="2"/>
    <x v="22"/>
    <m/>
    <m/>
    <s v="PULLEY_ASSEMBLY, FORD ESCAPE 2.3"/>
    <s v="CA-000978"/>
    <n v="1"/>
    <n v="2100"/>
    <m/>
    <n v="2100"/>
    <x v="0"/>
    <n v="2940"/>
    <n v="1600"/>
    <n v="1600"/>
    <n v="1680"/>
    <n v="420"/>
    <n v="126"/>
    <x v="11"/>
    <x v="2"/>
    <e v="#REF!"/>
    <e v="#REF!"/>
    <m/>
    <n v="0.2"/>
  </r>
  <r>
    <x v="8"/>
    <x v="214"/>
    <x v="2"/>
    <x v="7"/>
    <m/>
    <n v="2100"/>
    <s v="EVAPORATOR, ISUZU TRAVIS / NHR LT HS -40A506"/>
    <s v="CA-001835"/>
    <n v="1"/>
    <n v="1875"/>
    <m/>
    <n v="1875"/>
    <x v="0"/>
    <n v="2481"/>
    <n v="1350"/>
    <n v="1350"/>
    <n v="1417.5"/>
    <n v="457.5"/>
    <n v="137.25"/>
    <x v="10"/>
    <x v="2"/>
    <e v="#REF!"/>
    <e v="#REF!"/>
    <m/>
    <n v="0.24399999999999999"/>
  </r>
  <r>
    <x v="8"/>
    <x v="214"/>
    <x v="0"/>
    <x v="34"/>
    <m/>
    <m/>
    <s v="REFRIGERANT, ENTALPIA EUROPE R410A 13.6   6/16/26 "/>
    <s v="GE-000519"/>
    <n v="1"/>
    <n v="7500"/>
    <m/>
    <n v="7500"/>
    <x v="0"/>
    <n v="8792"/>
    <n v="6441"/>
    <n v="6441"/>
    <n v="6763.05"/>
    <n v="736.94999999999982"/>
    <n v="0"/>
    <x v="5"/>
    <x v="1"/>
    <e v="#REF!"/>
    <e v="#REF!"/>
    <m/>
    <n v="9.8259999999999972E-2"/>
  </r>
  <r>
    <x v="8"/>
    <x v="214"/>
    <x v="0"/>
    <x v="62"/>
    <m/>
    <m/>
    <s v="REFRIGERANT, FU RYDER R600A CAN, 220 GRAMS"/>
    <s v="GE-000032"/>
    <n v="1"/>
    <n v="180"/>
    <m/>
    <n v="180"/>
    <x v="0"/>
    <n v="177"/>
    <n v="70"/>
    <n v="70"/>
    <n v="73.5"/>
    <n v="106.5"/>
    <n v="0"/>
    <x v="5"/>
    <x v="1"/>
    <e v="#REF!"/>
    <e v="#REF!"/>
    <m/>
    <n v="0.59166666666666667"/>
  </r>
  <r>
    <x v="8"/>
    <x v="214"/>
    <x v="0"/>
    <x v="62"/>
    <m/>
    <m/>
    <s v="ROD, HARRIS SILVER "/>
    <s v="IM-000098"/>
    <n v="2"/>
    <n v="35"/>
    <m/>
    <n v="70"/>
    <x v="0"/>
    <n v="30"/>
    <n v="19"/>
    <n v="38"/>
    <n v="39.14"/>
    <n v="30.86"/>
    <n v="0"/>
    <x v="56"/>
    <x v="0"/>
    <e v="#REF!"/>
    <e v="#REF!"/>
    <m/>
    <n v="0.44085714285714284"/>
  </r>
  <r>
    <x v="8"/>
    <x v="214"/>
    <x v="0"/>
    <x v="118"/>
    <m/>
    <m/>
    <s v="EVAPORATOR, FORD EVEREST (F) HS-40A205"/>
    <s v="CA-000465"/>
    <n v="1"/>
    <n v="2300"/>
    <m/>
    <n v="2300"/>
    <x v="0"/>
    <n v="2665"/>
    <n v="1450"/>
    <n v="1450"/>
    <n v="1522.5"/>
    <n v="777.5"/>
    <n v="0"/>
    <x v="10"/>
    <x v="2"/>
    <e v="#REF!"/>
    <e v="#REF!"/>
    <m/>
    <n v="0.33804347826086956"/>
  </r>
  <r>
    <x v="8"/>
    <x v="215"/>
    <x v="6"/>
    <x v="159"/>
    <m/>
    <m/>
    <s v="THERMOSTAT SWITCH, MITSUBISHI L300 NEW"/>
    <s v="CA-001827"/>
    <n v="1"/>
    <n v="2600"/>
    <m/>
    <n v="2600"/>
    <x v="0"/>
    <n v="1785"/>
    <n v="850"/>
    <n v="850"/>
    <n v="892.5"/>
    <n v="1707.5"/>
    <n v="512.25"/>
    <x v="53"/>
    <x v="2"/>
    <e v="#REF!"/>
    <e v="#REF!"/>
    <m/>
    <n v="0.65673076923076923"/>
  </r>
  <r>
    <x v="8"/>
    <x v="215"/>
    <x v="0"/>
    <x v="8"/>
    <m/>
    <m/>
    <s v="HOSE, COOLMATE 5/8 SUNCTION PER FT"/>
    <s v="GE-000181"/>
    <n v="10"/>
    <n v="95"/>
    <m/>
    <n v="950"/>
    <x v="0"/>
    <n v="83"/>
    <n v="45"/>
    <n v="450"/>
    <n v="472.5"/>
    <n v="477.5"/>
    <n v="0"/>
    <x v="19"/>
    <x v="1"/>
    <e v="#REF!"/>
    <e v="#REF!"/>
    <m/>
    <n v="0.50263157894736843"/>
  </r>
  <r>
    <x v="8"/>
    <x v="215"/>
    <x v="0"/>
    <x v="8"/>
    <m/>
    <m/>
    <s v="FITTINGS, STRAIGHT ORING TYPE 5/8"/>
    <s v="CA-000677"/>
    <n v="2"/>
    <n v="40"/>
    <m/>
    <n v="80"/>
    <x v="0"/>
    <n v="30"/>
    <n v="16"/>
    <n v="32"/>
    <n v="33.6"/>
    <n v="46.4"/>
    <n v="0"/>
    <x v="33"/>
    <x v="2"/>
    <e v="#REF!"/>
    <e v="#REF!"/>
    <m/>
    <n v="0.57999999999999996"/>
  </r>
  <r>
    <x v="8"/>
    <x v="215"/>
    <x v="0"/>
    <x v="8"/>
    <m/>
    <m/>
    <s v="FERULLE,  5/8&quot;"/>
    <s v="CA-000646"/>
    <n v="2"/>
    <n v="15"/>
    <m/>
    <n v="30"/>
    <x v="0"/>
    <n v="13"/>
    <n v="7"/>
    <n v="14"/>
    <n v="14.700000000000001"/>
    <n v="15.299999999999999"/>
    <n v="0"/>
    <x v="42"/>
    <x v="2"/>
    <e v="#REF!"/>
    <e v="#REF!"/>
    <m/>
    <n v="0.51"/>
  </r>
  <r>
    <x v="8"/>
    <x v="215"/>
    <x v="0"/>
    <x v="27"/>
    <m/>
    <m/>
    <s v="COPPER_TUBE_SOFTDRAWN, HAILIANG 0.028 X 3/8 x 15 mtr 06/02/26"/>
    <s v="IM-000327"/>
    <n v="0.4"/>
    <n v="3500"/>
    <m/>
    <n v="1400"/>
    <x v="0"/>
    <n v="4774"/>
    <n v="2648"/>
    <n v="1059.2"/>
    <n v="1090.9760000000001"/>
    <n v="309.02399999999989"/>
    <n v="0"/>
    <x v="0"/>
    <x v="0"/>
    <e v="#REF!"/>
    <e v="#REF!"/>
    <m/>
    <n v="0.2207314285714285"/>
  </r>
  <r>
    <x v="8"/>
    <x v="215"/>
    <x v="0"/>
    <x v="27"/>
    <m/>
    <m/>
    <s v="COPPER_TUBE_SOFTDRAWN, HAILIANG 0.028 X 1/4 x 15 mtr  08/03/26"/>
    <s v="IM-000333"/>
    <n v="0.4"/>
    <n v="2500"/>
    <m/>
    <n v="1000"/>
    <x v="0"/>
    <n v="3063"/>
    <n v="1699"/>
    <n v="679.6"/>
    <n v="699.98800000000006"/>
    <n v="300.01199999999994"/>
    <n v="0"/>
    <x v="0"/>
    <x v="0"/>
    <e v="#REF!"/>
    <e v="#REF!"/>
    <m/>
    <n v="0.30001199999999995"/>
  </r>
  <r>
    <x v="8"/>
    <x v="215"/>
    <x v="0"/>
    <x v="27"/>
    <m/>
    <m/>
    <s v="RUBBER_INSULATION, M-FLEX 1/2&quot; 3/8"/>
    <s v="IM-000231"/>
    <n v="2"/>
    <n v="60"/>
    <m/>
    <n v="120"/>
    <x v="0"/>
    <n v="53"/>
    <n v="37.6"/>
    <n v="75.2"/>
    <n v="77.456000000000003"/>
    <n v="42.543999999999997"/>
    <n v="0"/>
    <x v="22"/>
    <x v="0"/>
    <e v="#REF!"/>
    <e v="#REF!"/>
    <m/>
    <n v="0.35453333333333331"/>
  </r>
  <r>
    <x v="8"/>
    <x v="215"/>
    <x v="0"/>
    <x v="27"/>
    <m/>
    <m/>
    <s v="RUBBER_INSULATION, M-FLEX 1/2&quot; 1/4"/>
    <s v="IM-000229"/>
    <n v="2"/>
    <n v="50"/>
    <m/>
    <n v="100"/>
    <x v="0"/>
    <n v="47"/>
    <n v="33.6"/>
    <n v="67.2"/>
    <n v="69.216000000000008"/>
    <n v="30.783999999999992"/>
    <n v="0"/>
    <x v="22"/>
    <x v="0"/>
    <e v="#REF!"/>
    <e v="#REF!"/>
    <m/>
    <n v="0.30783999999999989"/>
  </r>
  <r>
    <x v="8"/>
    <x v="215"/>
    <x v="0"/>
    <x v="27"/>
    <m/>
    <m/>
    <s v="TAPE_PE, PICUS Polythelene Tape (White)X 4&quot;"/>
    <s v="IM-000247"/>
    <n v="1"/>
    <n v="125"/>
    <m/>
    <n v="125"/>
    <x v="0"/>
    <n v="147"/>
    <n v="75"/>
    <n v="75"/>
    <n v="77.25"/>
    <n v="47.75"/>
    <n v="0"/>
    <x v="29"/>
    <x v="0"/>
    <e v="#REF!"/>
    <e v="#REF!"/>
    <m/>
    <n v="0.38200000000000001"/>
  </r>
  <r>
    <x v="8"/>
    <x v="215"/>
    <x v="0"/>
    <x v="27"/>
    <m/>
    <m/>
    <s v="TAPE_FOAM, AEROTAPE 3MM X 50 MM X 9.1 MTR  06/18/26"/>
    <s v="IM-000332"/>
    <n v="1"/>
    <n v="430"/>
    <m/>
    <n v="430"/>
    <x v="0"/>
    <m/>
    <m/>
    <n v="0"/>
    <n v="0"/>
    <n v="430"/>
    <n v="0"/>
    <x v="25"/>
    <x v="0"/>
    <e v="#REF!"/>
    <e v="#REF!"/>
    <m/>
    <n v="1"/>
  </r>
  <r>
    <x v="8"/>
    <x v="215"/>
    <x v="0"/>
    <x v="27"/>
    <m/>
    <m/>
    <s v="BRACKET , ROBYN STEEL  1HP, COATED  (ISHABELLA)"/>
    <s v="IM-000330"/>
    <n v="1"/>
    <n v="360"/>
    <m/>
    <n v="360"/>
    <x v="0"/>
    <n v="352"/>
    <n v="195"/>
    <n v="195"/>
    <n v="200.85"/>
    <n v="159.15"/>
    <n v="0"/>
    <x v="1"/>
    <x v="0"/>
    <e v="#REF!"/>
    <e v="#REF!"/>
    <m/>
    <n v="0.44208333333333333"/>
  </r>
  <r>
    <x v="8"/>
    <x v="215"/>
    <x v="0"/>
    <x v="19"/>
    <m/>
    <m/>
    <s v="ROYAL CORD, POWERFLEX 4-CORE, #16 1.2 MM, METER"/>
    <s v="GE-000485"/>
    <n v="8"/>
    <n v="125"/>
    <m/>
    <n v="1000"/>
    <x v="0"/>
    <n v="90"/>
    <n v="72"/>
    <n v="576"/>
    <n v="604.80000000000007"/>
    <n v="395.19999999999993"/>
    <n v="0"/>
    <x v="48"/>
    <x v="1"/>
    <e v="#REF!"/>
    <e v="#REF!"/>
    <m/>
    <n v="0.39519999999999994"/>
  </r>
  <r>
    <x v="8"/>
    <x v="215"/>
    <x v="0"/>
    <x v="19"/>
    <m/>
    <m/>
    <s v="HOSE,  DRAIN 3/4 PER METER"/>
    <s v="GE-000001"/>
    <n v="4"/>
    <n v="80"/>
    <m/>
    <n v="320"/>
    <x v="0"/>
    <n v="63"/>
    <n v="34"/>
    <n v="136"/>
    <n v="142.80000000000001"/>
    <n v="177.2"/>
    <n v="0"/>
    <x v="19"/>
    <x v="1"/>
    <e v="#REF!"/>
    <e v="#REF!"/>
    <m/>
    <n v="0.55374999999999996"/>
  </r>
  <r>
    <x v="8"/>
    <x v="215"/>
    <x v="0"/>
    <x v="19"/>
    <m/>
    <m/>
    <s v="BOLT &amp; NUT, DYNABOLT 5/16&quot;"/>
    <s v="GE-000397"/>
    <n v="4"/>
    <n v="20"/>
    <m/>
    <n v="80"/>
    <x v="0"/>
    <n v="14"/>
    <n v="6.5"/>
    <n v="26"/>
    <n v="27.3"/>
    <n v="52.7"/>
    <n v="0"/>
    <x v="57"/>
    <x v="1"/>
    <e v="#REF!"/>
    <e v="#REF!"/>
    <m/>
    <n v="0.65875000000000006"/>
  </r>
  <r>
    <x v="8"/>
    <x v="215"/>
    <x v="0"/>
    <x v="11"/>
    <m/>
    <m/>
    <s v="HOSE, COOLMATE 1/2 DISCHARGE PER FT"/>
    <s v="GE-000179"/>
    <n v="1.5"/>
    <n v="90"/>
    <m/>
    <n v="135"/>
    <x v="0"/>
    <n v="80"/>
    <n v="43"/>
    <n v="64.5"/>
    <n v="67.725000000000009"/>
    <n v="67.274999999999991"/>
    <n v="0"/>
    <x v="19"/>
    <x v="1"/>
    <e v="#REF!"/>
    <e v="#REF!"/>
    <m/>
    <n v="0.49833333333333329"/>
  </r>
  <r>
    <x v="8"/>
    <x v="215"/>
    <x v="0"/>
    <x v="11"/>
    <m/>
    <m/>
    <s v="HOSE, COOLMATE 5/8 SUNCTION PER FT"/>
    <s v="GE-000181"/>
    <n v="4.5"/>
    <n v="95"/>
    <m/>
    <n v="427.5"/>
    <x v="0"/>
    <n v="83"/>
    <n v="45"/>
    <n v="202.5"/>
    <n v="212.625"/>
    <n v="214.875"/>
    <n v="0"/>
    <x v="19"/>
    <x v="1"/>
    <e v="#REF!"/>
    <e v="#REF!"/>
    <m/>
    <n v="0.50263157894736843"/>
  </r>
  <r>
    <x v="8"/>
    <x v="215"/>
    <x v="0"/>
    <x v="11"/>
    <m/>
    <m/>
    <s v="FITTINGS, STRAIGHT 134A WITH VALVE 5/8"/>
    <s v="CA-000670"/>
    <n v="1"/>
    <n v="110"/>
    <m/>
    <n v="110"/>
    <x v="0"/>
    <n v="103"/>
    <n v="56"/>
    <n v="56"/>
    <n v="58.800000000000004"/>
    <n v="51.199999999999996"/>
    <n v="0"/>
    <x v="33"/>
    <x v="2"/>
    <e v="#REF!"/>
    <e v="#REF!"/>
    <m/>
    <n v="0.4654545454545454"/>
  </r>
  <r>
    <x v="8"/>
    <x v="215"/>
    <x v="0"/>
    <x v="11"/>
    <m/>
    <m/>
    <s v="FITTINGS, STRAIGHT ORING TYPE 1/2"/>
    <s v="CA-000674"/>
    <n v="2"/>
    <n v="40"/>
    <m/>
    <n v="80"/>
    <x v="0"/>
    <n v="30"/>
    <n v="16"/>
    <n v="32"/>
    <n v="33.6"/>
    <n v="46.4"/>
    <n v="0"/>
    <x v="33"/>
    <x v="2"/>
    <e v="#REF!"/>
    <e v="#REF!"/>
    <m/>
    <n v="0.57999999999999996"/>
  </r>
  <r>
    <x v="8"/>
    <x v="215"/>
    <x v="0"/>
    <x v="11"/>
    <m/>
    <m/>
    <s v="FITTINGS, ELBOW ORING TYPE  5/16"/>
    <s v="CA-000660"/>
    <n v="2"/>
    <n v="45"/>
    <m/>
    <n v="90"/>
    <x v="0"/>
    <n v="27"/>
    <n v="14.5"/>
    <n v="29"/>
    <n v="30.450000000000003"/>
    <n v="59.55"/>
    <n v="0"/>
    <x v="33"/>
    <x v="2"/>
    <e v="#REF!"/>
    <e v="#REF!"/>
    <m/>
    <n v="0.66166666666666663"/>
  </r>
  <r>
    <x v="8"/>
    <x v="215"/>
    <x v="0"/>
    <x v="11"/>
    <m/>
    <m/>
    <s v="HALF_UNION, R12 (O) 5/16&quot;"/>
    <s v="CA-000687"/>
    <n v="2"/>
    <n v="40"/>
    <m/>
    <n v="80"/>
    <x v="0"/>
    <n v="28"/>
    <n v="15"/>
    <n v="30"/>
    <n v="31.5"/>
    <n v="48.5"/>
    <n v="0"/>
    <x v="6"/>
    <x v="2"/>
    <e v="#REF!"/>
    <e v="#REF!"/>
    <m/>
    <n v="0.60624999999999996"/>
  </r>
  <r>
    <x v="8"/>
    <x v="215"/>
    <x v="0"/>
    <x v="11"/>
    <m/>
    <m/>
    <s v="FERULLE,  1/2&quot;"/>
    <s v="CA-000644"/>
    <n v="2"/>
    <n v="15"/>
    <m/>
    <n v="30"/>
    <x v="0"/>
    <n v="13"/>
    <n v="7"/>
    <n v="14"/>
    <n v="14.700000000000001"/>
    <n v="15.299999999999999"/>
    <n v="0"/>
    <x v="42"/>
    <x v="2"/>
    <e v="#REF!"/>
    <e v="#REF!"/>
    <m/>
    <n v="0.51"/>
  </r>
  <r>
    <x v="8"/>
    <x v="215"/>
    <x v="0"/>
    <x v="11"/>
    <m/>
    <m/>
    <s v="FERULLE,  5/8&quot;"/>
    <s v="CA-000646"/>
    <n v="2"/>
    <n v="15"/>
    <m/>
    <n v="30"/>
    <x v="0"/>
    <n v="13"/>
    <n v="7"/>
    <n v="14"/>
    <n v="14.700000000000001"/>
    <n v="15.299999999999999"/>
    <n v="0"/>
    <x v="42"/>
    <x v="2"/>
    <e v="#REF!"/>
    <e v="#REF!"/>
    <m/>
    <n v="0.51"/>
  </r>
  <r>
    <x v="8"/>
    <x v="215"/>
    <x v="0"/>
    <x v="11"/>
    <m/>
    <m/>
    <s v="RECEIVER_DRIER_STEEL , MAXX 5/16 (O) 4-HOLES"/>
    <s v="CA-001133"/>
    <n v="1"/>
    <n v="550"/>
    <m/>
    <n v="550"/>
    <x v="0"/>
    <n v="399"/>
    <n v="185"/>
    <n v="185"/>
    <n v="194.25"/>
    <n v="355.75"/>
    <n v="0"/>
    <x v="17"/>
    <x v="2"/>
    <e v="#REF!"/>
    <e v="#REF!"/>
    <m/>
    <n v="0.64681818181818185"/>
  </r>
  <r>
    <x v="8"/>
    <x v="215"/>
    <x v="0"/>
    <x v="11"/>
    <m/>
    <m/>
    <s v="MAPP_GAS, Gazz Pro (Winterpine) TORCH GAS"/>
    <s v="IM-000310"/>
    <n v="1"/>
    <n v="380"/>
    <m/>
    <n v="380"/>
    <x v="0"/>
    <n v="451"/>
    <n v="250"/>
    <n v="250"/>
    <n v="257.5"/>
    <n v="122.5"/>
    <n v="0"/>
    <x v="45"/>
    <x v="0"/>
    <e v="#REF!"/>
    <e v="#REF!"/>
    <m/>
    <n v="0.32236842105263158"/>
  </r>
  <r>
    <x v="8"/>
    <x v="215"/>
    <x v="6"/>
    <x v="54"/>
    <m/>
    <m/>
    <s v="HOSE,  DRAIN PUMP PER MTR"/>
    <s v="GE-000242"/>
    <n v="4"/>
    <n v="50"/>
    <m/>
    <n v="200"/>
    <x v="0"/>
    <n v="65"/>
    <n v="35"/>
    <n v="140"/>
    <n v="147"/>
    <n v="53"/>
    <n v="15.899999999999999"/>
    <x v="19"/>
    <x v="1"/>
    <e v="#REF!"/>
    <e v="#REF!"/>
    <m/>
    <n v="0.26500000000000001"/>
  </r>
  <r>
    <x v="8"/>
    <x v="216"/>
    <x v="1"/>
    <x v="5"/>
    <m/>
    <m/>
    <s v="REFRIGERANT, ENTALPIA EUROPE R134A 13.6   6/16/26 "/>
    <s v="GE-000517"/>
    <n v="1"/>
    <n v="9000"/>
    <m/>
    <n v="9000"/>
    <x v="0"/>
    <n v="10489"/>
    <n v="7684"/>
    <n v="7684"/>
    <n v="8068.2000000000007"/>
    <n v="931.79999999999927"/>
    <n v="279.53999999999979"/>
    <x v="5"/>
    <x v="1"/>
    <e v="#REF!"/>
    <e v="#REF!"/>
    <m/>
    <n v="0.10353333333333326"/>
  </r>
  <r>
    <x v="8"/>
    <x v="216"/>
    <x v="1"/>
    <x v="3"/>
    <m/>
    <m/>
    <s v="EXP. VALVE LT, POKKA 9A56 INNOVA F"/>
    <s v="CA-000637"/>
    <n v="1"/>
    <n v="550"/>
    <m/>
    <n v="550"/>
    <x v="0"/>
    <n v="460"/>
    <n v="250"/>
    <n v="250"/>
    <n v="262.5"/>
    <n v="287.5"/>
    <n v="86.25"/>
    <x v="23"/>
    <x v="2"/>
    <e v="#REF!"/>
    <e v="#REF!"/>
    <m/>
    <n v="0.52272727272727271"/>
  </r>
  <r>
    <x v="8"/>
    <x v="216"/>
    <x v="0"/>
    <x v="178"/>
    <m/>
    <m/>
    <s v="COPPER_TUBE_SOFTDRAWN, HAILIANG 0.028 X 1/4 x 15 mtr  08/03/26"/>
    <s v="IM-000333"/>
    <n v="0.4"/>
    <n v="2500"/>
    <m/>
    <n v="1000"/>
    <x v="0"/>
    <n v="3063"/>
    <n v="1699"/>
    <n v="679.6"/>
    <n v="699.98800000000006"/>
    <n v="300.01199999999994"/>
    <n v="0"/>
    <x v="0"/>
    <x v="0"/>
    <e v="#REF!"/>
    <e v="#REF!"/>
    <m/>
    <n v="0.30001199999999995"/>
  </r>
  <r>
    <x v="8"/>
    <x v="216"/>
    <x v="0"/>
    <x v="178"/>
    <m/>
    <m/>
    <s v="COPPER_TUBE_SOFTDRAWN, HAILIANG 0.028 X 3/8 x 15 mtr 06/02/26"/>
    <s v="IM-000327"/>
    <n v="0.4"/>
    <n v="3500"/>
    <m/>
    <n v="1400"/>
    <x v="0"/>
    <n v="4774"/>
    <n v="2648"/>
    <n v="1059.2"/>
    <n v="1090.9760000000001"/>
    <n v="309.02399999999989"/>
    <n v="0"/>
    <x v="0"/>
    <x v="0"/>
    <e v="#REF!"/>
    <e v="#REF!"/>
    <m/>
    <n v="0.2207314285714285"/>
  </r>
  <r>
    <x v="8"/>
    <x v="216"/>
    <x v="0"/>
    <x v="178"/>
    <m/>
    <m/>
    <s v="RUBBER_INSULATION, M-FLEX 1/2&quot; 1/4"/>
    <s v="IM-000229"/>
    <n v="4"/>
    <n v="50"/>
    <m/>
    <n v="200"/>
    <x v="0"/>
    <n v="47"/>
    <n v="33.6"/>
    <n v="134.4"/>
    <n v="138.43200000000002"/>
    <n v="61.567999999999984"/>
    <n v="0"/>
    <x v="22"/>
    <x v="0"/>
    <e v="#REF!"/>
    <e v="#REF!"/>
    <m/>
    <n v="0.30783999999999989"/>
  </r>
  <r>
    <x v="8"/>
    <x v="216"/>
    <x v="0"/>
    <x v="178"/>
    <m/>
    <m/>
    <s v="RUBBER_INSULATION, M-FLEX 1/2&quot; 1/2"/>
    <s v="IM-000227"/>
    <n v="4"/>
    <n v="60"/>
    <m/>
    <n v="240"/>
    <x v="0"/>
    <n v="65"/>
    <n v="46.4"/>
    <n v="185.6"/>
    <n v="191.16800000000001"/>
    <n v="48.831999999999994"/>
    <n v="0"/>
    <x v="22"/>
    <x v="0"/>
    <e v="#REF!"/>
    <e v="#REF!"/>
    <m/>
    <n v="0.20346666666666663"/>
  </r>
  <r>
    <x v="8"/>
    <x v="216"/>
    <x v="4"/>
    <x v="25"/>
    <m/>
    <n v="2200"/>
    <s v="EVAPORATOR, SUZUKI SPRESSO JY4594"/>
    <s v="CA-001820"/>
    <n v="1"/>
    <n v="1965"/>
    <m/>
    <n v="1965"/>
    <x v="0"/>
    <n v="3032"/>
    <n v="1650"/>
    <n v="1650"/>
    <n v="1732.5"/>
    <n v="232.5"/>
    <n v="69.75"/>
    <x v="10"/>
    <x v="2"/>
    <e v="#REF!"/>
    <e v="#REF!"/>
    <m/>
    <n v="0.1183206106870229"/>
  </r>
  <r>
    <x v="8"/>
    <x v="216"/>
    <x v="0"/>
    <x v="10"/>
    <m/>
    <m/>
    <s v="REFRIGERANT, ENTALPIA EUROPE R134A 13.6   6/16/26 "/>
    <s v="GE-000517"/>
    <n v="1"/>
    <n v="9000"/>
    <m/>
    <n v="9000"/>
    <x v="0"/>
    <n v="10489"/>
    <n v="7684"/>
    <n v="7684"/>
    <n v="8068.2000000000007"/>
    <n v="931.79999999999927"/>
    <n v="0"/>
    <x v="5"/>
    <x v="1"/>
    <e v="#REF!"/>
    <e v="#REF!"/>
    <m/>
    <n v="0.10353333333333326"/>
  </r>
  <r>
    <x v="8"/>
    <x v="216"/>
    <x v="0"/>
    <x v="10"/>
    <m/>
    <m/>
    <s v="LUBRICANT, EMKARATE RL 68H, 1 LITER"/>
    <s v="GE-000135"/>
    <n v="1"/>
    <n v="450"/>
    <m/>
    <n v="450"/>
    <x v="0"/>
    <n v="331"/>
    <n v="180"/>
    <n v="180"/>
    <n v="189"/>
    <n v="261"/>
    <n v="0"/>
    <x v="9"/>
    <x v="1"/>
    <e v="#REF!"/>
    <e v="#REF!"/>
    <m/>
    <n v="0.57999999999999996"/>
  </r>
  <r>
    <x v="8"/>
    <x v="216"/>
    <x v="0"/>
    <x v="30"/>
    <m/>
    <m/>
    <s v="COPPER_TUBE_SOFTDRAWN, EVERSTRONG 0.028 X 5/8 x 15 mtr 03/24/26"/>
    <s v="IM-000320"/>
    <n v="0.2"/>
    <n v="5500"/>
    <m/>
    <n v="1100"/>
    <x v="0"/>
    <n v="8328"/>
    <n v="4255"/>
    <n v="851"/>
    <n v="876.53"/>
    <n v="223.47000000000003"/>
    <n v="0"/>
    <x v="0"/>
    <x v="0"/>
    <e v="#REF!"/>
    <e v="#REF!"/>
    <m/>
    <n v="0.20315454545454548"/>
  </r>
  <r>
    <x v="8"/>
    <x v="216"/>
    <x v="0"/>
    <x v="179"/>
    <m/>
    <m/>
    <s v="SILICA_GEL, STAL LONG"/>
    <s v="CA-001637"/>
    <n v="1"/>
    <n v="200"/>
    <m/>
    <n v="200"/>
    <x v="0"/>
    <n v="50"/>
    <n v="25"/>
    <n v="25"/>
    <n v="26.25"/>
    <n v="173.75"/>
    <n v="0"/>
    <x v="37"/>
    <x v="2"/>
    <e v="#REF!"/>
    <e v="#REF!"/>
    <m/>
    <n v="0.86875000000000002"/>
  </r>
  <r>
    <x v="8"/>
    <x v="216"/>
    <x v="1"/>
    <x v="3"/>
    <m/>
    <m/>
    <s v="EXP. VALVE LT, POKKA 9A56 INNOVA F"/>
    <s v="CA-000637"/>
    <n v="2"/>
    <n v="550"/>
    <m/>
    <n v="1100"/>
    <x v="0"/>
    <n v="460"/>
    <n v="250"/>
    <n v="500"/>
    <n v="525"/>
    <n v="575"/>
    <n v="172.5"/>
    <x v="23"/>
    <x v="2"/>
    <e v="#REF!"/>
    <e v="#REF!"/>
    <m/>
    <n v="0.52272727272727271"/>
  </r>
  <r>
    <x v="8"/>
    <x v="216"/>
    <x v="0"/>
    <x v="8"/>
    <m/>
    <m/>
    <s v="EXP. VALVE SC, MITSUBISHI ORING TYPE 3/8"/>
    <s v="CA-000566"/>
    <n v="2"/>
    <n v="500"/>
    <m/>
    <n v="1000"/>
    <x v="0"/>
    <n v="478"/>
    <n v="260"/>
    <n v="520"/>
    <n v="546"/>
    <n v="454"/>
    <n v="0"/>
    <x v="34"/>
    <x v="2"/>
    <e v="#REF!"/>
    <e v="#REF!"/>
    <m/>
    <n v="0.45400000000000001"/>
  </r>
  <r>
    <x v="8"/>
    <x v="216"/>
    <x v="0"/>
    <x v="8"/>
    <m/>
    <m/>
    <s v="SYSTEM_CLEANER, Cleanse GREEN 141B 500 ML"/>
    <s v="GE-000369"/>
    <n v="4"/>
    <n v="120"/>
    <m/>
    <n v="480"/>
    <x v="0"/>
    <n v="113"/>
    <n v="65"/>
    <n v="260"/>
    <n v="273"/>
    <n v="207"/>
    <n v="0"/>
    <x v="28"/>
    <x v="1"/>
    <e v="#REF!"/>
    <e v="#REF!"/>
    <m/>
    <n v="0.43125000000000002"/>
  </r>
  <r>
    <x v="8"/>
    <x v="216"/>
    <x v="0"/>
    <x v="34"/>
    <m/>
    <m/>
    <s v="COPPER_TUBE_SOFTDRAWN, HAILIANG 0.028 X 3/8 x 15 mtr 06/02/26"/>
    <s v="IM-000327"/>
    <n v="2"/>
    <n v="2950"/>
    <m/>
    <n v="5900"/>
    <x v="0"/>
    <n v="4774"/>
    <n v="2648"/>
    <n v="5296"/>
    <n v="5454.88"/>
    <n v="445.11999999999989"/>
    <n v="0"/>
    <x v="0"/>
    <x v="0"/>
    <e v="#REF!"/>
    <e v="#REF!"/>
    <m/>
    <n v="7.5444067796610156E-2"/>
  </r>
  <r>
    <x v="8"/>
    <x v="216"/>
    <x v="0"/>
    <x v="34"/>
    <m/>
    <m/>
    <s v="COPPER_TUBE_SOFTDRAWN, HAILIANG 0.028 X 1/2 x 15 mtr 06/02/26"/>
    <s v="IM-000328"/>
    <n v="1"/>
    <n v="3950"/>
    <m/>
    <n v="3950"/>
    <x v="0"/>
    <n v="6554"/>
    <n v="3636"/>
    <n v="3636"/>
    <n v="3745.08"/>
    <n v="204.92000000000007"/>
    <n v="0"/>
    <x v="0"/>
    <x v="0"/>
    <e v="#REF!"/>
    <e v="#REF!"/>
    <m/>
    <n v="5.1878481012658247E-2"/>
  </r>
  <r>
    <x v="8"/>
    <x v="216"/>
    <x v="0"/>
    <x v="34"/>
    <m/>
    <m/>
    <s v="COPPER_TUBE_SOFTDRAWN, HAILIANG 0.028 X 1/4 x 15 mtr  08/03/26"/>
    <s v="IM-000333"/>
    <n v="2"/>
    <n v="1950"/>
    <m/>
    <n v="3900"/>
    <x v="0"/>
    <n v="3063"/>
    <n v="1699"/>
    <n v="3398"/>
    <n v="3499.94"/>
    <n v="400.05999999999995"/>
    <n v="0"/>
    <x v="0"/>
    <x v="0"/>
    <e v="#REF!"/>
    <e v="#REF!"/>
    <m/>
    <n v="0.10257948717948717"/>
  </r>
  <r>
    <x v="8"/>
    <x v="216"/>
    <x v="0"/>
    <x v="34"/>
    <m/>
    <m/>
    <s v="TAPE_PE, PICUS Polythelene Tape (White)X 4&quot;"/>
    <s v="IM-000247"/>
    <n v="5"/>
    <n v="125"/>
    <m/>
    <n v="625"/>
    <x v="0"/>
    <n v="147"/>
    <n v="75"/>
    <n v="375"/>
    <n v="386.25"/>
    <n v="238.75"/>
    <n v="0"/>
    <x v="29"/>
    <x v="0"/>
    <e v="#REF!"/>
    <e v="#REF!"/>
    <m/>
    <n v="0.38200000000000001"/>
  </r>
  <r>
    <x v="8"/>
    <x v="216"/>
    <x v="0"/>
    <x v="34"/>
    <m/>
    <m/>
    <s v="RUBBER_INSULATION, M-FLEX 1/2&quot; 5/8"/>
    <s v="IM-000232"/>
    <n v="10"/>
    <n v="80"/>
    <m/>
    <n v="800"/>
    <x v="0"/>
    <n v="77"/>
    <n v="55.2"/>
    <n v="552"/>
    <n v="568.56000000000006"/>
    <n v="231.43999999999994"/>
    <n v="0"/>
    <x v="22"/>
    <x v="0"/>
    <e v="#REF!"/>
    <e v="#REF!"/>
    <m/>
    <n v="0.28929999999999995"/>
  </r>
  <r>
    <x v="8"/>
    <x v="216"/>
    <x v="0"/>
    <x v="34"/>
    <m/>
    <m/>
    <s v="RUBBER_INSULATION, M-FLEX 1/2&quot; 3/8"/>
    <s v="IM-000231"/>
    <n v="10"/>
    <n v="60"/>
    <m/>
    <n v="600"/>
    <x v="0"/>
    <n v="53"/>
    <n v="37.6"/>
    <n v="376"/>
    <n v="387.28000000000003"/>
    <n v="212.71999999999997"/>
    <n v="0"/>
    <x v="22"/>
    <x v="0"/>
    <e v="#REF!"/>
    <e v="#REF!"/>
    <m/>
    <n v="0.35453333333333331"/>
  </r>
  <r>
    <x v="8"/>
    <x v="216"/>
    <x v="0"/>
    <x v="34"/>
    <m/>
    <m/>
    <s v="RUBBER_INSULATION, M-FLEX 1/2&quot; 1/4"/>
    <s v="IM-000229"/>
    <n v="20"/>
    <n v="50"/>
    <m/>
    <n v="1000"/>
    <x v="0"/>
    <n v="47"/>
    <n v="33.6"/>
    <n v="672"/>
    <n v="692.16"/>
    <n v="307.84000000000003"/>
    <n v="0"/>
    <x v="22"/>
    <x v="0"/>
    <e v="#REF!"/>
    <e v="#REF!"/>
    <m/>
    <n v="0.30784000000000006"/>
  </r>
  <r>
    <x v="8"/>
    <x v="216"/>
    <x v="0"/>
    <x v="34"/>
    <m/>
    <m/>
    <s v="RUBBER_INSULATION, M-FLEX 1/2&quot; 1/2"/>
    <s v="IM-000227"/>
    <n v="10"/>
    <n v="70"/>
    <m/>
    <n v="700"/>
    <x v="0"/>
    <n v="65"/>
    <n v="46.4"/>
    <n v="464"/>
    <n v="477.92"/>
    <n v="222.07999999999998"/>
    <n v="0"/>
    <x v="22"/>
    <x v="0"/>
    <e v="#REF!"/>
    <e v="#REF!"/>
    <m/>
    <n v="0.31725714285714285"/>
  </r>
  <r>
    <x v="8"/>
    <x v="216"/>
    <x v="0"/>
    <x v="118"/>
    <m/>
    <m/>
    <s v="MAGNETIC_CLUTCH, TOYOTA VIOS SUPERMAN"/>
    <s v="CA-000834"/>
    <n v="1"/>
    <n v="800"/>
    <m/>
    <n v="800"/>
    <x v="0"/>
    <n v="588"/>
    <n v="320"/>
    <n v="320"/>
    <n v="336"/>
    <n v="464"/>
    <n v="0"/>
    <x v="4"/>
    <x v="2"/>
    <e v="#REF!"/>
    <e v="#REF!"/>
    <m/>
    <n v="0.57999999999999996"/>
  </r>
  <r>
    <x v="8"/>
    <x v="217"/>
    <x v="6"/>
    <x v="159"/>
    <m/>
    <n v="2100"/>
    <s v="EVAPORATOR, ISUZU ALTERA  / D-MAX 2008 FRONT"/>
    <s v="CA-000497"/>
    <n v="1"/>
    <n v="1875"/>
    <m/>
    <n v="1875"/>
    <x v="0"/>
    <n v="2573"/>
    <n v="1400"/>
    <n v="1400"/>
    <n v="1470"/>
    <n v="405"/>
    <n v="121.5"/>
    <x v="10"/>
    <x v="2"/>
    <e v="#REF!"/>
    <e v="#REF!"/>
    <m/>
    <n v="0.216"/>
  </r>
  <r>
    <x v="8"/>
    <x v="217"/>
    <x v="6"/>
    <x v="159"/>
    <m/>
    <n v="2200"/>
    <s v="EVAPORATOR, FORD RANGER 12 40A547"/>
    <s v="CA-001833"/>
    <n v="1"/>
    <n v="1964"/>
    <m/>
    <n v="1964"/>
    <x v="0"/>
    <n v="2757"/>
    <n v="1500"/>
    <n v="1500"/>
    <n v="1575"/>
    <n v="389"/>
    <n v="116.69999999999999"/>
    <x v="10"/>
    <x v="2"/>
    <e v="#REF!"/>
    <e v="#REF!"/>
    <m/>
    <n v="0.19806517311608962"/>
  </r>
  <r>
    <x v="8"/>
    <x v="217"/>
    <x v="6"/>
    <x v="159"/>
    <m/>
    <n v="1300"/>
    <s v="BLOWER_MOTOR, UNIVERSAL 6711"/>
    <s v="CA-000236"/>
    <n v="1"/>
    <n v="1161"/>
    <m/>
    <n v="1161"/>
    <x v="0"/>
    <n v="1379"/>
    <n v="750"/>
    <n v="750"/>
    <n v="787.5"/>
    <n v="373.5"/>
    <n v="112.05"/>
    <x v="15"/>
    <x v="2"/>
    <e v="#REF!"/>
    <e v="#REF!"/>
    <m/>
    <n v="0.32170542635658916"/>
  </r>
  <r>
    <x v="8"/>
    <x v="217"/>
    <x v="6"/>
    <x v="159"/>
    <m/>
    <n v="1300"/>
    <s v="BLOWER_MOTOR, UNIVERSAL 6721"/>
    <s v="CA-000237"/>
    <n v="1"/>
    <n v="1161"/>
    <m/>
    <n v="1161"/>
    <x v="0"/>
    <n v="1379"/>
    <n v="750"/>
    <n v="750"/>
    <n v="787.5"/>
    <n v="373.5"/>
    <n v="112.05"/>
    <x v="15"/>
    <x v="2"/>
    <e v="#REF!"/>
    <e v="#REF!"/>
    <m/>
    <n v="0.32170542635658916"/>
  </r>
  <r>
    <x v="8"/>
    <x v="217"/>
    <x v="2"/>
    <x v="9"/>
    <m/>
    <m/>
    <s v="EVAPORATOR, HYUNDAI STA FE REAR"/>
    <s v="CA-001488"/>
    <n v="1"/>
    <n v="2100"/>
    <m/>
    <n v="2100"/>
    <x v="0"/>
    <n v="2757"/>
    <n v="1500"/>
    <n v="1500"/>
    <n v="1575"/>
    <n v="525"/>
    <n v="157.5"/>
    <x v="10"/>
    <x v="2"/>
    <e v="#REF!"/>
    <e v="#REF!"/>
    <m/>
    <n v="0.25"/>
  </r>
  <r>
    <x v="8"/>
    <x v="217"/>
    <x v="0"/>
    <x v="11"/>
    <m/>
    <m/>
    <s v="EVAPORATOR, ISUZU CROSSWIND (F)"/>
    <s v="CA-000498"/>
    <n v="1"/>
    <n v="2000"/>
    <m/>
    <n v="2000"/>
    <x v="0"/>
    <n v="2297"/>
    <n v="1250"/>
    <n v="1250"/>
    <n v="1312.5"/>
    <n v="687.5"/>
    <n v="0"/>
    <x v="10"/>
    <x v="2"/>
    <e v="#REF!"/>
    <e v="#REF!"/>
    <m/>
    <n v="0.34375"/>
  </r>
  <r>
    <x v="8"/>
    <x v="217"/>
    <x v="0"/>
    <x v="11"/>
    <m/>
    <m/>
    <s v="RECEIVER_DRIER_ALUMINUM, YK 8038 (Civic, CRV)"/>
    <s v="CA-001094"/>
    <n v="1"/>
    <n v="560"/>
    <m/>
    <n v="560"/>
    <x v="0"/>
    <n v="532"/>
    <n v="225"/>
    <n v="225"/>
    <n v="236.25"/>
    <n v="323.75"/>
    <n v="0"/>
    <x v="27"/>
    <x v="2"/>
    <e v="#REF!"/>
    <e v="#REF!"/>
    <m/>
    <n v="0.578125"/>
  </r>
  <r>
    <x v="8"/>
    <x v="217"/>
    <x v="0"/>
    <x v="11"/>
    <m/>
    <m/>
    <s v="SYSTEM_CLEANER, Cleanse GREEN 141B 500 ML"/>
    <s v="GE-000369"/>
    <n v="2"/>
    <n v="120"/>
    <m/>
    <n v="240"/>
    <x v="0"/>
    <n v="113"/>
    <n v="65"/>
    <n v="130"/>
    <n v="136.5"/>
    <n v="103.5"/>
    <n v="0"/>
    <x v="28"/>
    <x v="1"/>
    <e v="#REF!"/>
    <e v="#REF!"/>
    <e v="#REF!"/>
    <n v="0"/>
  </r>
  <r>
    <x v="8"/>
    <x v="217"/>
    <x v="0"/>
    <x v="1"/>
    <m/>
    <m/>
    <s v="REF_DRIER, OMNI WELDED TYPE  SINGLE"/>
    <s v="GE-000005"/>
    <n v="1"/>
    <n v="60"/>
    <m/>
    <n v="60"/>
    <x v="0"/>
    <n v="58.800000000000004"/>
    <n v="28"/>
    <n v="28"/>
    <n v="29.400000000000002"/>
    <n v="30.599999999999998"/>
    <n v="0"/>
    <x v="73"/>
    <x v="1"/>
    <e v="#REF!"/>
    <e v="#REF!"/>
    <e v="#REF!"/>
    <n v="0"/>
  </r>
  <r>
    <x v="8"/>
    <x v="217"/>
    <x v="0"/>
    <x v="17"/>
    <m/>
    <m/>
    <s v="EVAPORATOR, TOYOTA AVANZA 14 HS-40A523"/>
    <s v="CA-000536"/>
    <n v="1"/>
    <n v="2100"/>
    <m/>
    <n v="2100"/>
    <x v="0"/>
    <n v="2389"/>
    <n v="1300"/>
    <n v="1300"/>
    <n v="1365"/>
    <n v="735"/>
    <n v="0"/>
    <x v="10"/>
    <x v="2"/>
    <e v="#REF!"/>
    <e v="#REF!"/>
    <e v="#REF!"/>
    <n v="0"/>
  </r>
  <r>
    <x v="8"/>
    <x v="217"/>
    <x v="0"/>
    <x v="17"/>
    <m/>
    <m/>
    <s v="REFRIGERANT, ENTALPIA EUROPE R134A 13.6   6/16/26 "/>
    <s v="GE-000517"/>
    <n v="1"/>
    <n v="9000"/>
    <m/>
    <n v="9000"/>
    <x v="0"/>
    <n v="10489"/>
    <n v="7684"/>
    <n v="7684"/>
    <n v="8068.2000000000007"/>
    <n v="931.79999999999927"/>
    <n v="0"/>
    <x v="5"/>
    <x v="1"/>
    <e v="#REF!"/>
    <e v="#REF!"/>
    <e v="#REF!"/>
    <n v="0"/>
  </r>
  <r>
    <x v="8"/>
    <x v="217"/>
    <x v="1"/>
    <x v="3"/>
    <m/>
    <m/>
    <s v="PULLEY_ASSEMBLY, HONDA CITY 2009"/>
    <s v="CA-000992"/>
    <n v="1"/>
    <n v="2200"/>
    <m/>
    <n v="2200"/>
    <x v="0"/>
    <n v="2573"/>
    <n v="1400"/>
    <n v="1400"/>
    <n v="1470"/>
    <n v="730"/>
    <n v="219"/>
    <x v="11"/>
    <x v="2"/>
    <e v="#REF!"/>
    <e v="#REF!"/>
    <e v="#REF!"/>
    <n v="0"/>
  </r>
  <r>
    <x v="8"/>
    <x v="217"/>
    <x v="0"/>
    <x v="180"/>
    <m/>
    <m/>
    <s v="RUBBER_INSULATION, M-FLEX 1/2&quot; 3/8"/>
    <s v="IM-000231"/>
    <n v="2"/>
    <n v="55"/>
    <m/>
    <n v="110"/>
    <x v="0"/>
    <n v="53"/>
    <n v="37.6"/>
    <n v="75.2"/>
    <n v="77.456000000000003"/>
    <n v="32.543999999999997"/>
    <n v="0"/>
    <x v="22"/>
    <x v="0"/>
    <e v="#REF!"/>
    <e v="#REF!"/>
    <e v="#REF!"/>
    <n v="0"/>
  </r>
  <r>
    <x v="8"/>
    <x v="217"/>
    <x v="0"/>
    <x v="180"/>
    <m/>
    <m/>
    <s v="RUBBER_INSULATION, M-FLEX 1/2&quot; 1/4"/>
    <s v="IM-000229"/>
    <n v="1"/>
    <n v="50"/>
    <m/>
    <n v="50"/>
    <x v="0"/>
    <n v="47"/>
    <n v="33.6"/>
    <n v="33.6"/>
    <n v="34.608000000000004"/>
    <n v="15.391999999999996"/>
    <n v="0"/>
    <x v="22"/>
    <x v="0"/>
    <e v="#REF!"/>
    <e v="#REF!"/>
    <e v="#REF!"/>
    <n v="0"/>
  </r>
  <r>
    <x v="8"/>
    <x v="217"/>
    <x v="0"/>
    <x v="11"/>
    <m/>
    <m/>
    <s v="EXP. VALVE LT, POKKA 9A55 HONDA NEW"/>
    <s v="CA-000636"/>
    <n v="1"/>
    <n v="550"/>
    <m/>
    <n v="550"/>
    <x v="0"/>
    <n v="497"/>
    <n v="270"/>
    <n v="270"/>
    <n v="283.5"/>
    <n v="266.5"/>
    <n v="0"/>
    <x v="23"/>
    <x v="2"/>
    <e v="#REF!"/>
    <e v="#REF!"/>
    <e v="#REF!"/>
    <n v="0"/>
  </r>
  <r>
    <x v="8"/>
    <x v="217"/>
    <x v="0"/>
    <x v="11"/>
    <m/>
    <m/>
    <s v="EXP. VALVE LT, POKKA 9A57 INNOVA R"/>
    <s v="CA-000638"/>
    <n v="1"/>
    <n v="550"/>
    <m/>
    <n v="550"/>
    <x v="0"/>
    <n v="460"/>
    <n v="250"/>
    <n v="250"/>
    <n v="262.5"/>
    <n v="287.5"/>
    <n v="0"/>
    <x v="23"/>
    <x v="2"/>
    <e v="#REF!"/>
    <e v="#REF!"/>
    <e v="#REF!"/>
    <n v="0"/>
  </r>
  <r>
    <x v="8"/>
    <x v="217"/>
    <x v="0"/>
    <x v="11"/>
    <m/>
    <m/>
    <s v="EVAPORATOR, TOYOTA INNOVA OLD (R) JBE-0102X (STAL)"/>
    <s v="CA-001634"/>
    <n v="1"/>
    <n v="1900"/>
    <m/>
    <n v="1900"/>
    <x v="0"/>
    <n v="1470"/>
    <n v="800"/>
    <n v="800"/>
    <n v="840"/>
    <n v="1060"/>
    <n v="0"/>
    <x v="10"/>
    <x v="2"/>
    <e v="#REF!"/>
    <e v="#REF!"/>
    <e v="#REF!"/>
    <n v="0"/>
  </r>
  <r>
    <x v="8"/>
    <x v="217"/>
    <x v="0"/>
    <x v="11"/>
    <m/>
    <m/>
    <s v="SILICA_GEL, STAL LONG"/>
    <s v="CA-001637"/>
    <n v="1"/>
    <n v="200"/>
    <m/>
    <n v="200"/>
    <x v="0"/>
    <n v="50"/>
    <n v="25"/>
    <n v="25"/>
    <n v="26.25"/>
    <n v="173.75"/>
    <n v="0"/>
    <x v="37"/>
    <x v="2"/>
    <e v="#REF!"/>
    <e v="#REF!"/>
    <e v="#REF!"/>
    <n v="0"/>
  </r>
  <r>
    <x v="8"/>
    <x v="217"/>
    <x v="0"/>
    <x v="11"/>
    <m/>
    <n v="350"/>
    <s v="CABIN_FILTER, TOYOTA INNOVA"/>
    <s v="CA-001294"/>
    <n v="1"/>
    <n v="313"/>
    <m/>
    <n v="313"/>
    <x v="0"/>
    <n v="315"/>
    <n v="100"/>
    <n v="100"/>
    <n v="105"/>
    <n v="208"/>
    <n v="0"/>
    <x v="12"/>
    <x v="2"/>
    <e v="#REF!"/>
    <e v="#REF!"/>
    <e v="#REF!"/>
    <n v="0"/>
  </r>
  <r>
    <x v="8"/>
    <x v="218"/>
    <x v="0"/>
    <x v="19"/>
    <m/>
    <m/>
    <s v="BRACKET , ROBYN STEEL  1HP, COATED  (ISHABELLA)"/>
    <s v="IM-000330"/>
    <n v="1"/>
    <n v="360"/>
    <m/>
    <n v="360"/>
    <x v="0"/>
    <n v="352"/>
    <n v="195"/>
    <n v="195"/>
    <n v="200.85"/>
    <n v="159.15"/>
    <n v="0"/>
    <x v="1"/>
    <x v="0"/>
    <e v="#REF!"/>
    <e v="#REF!"/>
    <m/>
    <n v="0.44208333333333333"/>
  </r>
  <r>
    <x v="8"/>
    <x v="218"/>
    <x v="0"/>
    <x v="19"/>
    <m/>
    <m/>
    <s v="BOLT &amp; NUT, DYNABOLT 5/16&quot;"/>
    <s v="GE-000397"/>
    <n v="4"/>
    <n v="20"/>
    <m/>
    <n v="80"/>
    <x v="0"/>
    <n v="14"/>
    <n v="6.5"/>
    <n v="26"/>
    <n v="27.3"/>
    <n v="52.7"/>
    <n v="0"/>
    <x v="57"/>
    <x v="1"/>
    <e v="#REF!"/>
    <e v="#REF!"/>
    <m/>
    <n v="0.65875000000000006"/>
  </r>
  <r>
    <x v="8"/>
    <x v="218"/>
    <x v="0"/>
    <x v="19"/>
    <m/>
    <m/>
    <s v="ROYAL CORD, POWERFLEX 4-CORE, #16 1.2 MM, METER"/>
    <s v="GE-000485"/>
    <n v="4"/>
    <n v="125"/>
    <m/>
    <n v="500"/>
    <x v="0"/>
    <n v="90"/>
    <n v="72"/>
    <n v="288"/>
    <n v="302.40000000000003"/>
    <n v="197.59999999999997"/>
    <n v="0"/>
    <x v="48"/>
    <x v="1"/>
    <e v="#REF!"/>
    <e v="#REF!"/>
    <m/>
    <n v="0.39519999999999994"/>
  </r>
  <r>
    <x v="8"/>
    <x v="218"/>
    <x v="0"/>
    <x v="19"/>
    <m/>
    <m/>
    <s v="TAPE_FOAM, POKKA 5MM X 50 MM X 9.1 MTR"/>
    <s v="IM-000106"/>
    <n v="1"/>
    <n v="260"/>
    <m/>
    <n v="260"/>
    <x v="0"/>
    <n v="194"/>
    <n v="125"/>
    <n v="125"/>
    <n v="128.75"/>
    <n v="131.25"/>
    <n v="0"/>
    <x v="25"/>
    <x v="0"/>
    <e v="#REF!"/>
    <e v="#REF!"/>
    <m/>
    <n v="0.50480769230769229"/>
  </r>
  <r>
    <x v="8"/>
    <x v="218"/>
    <x v="0"/>
    <x v="19"/>
    <m/>
    <m/>
    <s v="RUBBER_INSULATION, M-FLEX 1/2&quot; 1/4"/>
    <s v="IM-000229"/>
    <n v="2"/>
    <n v="50"/>
    <m/>
    <n v="100"/>
    <x v="0"/>
    <n v="47"/>
    <n v="33.6"/>
    <n v="67.2"/>
    <n v="69.216000000000008"/>
    <n v="30.783999999999992"/>
    <n v="0"/>
    <x v="22"/>
    <x v="0"/>
    <e v="#REF!"/>
    <e v="#REF!"/>
    <m/>
    <n v="0.30783999999999989"/>
  </r>
  <r>
    <x v="8"/>
    <x v="218"/>
    <x v="0"/>
    <x v="19"/>
    <m/>
    <m/>
    <s v="RUBBER_INSULATION, M-FLEX 1/2&quot; 3/8"/>
    <s v="IM-000231"/>
    <n v="2"/>
    <n v="60"/>
    <m/>
    <n v="120"/>
    <x v="0"/>
    <n v="53"/>
    <n v="37.6"/>
    <n v="75.2"/>
    <n v="77.456000000000003"/>
    <n v="42.543999999999997"/>
    <n v="0"/>
    <x v="22"/>
    <x v="0"/>
    <e v="#REF!"/>
    <e v="#REF!"/>
    <m/>
    <n v="0.35453333333333331"/>
  </r>
  <r>
    <x v="8"/>
    <x v="218"/>
    <x v="0"/>
    <x v="125"/>
    <m/>
    <m/>
    <s v="ROD, HARRIS SILVER "/>
    <s v="IM-000098"/>
    <n v="2"/>
    <n v="35"/>
    <m/>
    <n v="70"/>
    <x v="0"/>
    <n v="30"/>
    <n v="19"/>
    <n v="38"/>
    <n v="39.14"/>
    <n v="30.86"/>
    <n v="0"/>
    <x v="56"/>
    <x v="0"/>
    <e v="#REF!"/>
    <e v="#REF!"/>
    <m/>
    <n v="0.44085714285714284"/>
  </r>
  <r>
    <x v="8"/>
    <x v="218"/>
    <x v="0"/>
    <x v="125"/>
    <m/>
    <m/>
    <s v="REFRIGERANT, FU RYDER R600A CAN, 220 GRAMS"/>
    <s v="GE-000032"/>
    <n v="2"/>
    <n v="180"/>
    <m/>
    <n v="360"/>
    <x v="0"/>
    <n v="177"/>
    <n v="70"/>
    <n v="140"/>
    <n v="147"/>
    <n v="213"/>
    <n v="0"/>
    <x v="5"/>
    <x v="1"/>
    <e v="#REF!"/>
    <e v="#REF!"/>
    <m/>
    <n v="0.59166666666666667"/>
  </r>
  <r>
    <x v="8"/>
    <x v="218"/>
    <x v="0"/>
    <x v="49"/>
    <m/>
    <m/>
    <s v="FITTINGS, STRAIGHT FLARE TYPE 5/8"/>
    <s v="CA-000673"/>
    <n v="2"/>
    <n v="40"/>
    <m/>
    <n v="80"/>
    <x v="0"/>
    <n v="30"/>
    <n v="16"/>
    <n v="32"/>
    <n v="33.6"/>
    <n v="46.4"/>
    <n v="0"/>
    <x v="33"/>
    <x v="2"/>
    <e v="#REF!"/>
    <e v="#REF!"/>
    <m/>
    <n v="0.57999999999999996"/>
  </r>
  <r>
    <x v="8"/>
    <x v="218"/>
    <x v="0"/>
    <x v="11"/>
    <m/>
    <m/>
    <s v="HOSE, COOLMATE 1/2 DISCHARGE PER FT"/>
    <s v="GE-000179"/>
    <n v="2"/>
    <n v="90"/>
    <m/>
    <n v="180"/>
    <x v="0"/>
    <n v="80"/>
    <n v="43"/>
    <n v="86"/>
    <n v="90.3"/>
    <n v="89.7"/>
    <n v="0"/>
    <x v="19"/>
    <x v="1"/>
    <e v="#REF!"/>
    <e v="#REF!"/>
    <m/>
    <n v="0.49833333333333335"/>
  </r>
  <r>
    <x v="8"/>
    <x v="218"/>
    <x v="0"/>
    <x v="11"/>
    <m/>
    <m/>
    <s v="HOSE, COOLMATE 5/8 SUNCTION PER FT"/>
    <s v="GE-000181"/>
    <n v="5"/>
    <n v="95"/>
    <m/>
    <n v="475"/>
    <x v="0"/>
    <n v="83"/>
    <n v="45"/>
    <n v="225"/>
    <n v="236.25"/>
    <n v="238.75"/>
    <n v="0"/>
    <x v="19"/>
    <x v="1"/>
    <e v="#REF!"/>
    <e v="#REF!"/>
    <m/>
    <n v="0.50263157894736843"/>
  </r>
  <r>
    <x v="8"/>
    <x v="218"/>
    <x v="0"/>
    <x v="11"/>
    <m/>
    <m/>
    <s v="FERULLE,  1/2&quot;"/>
    <s v="CA-000644"/>
    <n v="2"/>
    <n v="15"/>
    <m/>
    <n v="30"/>
    <x v="0"/>
    <n v="13"/>
    <n v="7"/>
    <n v="14"/>
    <n v="14.700000000000001"/>
    <n v="15.299999999999999"/>
    <n v="0"/>
    <x v="42"/>
    <x v="2"/>
    <e v="#REF!"/>
    <e v="#REF!"/>
    <m/>
    <n v="0.51"/>
  </r>
  <r>
    <x v="8"/>
    <x v="218"/>
    <x v="0"/>
    <x v="11"/>
    <m/>
    <m/>
    <s v="FERULLE,  5/8&quot;"/>
    <s v="CA-000646"/>
    <n v="2"/>
    <n v="15"/>
    <m/>
    <n v="30"/>
    <x v="0"/>
    <n v="13"/>
    <n v="7"/>
    <n v="14"/>
    <n v="14.700000000000001"/>
    <n v="15.299999999999999"/>
    <n v="0"/>
    <x v="42"/>
    <x v="2"/>
    <e v="#REF!"/>
    <e v="#REF!"/>
    <m/>
    <n v="0.51"/>
  </r>
  <r>
    <x v="8"/>
    <x v="218"/>
    <x v="0"/>
    <x v="11"/>
    <m/>
    <m/>
    <s v="FITTINGS, ELBOW 134A  WITH VALVE 5/8"/>
    <s v="CA-000651"/>
    <n v="1"/>
    <n v="110"/>
    <m/>
    <n v="110"/>
    <x v="0"/>
    <n v="103"/>
    <n v="56"/>
    <n v="56"/>
    <n v="58.800000000000004"/>
    <n v="51.199999999999996"/>
    <n v="0"/>
    <x v="33"/>
    <x v="2"/>
    <e v="#REF!"/>
    <e v="#REF!"/>
    <m/>
    <n v="0.4654545454545454"/>
  </r>
  <r>
    <x v="8"/>
    <x v="218"/>
    <x v="0"/>
    <x v="11"/>
    <m/>
    <m/>
    <s v="FITTINGS, ELBOW R12  WITH VALVE 1/2"/>
    <s v="CA-000662"/>
    <n v="1"/>
    <n v="110"/>
    <m/>
    <n v="110"/>
    <x v="0"/>
    <n v="94"/>
    <n v="51"/>
    <n v="51"/>
    <n v="53.550000000000004"/>
    <n v="56.449999999999996"/>
    <n v="0"/>
    <x v="33"/>
    <x v="2"/>
    <e v="#REF!"/>
    <e v="#REF!"/>
    <m/>
    <n v="0.51318181818181818"/>
  </r>
  <r>
    <x v="8"/>
    <x v="218"/>
    <x v="0"/>
    <x v="11"/>
    <m/>
    <m/>
    <s v="FITTINGS, STRAIGHT 134A 5/8"/>
    <s v="CA-000667"/>
    <n v="1"/>
    <n v="45"/>
    <m/>
    <n v="45"/>
    <x v="0"/>
    <n v="39"/>
    <n v="21"/>
    <n v="21"/>
    <n v="22.05"/>
    <n v="22.95"/>
    <n v="0"/>
    <x v="33"/>
    <x v="2"/>
    <e v="#REF!"/>
    <e v="#REF!"/>
    <m/>
    <n v="0.51"/>
  </r>
  <r>
    <x v="8"/>
    <x v="218"/>
    <x v="0"/>
    <x v="11"/>
    <m/>
    <m/>
    <s v="PASTE_FLUX, HARRIS ALUMINUM BRAZE  (227G)"/>
    <s v="CA-000848"/>
    <n v="1"/>
    <n v="700"/>
    <m/>
    <n v="700"/>
    <x v="0"/>
    <n v="772"/>
    <n v="420"/>
    <n v="420"/>
    <n v="441"/>
    <n v="259"/>
    <n v="0"/>
    <x v="60"/>
    <x v="2"/>
    <e v="#REF!"/>
    <e v="#REF!"/>
    <m/>
    <n v="0.37"/>
  </r>
  <r>
    <x v="8"/>
    <x v="218"/>
    <x v="2"/>
    <x v="7"/>
    <m/>
    <n v="2100"/>
    <s v="EVAPORATOR, MITSUBISHI MIRAGE (STAL)"/>
    <s v="CA-000142"/>
    <n v="1"/>
    <n v="1875"/>
    <m/>
    <n v="1875"/>
    <x v="0"/>
    <n v="1976"/>
    <n v="1075"/>
    <n v="1075"/>
    <n v="1128.75"/>
    <n v="746.25"/>
    <n v="223.875"/>
    <x v="10"/>
    <x v="2"/>
    <e v="#REF!"/>
    <e v="#REF!"/>
    <m/>
    <n v="0.39800000000000002"/>
  </r>
  <r>
    <x v="8"/>
    <x v="218"/>
    <x v="2"/>
    <x v="7"/>
    <m/>
    <m/>
    <s v="AUXFAN_MOTOR, MITSUBISHI MIRAGE 2 PIN / WIGO 1030"/>
    <s v="CA-000053"/>
    <n v="1"/>
    <n v="1800"/>
    <m/>
    <n v="1800"/>
    <x v="0"/>
    <n v="2022"/>
    <n v="1100"/>
    <n v="1100"/>
    <n v="1155"/>
    <n v="645"/>
    <n v="193.5"/>
    <x v="14"/>
    <x v="2"/>
    <e v="#REF!"/>
    <e v="#REF!"/>
    <m/>
    <n v="0.35833333333333334"/>
  </r>
  <r>
    <x v="8"/>
    <x v="218"/>
    <x v="0"/>
    <x v="11"/>
    <m/>
    <m/>
    <s v="EVAPORATOR, HONDA CIVIC 1997  40A227"/>
    <s v="CA-001867"/>
    <n v="1"/>
    <n v="2000"/>
    <m/>
    <n v="2000"/>
    <x v="0"/>
    <n v="2573"/>
    <n v="1350"/>
    <n v="1350"/>
    <n v="1417.5"/>
    <n v="582.5"/>
    <n v="0"/>
    <x v="10"/>
    <x v="2"/>
    <e v="#REF!"/>
    <e v="#REF!"/>
    <m/>
    <n v="0.29125000000000001"/>
  </r>
  <r>
    <x v="8"/>
    <x v="218"/>
    <x v="0"/>
    <x v="11"/>
    <m/>
    <m/>
    <s v="HOSE, COOLMATE 5/8 SUNCTION PER FT"/>
    <s v="GE-000181"/>
    <n v="2"/>
    <n v="95"/>
    <m/>
    <n v="190"/>
    <x v="0"/>
    <n v="83"/>
    <n v="45"/>
    <n v="90"/>
    <n v="94.5"/>
    <n v="95.5"/>
    <n v="0"/>
    <x v="19"/>
    <x v="1"/>
    <e v="#REF!"/>
    <e v="#REF!"/>
    <m/>
    <n v="0.50263157894736843"/>
  </r>
  <r>
    <x v="8"/>
    <x v="218"/>
    <x v="0"/>
    <x v="11"/>
    <m/>
    <m/>
    <s v="FERULLE,  5/8&quot;"/>
    <s v="CA-000646"/>
    <n v="2"/>
    <n v="15"/>
    <m/>
    <n v="30"/>
    <x v="0"/>
    <n v="13"/>
    <n v="7"/>
    <n v="14"/>
    <n v="14.700000000000001"/>
    <n v="15.299999999999999"/>
    <n v="0"/>
    <x v="42"/>
    <x v="2"/>
    <e v="#REF!"/>
    <e v="#REF!"/>
    <m/>
    <n v="0.51"/>
  </r>
  <r>
    <x v="8"/>
    <x v="218"/>
    <x v="0"/>
    <x v="11"/>
    <m/>
    <m/>
    <s v="FITTINGS, STRAIGHT FLARE TYPE 5/8"/>
    <s v="CA-000673"/>
    <n v="2"/>
    <n v="40"/>
    <m/>
    <n v="80"/>
    <x v="0"/>
    <n v="30"/>
    <n v="16"/>
    <n v="32"/>
    <n v="33.6"/>
    <n v="46.4"/>
    <n v="0"/>
    <x v="33"/>
    <x v="2"/>
    <e v="#REF!"/>
    <e v="#REF!"/>
    <m/>
    <n v="0.57999999999999996"/>
  </r>
  <r>
    <x v="8"/>
    <x v="218"/>
    <x v="2"/>
    <x v="22"/>
    <m/>
    <m/>
    <s v="EVAPORATOR, TOYOTA HI LUX "/>
    <s v="CA-001395"/>
    <n v="1"/>
    <n v="2000"/>
    <m/>
    <n v="2000"/>
    <x v="0"/>
    <n v="2573"/>
    <n v="1400"/>
    <n v="1400"/>
    <n v="1470"/>
    <n v="530"/>
    <n v="159"/>
    <x v="10"/>
    <x v="2"/>
    <e v="#REF!"/>
    <e v="#REF!"/>
    <m/>
    <n v="0.26500000000000001"/>
  </r>
  <r>
    <x v="8"/>
    <x v="218"/>
    <x v="0"/>
    <x v="1"/>
    <m/>
    <m/>
    <s v="MAPP_GAS, Gazz Pro (Winterpine) TORCH GAS"/>
    <s v="IM-000310"/>
    <n v="1"/>
    <n v="380"/>
    <m/>
    <n v="380"/>
    <x v="0"/>
    <n v="451"/>
    <n v="250"/>
    <n v="250"/>
    <n v="257.5"/>
    <n v="122.5"/>
    <n v="0"/>
    <x v="45"/>
    <x v="0"/>
    <e v="#REF!"/>
    <e v="#REF!"/>
    <m/>
    <n v="0.32236842105263158"/>
  </r>
  <r>
    <x v="8"/>
    <x v="218"/>
    <x v="0"/>
    <x v="1"/>
    <m/>
    <m/>
    <s v="HAND_TORCH,  SINGLE"/>
    <s v="TL-000025"/>
    <n v="1"/>
    <n v="1700"/>
    <m/>
    <n v="1700"/>
    <x v="0"/>
    <n v="1654"/>
    <n v="900"/>
    <n v="900"/>
    <n v="945"/>
    <n v="755"/>
    <n v="0"/>
    <x v="55"/>
    <x v="4"/>
    <e v="#REF!"/>
    <e v="#REF!"/>
    <m/>
    <n v="0.44411764705882351"/>
  </r>
  <r>
    <x v="8"/>
    <x v="218"/>
    <x v="0"/>
    <x v="32"/>
    <m/>
    <m/>
    <s v="COPPER_TUBE_SOFTDRAWN, HAILIANG 0.028 X 1/4 x 15 mtr  08/03/26"/>
    <s v="IM-000333"/>
    <n v="1"/>
    <n v="2000"/>
    <m/>
    <n v="2000"/>
    <x v="0"/>
    <n v="3063"/>
    <n v="1699"/>
    <n v="1699"/>
    <n v="1749.97"/>
    <n v="250.02999999999997"/>
    <n v="0"/>
    <x v="0"/>
    <x v="0"/>
    <e v="#REF!"/>
    <e v="#REF!"/>
    <m/>
    <n v="0.12501499999999999"/>
  </r>
  <r>
    <x v="8"/>
    <x v="218"/>
    <x v="0"/>
    <x v="32"/>
    <m/>
    <m/>
    <s v="COPPER_TUBE_SOFTDRAWN, HAILIANG 0.028 X 1/2 x 15 mtr 06/02/26"/>
    <s v="IM-000328"/>
    <n v="0.6"/>
    <n v="4750"/>
    <m/>
    <n v="2850"/>
    <x v="0"/>
    <n v="6554"/>
    <n v="3636"/>
    <n v="2181.6"/>
    <n v="2247.0479999999998"/>
    <n v="602.95200000000023"/>
    <n v="0"/>
    <x v="0"/>
    <x v="0"/>
    <e v="#REF!"/>
    <e v="#REF!"/>
    <m/>
    <n v="0.21156210526315797"/>
  </r>
  <r>
    <x v="8"/>
    <x v="218"/>
    <x v="0"/>
    <x v="32"/>
    <m/>
    <m/>
    <s v="COPPER_TUBE_SOFTDRAWN, HAILIANG 0.028 X 3/8 x 15 mtr 06/02/26"/>
    <s v="IM-000327"/>
    <n v="1"/>
    <n v="3000"/>
    <m/>
    <n v="3000"/>
    <x v="0"/>
    <n v="4774"/>
    <n v="2648"/>
    <n v="2648"/>
    <n v="2727.44"/>
    <n v="272.55999999999995"/>
    <n v="0"/>
    <x v="0"/>
    <x v="0"/>
    <e v="#REF!"/>
    <e v="#REF!"/>
    <m/>
    <n v="9.0853333333333314E-2"/>
  </r>
  <r>
    <x v="8"/>
    <x v="218"/>
    <x v="0"/>
    <x v="32"/>
    <m/>
    <m/>
    <s v="RUBBER_INSULATION, M-FLEX 1/2&quot; 1/2"/>
    <s v="IM-000227"/>
    <n v="5"/>
    <n v="70"/>
    <m/>
    <n v="350"/>
    <x v="0"/>
    <n v="65"/>
    <n v="46.4"/>
    <n v="232"/>
    <n v="238.96"/>
    <n v="111.03999999999999"/>
    <n v="0"/>
    <x v="22"/>
    <x v="0"/>
    <e v="#REF!"/>
    <e v="#REF!"/>
    <m/>
    <n v="0.31725714285714285"/>
  </r>
  <r>
    <x v="8"/>
    <x v="218"/>
    <x v="0"/>
    <x v="32"/>
    <m/>
    <m/>
    <s v="RUBBER_INSULATION, M-FLEX 1/2&quot; 3/8"/>
    <s v="IM-000231"/>
    <n v="5"/>
    <n v="60"/>
    <m/>
    <n v="300"/>
    <x v="0"/>
    <n v="53"/>
    <n v="37.6"/>
    <n v="188"/>
    <n v="193.64000000000001"/>
    <n v="106.35999999999999"/>
    <n v="0"/>
    <x v="22"/>
    <x v="0"/>
    <m/>
    <m/>
    <m/>
    <n v="0.35453333333333331"/>
  </r>
  <r>
    <x v="8"/>
    <x v="218"/>
    <x v="0"/>
    <x v="32"/>
    <m/>
    <m/>
    <s v="FITTINGS, BRASS FLARE NUT 1/4"/>
    <s v="IM-000049"/>
    <n v="3"/>
    <n v="23"/>
    <m/>
    <n v="69"/>
    <x v="0"/>
    <n v="26"/>
    <n v="14"/>
    <n v="42"/>
    <n v="43.26"/>
    <n v="25.740000000000002"/>
    <n v="0"/>
    <x v="33"/>
    <x v="0"/>
    <m/>
    <m/>
    <m/>
    <n v="0.37304347826086959"/>
  </r>
  <r>
    <x v="8"/>
    <x v="218"/>
    <x v="0"/>
    <x v="32"/>
    <m/>
    <m/>
    <s v="FITTINGS, BRASS FLARE NUT 3/8"/>
    <s v="IM-000050"/>
    <n v="2"/>
    <n v="55"/>
    <m/>
    <n v="110"/>
    <x v="0"/>
    <n v="44"/>
    <n v="24"/>
    <n v="48"/>
    <n v="49.44"/>
    <n v="60.56"/>
    <n v="0"/>
    <x v="33"/>
    <x v="0"/>
    <e v="#REF!"/>
    <e v="#REF!"/>
    <s v=""/>
    <n v="0.55054545454545456"/>
  </r>
  <r>
    <x v="8"/>
    <x v="218"/>
    <x v="0"/>
    <x v="32"/>
    <m/>
    <m/>
    <s v="FITTINGS, BRASS FLARE NUT 1/2"/>
    <s v="IM-000048"/>
    <n v="1"/>
    <n v="65"/>
    <m/>
    <n v="65"/>
    <x v="0"/>
    <n v="51"/>
    <n v="28"/>
    <n v="28"/>
    <n v="28.84"/>
    <n v="36.159999999999997"/>
    <n v="0"/>
    <x v="33"/>
    <x v="0"/>
    <e v="#REF!"/>
    <e v="#REF!"/>
    <s v=""/>
    <n v="0.55630769230769228"/>
  </r>
  <r>
    <x v="8"/>
    <x v="218"/>
    <x v="2"/>
    <x v="22"/>
    <m/>
    <m/>
    <s v="EVAPORATOR, ISUZU CROSSWIND (F)"/>
    <s v="CA-000498"/>
    <n v="1"/>
    <n v="1820"/>
    <m/>
    <n v="1820"/>
    <x v="0"/>
    <n v="2297"/>
    <n v="1250"/>
    <n v="1250"/>
    <n v="1312.5"/>
    <n v="507.5"/>
    <n v="152.25"/>
    <x v="10"/>
    <x v="2"/>
    <e v="#REF!"/>
    <e v="#REF!"/>
    <s v=""/>
    <n v="0.27884615384615385"/>
  </r>
  <r>
    <x v="8"/>
    <x v="218"/>
    <x v="2"/>
    <x v="22"/>
    <m/>
    <m/>
    <s v="EVAPORATOR, ISUZU TRAVIS /NHR DC 40A492"/>
    <s v="CA-001836"/>
    <n v="1"/>
    <n v="1820"/>
    <m/>
    <n v="1820"/>
    <x v="0"/>
    <n v="2389"/>
    <n v="1300"/>
    <n v="1300"/>
    <n v="1365"/>
    <n v="455"/>
    <n v="136.5"/>
    <x v="10"/>
    <x v="2"/>
    <e v="#REF!"/>
    <e v="#REF!"/>
    <s v=""/>
    <n v="0.25"/>
  </r>
  <r>
    <x v="8"/>
    <x v="218"/>
    <x v="2"/>
    <x v="22"/>
    <m/>
    <m/>
    <s v="EVAPORATOR, MITSUBISHI ADVENTURE LAM  (STAL)"/>
    <s v="CA-001719"/>
    <n v="1"/>
    <n v="1900"/>
    <m/>
    <n v="1900"/>
    <x v="0"/>
    <n v="2536"/>
    <n v="1380"/>
    <n v="1380"/>
    <n v="1449"/>
    <n v="451"/>
    <n v="135.29999999999998"/>
    <x v="10"/>
    <x v="2"/>
    <e v="#REF!"/>
    <e v="#REF!"/>
    <s v=""/>
    <n v="0.23736842105263159"/>
  </r>
  <r>
    <x v="8"/>
    <x v="218"/>
    <x v="2"/>
    <x v="22"/>
    <m/>
    <m/>
    <s v="RECEIVER_DRIER_ALUMINUM, YK 8025 (Hyundai VTEC,Corolla SD, Nissan)"/>
    <s v="CA-001091"/>
    <n v="1"/>
    <n v="400"/>
    <m/>
    <n v="400"/>
    <x v="0"/>
    <n v="579"/>
    <n v="245"/>
    <n v="245"/>
    <n v="257.25"/>
    <n v="142.75"/>
    <n v="42.824999999999996"/>
    <x v="27"/>
    <x v="2"/>
    <e v="#REF!"/>
    <e v="#REF!"/>
    <s v=""/>
    <n v="0.356875"/>
  </r>
  <r>
    <x v="8"/>
    <x v="218"/>
    <x v="2"/>
    <x v="22"/>
    <m/>
    <m/>
    <s v="RECEIVER_DRIER_ALUMINUM, YK 8035 (Hiace)"/>
    <s v="CA-001093"/>
    <n v="1"/>
    <n v="400"/>
    <m/>
    <n v="400"/>
    <x v="0"/>
    <n v="579"/>
    <n v="245"/>
    <n v="245"/>
    <n v="257.25"/>
    <n v="142.75"/>
    <n v="42.824999999999996"/>
    <x v="27"/>
    <x v="2"/>
    <e v="#REF!"/>
    <e v="#REF!"/>
    <s v=""/>
    <n v="0.356875"/>
  </r>
  <r>
    <x v="8"/>
    <x v="218"/>
    <x v="2"/>
    <x v="22"/>
    <m/>
    <m/>
    <s v="RECEIVER_DRIER_ALUMINUM, YK 8015 (L) (Adventure)"/>
    <s v="CA-001085"/>
    <n v="1"/>
    <n v="400"/>
    <m/>
    <n v="400"/>
    <x v="0"/>
    <n v="615"/>
    <n v="260"/>
    <n v="260"/>
    <n v="273"/>
    <n v="127"/>
    <n v="38.1"/>
    <x v="27"/>
    <x v="2"/>
    <e v="#REF!"/>
    <e v="#REF!"/>
    <s v=""/>
    <n v="0.3175"/>
  </r>
  <r>
    <x v="8"/>
    <x v="218"/>
    <x v="2"/>
    <x v="22"/>
    <m/>
    <m/>
    <s v="SYSTEM_CLEANER, NEK 141B 450 ML"/>
    <s v="GE-000371"/>
    <n v="5"/>
    <n v="95"/>
    <m/>
    <n v="475"/>
    <x v="0"/>
    <n v="104"/>
    <n v="60"/>
    <n v="300"/>
    <n v="315"/>
    <n v="160"/>
    <n v="48"/>
    <x v="28"/>
    <x v="1"/>
    <e v="#REF!"/>
    <e v="#REF!"/>
    <s v=""/>
    <n v="0.33684210526315789"/>
  </r>
  <r>
    <x v="8"/>
    <x v="218"/>
    <x v="0"/>
    <x v="32"/>
    <m/>
    <m/>
    <s v="BRACKET , GB 1HP, COATED"/>
    <s v="IM-000008"/>
    <n v="2"/>
    <n v="360"/>
    <m/>
    <n v="720"/>
    <x v="0"/>
    <n v="334"/>
    <n v="185"/>
    <n v="370"/>
    <n v="381.1"/>
    <n v="338.9"/>
    <n v="0"/>
    <x v="1"/>
    <x v="0"/>
    <e v="#REF!"/>
    <e v="#REF!"/>
    <s v=""/>
    <n v="0.47069444444444442"/>
  </r>
  <r>
    <x v="8"/>
    <x v="218"/>
    <x v="0"/>
    <x v="32"/>
    <m/>
    <m/>
    <s v="BRACKET , GB 2HP, COATED"/>
    <s v="IM-000011"/>
    <n v="1"/>
    <n v="460"/>
    <m/>
    <n v="460"/>
    <x v="0"/>
    <n v="532"/>
    <n v="295"/>
    <n v="295"/>
    <n v="303.85000000000002"/>
    <n v="156.14999999999998"/>
    <n v="0"/>
    <x v="1"/>
    <x v="0"/>
    <e v="#REF!"/>
    <e v="#REF!"/>
    <s v=""/>
    <n v="0.33945652173913038"/>
  </r>
  <r>
    <x v="8"/>
    <x v="218"/>
    <x v="0"/>
    <x v="32"/>
    <m/>
    <m/>
    <s v="HOSE,  DRAIN 5/8 PER METER"/>
    <s v="GE-000420"/>
    <n v="2"/>
    <n v="70"/>
    <m/>
    <n v="140"/>
    <x v="0"/>
    <n v="82"/>
    <n v="31"/>
    <n v="62"/>
    <n v="65.100000000000009"/>
    <n v="74.899999999999991"/>
    <n v="0"/>
    <x v="19"/>
    <x v="1"/>
    <e v="#REF!"/>
    <e v="#REF!"/>
    <s v=""/>
    <n v="0.53499999999999992"/>
  </r>
  <r>
    <x v="8"/>
    <x v="218"/>
    <x v="0"/>
    <x v="32"/>
    <m/>
    <m/>
    <s v="BOLT &amp; NUT, GI, SET 3/8"/>
    <s v="IM-000002"/>
    <n v="3"/>
    <n v="14"/>
    <m/>
    <n v="42"/>
    <x v="0"/>
    <n v="10"/>
    <n v="5.43"/>
    <n v="16.29"/>
    <n v="16.778700000000001"/>
    <n v="25.221299999999999"/>
    <n v="0"/>
    <x v="57"/>
    <x v="0"/>
    <e v="#REF!"/>
    <e v="#REF!"/>
    <e v="#REF!"/>
    <n v="0"/>
  </r>
  <r>
    <x v="8"/>
    <x v="219"/>
    <x v="7"/>
    <x v="135"/>
    <m/>
    <m/>
    <m/>
    <s v=""/>
    <m/>
    <m/>
    <m/>
    <n v="0"/>
    <x v="0"/>
    <n v="0"/>
    <n v="0"/>
    <n v="0"/>
    <n v="0"/>
    <n v="0"/>
    <n v="0"/>
    <x v="13"/>
    <x v="3"/>
    <s v=""/>
    <s v=""/>
    <s v=""/>
    <n v="0"/>
  </r>
  <r>
    <x v="8"/>
    <x v="220"/>
    <x v="0"/>
    <x v="11"/>
    <m/>
    <m/>
    <s v="EVAPORATOR, NISSAN CALIBRE 16"/>
    <s v="CA-001275"/>
    <n v="1"/>
    <n v="2200"/>
    <m/>
    <n v="2200"/>
    <x v="0"/>
    <n v="2849"/>
    <n v="1550"/>
    <n v="1550"/>
    <n v="1627.5"/>
    <n v="572.5"/>
    <n v="0"/>
    <x v="10"/>
    <x v="2"/>
    <e v="#REF!"/>
    <e v="#REF!"/>
    <s v=""/>
    <n v="0.26022727272727275"/>
  </r>
  <r>
    <x v="8"/>
    <x v="220"/>
    <x v="0"/>
    <x v="11"/>
    <m/>
    <m/>
    <s v="SYSTEM_CLEANER, Cleanse GREEN 141B 500 ML"/>
    <s v="GE-000369"/>
    <n v="2"/>
    <n v="120"/>
    <m/>
    <n v="240"/>
    <x v="0"/>
    <n v="113"/>
    <n v="65"/>
    <n v="130"/>
    <n v="136.5"/>
    <n v="103.5"/>
    <n v="0"/>
    <x v="28"/>
    <x v="1"/>
    <e v="#REF!"/>
    <e v="#REF!"/>
    <s v=""/>
    <n v="0.43125000000000002"/>
  </r>
  <r>
    <x v="8"/>
    <x v="220"/>
    <x v="0"/>
    <x v="11"/>
    <m/>
    <m/>
    <s v="RECEIVER_DRIER_ALUMINUM, YK 40 X 235 (DMAX)"/>
    <s v="CA-001082"/>
    <n v="1"/>
    <n v="560"/>
    <m/>
    <n v="560"/>
    <x v="0"/>
    <n v="662"/>
    <n v="280"/>
    <n v="280"/>
    <n v="294"/>
    <n v="266"/>
    <n v="0"/>
    <x v="27"/>
    <x v="2"/>
    <e v="#REF!"/>
    <e v="#REF!"/>
    <s v=""/>
    <n v="0.47499999999999998"/>
  </r>
  <r>
    <x v="8"/>
    <x v="220"/>
    <x v="1"/>
    <x v="3"/>
    <m/>
    <m/>
    <s v="CABIN_FILTER, TOYOTA VIOS"/>
    <s v="CA-001295"/>
    <n v="1"/>
    <n v="350"/>
    <m/>
    <n v="350"/>
    <x v="0"/>
    <n v="315"/>
    <n v="100"/>
    <n v="100"/>
    <n v="105"/>
    <n v="245"/>
    <n v="73.5"/>
    <x v="12"/>
    <x v="2"/>
    <e v="#REF!"/>
    <e v="#REF!"/>
    <s v=""/>
    <n v="0.7"/>
  </r>
  <r>
    <x v="8"/>
    <x v="220"/>
    <x v="1"/>
    <x v="3"/>
    <m/>
    <m/>
    <s v="EXP. VALVE LT, POKKA 9A55 HONDA NEW"/>
    <s v="CA-000636"/>
    <n v="1"/>
    <n v="550"/>
    <m/>
    <n v="550"/>
    <x v="0"/>
    <n v="497"/>
    <n v="270"/>
    <n v="270"/>
    <n v="283.5"/>
    <n v="266.5"/>
    <n v="79.95"/>
    <x v="23"/>
    <x v="2"/>
    <e v="#REF!"/>
    <e v="#REF!"/>
    <s v=""/>
    <n v="0.48454545454545456"/>
  </r>
  <r>
    <x v="8"/>
    <x v="220"/>
    <x v="4"/>
    <x v="25"/>
    <m/>
    <n v="750"/>
    <s v="AUXIALLIARY_FAN, POKKA 14 BLADES X 12VOLTS"/>
    <s v="CA-000112"/>
    <n v="1"/>
    <n v="700"/>
    <m/>
    <n v="700"/>
    <x v="0"/>
    <n v="882"/>
    <n v="480"/>
    <n v="480"/>
    <n v="504"/>
    <n v="196"/>
    <n v="58.8"/>
    <x v="16"/>
    <x v="2"/>
    <e v="#REF!"/>
    <e v="#REF!"/>
    <n v="784.00000000000011"/>
    <n v="0.28000000000000003"/>
  </r>
  <r>
    <x v="8"/>
    <x v="221"/>
    <x v="0"/>
    <x v="83"/>
    <m/>
    <m/>
    <s v="EXP. VALVE LT, POKKA 9A56 INNOVA F"/>
    <s v="CA-000637"/>
    <n v="1"/>
    <n v="550"/>
    <m/>
    <n v="550"/>
    <x v="0"/>
    <n v="460"/>
    <n v="250"/>
    <n v="250"/>
    <n v="262.5"/>
    <n v="287.5"/>
    <n v="0"/>
    <x v="23"/>
    <x v="2"/>
    <e v="#REF!"/>
    <e v="#REF!"/>
    <s v=""/>
    <n v="0.52272727272727271"/>
  </r>
  <r>
    <x v="8"/>
    <x v="221"/>
    <x v="0"/>
    <x v="83"/>
    <m/>
    <n v="200"/>
    <s v="SILICA_GEL, STAL LONG"/>
    <s v="CA-001637"/>
    <n v="1"/>
    <n v="180"/>
    <m/>
    <n v="180"/>
    <x v="0"/>
    <n v="50"/>
    <n v="25"/>
    <n v="25"/>
    <n v="26.25"/>
    <n v="153.75"/>
    <n v="0"/>
    <x v="37"/>
    <x v="2"/>
    <e v="#REF!"/>
    <e v="#REF!"/>
    <n v="201.60000000000002"/>
    <n v="0.85416666666666663"/>
  </r>
  <r>
    <x v="8"/>
    <x v="221"/>
    <x v="0"/>
    <x v="11"/>
    <m/>
    <n v="400"/>
    <s v="CABIN_FILTER, MAZDA 3"/>
    <s v="CA-001697"/>
    <n v="1"/>
    <n v="358"/>
    <m/>
    <n v="358"/>
    <x v="0"/>
    <n v="567"/>
    <n v="180"/>
    <n v="180"/>
    <n v="189"/>
    <n v="169"/>
    <n v="0"/>
    <x v="12"/>
    <x v="2"/>
    <e v="#REF!"/>
    <e v="#REF!"/>
    <n v="400.96000000000004"/>
    <n v="0.47206703910614523"/>
  </r>
  <r>
    <x v="8"/>
    <x v="221"/>
    <x v="0"/>
    <x v="11"/>
    <m/>
    <m/>
    <s v="SYSTEM_CLEANER, Cleanse GREEN 141B 500 ML"/>
    <s v="GE-000369"/>
    <n v="2"/>
    <n v="120"/>
    <m/>
    <n v="240"/>
    <x v="0"/>
    <n v="113"/>
    <n v="65"/>
    <n v="130"/>
    <n v="136.5"/>
    <n v="103.5"/>
    <n v="0"/>
    <x v="28"/>
    <x v="1"/>
    <e v="#REF!"/>
    <e v="#REF!"/>
    <s v=""/>
    <n v="0.43125000000000002"/>
  </r>
  <r>
    <x v="8"/>
    <x v="221"/>
    <x v="2"/>
    <x v="22"/>
    <m/>
    <n v="2000"/>
    <s v="EVAPORATOR, ISUZU MUX REAR 2012"/>
    <s v="CA-001768"/>
    <n v="1"/>
    <n v="1786"/>
    <m/>
    <n v="1786"/>
    <x v="0"/>
    <n v="2993"/>
    <n v="1500"/>
    <n v="1500"/>
    <n v="1575"/>
    <n v="211"/>
    <n v="63.3"/>
    <x v="10"/>
    <x v="2"/>
    <e v="#REF!"/>
    <e v="#REF!"/>
    <n v="2000.3200000000002"/>
    <n v="0.11814109742441209"/>
  </r>
  <r>
    <x v="8"/>
    <x v="221"/>
    <x v="0"/>
    <x v="17"/>
    <m/>
    <n v="2200"/>
    <s v="EVAPORATOR, TOYOTA RUSH / AVANZA 2019  (STAL)"/>
    <s v="CA-001848"/>
    <n v="1"/>
    <n v="1964"/>
    <m/>
    <n v="1964"/>
    <x v="0"/>
    <n v="1925"/>
    <n v="1100"/>
    <n v="1100"/>
    <n v="1155"/>
    <n v="809"/>
    <n v="0"/>
    <x v="10"/>
    <x v="2"/>
    <e v="#REF!"/>
    <e v="#REF!"/>
    <n v="2199.6800000000003"/>
    <n v="0.4119144602851324"/>
  </r>
  <r>
    <x v="8"/>
    <x v="221"/>
    <x v="2"/>
    <x v="22"/>
    <m/>
    <m/>
    <s v="EXP. VALVE LT, POKKA 9A60 / 9A233 EXTRAIL"/>
    <s v="CA-001829"/>
    <n v="1"/>
    <n v="420"/>
    <m/>
    <n v="420"/>
    <x v="0"/>
    <n v="478"/>
    <n v="260"/>
    <n v="260"/>
    <n v="273"/>
    <n v="147"/>
    <n v="44.1"/>
    <x v="23"/>
    <x v="2"/>
    <e v="#REF!"/>
    <e v="#REF!"/>
    <s v=""/>
    <n v="0.35"/>
  </r>
  <r>
    <x v="8"/>
    <x v="221"/>
    <x v="6"/>
    <x v="159"/>
    <m/>
    <n v="750"/>
    <s v="AUXIALLIARY_FAN, POKKA 14 BLADES X 12VOLTS"/>
    <s v="CA-000112"/>
    <n v="2"/>
    <n v="700"/>
    <m/>
    <n v="1400"/>
    <x v="0"/>
    <n v="882"/>
    <n v="480"/>
    <n v="960"/>
    <n v="1008"/>
    <n v="392"/>
    <n v="117.6"/>
    <x v="16"/>
    <x v="2"/>
    <e v="#REF!"/>
    <e v="#REF!"/>
    <n v="784.00000000000011"/>
    <n v="0.28000000000000003"/>
  </r>
  <r>
    <x v="8"/>
    <x v="221"/>
    <x v="2"/>
    <x v="7"/>
    <m/>
    <m/>
    <s v="REFRIGERANT, ENTALPIA EUROPE R134A 13.6   6/16/26 "/>
    <s v="GE-000517"/>
    <n v="1"/>
    <n v="9000"/>
    <m/>
    <n v="9000"/>
    <x v="0"/>
    <n v="10489"/>
    <n v="7684"/>
    <n v="7684"/>
    <n v="8068.2000000000007"/>
    <n v="931.79999999999927"/>
    <n v="279.53999999999979"/>
    <x v="5"/>
    <x v="1"/>
    <e v="#REF!"/>
    <e v="#REF!"/>
    <s v=""/>
    <n v="0.10353333333333326"/>
  </r>
  <r>
    <x v="8"/>
    <x v="222"/>
    <x v="2"/>
    <x v="9"/>
    <m/>
    <n v="1900"/>
    <s v="BLOWER_MOTOR, TOYOTA VIOS SUPERMAN"/>
    <s v="CA-000233"/>
    <n v="1"/>
    <n v="1696"/>
    <m/>
    <n v="1696"/>
    <x v="0"/>
    <n v="2389"/>
    <n v="1300"/>
    <n v="1300"/>
    <n v="1365"/>
    <n v="331"/>
    <n v="99.3"/>
    <x v="15"/>
    <x v="2"/>
    <e v="#REF!"/>
    <e v="#REF!"/>
    <n v="1899.5200000000002"/>
    <n v="0.19516509433962265"/>
  </r>
  <r>
    <x v="8"/>
    <x v="222"/>
    <x v="0"/>
    <x v="79"/>
    <m/>
    <m/>
    <s v="BLOWER_MOTOR, TOYOTA INNOVA OLD F"/>
    <s v="CA-000227"/>
    <n v="1"/>
    <n v="1950"/>
    <m/>
    <n v="1950"/>
    <x v="0"/>
    <n v="2389"/>
    <n v="1300"/>
    <n v="1300"/>
    <n v="1365"/>
    <n v="585"/>
    <n v="0"/>
    <x v="15"/>
    <x v="2"/>
    <e v="#REF!"/>
    <e v="#REF!"/>
    <s v=""/>
    <n v="0.3"/>
  </r>
  <r>
    <x v="8"/>
    <x v="222"/>
    <x v="0"/>
    <x v="79"/>
    <m/>
    <m/>
    <s v="BLOWER_MOTOR, TOYOTA INNOVA OLD R"/>
    <s v="CA-000228"/>
    <n v="1"/>
    <n v="1950"/>
    <m/>
    <n v="1950"/>
    <x v="0"/>
    <n v="2389"/>
    <n v="1300"/>
    <n v="1300"/>
    <n v="1365"/>
    <n v="585"/>
    <n v="0"/>
    <x v="15"/>
    <x v="2"/>
    <e v="#REF!"/>
    <e v="#REF!"/>
    <s v=""/>
    <n v="0.3"/>
  </r>
  <r>
    <x v="8"/>
    <x v="222"/>
    <x v="0"/>
    <x v="30"/>
    <m/>
    <m/>
    <s v="HOSE,  DRAIN 3/4"/>
    <s v="GE-000128"/>
    <n v="1"/>
    <n v="1300"/>
    <m/>
    <n v="1300"/>
    <x v="0"/>
    <n v="1250"/>
    <n v="680"/>
    <n v="680"/>
    <n v="714"/>
    <n v="586"/>
    <n v="0"/>
    <x v="19"/>
    <x v="1"/>
    <e v="#REF!"/>
    <e v="#REF!"/>
    <s v=""/>
    <n v="0.45076923076923076"/>
  </r>
  <r>
    <x v="8"/>
    <x v="222"/>
    <x v="2"/>
    <x v="7"/>
    <m/>
    <n v="350"/>
    <s v="CABIN_FILTER, FORD RANGER 2014"/>
    <s v="CA-001673"/>
    <n v="1"/>
    <n v="313"/>
    <m/>
    <n v="313"/>
    <x v="0"/>
    <n v="315"/>
    <n v="100"/>
    <n v="100"/>
    <n v="105"/>
    <n v="208"/>
    <n v="62.4"/>
    <x v="12"/>
    <x v="2"/>
    <e v="#REF!"/>
    <e v="#REF!"/>
    <n v="350.56000000000006"/>
    <n v="0.66453674121405748"/>
  </r>
  <r>
    <x v="8"/>
    <x v="222"/>
    <x v="1"/>
    <x v="3"/>
    <m/>
    <m/>
    <s v="EVAPORATOR, HONDA CIVIC 2017"/>
    <s v="CA-001369"/>
    <n v="1"/>
    <n v="2100"/>
    <m/>
    <n v="2100"/>
    <x v="0"/>
    <n v="2573"/>
    <n v="1400"/>
    <n v="1400"/>
    <n v="1470"/>
    <n v="630"/>
    <n v="189"/>
    <x v="10"/>
    <x v="2"/>
    <e v="#REF!"/>
    <e v="#REF!"/>
    <s v=""/>
    <n v="0.3"/>
  </r>
  <r>
    <x v="8"/>
    <x v="222"/>
    <x v="1"/>
    <x v="3"/>
    <m/>
    <m/>
    <s v="EXP. VALVE LT, POKKA 9A56 INNOVA F"/>
    <s v="CA-000637"/>
    <n v="1"/>
    <n v="550"/>
    <m/>
    <n v="550"/>
    <x v="0"/>
    <n v="460"/>
    <n v="250"/>
    <n v="250"/>
    <n v="262.5"/>
    <n v="287.5"/>
    <n v="86.25"/>
    <x v="23"/>
    <x v="2"/>
    <e v="#REF!"/>
    <e v="#REF!"/>
    <s v=""/>
    <n v="0.52272727272727271"/>
  </r>
  <r>
    <x v="8"/>
    <x v="222"/>
    <x v="1"/>
    <x v="3"/>
    <m/>
    <m/>
    <s v="CABIN_FILTER, HONDA LARGE"/>
    <s v="CA-001422"/>
    <n v="1"/>
    <n v="450"/>
    <m/>
    <n v="450"/>
    <x v="0"/>
    <n v="378"/>
    <n v="120"/>
    <n v="120"/>
    <n v="126"/>
    <n v="324"/>
    <n v="97.2"/>
    <x v="12"/>
    <x v="2"/>
    <e v="#REF!"/>
    <e v="#REF!"/>
    <s v=""/>
    <n v="0.72"/>
  </r>
  <r>
    <x v="8"/>
    <x v="222"/>
    <x v="0"/>
    <x v="181"/>
    <m/>
    <n v="2000"/>
    <s v="EVAPORATOR, TOYOTA INNOVA OLD (F) JBE-0103ZX (STAL)"/>
    <s v="CA-001633"/>
    <n v="1"/>
    <n v="1786"/>
    <m/>
    <n v="1786"/>
    <x v="0"/>
    <n v="1654"/>
    <n v="900"/>
    <n v="900"/>
    <n v="945"/>
    <n v="841"/>
    <n v="0"/>
    <x v="10"/>
    <x v="2"/>
    <e v="#REF!"/>
    <e v="#REF!"/>
    <n v="2000.3200000000002"/>
    <n v="0.47088465845464728"/>
  </r>
  <r>
    <x v="8"/>
    <x v="222"/>
    <x v="0"/>
    <x v="181"/>
    <m/>
    <n v="1900"/>
    <s v="EVAPORATOR, TOYOTA INNOVA OLD (R) JBE-0102X (STAL)"/>
    <s v="CA-001634"/>
    <n v="1"/>
    <n v="1700"/>
    <m/>
    <n v="1700"/>
    <x v="0"/>
    <n v="1470"/>
    <n v="800"/>
    <n v="800"/>
    <n v="840"/>
    <n v="860"/>
    <n v="0"/>
    <x v="10"/>
    <x v="2"/>
    <e v="#REF!"/>
    <e v="#REF!"/>
    <n v="1904.0000000000002"/>
    <n v="0.50588235294117645"/>
  </r>
  <r>
    <x v="8"/>
    <x v="222"/>
    <x v="0"/>
    <x v="18"/>
    <m/>
    <m/>
    <s v="PULLEY_ASSEMBLY, TOYOTA INNOVA DENSO 7PK 2008"/>
    <s v="CA-000242"/>
    <n v="1"/>
    <n v="2200"/>
    <m/>
    <n v="2200"/>
    <x v="0"/>
    <n v="2520"/>
    <n v="1500"/>
    <n v="1500"/>
    <n v="1575"/>
    <n v="625"/>
    <n v="0"/>
    <x v="11"/>
    <x v="2"/>
    <e v="#REF!"/>
    <e v="#REF!"/>
    <s v=""/>
    <n v="0.28409090909090912"/>
  </r>
  <r>
    <x v="8"/>
    <x v="222"/>
    <x v="0"/>
    <x v="61"/>
    <m/>
    <m/>
    <s v="FITTINGS, STRAIGHT ORING TYPE 1/2"/>
    <s v="CA-000674"/>
    <n v="2"/>
    <n v="40"/>
    <m/>
    <n v="80"/>
    <x v="0"/>
    <n v="30"/>
    <n v="16"/>
    <n v="32"/>
    <n v="33.6"/>
    <n v="46.4"/>
    <n v="0"/>
    <x v="33"/>
    <x v="2"/>
    <e v="#REF!"/>
    <e v="#REF!"/>
    <s v=""/>
    <n v="0.57999999999999996"/>
  </r>
  <r>
    <x v="8"/>
    <x v="222"/>
    <x v="0"/>
    <x v="61"/>
    <m/>
    <m/>
    <s v="FERULLE,  1/2&quot;"/>
    <s v="CA-000644"/>
    <n v="2"/>
    <n v="15"/>
    <m/>
    <n v="30"/>
    <x v="0"/>
    <n v="13"/>
    <n v="7"/>
    <n v="14"/>
    <n v="14.700000000000001"/>
    <n v="15.299999999999999"/>
    <n v="0"/>
    <x v="42"/>
    <x v="2"/>
    <e v="#REF!"/>
    <e v="#REF!"/>
    <s v=""/>
    <n v="0.51"/>
  </r>
  <r>
    <x v="8"/>
    <x v="222"/>
    <x v="0"/>
    <x v="61"/>
    <m/>
    <m/>
    <s v="O_RING, NEK MAKAPAL 1/2  TINGI"/>
    <s v="CA-001491"/>
    <n v="5"/>
    <n v="7"/>
    <m/>
    <n v="35"/>
    <x v="0"/>
    <n v="2"/>
    <n v="1"/>
    <n v="5"/>
    <n v="5.25"/>
    <n v="29.75"/>
    <n v="0"/>
    <x v="44"/>
    <x v="2"/>
    <e v="#REF!"/>
    <e v="#REF!"/>
    <s v=""/>
    <n v="0.85"/>
  </r>
  <r>
    <x v="8"/>
    <x v="222"/>
    <x v="0"/>
    <x v="1"/>
    <m/>
    <m/>
    <s v="REF_DRIER, OMNI WELDED TYPE  DOUBLE"/>
    <s v="GE-000004"/>
    <n v="1"/>
    <n v="60"/>
    <m/>
    <n v="60"/>
    <x v="0"/>
    <n v="60.900000000000006"/>
    <n v="29"/>
    <n v="29"/>
    <n v="30.450000000000003"/>
    <n v="29.549999999999997"/>
    <n v="0"/>
    <x v="73"/>
    <x v="1"/>
    <e v="#REF!"/>
    <e v="#REF!"/>
    <s v=""/>
    <n v="0.49249999999999994"/>
  </r>
  <r>
    <x v="8"/>
    <x v="222"/>
    <x v="0"/>
    <x v="1"/>
    <m/>
    <m/>
    <s v="TAPE_FOAM, AEROTAPE 3MM X 50 MM X 9.1 MTR  06/18/26"/>
    <s v="IM-000332"/>
    <n v="1"/>
    <n v="430"/>
    <m/>
    <n v="430"/>
    <x v="0"/>
    <m/>
    <m/>
    <n v="0"/>
    <n v="0"/>
    <n v="430"/>
    <n v="0"/>
    <x v="25"/>
    <x v="0"/>
    <e v="#REF!"/>
    <e v="#REF!"/>
    <s v=""/>
    <n v="1"/>
  </r>
  <r>
    <x v="8"/>
    <x v="222"/>
    <x v="0"/>
    <x v="1"/>
    <m/>
    <m/>
    <s v="FITTINGS, BRASS FLARE NUT 1/4"/>
    <s v="IM-000049"/>
    <n v="1"/>
    <n v="35"/>
    <m/>
    <n v="35"/>
    <x v="0"/>
    <n v="26"/>
    <n v="14"/>
    <n v="14"/>
    <n v="14.42"/>
    <n v="20.58"/>
    <n v="0"/>
    <x v="33"/>
    <x v="0"/>
    <e v="#REF!"/>
    <e v="#REF!"/>
    <s v=""/>
    <n v="0.58799999999999997"/>
  </r>
  <r>
    <x v="8"/>
    <x v="223"/>
    <x v="0"/>
    <x v="1"/>
    <m/>
    <m/>
    <s v="REFRIGERANT, FU RYDER R600A CAN, 220 GRAMS"/>
    <s v="GE-000032"/>
    <n v="1"/>
    <n v="180"/>
    <m/>
    <n v="180"/>
    <x v="0"/>
    <n v="177"/>
    <n v="70"/>
    <n v="70"/>
    <n v="73.5"/>
    <n v="106.5"/>
    <n v="0"/>
    <x v="5"/>
    <x v="1"/>
    <e v="#REF!"/>
    <e v="#REF!"/>
    <s v=""/>
    <n v="0.59166666666666667"/>
  </r>
  <r>
    <x v="8"/>
    <x v="223"/>
    <x v="0"/>
    <x v="1"/>
    <m/>
    <m/>
    <s v="REFRIGERANT, POKKA R32, 600 GRMS  05/09/26"/>
    <s v="GE-000509"/>
    <n v="1"/>
    <n v="750"/>
    <m/>
    <n v="750"/>
    <x v="0"/>
    <n v="756"/>
    <n v="480"/>
    <n v="480"/>
    <n v="504"/>
    <n v="246"/>
    <n v="0"/>
    <x v="5"/>
    <x v="1"/>
    <e v="#REF!"/>
    <e v="#REF!"/>
    <s v=""/>
    <n v="0.32800000000000001"/>
  </r>
  <r>
    <x v="8"/>
    <x v="223"/>
    <x v="1"/>
    <x v="5"/>
    <m/>
    <m/>
    <s v="REFRIGERANT, ENTALPIA EUROPE R134A 13.6   6/16/26 "/>
    <s v="GE-000517"/>
    <n v="1"/>
    <n v="9000"/>
    <m/>
    <n v="9000"/>
    <x v="0"/>
    <n v="10489"/>
    <n v="7684"/>
    <n v="7684"/>
    <n v="8068.2000000000007"/>
    <n v="931.79999999999927"/>
    <n v="279.53999999999979"/>
    <x v="5"/>
    <x v="1"/>
    <e v="#REF!"/>
    <e v="#REF!"/>
    <s v=""/>
    <n v="0.10353333333333326"/>
  </r>
  <r>
    <x v="8"/>
    <x v="223"/>
    <x v="0"/>
    <x v="8"/>
    <m/>
    <m/>
    <s v="REFRIGERANT, ENTALPIA EUROPE R134A 13.6   6/16/26 "/>
    <s v="GE-000517"/>
    <n v="1"/>
    <n v="9000"/>
    <m/>
    <n v="9000"/>
    <x v="0"/>
    <n v="10489"/>
    <n v="7684"/>
    <n v="7684"/>
    <n v="8068.2000000000007"/>
    <n v="931.79999999999927"/>
    <n v="0"/>
    <x v="5"/>
    <x v="1"/>
    <e v="#REF!"/>
    <e v="#REF!"/>
    <s v=""/>
    <n v="0.10353333333333326"/>
  </r>
  <r>
    <x v="8"/>
    <x v="223"/>
    <x v="3"/>
    <x v="12"/>
    <m/>
    <n v="2000"/>
    <s v="EVAPORATOR, TOYOTA AVANZA 14 HS-40A523"/>
    <s v="CA-000536"/>
    <n v="1"/>
    <n v="1786"/>
    <m/>
    <n v="1786"/>
    <x v="0"/>
    <n v="2389"/>
    <n v="1300"/>
    <n v="1300"/>
    <n v="1365"/>
    <n v="421"/>
    <n v="126.3"/>
    <x v="10"/>
    <x v="2"/>
    <e v="#REF!"/>
    <e v="#REF!"/>
    <n v="2000.3200000000002"/>
    <n v="0.23572228443449048"/>
  </r>
  <r>
    <x v="8"/>
    <x v="223"/>
    <x v="3"/>
    <x v="12"/>
    <m/>
    <n v="700"/>
    <s v="PASTE_FLUX, HARRIS ALUMINUM BRAZE  (227G)"/>
    <s v="CA-000848"/>
    <n v="1"/>
    <n v="625"/>
    <m/>
    <n v="625"/>
    <x v="0"/>
    <n v="772"/>
    <n v="420"/>
    <n v="420"/>
    <n v="441"/>
    <n v="184"/>
    <n v="55.199999999999996"/>
    <x v="60"/>
    <x v="2"/>
    <e v="#REF!"/>
    <e v="#REF!"/>
    <n v="700.00000000000011"/>
    <n v="0.2944"/>
  </r>
  <r>
    <x v="8"/>
    <x v="223"/>
    <x v="3"/>
    <x v="12"/>
    <m/>
    <m/>
    <s v="FERULLE,  1/2&quot;"/>
    <s v="CA-000644"/>
    <n v="10"/>
    <n v="15"/>
    <m/>
    <n v="150"/>
    <x v="0"/>
    <n v="13"/>
    <n v="7"/>
    <n v="70"/>
    <n v="73.5"/>
    <n v="76.5"/>
    <n v="22.95"/>
    <x v="42"/>
    <x v="2"/>
    <e v="#REF!"/>
    <e v="#REF!"/>
    <s v=""/>
    <n v="0.51"/>
  </r>
  <r>
    <x v="8"/>
    <x v="223"/>
    <x v="3"/>
    <x v="12"/>
    <m/>
    <m/>
    <s v="FITTINGS, STRAIGHT FLARE TYPE 1/2"/>
    <s v="CA-000671"/>
    <n v="10"/>
    <n v="40"/>
    <m/>
    <n v="400"/>
    <x v="0"/>
    <n v="30"/>
    <n v="16"/>
    <n v="160"/>
    <n v="168"/>
    <n v="232"/>
    <n v="69.599999999999994"/>
    <x v="33"/>
    <x v="2"/>
    <e v="#REF!"/>
    <e v="#REF!"/>
    <s v=""/>
    <n v="0.57999999999999996"/>
  </r>
  <r>
    <x v="8"/>
    <x v="223"/>
    <x v="3"/>
    <x v="12"/>
    <m/>
    <m/>
    <s v="ROD, NIHONWELD ALUMINUM "/>
    <s v="IM-000100"/>
    <n v="5"/>
    <n v="15"/>
    <m/>
    <n v="75"/>
    <x v="0"/>
    <n v="11"/>
    <n v="7"/>
    <n v="35"/>
    <n v="36.050000000000004"/>
    <n v="38.949999999999996"/>
    <n v="11.684999999999999"/>
    <x v="56"/>
    <x v="0"/>
    <e v="#REF!"/>
    <e v="#REF!"/>
    <s v=""/>
    <n v="0.51933333333333331"/>
  </r>
  <r>
    <x v="8"/>
    <x v="223"/>
    <x v="2"/>
    <x v="9"/>
    <m/>
    <m/>
    <s v="EVAPORATOR, HYUNDAI H100 2018"/>
    <s v="CA-000490"/>
    <n v="1"/>
    <n v="2100"/>
    <m/>
    <n v="2100"/>
    <x v="0"/>
    <n v="2665"/>
    <n v="1450"/>
    <n v="1450"/>
    <n v="1522.5"/>
    <n v="577.5"/>
    <n v="173.25"/>
    <x v="10"/>
    <x v="2"/>
    <e v="#REF!"/>
    <e v="#REF!"/>
    <s v=""/>
    <n v="0.27500000000000002"/>
  </r>
  <r>
    <x v="8"/>
    <x v="223"/>
    <x v="2"/>
    <x v="9"/>
    <m/>
    <m/>
    <s v="RECEIVER_DRIER_ALUMINUM, YK 40 X 235 (DMAX)"/>
    <s v="CA-001082"/>
    <n v="2"/>
    <n v="560"/>
    <m/>
    <n v="1120"/>
    <x v="0"/>
    <n v="662"/>
    <n v="280"/>
    <n v="560"/>
    <n v="588"/>
    <n v="532"/>
    <n v="159.6"/>
    <x v="27"/>
    <x v="2"/>
    <e v="#REF!"/>
    <e v="#REF!"/>
    <s v=""/>
    <n v="0.47499999999999998"/>
  </r>
  <r>
    <x v="8"/>
    <x v="223"/>
    <x v="1"/>
    <x v="137"/>
    <m/>
    <m/>
    <s v="RUBBER_INSULATION, M-FLEX 1/2&quot; X 1 1/8"/>
    <s v="IM-000233"/>
    <n v="6"/>
    <n v="120"/>
    <m/>
    <n v="720"/>
    <x v="0"/>
    <n v="98"/>
    <n v="70"/>
    <n v="420"/>
    <n v="432.6"/>
    <n v="287.39999999999998"/>
    <n v="86.219999999999985"/>
    <x v="22"/>
    <x v="0"/>
    <e v="#REF!"/>
    <e v="#REF!"/>
    <s v=""/>
    <n v="0.39916666666666661"/>
  </r>
  <r>
    <x v="8"/>
    <x v="223"/>
    <x v="1"/>
    <x v="137"/>
    <m/>
    <m/>
    <s v="TAPE_FOAM, AEROTAPE 3MM X 50 MM X 9.1 MTR  06/18/26"/>
    <s v="IM-000332"/>
    <n v="1"/>
    <n v="430"/>
    <m/>
    <n v="430"/>
    <x v="0"/>
    <m/>
    <m/>
    <n v="0"/>
    <n v="0"/>
    <n v="430"/>
    <n v="129"/>
    <x v="25"/>
    <x v="0"/>
    <e v="#REF!"/>
    <e v="#REF!"/>
    <s v=""/>
    <n v="1"/>
  </r>
  <r>
    <x v="8"/>
    <x v="223"/>
    <x v="1"/>
    <x v="137"/>
    <m/>
    <m/>
    <s v="TAPE_PE, PICUS Polythelene Tape (White)X 4&quot;"/>
    <s v="IM-000247"/>
    <n v="2"/>
    <n v="125"/>
    <m/>
    <n v="250"/>
    <x v="0"/>
    <n v="147"/>
    <n v="75"/>
    <n v="150"/>
    <n v="154.5"/>
    <n v="95.5"/>
    <n v="28.65"/>
    <x v="29"/>
    <x v="0"/>
    <e v="#REF!"/>
    <e v="#REF!"/>
    <s v=""/>
    <n v="0.38200000000000001"/>
  </r>
  <r>
    <x v="8"/>
    <x v="223"/>
    <x v="2"/>
    <x v="7"/>
    <m/>
    <m/>
    <s v="RECEIVER_DRIER_ALUMINUM, YK 8804 (REVO/HI-LANDER/TROOPER)"/>
    <s v="CA-001123"/>
    <n v="1"/>
    <n v="550"/>
    <m/>
    <n v="550"/>
    <x v="0"/>
    <n v="556"/>
    <n v="235"/>
    <n v="235"/>
    <n v="246.75"/>
    <n v="303.25"/>
    <n v="90.974999999999994"/>
    <x v="27"/>
    <x v="2"/>
    <e v="#REF!"/>
    <e v="#REF!"/>
    <s v=""/>
    <n v="0.55136363636363639"/>
  </r>
  <r>
    <x v="8"/>
    <x v="223"/>
    <x v="2"/>
    <x v="7"/>
    <m/>
    <m/>
    <s v="EXP. VALVE LT, POKKA 9A63 MONTERO"/>
    <s v="CA-000641"/>
    <n v="1"/>
    <n v="550"/>
    <m/>
    <n v="550"/>
    <x v="0"/>
    <n v="441"/>
    <n v="240"/>
    <n v="240"/>
    <n v="252"/>
    <n v="298"/>
    <n v="89.399999999999991"/>
    <x v="23"/>
    <x v="2"/>
    <e v="#REF!"/>
    <e v="#REF!"/>
    <s v=""/>
    <n v="0.54181818181818187"/>
  </r>
  <r>
    <x v="8"/>
    <x v="223"/>
    <x v="0"/>
    <x v="23"/>
    <m/>
    <n v="2000"/>
    <s v="EVAPORATOR, TOYOTA INNOVA OLD (F) JBE-0103ZX (STAL)"/>
    <s v="CA-001633"/>
    <n v="1"/>
    <n v="1786"/>
    <m/>
    <n v="1786"/>
    <x v="0"/>
    <n v="1654"/>
    <n v="900"/>
    <n v="900"/>
    <n v="945"/>
    <n v="841"/>
    <n v="0"/>
    <x v="10"/>
    <x v="2"/>
    <e v="#REF!"/>
    <e v="#REF!"/>
    <n v="2000.3200000000002"/>
    <n v="0.47088465845464728"/>
  </r>
  <r>
    <x v="8"/>
    <x v="223"/>
    <x v="0"/>
    <x v="23"/>
    <m/>
    <m/>
    <s v="EVAPORATOR, TOYOTA HIACE 08 REAR"/>
    <s v="CA-001320"/>
    <n v="1"/>
    <n v="2100"/>
    <m/>
    <n v="2100"/>
    <x v="0"/>
    <n v="2757"/>
    <n v="1500"/>
    <n v="1500"/>
    <n v="1575"/>
    <n v="525"/>
    <n v="0"/>
    <x v="10"/>
    <x v="2"/>
    <e v="#REF!"/>
    <e v="#REF!"/>
    <s v=""/>
    <n v="0.25"/>
  </r>
  <r>
    <x v="8"/>
    <x v="223"/>
    <x v="2"/>
    <x v="96"/>
    <m/>
    <m/>
    <s v="EVAPORATOR, TOYOTA WIGO 40A498"/>
    <s v="CA-000555"/>
    <n v="1"/>
    <n v="2000"/>
    <m/>
    <n v="2000"/>
    <x v="0"/>
    <n v="2389"/>
    <n v="1300"/>
    <n v="1300"/>
    <n v="1365"/>
    <n v="635"/>
    <n v="190.5"/>
    <x v="10"/>
    <x v="2"/>
    <e v="#REF!"/>
    <e v="#REF!"/>
    <s v=""/>
    <n v="0.3175"/>
  </r>
  <r>
    <x v="8"/>
    <x v="224"/>
    <x v="0"/>
    <x v="1"/>
    <m/>
    <m/>
    <s v="TAPE_PE, PICUS Polythelene Tape (White)X 4&quot;"/>
    <s v="IM-000247"/>
    <n v="1"/>
    <n v="125"/>
    <m/>
    <n v="125"/>
    <x v="0"/>
    <n v="147"/>
    <n v="75"/>
    <n v="75"/>
    <n v="77.25"/>
    <n v="47.75"/>
    <n v="0"/>
    <x v="29"/>
    <x v="0"/>
    <e v="#REF!"/>
    <e v="#REF!"/>
    <s v=""/>
    <n v="0.38200000000000001"/>
  </r>
  <r>
    <x v="8"/>
    <x v="224"/>
    <x v="0"/>
    <x v="1"/>
    <m/>
    <m/>
    <s v="TAPE_FOAM, AEROTAPE 3MM X 50 MM X 9.1 MTR  06/18/26"/>
    <s v="IM-000332"/>
    <n v="1"/>
    <n v="430"/>
    <m/>
    <n v="430"/>
    <x v="0"/>
    <m/>
    <m/>
    <n v="0"/>
    <n v="0"/>
    <n v="430"/>
    <n v="0"/>
    <x v="25"/>
    <x v="0"/>
    <e v="#REF!"/>
    <e v="#REF!"/>
    <s v=""/>
    <n v="1"/>
  </r>
  <r>
    <x v="8"/>
    <x v="224"/>
    <x v="0"/>
    <x v="1"/>
    <m/>
    <m/>
    <s v="RUBBER_INSULATION, M-FLEX 3/4&quot; 1/2"/>
    <s v="IM-000234"/>
    <n v="3"/>
    <n v="110"/>
    <m/>
    <n v="330"/>
    <x v="0"/>
    <n v="103"/>
    <n v="73.5"/>
    <n v="220.5"/>
    <n v="227.11500000000001"/>
    <n v="102.88499999999999"/>
    <n v="0"/>
    <x v="22"/>
    <x v="0"/>
    <e v="#REF!"/>
    <e v="#REF!"/>
    <s v=""/>
    <n v="0.31177272727272726"/>
  </r>
  <r>
    <x v="8"/>
    <x v="224"/>
    <x v="0"/>
    <x v="1"/>
    <m/>
    <m/>
    <s v="RUBBER_INSULATION, M-FLEX 3/4&quot; 1/4"/>
    <s v="IM-000235"/>
    <n v="3"/>
    <n v="95"/>
    <m/>
    <n v="285"/>
    <x v="0"/>
    <n v="79"/>
    <n v="56.7"/>
    <n v="170.10000000000002"/>
    <n v="175.20300000000003"/>
    <n v="109.79699999999997"/>
    <n v="0"/>
    <x v="22"/>
    <x v="0"/>
    <e v="#REF!"/>
    <e v="#REF!"/>
    <s v=""/>
    <n v="0.38525263157894724"/>
  </r>
  <r>
    <x v="8"/>
    <x v="224"/>
    <x v="2"/>
    <x v="7"/>
    <m/>
    <m/>
    <s v="AUXFAN_MOTOR, TOYOTA VIOS 03 SOCKET 1060"/>
    <s v="CA-000092"/>
    <n v="1"/>
    <n v="1800"/>
    <m/>
    <n v="1800"/>
    <x v="0"/>
    <n v="2022"/>
    <n v="1100"/>
    <n v="1100"/>
    <n v="1155"/>
    <n v="645"/>
    <n v="193.5"/>
    <x v="14"/>
    <x v="2"/>
    <e v="#REF!"/>
    <e v="#REF!"/>
    <s v=""/>
    <n v="0.35833333333333334"/>
  </r>
  <r>
    <x v="8"/>
    <x v="224"/>
    <x v="0"/>
    <x v="11"/>
    <m/>
    <m/>
    <s v="HOSE, COOLMATE 5/8 SUNCTION PER FT"/>
    <s v="GE-000181"/>
    <n v="2"/>
    <n v="95"/>
    <m/>
    <n v="190"/>
    <x v="0"/>
    <n v="83"/>
    <n v="45"/>
    <n v="90"/>
    <n v="94.5"/>
    <n v="95.5"/>
    <n v="0"/>
    <x v="19"/>
    <x v="1"/>
    <e v="#REF!"/>
    <e v="#REF!"/>
    <s v=""/>
    <n v="0.50263157894736843"/>
  </r>
  <r>
    <x v="8"/>
    <x v="224"/>
    <x v="0"/>
    <x v="11"/>
    <m/>
    <m/>
    <s v="FITTINGS, STRAIGHT FLARE TYPE 5/8"/>
    <s v="CA-000673"/>
    <n v="2"/>
    <n v="40"/>
    <m/>
    <n v="80"/>
    <x v="0"/>
    <n v="30"/>
    <n v="16"/>
    <n v="32"/>
    <n v="33.6"/>
    <n v="46.4"/>
    <n v="0"/>
    <x v="33"/>
    <x v="2"/>
    <e v="#REF!"/>
    <e v="#REF!"/>
    <s v=""/>
    <n v="0.57999999999999996"/>
  </r>
  <r>
    <x v="8"/>
    <x v="224"/>
    <x v="0"/>
    <x v="11"/>
    <m/>
    <m/>
    <s v="FERULLE,  5/8&quot;"/>
    <s v="CA-000646"/>
    <n v="2"/>
    <n v="15"/>
    <m/>
    <n v="30"/>
    <x v="0"/>
    <n v="13"/>
    <n v="7"/>
    <n v="14"/>
    <n v="14.700000000000001"/>
    <n v="15.299999999999999"/>
    <n v="0"/>
    <x v="42"/>
    <x v="2"/>
    <e v="#REF!"/>
    <e v="#REF!"/>
    <s v=""/>
    <n v="0.51"/>
  </r>
  <r>
    <x v="8"/>
    <x v="224"/>
    <x v="0"/>
    <x v="11"/>
    <m/>
    <m/>
    <s v="SYSTEM_CLEANER, Cleanse GREEN 141B 500 ML"/>
    <s v="GE-000369"/>
    <n v="2"/>
    <n v="120"/>
    <m/>
    <n v="240"/>
    <x v="0"/>
    <n v="113"/>
    <n v="65"/>
    <n v="130"/>
    <n v="136.5"/>
    <n v="103.5"/>
    <n v="0"/>
    <x v="28"/>
    <x v="1"/>
    <e v="#REF!"/>
    <e v="#REF!"/>
    <s v=""/>
    <n v="0.43125000000000002"/>
  </r>
  <r>
    <x v="8"/>
    <x v="225"/>
    <x v="2"/>
    <x v="22"/>
    <m/>
    <m/>
    <s v="EXP. VALVE LT, POKKA 9A244 NISSAN NV350"/>
    <s v="CA-001471"/>
    <n v="2"/>
    <n v="420"/>
    <m/>
    <n v="840"/>
    <x v="0"/>
    <n v="515"/>
    <n v="280"/>
    <n v="560"/>
    <n v="588"/>
    <n v="252"/>
    <n v="75.599999999999994"/>
    <x v="23"/>
    <x v="2"/>
    <e v="#REF!"/>
    <e v="#REF!"/>
    <s v=""/>
    <n v="0.3"/>
  </r>
  <r>
    <x v="8"/>
    <x v="225"/>
    <x v="0"/>
    <x v="34"/>
    <m/>
    <m/>
    <s v="REFRIGERANT, EUFRON R22, 13.6 KGS  06/30/26"/>
    <s v="GE-000520"/>
    <n v="1"/>
    <n v="7700"/>
    <m/>
    <n v="7700"/>
    <x v="0"/>
    <n v="8190"/>
    <n v="6500"/>
    <n v="6500"/>
    <n v="6825"/>
    <n v="875"/>
    <n v="0"/>
    <x v="5"/>
    <x v="1"/>
    <e v="#REF!"/>
    <e v="#REF!"/>
    <s v=""/>
    <n v="0.11363636363636363"/>
  </r>
  <r>
    <x v="8"/>
    <x v="225"/>
    <x v="0"/>
    <x v="34"/>
    <m/>
    <m/>
    <s v="MAPP_GAS, Gazz Pro (Winterpine) TORCH GAS"/>
    <s v="IM-000310"/>
    <n v="1"/>
    <n v="380"/>
    <m/>
    <n v="380"/>
    <x v="0"/>
    <n v="451"/>
    <n v="250"/>
    <n v="250"/>
    <n v="257.5"/>
    <n v="122.5"/>
    <n v="0"/>
    <x v="45"/>
    <x v="0"/>
    <e v="#REF!"/>
    <e v="#REF!"/>
    <s v=""/>
    <n v="0.32236842105263158"/>
  </r>
  <r>
    <x v="8"/>
    <x v="225"/>
    <x v="6"/>
    <x v="159"/>
    <m/>
    <m/>
    <s v="THERMOSTAT SWITCH, MITSUBISHI L300 NEW"/>
    <s v="CA-001827"/>
    <n v="1"/>
    <n v="2600"/>
    <m/>
    <n v="2600"/>
    <x v="0"/>
    <n v="1785"/>
    <n v="850"/>
    <n v="850"/>
    <n v="892.5"/>
    <n v="1707.5"/>
    <n v="512.25"/>
    <x v="53"/>
    <x v="2"/>
    <e v="#REF!"/>
    <e v="#REF!"/>
    <s v=""/>
    <n v="0.65673076923076923"/>
  </r>
  <r>
    <x v="8"/>
    <x v="225"/>
    <x v="2"/>
    <x v="22"/>
    <m/>
    <n v="220"/>
    <s v="CABIN_FILTER, NISSAN NV350"/>
    <s v="CA-001711"/>
    <n v="1"/>
    <n v="197"/>
    <m/>
    <n v="197"/>
    <x v="0"/>
    <n v="315"/>
    <n v="100"/>
    <n v="100"/>
    <n v="105"/>
    <n v="92"/>
    <n v="27.599999999999998"/>
    <x v="12"/>
    <x v="2"/>
    <e v="#REF!"/>
    <e v="#REF!"/>
    <n v="220.64000000000001"/>
    <n v="0.46700507614213199"/>
  </r>
  <r>
    <x v="8"/>
    <x v="225"/>
    <x v="1"/>
    <x v="3"/>
    <m/>
    <m/>
    <s v="RECEIVER_DRIER_STEEL , MAXX 5116 (L300 F/B)"/>
    <s v="CA-001134"/>
    <n v="1"/>
    <n v="600"/>
    <m/>
    <n v="600"/>
    <x v="0"/>
    <n v="686"/>
    <n v="290"/>
    <n v="290"/>
    <n v="304.5"/>
    <n v="295.5"/>
    <n v="88.649999999999991"/>
    <x v="17"/>
    <x v="2"/>
    <e v="#REF!"/>
    <e v="#REF!"/>
    <s v=""/>
    <n v="0.49249999999999999"/>
  </r>
  <r>
    <x v="8"/>
    <x v="225"/>
    <x v="1"/>
    <x v="3"/>
    <m/>
    <m/>
    <s v="PRESSURE_SWITCH, FUJIKOKI UNIVERSAL  R12 BLACK "/>
    <s v="CA-001819"/>
    <n v="1"/>
    <n v="350"/>
    <m/>
    <n v="350"/>
    <x v="0"/>
    <n v="268"/>
    <n v="85"/>
    <n v="85"/>
    <n v="89.25"/>
    <n v="260.75"/>
    <n v="78.224999999999994"/>
    <x v="47"/>
    <x v="2"/>
    <e v="#REF!"/>
    <e v="#REF!"/>
    <s v=""/>
    <n v="0.745"/>
  </r>
  <r>
    <x v="8"/>
    <x v="225"/>
    <x v="2"/>
    <x v="7"/>
    <m/>
    <m/>
    <s v="RESISTOR_BLOCK, HYUNDAI ELANTRA /STAREX 7699C"/>
    <s v="CA-001615"/>
    <n v="1"/>
    <n v="900"/>
    <m/>
    <n v="900"/>
    <x v="0"/>
    <n v="818"/>
    <n v="380"/>
    <n v="380"/>
    <n v="399"/>
    <n v="501"/>
    <n v="150.29999999999998"/>
    <x v="43"/>
    <x v="2"/>
    <e v="#REF!"/>
    <e v="#REF!"/>
    <s v=""/>
    <n v="0.55666666666666664"/>
  </r>
  <r>
    <x v="8"/>
    <x v="225"/>
    <x v="0"/>
    <x v="23"/>
    <m/>
    <m/>
    <s v="REFRIGERANT, ENTALPIA EUROPE R134A 13.6   6/16/26 "/>
    <s v="GE-000517"/>
    <n v="1"/>
    <n v="9000"/>
    <m/>
    <n v="9000"/>
    <x v="0"/>
    <n v="10489"/>
    <n v="7684"/>
    <n v="7684"/>
    <n v="8068.2000000000007"/>
    <n v="931.79999999999927"/>
    <n v="0"/>
    <x v="5"/>
    <x v="1"/>
    <e v="#REF!"/>
    <e v="#REF!"/>
    <s v=""/>
    <n v="0.10353333333333326"/>
  </r>
  <r>
    <x v="8"/>
    <x v="225"/>
    <x v="3"/>
    <x v="12"/>
    <m/>
    <m/>
    <s v="ECV, HYUNDAI ACCENT, 8-22A"/>
    <s v="CA-000454"/>
    <n v="1"/>
    <n v="1900"/>
    <m/>
    <n v="1900"/>
    <x v="0"/>
    <n v="1838"/>
    <n v="1000"/>
    <n v="1000"/>
    <n v="1050"/>
    <n v="850"/>
    <n v="255"/>
    <x v="26"/>
    <x v="2"/>
    <e v="#REF!"/>
    <e v="#REF!"/>
    <s v=""/>
    <n v="0.44736842105263158"/>
  </r>
  <r>
    <x v="8"/>
    <x v="225"/>
    <x v="0"/>
    <x v="48"/>
    <m/>
    <m/>
    <s v="EVAPORATOR, MITSUBISHI EXPANDER"/>
    <s v="CA-001610"/>
    <n v="1"/>
    <n v="2000"/>
    <m/>
    <n v="2000"/>
    <x v="0"/>
    <n v="2481"/>
    <n v="1350"/>
    <n v="1350"/>
    <n v="1417.5"/>
    <n v="582.5"/>
    <n v="0"/>
    <x v="10"/>
    <x v="2"/>
    <e v="#REF!"/>
    <e v="#REF!"/>
    <s v=""/>
    <n v="0.29125000000000001"/>
  </r>
  <r>
    <x v="8"/>
    <x v="225"/>
    <x v="0"/>
    <x v="11"/>
    <m/>
    <n v="200"/>
    <s v="SILICA_GEL, STAL LONG"/>
    <s v="CA-001637"/>
    <n v="1"/>
    <n v="180"/>
    <m/>
    <n v="180"/>
    <x v="0"/>
    <n v="50"/>
    <n v="25"/>
    <n v="25"/>
    <n v="26.25"/>
    <n v="153.75"/>
    <n v="0"/>
    <x v="37"/>
    <x v="2"/>
    <e v="#REF!"/>
    <e v="#REF!"/>
    <n v="201.60000000000002"/>
    <n v="0.85416666666666663"/>
  </r>
  <r>
    <x v="8"/>
    <x v="225"/>
    <x v="0"/>
    <x v="11"/>
    <m/>
    <n v="200"/>
    <s v="SILICA_GEL, STAL SHORT"/>
    <s v="CA-001638"/>
    <n v="1"/>
    <n v="180"/>
    <m/>
    <n v="180"/>
    <x v="0"/>
    <n v="44"/>
    <n v="22"/>
    <n v="22"/>
    <n v="23.1"/>
    <n v="156.9"/>
    <n v="0"/>
    <x v="37"/>
    <x v="2"/>
    <e v="#REF!"/>
    <e v="#REF!"/>
    <n v="201.60000000000002"/>
    <n v="0.8716666666666667"/>
  </r>
  <r>
    <x v="8"/>
    <x v="226"/>
    <x v="0"/>
    <x v="11"/>
    <m/>
    <m/>
    <s v="LUBRICANT, ND-OIL 8  250 CC (134A),OIL COMPRESSOR"/>
    <s v="GE-000197"/>
    <n v="1"/>
    <n v="200"/>
    <m/>
    <n v="200"/>
    <x v="0"/>
    <n v="188"/>
    <n v="85"/>
    <n v="85"/>
    <n v="89.25"/>
    <n v="110.75"/>
    <n v="0"/>
    <x v="9"/>
    <x v="1"/>
    <e v="#REF!"/>
    <e v="#REF!"/>
    <s v=""/>
    <n v="0.55374999999999996"/>
  </r>
  <r>
    <x v="8"/>
    <x v="227"/>
    <x v="0"/>
    <x v="11"/>
    <m/>
    <m/>
    <s v="SYSTEM_CLEANER, Cleanse GREEN 141B 500 ML"/>
    <s v="GE-000369"/>
    <n v="3"/>
    <n v="120"/>
    <m/>
    <n v="360"/>
    <x v="0"/>
    <n v="113"/>
    <n v="65"/>
    <n v="195"/>
    <n v="204.75"/>
    <n v="155.25"/>
    <n v="0"/>
    <x v="28"/>
    <x v="1"/>
    <e v="#REF!"/>
    <e v="#REF!"/>
    <s v=""/>
    <n v="0.43125000000000002"/>
  </r>
  <r>
    <x v="8"/>
    <x v="227"/>
    <x v="0"/>
    <x v="23"/>
    <m/>
    <n v="2000"/>
    <s v="EVAPORATOR, TOYOTA VIOS 2003 (ROBIN) (F) (STAL)"/>
    <s v="CA-000144"/>
    <n v="1"/>
    <n v="2000"/>
    <m/>
    <n v="2000"/>
    <x v="0"/>
    <n v="1709"/>
    <n v="930"/>
    <n v="930"/>
    <n v="976.5"/>
    <n v="1023.5"/>
    <n v="0"/>
    <x v="10"/>
    <x v="2"/>
    <e v="#REF!"/>
    <e v="#REF!"/>
    <n v="2240"/>
    <n v="0.51175000000000004"/>
  </r>
  <r>
    <x v="8"/>
    <x v="227"/>
    <x v="1"/>
    <x v="3"/>
    <m/>
    <m/>
    <s v="EXP. VALVE LT, POKKA 9A244 NISSAN NV350"/>
    <s v="CA-001471"/>
    <n v="1"/>
    <n v="550"/>
    <m/>
    <n v="550"/>
    <x v="0"/>
    <n v="515"/>
    <n v="280"/>
    <n v="280"/>
    <n v="294"/>
    <n v="256"/>
    <n v="76.8"/>
    <x v="23"/>
    <x v="2"/>
    <e v="#REF!"/>
    <e v="#REF!"/>
    <s v=""/>
    <n v="0.46545454545454545"/>
  </r>
  <r>
    <x v="8"/>
    <x v="227"/>
    <x v="4"/>
    <x v="25"/>
    <m/>
    <m/>
    <s v="BLOWER_MOTOR, MITSUBISHI MIRAGE"/>
    <s v="CA-001727"/>
    <n v="1"/>
    <n v="2000"/>
    <m/>
    <n v="2000"/>
    <x v="0"/>
    <n v="2389"/>
    <n v="1300"/>
    <n v="1300"/>
    <n v="1365"/>
    <n v="635"/>
    <n v="190.5"/>
    <x v="15"/>
    <x v="2"/>
    <e v="#REF!"/>
    <e v="#REF!"/>
    <s v=""/>
    <n v="0.3175"/>
  </r>
  <r>
    <x v="8"/>
    <x v="227"/>
    <x v="4"/>
    <x v="25"/>
    <m/>
    <m/>
    <s v="BLOWER_MOTOR, NISSAN XTRAIL NO BLADE"/>
    <s v="CA-000202"/>
    <n v="1"/>
    <n v="1600"/>
    <m/>
    <n v="1600"/>
    <x v="0"/>
    <n v="1930"/>
    <n v="1050"/>
    <n v="1050"/>
    <n v="1102.5"/>
    <n v="497.5"/>
    <n v="149.25"/>
    <x v="15"/>
    <x v="2"/>
    <e v="#REF!"/>
    <e v="#REF!"/>
    <s v=""/>
    <n v="0.31093749999999998"/>
  </r>
  <r>
    <x v="8"/>
    <x v="227"/>
    <x v="2"/>
    <x v="9"/>
    <m/>
    <m/>
    <s v="EVAPORATOR, ISUZU TRAVIS /NHR DC 40A492"/>
    <s v="CA-001836"/>
    <n v="1"/>
    <n v="2000"/>
    <m/>
    <n v="2000"/>
    <x v="0"/>
    <n v="2389"/>
    <n v="1300"/>
    <n v="1300"/>
    <n v="1365"/>
    <n v="635"/>
    <n v="190.5"/>
    <x v="10"/>
    <x v="2"/>
    <e v="#REF!"/>
    <e v="#REF!"/>
    <s v=""/>
    <n v="0.3175"/>
  </r>
  <r>
    <x v="8"/>
    <x v="227"/>
    <x v="0"/>
    <x v="83"/>
    <m/>
    <n v="200"/>
    <s v="SILICA_GEL, STAL LONG"/>
    <s v="CA-001637"/>
    <n v="1"/>
    <n v="180"/>
    <m/>
    <n v="180"/>
    <x v="0"/>
    <n v="50"/>
    <n v="25"/>
    <n v="25"/>
    <n v="26.25"/>
    <n v="153.75"/>
    <n v="0"/>
    <x v="37"/>
    <x v="2"/>
    <e v="#REF!"/>
    <e v="#REF!"/>
    <n v="201.60000000000002"/>
    <n v="0.85416666666666663"/>
  </r>
  <r>
    <x v="8"/>
    <x v="227"/>
    <x v="0"/>
    <x v="17"/>
    <m/>
    <m/>
    <s v="EXP. VALVE LT, POKKA 9A133 G-STAREX"/>
    <s v="CA-000631"/>
    <n v="1"/>
    <n v="600"/>
    <m/>
    <n v="600"/>
    <x v="0"/>
    <n v="607"/>
    <n v="330"/>
    <n v="330"/>
    <n v="346.5"/>
    <n v="253.5"/>
    <n v="0"/>
    <x v="23"/>
    <x v="2"/>
    <e v="#REF!"/>
    <e v="#REF!"/>
    <s v=""/>
    <n v="0.42249999999999999"/>
  </r>
  <r>
    <x v="8"/>
    <x v="228"/>
    <x v="0"/>
    <x v="30"/>
    <m/>
    <m/>
    <s v="COPPER_TUBE_SOFTDRAWN, HAILIANG 0.028 X 1/4 x 15 mtr  08/03/26"/>
    <s v="IM-000333"/>
    <n v="1"/>
    <n v="2000"/>
    <m/>
    <n v="2000"/>
    <x v="0"/>
    <n v="3063"/>
    <n v="1699"/>
    <n v="1699"/>
    <n v="1749.97"/>
    <n v="250.02999999999997"/>
    <n v="0"/>
    <x v="0"/>
    <x v="0"/>
    <e v="#REF!"/>
    <e v="#REF!"/>
    <s v=""/>
    <n v="0.12501499999999999"/>
  </r>
  <r>
    <x v="8"/>
    <x v="228"/>
    <x v="0"/>
    <x v="30"/>
    <m/>
    <m/>
    <s v="COPPER_TUBE_SOFTDRAWN, HAILIANG 0.028 X 3/8 x 15 mtr 06/02/26"/>
    <s v="IM-000327"/>
    <n v="1"/>
    <n v="3000"/>
    <m/>
    <n v="3000"/>
    <x v="0"/>
    <n v="4774"/>
    <n v="2648"/>
    <n v="2648"/>
    <n v="2727.44"/>
    <n v="272.55999999999995"/>
    <n v="0"/>
    <x v="0"/>
    <x v="0"/>
    <e v="#REF!"/>
    <e v="#REF!"/>
    <s v=""/>
    <n v="9.0853333333333314E-2"/>
  </r>
  <r>
    <x v="8"/>
    <x v="228"/>
    <x v="0"/>
    <x v="30"/>
    <m/>
    <m/>
    <s v="COPPER_TUBE_SOFTDRAWN, HAILIANG 0.028 X 5/8 x 15 mtr 08/03/26"/>
    <s v="IM-000334"/>
    <n v="0.2"/>
    <n v="5750"/>
    <m/>
    <n v="1150"/>
    <x v="0"/>
    <n v="8196"/>
    <n v="4547"/>
    <n v="909.40000000000009"/>
    <n v="936.68200000000013"/>
    <n v="213.31799999999987"/>
    <n v="0"/>
    <x v="0"/>
    <x v="0"/>
    <e v="#REF!"/>
    <e v="#REF!"/>
    <s v=""/>
    <n v="0.18549391304347815"/>
  </r>
  <r>
    <x v="8"/>
    <x v="228"/>
    <x v="0"/>
    <x v="30"/>
    <m/>
    <m/>
    <s v="RUBBER_INSULATION, M-FLEX 1/2&quot; 1/4"/>
    <s v="IM-000229"/>
    <n v="7"/>
    <n v="50"/>
    <m/>
    <n v="350"/>
    <x v="0"/>
    <n v="47"/>
    <n v="33.6"/>
    <n v="235.20000000000002"/>
    <n v="242.25600000000003"/>
    <n v="107.74399999999997"/>
    <n v="0"/>
    <x v="22"/>
    <x v="0"/>
    <e v="#REF!"/>
    <e v="#REF!"/>
    <s v=""/>
    <n v="0.30783999999999989"/>
  </r>
  <r>
    <x v="8"/>
    <x v="228"/>
    <x v="0"/>
    <x v="30"/>
    <m/>
    <m/>
    <s v="RUBBER_INSULATION, M-FLEX 1/2&quot; 3/8"/>
    <s v="IM-000231"/>
    <n v="7"/>
    <n v="60"/>
    <m/>
    <n v="420"/>
    <x v="0"/>
    <n v="53"/>
    <n v="37.6"/>
    <n v="263.2"/>
    <n v="271.096"/>
    <n v="148.904"/>
    <n v="0"/>
    <x v="22"/>
    <x v="0"/>
    <e v="#REF!"/>
    <e v="#REF!"/>
    <s v=""/>
    <n v="0.35453333333333331"/>
  </r>
  <r>
    <x v="8"/>
    <x v="228"/>
    <x v="0"/>
    <x v="30"/>
    <m/>
    <m/>
    <s v="RUBBER_INSULATION, M-FLEX 1/2&quot; 5/8"/>
    <s v="IM-000232"/>
    <n v="1"/>
    <n v="80"/>
    <m/>
    <n v="80"/>
    <x v="0"/>
    <n v="77"/>
    <n v="55.2"/>
    <n v="55.2"/>
    <n v="56.856000000000002"/>
    <n v="23.143999999999998"/>
    <n v="0"/>
    <x v="22"/>
    <x v="0"/>
    <e v="#REF!"/>
    <e v="#REF!"/>
    <s v=""/>
    <n v="0.2893"/>
  </r>
  <r>
    <x v="8"/>
    <x v="228"/>
    <x v="1"/>
    <x v="3"/>
    <m/>
    <m/>
    <s v="THERMOSTAT, NEK CAR"/>
    <s v="CA-001647"/>
    <n v="1"/>
    <n v="250"/>
    <m/>
    <n v="250"/>
    <x v="0"/>
    <n v="180"/>
    <n v="90"/>
    <n v="90"/>
    <n v="94.5"/>
    <n v="155.5"/>
    <n v="46.65"/>
    <x v="31"/>
    <x v="2"/>
    <e v="#REF!"/>
    <e v="#REF!"/>
    <s v=""/>
    <n v="0.622"/>
  </r>
  <r>
    <x v="8"/>
    <x v="228"/>
    <x v="0"/>
    <x v="49"/>
    <m/>
    <m/>
    <s v="AUXIALLIARY_FAN, POKKA 14 BLADES X 12VOLTS"/>
    <s v="CA-000112"/>
    <n v="1"/>
    <n v="750"/>
    <m/>
    <n v="750"/>
    <x v="0"/>
    <n v="882"/>
    <n v="480"/>
    <n v="480"/>
    <n v="504"/>
    <n v="246"/>
    <n v="0"/>
    <x v="16"/>
    <x v="2"/>
    <e v="#REF!"/>
    <e v="#REF!"/>
    <s v=""/>
    <n v="0.32800000000000001"/>
  </r>
  <r>
    <x v="8"/>
    <x v="228"/>
    <x v="1"/>
    <x v="3"/>
    <m/>
    <m/>
    <s v="EVAPORATOR, HYUNDAI ACCENT 2013 40A522"/>
    <s v="CA-001861"/>
    <n v="1"/>
    <n v="2000"/>
    <m/>
    <n v="2000"/>
    <x v="0"/>
    <n v="2389"/>
    <n v="1300"/>
    <n v="1300"/>
    <n v="1365"/>
    <n v="635"/>
    <n v="190.5"/>
    <x v="10"/>
    <x v="2"/>
    <e v="#REF!"/>
    <e v="#REF!"/>
    <s v=""/>
    <n v="0.3175"/>
  </r>
  <r>
    <x v="8"/>
    <x v="228"/>
    <x v="1"/>
    <x v="3"/>
    <m/>
    <m/>
    <s v="CABIN_FILTER, HYUNDAI ACCENT 2013"/>
    <s v="CA-001681"/>
    <n v="1"/>
    <n v="350"/>
    <m/>
    <n v="350"/>
    <x v="0"/>
    <n v="315"/>
    <n v="100"/>
    <n v="100"/>
    <n v="105"/>
    <n v="245"/>
    <n v="73.5"/>
    <x v="12"/>
    <x v="2"/>
    <e v="#REF!"/>
    <e v="#REF!"/>
    <s v=""/>
    <n v="0.7"/>
  </r>
  <r>
    <x v="8"/>
    <x v="228"/>
    <x v="0"/>
    <x v="182"/>
    <m/>
    <m/>
    <s v="ACTUATOR IDLE-UP,  PULL TYPE"/>
    <s v="CA-000010"/>
    <n v="2"/>
    <n v="350"/>
    <m/>
    <n v="700"/>
    <x v="0"/>
    <n v="359"/>
    <n v="110"/>
    <n v="220"/>
    <n v="231"/>
    <n v="469"/>
    <n v="0"/>
    <x v="69"/>
    <x v="2"/>
    <e v="#REF!"/>
    <e v="#REF!"/>
    <s v=""/>
    <n v="0.67"/>
  </r>
  <r>
    <x v="8"/>
    <x v="228"/>
    <x v="0"/>
    <x v="11"/>
    <m/>
    <m/>
    <s v="BLOWER_MOTOR, UNIVERSAL 6721"/>
    <s v="CA-000237"/>
    <n v="1"/>
    <n v="1300"/>
    <m/>
    <n v="1300"/>
    <x v="0"/>
    <n v="1379"/>
    <n v="750"/>
    <n v="750"/>
    <n v="787.5"/>
    <n v="512.5"/>
    <n v="0"/>
    <x v="15"/>
    <x v="2"/>
    <e v="#REF!"/>
    <e v="#REF!"/>
    <s v=""/>
    <n v="0.39423076923076922"/>
  </r>
  <r>
    <x v="8"/>
    <x v="228"/>
    <x v="0"/>
    <x v="11"/>
    <m/>
    <m/>
    <s v="TAPE_FOAM, AEROTAPE 3MM X 50 MM X 9.1 MTR  06/18/26"/>
    <s v="IM-000332"/>
    <n v="1"/>
    <n v="430"/>
    <m/>
    <n v="430"/>
    <x v="0"/>
    <m/>
    <m/>
    <n v="0"/>
    <n v="0"/>
    <n v="430"/>
    <n v="0"/>
    <x v="25"/>
    <x v="0"/>
    <e v="#REF!"/>
    <e v="#REF!"/>
    <s v=""/>
    <n v="1"/>
  </r>
  <r>
    <x v="8"/>
    <x v="228"/>
    <x v="0"/>
    <x v="8"/>
    <m/>
    <n v="2000"/>
    <s v="EVAPORATOR, TOYOTA INNOVA OLD (F) JBE-0103ZX (STAL)"/>
    <s v="CA-001633"/>
    <n v="1"/>
    <n v="1786"/>
    <m/>
    <n v="1786"/>
    <x v="0"/>
    <n v="1654"/>
    <n v="900"/>
    <n v="900"/>
    <n v="945"/>
    <n v="841"/>
    <n v="0"/>
    <x v="10"/>
    <x v="2"/>
    <e v="#REF!"/>
    <e v="#REF!"/>
    <n v="2000.3200000000002"/>
    <n v="0.47088465845464728"/>
  </r>
  <r>
    <x v="8"/>
    <x v="228"/>
    <x v="4"/>
    <x v="25"/>
    <m/>
    <m/>
    <s v="AUXFAN_MOTOR, TOYOTA VIOS 03 SOCKET 1060"/>
    <s v="CA-000092"/>
    <n v="1"/>
    <n v="1800"/>
    <m/>
    <n v="1800"/>
    <x v="0"/>
    <n v="2022"/>
    <n v="1100"/>
    <n v="1100"/>
    <n v="1155"/>
    <n v="645"/>
    <n v="193.5"/>
    <x v="14"/>
    <x v="2"/>
    <e v="#REF!"/>
    <e v="#REF!"/>
    <s v=""/>
    <n v="0.35833333333333334"/>
  </r>
  <r>
    <x v="8"/>
    <x v="228"/>
    <x v="4"/>
    <x v="25"/>
    <m/>
    <m/>
    <s v="AUXFAN_MOTOR, MITSUBISHI MIRAGE 2 PIN / WIGO 1030"/>
    <s v="CA-000053"/>
    <n v="1"/>
    <n v="1800"/>
    <m/>
    <n v="1800"/>
    <x v="0"/>
    <n v="2022"/>
    <n v="1100"/>
    <n v="1100"/>
    <n v="1155"/>
    <n v="645"/>
    <n v="193.5"/>
    <x v="14"/>
    <x v="2"/>
    <e v="#REF!"/>
    <e v="#REF!"/>
    <s v=""/>
    <n v="0.35833333333333334"/>
  </r>
  <r>
    <x v="8"/>
    <x v="228"/>
    <x v="0"/>
    <x v="1"/>
    <m/>
    <m/>
    <s v="BAG_WASH, JINSHENG Q-565 BOX"/>
    <s v="GE-000390"/>
    <n v="1"/>
    <n v="1000"/>
    <m/>
    <n v="1000"/>
    <x v="0"/>
    <n v="919"/>
    <n v="500"/>
    <n v="500"/>
    <n v="525"/>
    <n v="475"/>
    <n v="0"/>
    <x v="82"/>
    <x v="1"/>
    <e v="#REF!"/>
    <e v="#REF!"/>
    <s v=""/>
    <n v="0.47499999999999998"/>
  </r>
  <r>
    <x v="8"/>
    <x v="228"/>
    <x v="0"/>
    <x v="183"/>
    <m/>
    <m/>
    <s v="AC FILTER DRIER , GENESSO 1/4 FLARE TYPE 052FT"/>
    <s v="GE-000008"/>
    <n v="1"/>
    <n v="650"/>
    <m/>
    <n v="650"/>
    <x v="0"/>
    <n v="434"/>
    <n v="150"/>
    <n v="150"/>
    <n v="157.5"/>
    <n v="492.5"/>
    <n v="0"/>
    <x v="66"/>
    <x v="1"/>
    <e v="#REF!"/>
    <e v="#REF!"/>
    <s v=""/>
    <n v="0.75769230769230766"/>
  </r>
  <r>
    <x v="8"/>
    <x v="229"/>
    <x v="1"/>
    <x v="3"/>
    <m/>
    <m/>
    <s v="EXP. VALVE LT, POKKA 9A129B ACCENT"/>
    <s v="CA-000629"/>
    <n v="1"/>
    <n v="600"/>
    <m/>
    <n v="600"/>
    <x v="0"/>
    <n v="625"/>
    <n v="340"/>
    <n v="340"/>
    <n v="357"/>
    <n v="243"/>
    <n v="72.899999999999991"/>
    <x v="23"/>
    <x v="2"/>
    <m/>
    <m/>
    <m/>
    <n v="0.40500000000000003"/>
  </r>
  <r>
    <x v="8"/>
    <x v="229"/>
    <x v="2"/>
    <x v="22"/>
    <m/>
    <m/>
    <s v="HOSE, COOLMATE 5/8 SUNCTION PER FT"/>
    <s v="GE-000181"/>
    <n v="20"/>
    <n v="65"/>
    <m/>
    <n v="1300"/>
    <x v="0"/>
    <n v="83"/>
    <n v="45"/>
    <n v="900"/>
    <n v="945"/>
    <n v="355"/>
    <n v="106.5"/>
    <x v="19"/>
    <x v="1"/>
    <m/>
    <m/>
    <m/>
    <n v="0.27307692307692305"/>
  </r>
  <r>
    <x v="8"/>
    <x v="229"/>
    <x v="2"/>
    <x v="22"/>
    <m/>
    <m/>
    <s v="HOSE, COOLMATE 1/2 DISCHARGE PER FT"/>
    <s v="GE-000179"/>
    <n v="20"/>
    <n v="60"/>
    <m/>
    <n v="1200"/>
    <x v="0"/>
    <n v="80"/>
    <n v="43"/>
    <n v="860"/>
    <n v="903"/>
    <n v="297"/>
    <n v="89.1"/>
    <x v="19"/>
    <x v="1"/>
    <m/>
    <m/>
    <m/>
    <n v="0.2475"/>
  </r>
  <r>
    <x v="8"/>
    <x v="229"/>
    <x v="0"/>
    <x v="23"/>
    <m/>
    <m/>
    <s v="EVAPORATOR, TOYOTA AVANZA 08"/>
    <s v="CA-000537"/>
    <n v="1"/>
    <n v="2000"/>
    <m/>
    <n v="2000"/>
    <x v="0"/>
    <n v="2205"/>
    <n v="1200"/>
    <n v="1200"/>
    <n v="1260"/>
    <n v="740"/>
    <n v="0"/>
    <x v="10"/>
    <x v="2"/>
    <m/>
    <m/>
    <m/>
    <n v="0.37"/>
  </r>
  <r>
    <x v="8"/>
    <x v="229"/>
    <x v="1"/>
    <x v="51"/>
    <m/>
    <m/>
    <s v="EVAPORATOR, ISUZU MUX/D-MAX 2013 (STAL)"/>
    <s v="CA-000701"/>
    <n v="1"/>
    <n v="2000"/>
    <m/>
    <n v="2000"/>
    <x v="0"/>
    <n v="1995"/>
    <n v="1000"/>
    <n v="1000"/>
    <n v="1050"/>
    <n v="950"/>
    <n v="285"/>
    <x v="10"/>
    <x v="2"/>
    <m/>
    <m/>
    <m/>
    <n v="0.47499999999999998"/>
  </r>
  <r>
    <x v="8"/>
    <x v="229"/>
    <x v="0"/>
    <x v="53"/>
    <m/>
    <m/>
    <s v="FITTINGS, BRASS FLARE NUT 1/4"/>
    <s v="IM-000049"/>
    <n v="2"/>
    <n v="35"/>
    <m/>
    <n v="70"/>
    <x v="0"/>
    <n v="26"/>
    <n v="14"/>
    <n v="28"/>
    <n v="28.84"/>
    <n v="41.16"/>
    <n v="0"/>
    <x v="33"/>
    <x v="0"/>
    <m/>
    <m/>
    <m/>
    <n v="0.58799999999999997"/>
  </r>
  <r>
    <x v="8"/>
    <x v="229"/>
    <x v="0"/>
    <x v="53"/>
    <m/>
    <m/>
    <s v="FITTINGS, BRASS FLARE NUT 1/2"/>
    <s v="IM-000048"/>
    <n v="2"/>
    <n v="65"/>
    <m/>
    <n v="130"/>
    <x v="0"/>
    <n v="51"/>
    <n v="28"/>
    <n v="56"/>
    <n v="57.68"/>
    <n v="72.319999999999993"/>
    <n v="0"/>
    <x v="33"/>
    <x v="0"/>
    <m/>
    <m/>
    <m/>
    <n v="0.55630769230769228"/>
  </r>
  <r>
    <x v="8"/>
    <x v="229"/>
    <x v="1"/>
    <x v="3"/>
    <m/>
    <m/>
    <s v="EXP. VALVE LT, POKKA 9A56 INNOVA F"/>
    <s v="CA-000637"/>
    <n v="1"/>
    <n v="550"/>
    <m/>
    <n v="550"/>
    <x v="0"/>
    <n v="460"/>
    <n v="250"/>
    <n v="250"/>
    <n v="262.5"/>
    <n v="287.5"/>
    <n v="86.25"/>
    <x v="23"/>
    <x v="2"/>
    <m/>
    <m/>
    <m/>
    <n v="0.52272727272727271"/>
  </r>
  <r>
    <x v="8"/>
    <x v="229"/>
    <x v="1"/>
    <x v="3"/>
    <m/>
    <m/>
    <s v="SYSTEM_CLEANER, Cleanse GREEN 141B 500 ML"/>
    <s v="GE-000369"/>
    <n v="1"/>
    <n v="120"/>
    <m/>
    <n v="120"/>
    <x v="0"/>
    <n v="113"/>
    <n v="65"/>
    <n v="65"/>
    <n v="68.25"/>
    <n v="51.75"/>
    <n v="15.524999999999999"/>
    <x v="28"/>
    <x v="1"/>
    <m/>
    <m/>
    <m/>
    <n v="0.43125000000000002"/>
  </r>
  <r>
    <x v="8"/>
    <x v="230"/>
    <x v="0"/>
    <x v="30"/>
    <m/>
    <m/>
    <s v="BOLT &amp; NUT, DYNABOLT 3/8&quot;"/>
    <s v="GE-000396"/>
    <n v="10"/>
    <n v="25"/>
    <m/>
    <n v="250"/>
    <x v="0"/>
    <n v="19"/>
    <n v="8.9"/>
    <n v="89"/>
    <n v="93.45"/>
    <n v="156.55000000000001"/>
    <n v="0"/>
    <x v="57"/>
    <x v="1"/>
    <m/>
    <m/>
    <m/>
    <n v="0.62620000000000009"/>
  </r>
  <r>
    <x v="8"/>
    <x v="230"/>
    <x v="0"/>
    <x v="1"/>
    <m/>
    <m/>
    <s v="ROD, HARRIS SILVER "/>
    <s v="IM-000098"/>
    <n v="3"/>
    <n v="35"/>
    <m/>
    <n v="105"/>
    <x v="0"/>
    <n v="30"/>
    <n v="19"/>
    <n v="57"/>
    <n v="58.71"/>
    <n v="46.29"/>
    <n v="0"/>
    <x v="56"/>
    <x v="0"/>
    <m/>
    <m/>
    <m/>
    <n v="0.44085714285714284"/>
  </r>
  <r>
    <x v="8"/>
    <x v="230"/>
    <x v="0"/>
    <x v="1"/>
    <m/>
    <m/>
    <s v="AC FILTER DRIER ,  DOUBLE"/>
    <s v="GE-000221"/>
    <n v="1"/>
    <n v="60"/>
    <m/>
    <n v="60"/>
    <x v="0"/>
    <n v="58.800000000000004"/>
    <n v="28"/>
    <n v="28"/>
    <n v="29.400000000000002"/>
    <n v="30.599999999999998"/>
    <n v="0"/>
    <x v="66"/>
    <x v="1"/>
    <m/>
    <m/>
    <m/>
    <n v="0.51"/>
  </r>
  <r>
    <x v="8"/>
    <x v="230"/>
    <x v="0"/>
    <x v="1"/>
    <m/>
    <m/>
    <s v="ACCESS_VALVE, OMNI WELDED TYPE "/>
    <s v="GE-000253"/>
    <n v="2"/>
    <n v="50"/>
    <m/>
    <n v="100"/>
    <x v="0"/>
    <n v="47"/>
    <n v="21"/>
    <n v="42"/>
    <n v="44.1"/>
    <n v="55.9"/>
    <n v="0"/>
    <x v="67"/>
    <x v="1"/>
    <m/>
    <m/>
    <m/>
    <n v="0.55899999999999994"/>
  </r>
  <r>
    <x v="8"/>
    <x v="230"/>
    <x v="0"/>
    <x v="1"/>
    <m/>
    <m/>
    <s v="SYSTEM_CLEANER, Cleanse GREEN 141B 500 ML"/>
    <s v="GE-000369"/>
    <n v="1"/>
    <n v="120"/>
    <m/>
    <n v="120"/>
    <x v="0"/>
    <n v="113"/>
    <n v="65"/>
    <n v="65"/>
    <n v="68.25"/>
    <n v="51.75"/>
    <n v="0"/>
    <x v="28"/>
    <x v="1"/>
    <m/>
    <m/>
    <m/>
    <n v="0.43125000000000002"/>
  </r>
  <r>
    <x v="8"/>
    <x v="230"/>
    <x v="2"/>
    <x v="9"/>
    <m/>
    <m/>
    <s v="EVAPORATOR, ISUZU TRAVIS / NHR LT HS -40A506"/>
    <s v="CA-001835"/>
    <n v="1"/>
    <n v="2000"/>
    <m/>
    <n v="2000"/>
    <x v="0"/>
    <n v="2481"/>
    <n v="1350"/>
    <n v="1350"/>
    <n v="1417.5"/>
    <n v="582.5"/>
    <n v="174.75"/>
    <x v="10"/>
    <x v="2"/>
    <m/>
    <m/>
    <m/>
    <n v="0.29125000000000001"/>
  </r>
  <r>
    <x v="8"/>
    <x v="230"/>
    <x v="2"/>
    <x v="9"/>
    <m/>
    <m/>
    <s v="RECEIVER_DRIER_ALUMINUM, YK 8733 L (URVAN, NV350)"/>
    <s v="CA-001115"/>
    <n v="2"/>
    <n v="670"/>
    <m/>
    <n v="1340"/>
    <x v="0"/>
    <n v="615"/>
    <n v="260"/>
    <n v="520"/>
    <n v="546"/>
    <n v="794"/>
    <n v="238.2"/>
    <x v="27"/>
    <x v="2"/>
    <m/>
    <m/>
    <m/>
    <n v="0.59253731343283578"/>
  </r>
  <r>
    <x v="8"/>
    <x v="230"/>
    <x v="2"/>
    <x v="9"/>
    <m/>
    <m/>
    <s v="RECEIVER_DRIER_ALUMINUM, YK 8025 (Hyundai VTEC,Corolla SD, Nissan)"/>
    <s v="CA-001091"/>
    <n v="1"/>
    <n v="560"/>
    <m/>
    <n v="560"/>
    <x v="0"/>
    <n v="579"/>
    <n v="245"/>
    <n v="245"/>
    <n v="257.25"/>
    <n v="302.75"/>
    <n v="90.825000000000003"/>
    <x v="27"/>
    <x v="2"/>
    <m/>
    <m/>
    <m/>
    <n v="0.54062500000000002"/>
  </r>
  <r>
    <x v="8"/>
    <x v="230"/>
    <x v="0"/>
    <x v="49"/>
    <m/>
    <m/>
    <s v="EVAPORATOR, FORD EXPLORER 2004"/>
    <s v="CA-001543"/>
    <n v="1"/>
    <n v="2200"/>
    <m/>
    <n v="2200"/>
    <x v="0"/>
    <n v="2849"/>
    <n v="1550"/>
    <n v="1550"/>
    <n v="1627.5"/>
    <n v="572.5"/>
    <n v="0"/>
    <x v="10"/>
    <x v="2"/>
    <m/>
    <m/>
    <m/>
    <n v="0.26022727272727275"/>
  </r>
  <r>
    <x v="8"/>
    <x v="230"/>
    <x v="0"/>
    <x v="49"/>
    <m/>
    <m/>
    <s v="TAPE_FOAM, AEROTAPE 3MM X 50 MM X 9.1 MTR  06/18/26"/>
    <s v="IM-000332"/>
    <n v="1"/>
    <n v="430"/>
    <m/>
    <n v="430"/>
    <x v="0"/>
    <m/>
    <m/>
    <m/>
    <m/>
    <m/>
    <n v="0"/>
    <x v="25"/>
    <x v="0"/>
    <e v="#REF!"/>
    <e v="#REF!"/>
    <e v="#REF!"/>
    <n v="0"/>
  </r>
  <r>
    <x v="8"/>
    <x v="230"/>
    <x v="0"/>
    <x v="153"/>
    <m/>
    <m/>
    <s v="COPPER_TUBE_SOFTDRAWN, HAILIANG 0.028 X 1/4 x 15 mtr  08/03/26"/>
    <s v="IM-000333"/>
    <n v="1"/>
    <n v="2000"/>
    <m/>
    <n v="2000"/>
    <x v="0"/>
    <n v="3063"/>
    <n v="1699"/>
    <n v="1699"/>
    <n v="1749.97"/>
    <n v="250.02999999999997"/>
    <n v="0"/>
    <x v="0"/>
    <x v="0"/>
    <m/>
    <m/>
    <m/>
    <n v="0.12501499999999999"/>
  </r>
  <r>
    <x v="8"/>
    <x v="230"/>
    <x v="0"/>
    <x v="153"/>
    <m/>
    <m/>
    <s v="TAPE_PE, PICUS Polythelene Tape (White)X 4&quot;"/>
    <s v="IM-000247"/>
    <n v="2"/>
    <n v="125"/>
    <m/>
    <n v="250"/>
    <x v="0"/>
    <n v="147"/>
    <n v="75"/>
    <n v="150"/>
    <n v="154.5"/>
    <n v="95.5"/>
    <n v="0"/>
    <x v="29"/>
    <x v="0"/>
    <m/>
    <m/>
    <m/>
    <n v="0.38200000000000001"/>
  </r>
  <r>
    <x v="8"/>
    <x v="230"/>
    <x v="0"/>
    <x v="153"/>
    <m/>
    <m/>
    <s v="TAPE ELECTRICAL, ARMAK 0.16 MM X 19 MM X 16 M 04/25/26"/>
    <s v="GE-000491"/>
    <n v="1"/>
    <n v="55"/>
    <m/>
    <n v="55"/>
    <x v="0"/>
    <n v="73"/>
    <n v="42"/>
    <n v="42"/>
    <n v="44.1"/>
    <n v="10.899999999999999"/>
    <n v="0"/>
    <x v="50"/>
    <x v="1"/>
    <m/>
    <m/>
    <m/>
    <n v="0.19818181818181815"/>
  </r>
  <r>
    <x v="8"/>
    <x v="230"/>
    <x v="0"/>
    <x v="153"/>
    <m/>
    <m/>
    <s v="HOSE,  DRAIN PUMP PER MTR"/>
    <s v="GE-000242"/>
    <n v="4"/>
    <n v="50"/>
    <m/>
    <n v="200"/>
    <x v="0"/>
    <n v="65"/>
    <n v="35"/>
    <n v="140"/>
    <n v="147"/>
    <n v="53"/>
    <n v="0"/>
    <x v="19"/>
    <x v="1"/>
    <m/>
    <m/>
    <m/>
    <n v="0.26500000000000001"/>
  </r>
  <r>
    <x v="8"/>
    <x v="230"/>
    <x v="0"/>
    <x v="153"/>
    <m/>
    <m/>
    <s v="RUBBER_INSULATION, M-FLEX 1/2&quot; 1/4"/>
    <s v="IM-000229"/>
    <n v="3"/>
    <n v="50"/>
    <m/>
    <n v="150"/>
    <x v="0"/>
    <n v="47"/>
    <n v="33.6"/>
    <n v="100.80000000000001"/>
    <n v="103.82400000000001"/>
    <n v="46.175999999999988"/>
    <n v="0"/>
    <x v="22"/>
    <x v="0"/>
    <m/>
    <m/>
    <m/>
    <n v="0.30783999999999989"/>
  </r>
  <r>
    <x v="8"/>
    <x v="230"/>
    <x v="0"/>
    <x v="153"/>
    <m/>
    <m/>
    <s v="RUBBER_INSULATION, M-FLEX 1/2&quot; 3/8"/>
    <s v="IM-000231"/>
    <n v="3"/>
    <n v="60"/>
    <m/>
    <n v="180"/>
    <x v="0"/>
    <n v="53"/>
    <n v="37.6"/>
    <n v="112.80000000000001"/>
    <n v="116.18400000000001"/>
    <n v="63.815999999999988"/>
    <n v="0"/>
    <x v="22"/>
    <x v="0"/>
    <m/>
    <m/>
    <m/>
    <n v="0.35453333333333326"/>
  </r>
  <r>
    <x v="8"/>
    <x v="230"/>
    <x v="0"/>
    <x v="19"/>
    <m/>
    <m/>
    <s v="COPPER_TUBE_SOFTDRAWN, HAILIANG 0.028 X 3/8 x 15 mtr 06/02/26"/>
    <s v="IM-000327"/>
    <n v="0.2"/>
    <n v="3650"/>
    <m/>
    <n v="730"/>
    <x v="0"/>
    <n v="4774"/>
    <n v="2648"/>
    <n v="529.6"/>
    <n v="545.48800000000006"/>
    <n v="184.51199999999994"/>
    <n v="0"/>
    <x v="0"/>
    <x v="0"/>
    <m/>
    <m/>
    <m/>
    <n v="0.25275616438356158"/>
  </r>
  <r>
    <x v="8"/>
    <x v="230"/>
    <x v="0"/>
    <x v="19"/>
    <m/>
    <m/>
    <s v="COPPER_TUBE_SOFTDRAWN, HAILIANG 0.028 X 1/2 x 15 mtr 06/02/26"/>
    <s v="IM-000328"/>
    <n v="0.2"/>
    <n v="4750"/>
    <m/>
    <n v="950"/>
    <x v="0"/>
    <n v="6554"/>
    <n v="3636"/>
    <n v="727.2"/>
    <n v="749.01600000000008"/>
    <n v="200.98399999999992"/>
    <n v="0"/>
    <x v="0"/>
    <x v="0"/>
    <m/>
    <m/>
    <m/>
    <n v="0.2115621052631578"/>
  </r>
  <r>
    <x v="8"/>
    <x v="230"/>
    <x v="0"/>
    <x v="19"/>
    <m/>
    <m/>
    <s v="ROYAL CORD, POWERFLEX 4-CORE, #16 1.2 MM, METER"/>
    <s v="GE-000485"/>
    <n v="15"/>
    <n v="125"/>
    <m/>
    <n v="1875"/>
    <x v="0"/>
    <n v="90"/>
    <n v="72"/>
    <n v="1080"/>
    <n v="1134"/>
    <n v="741"/>
    <n v="0"/>
    <x v="48"/>
    <x v="1"/>
    <m/>
    <m/>
    <m/>
    <n v="0.3952"/>
  </r>
  <r>
    <x v="8"/>
    <x v="230"/>
    <x v="3"/>
    <x v="12"/>
    <m/>
    <n v="2000"/>
    <s v="EVAPORATOR, TOYOTA INNOVA OLD (F) JBE-0103ZX (STAL)"/>
    <s v="CA-001633"/>
    <n v="1"/>
    <n v="1786"/>
    <m/>
    <n v="1786"/>
    <x v="0"/>
    <n v="1654"/>
    <n v="900"/>
    <n v="900"/>
    <n v="945"/>
    <n v="841"/>
    <n v="252.29999999999998"/>
    <x v="10"/>
    <x v="2"/>
    <e v="#REF!"/>
    <e v="#REF!"/>
    <n v="2000.3200000000002"/>
    <n v="0.47088465845464728"/>
  </r>
  <r>
    <x v="8"/>
    <x v="230"/>
    <x v="0"/>
    <x v="1"/>
    <m/>
    <m/>
    <s v="REFRIGERANT, POKKA R32, 600 GRMS  05/09/26"/>
    <s v="GE-000509"/>
    <n v="1"/>
    <n v="750"/>
    <m/>
    <n v="750"/>
    <x v="0"/>
    <n v="756"/>
    <n v="480"/>
    <n v="480"/>
    <n v="504"/>
    <n v="246"/>
    <n v="0"/>
    <x v="5"/>
    <x v="1"/>
    <m/>
    <m/>
    <m/>
    <n v="0.32800000000000001"/>
  </r>
  <r>
    <x v="8"/>
    <x v="230"/>
    <x v="1"/>
    <x v="3"/>
    <m/>
    <m/>
    <s v="AUXIALLIARY_FAN, POKKA 14 BLADES X 24VOLTS"/>
    <s v="CA-000113"/>
    <n v="1"/>
    <n v="750"/>
    <m/>
    <n v="750"/>
    <x v="0"/>
    <n v="882"/>
    <n v="480"/>
    <n v="480"/>
    <n v="504"/>
    <n v="246"/>
    <n v="73.8"/>
    <x v="16"/>
    <x v="2"/>
    <m/>
    <m/>
    <m/>
    <n v="0.32800000000000001"/>
  </r>
  <r>
    <x v="8"/>
    <x v="230"/>
    <x v="2"/>
    <x v="7"/>
    <m/>
    <m/>
    <s v="RESISTOR_BLOCK, TOYOTA VIOS /AVANZA 7562"/>
    <s v="CA-001215"/>
    <n v="1"/>
    <n v="900"/>
    <m/>
    <n v="900"/>
    <x v="0"/>
    <n v="861"/>
    <n v="400"/>
    <n v="400"/>
    <n v="420"/>
    <n v="480"/>
    <n v="144"/>
    <x v="43"/>
    <x v="2"/>
    <m/>
    <m/>
    <m/>
    <n v="0.53333333333333333"/>
  </r>
  <r>
    <x v="8"/>
    <x v="230"/>
    <x v="1"/>
    <x v="3"/>
    <m/>
    <m/>
    <s v="REFRIGERANT, ENTALPIA EUROPE R134A 13.6   6/16/26 "/>
    <s v="GE-000517"/>
    <n v="1"/>
    <n v="9000"/>
    <m/>
    <n v="9000"/>
    <x v="0"/>
    <n v="10489"/>
    <n v="7684"/>
    <n v="7684"/>
    <n v="8068.2000000000007"/>
    <n v="931.79999999999927"/>
    <n v="279.53999999999979"/>
    <x v="5"/>
    <x v="1"/>
    <m/>
    <m/>
    <m/>
    <n v="0.10353333333333326"/>
  </r>
  <r>
    <x v="8"/>
    <x v="230"/>
    <x v="0"/>
    <x v="1"/>
    <m/>
    <m/>
    <s v="REFRIGERANT, FU RYDER R600A CAN, 220 GRAMS"/>
    <s v="GE-000032"/>
    <n v="3"/>
    <n v="180"/>
    <m/>
    <n v="540"/>
    <x v="0"/>
    <n v="177"/>
    <n v="70"/>
    <n v="210"/>
    <n v="220.5"/>
    <n v="319.5"/>
    <n v="0"/>
    <x v="5"/>
    <x v="1"/>
    <m/>
    <m/>
    <m/>
    <n v="0.59166666666666667"/>
  </r>
  <r>
    <x v="8"/>
    <x v="230"/>
    <x v="0"/>
    <x v="1"/>
    <m/>
    <m/>
    <s v="ACCESS_VALVE, OMNI WELDED TYPE "/>
    <s v="GE-000253"/>
    <n v="2"/>
    <n v="50"/>
    <m/>
    <n v="100"/>
    <x v="0"/>
    <n v="47"/>
    <n v="21"/>
    <n v="42"/>
    <n v="44.1"/>
    <n v="55.9"/>
    <n v="0"/>
    <x v="67"/>
    <x v="1"/>
    <m/>
    <m/>
    <m/>
    <n v="0.55899999999999994"/>
  </r>
  <r>
    <x v="8"/>
    <x v="230"/>
    <x v="0"/>
    <x v="184"/>
    <m/>
    <m/>
    <s v="COPPER_TUBE_SOFTDRAWN, HAILIANG 0.028 X 1/4 x 15 mtr  08/03/26"/>
    <s v="IM-000333"/>
    <n v="2"/>
    <n v="2000"/>
    <m/>
    <n v="4000"/>
    <x v="0"/>
    <m/>
    <m/>
    <m/>
    <m/>
    <m/>
    <n v="0"/>
    <x v="0"/>
    <x v="0"/>
    <m/>
    <m/>
    <m/>
    <n v="0"/>
  </r>
  <r>
    <x v="8"/>
    <x v="230"/>
    <x v="0"/>
    <x v="184"/>
    <m/>
    <m/>
    <s v="BOLT &amp; NUT, GI, SET 3/8"/>
    <s v="IM-000002"/>
    <n v="12"/>
    <n v="14"/>
    <m/>
    <n v="168"/>
    <x v="0"/>
    <n v="10"/>
    <n v="5.43"/>
    <n v="65.16"/>
    <n v="67.114800000000002"/>
    <n v="100.8852"/>
    <n v="0"/>
    <x v="57"/>
    <x v="0"/>
    <m/>
    <m/>
    <m/>
    <n v="0.60050714285714279"/>
  </r>
  <r>
    <x v="8"/>
    <x v="230"/>
    <x v="0"/>
    <x v="184"/>
    <m/>
    <m/>
    <s v="BOLT &amp; NUT, DYNABOLT 3/8&quot;"/>
    <s v="GE-000396"/>
    <n v="10"/>
    <n v="25"/>
    <m/>
    <n v="250"/>
    <x v="0"/>
    <n v="19"/>
    <n v="8.9"/>
    <n v="89"/>
    <n v="93.45"/>
    <n v="156.55000000000001"/>
    <n v="0"/>
    <x v="57"/>
    <x v="1"/>
    <m/>
    <m/>
    <m/>
    <n v="0.62620000000000009"/>
  </r>
  <r>
    <x v="8"/>
    <x v="230"/>
    <x v="0"/>
    <x v="184"/>
    <m/>
    <m/>
    <s v="ROD, HARRIS SILVER "/>
    <s v="IM-000098"/>
    <n v="10"/>
    <n v="35"/>
    <m/>
    <n v="350"/>
    <x v="0"/>
    <n v="30"/>
    <n v="19"/>
    <n v="190"/>
    <n v="195.70000000000002"/>
    <n v="154.29999999999998"/>
    <n v="0"/>
    <x v="56"/>
    <x v="0"/>
    <m/>
    <m/>
    <m/>
    <n v="0.44085714285714278"/>
  </r>
  <r>
    <x v="8"/>
    <x v="231"/>
    <x v="0"/>
    <x v="79"/>
    <m/>
    <m/>
    <s v="EVAPORATOR, HONDA CRV 2003"/>
    <s v="CA-000481"/>
    <n v="1"/>
    <n v="2000"/>
    <m/>
    <n v="2000"/>
    <x v="0"/>
    <n v="2389"/>
    <n v="1300"/>
    <n v="1300"/>
    <n v="1365"/>
    <n v="635"/>
    <n v="0"/>
    <x v="10"/>
    <x v="2"/>
    <e v="#REF!"/>
    <e v="#REF!"/>
    <s v=""/>
    <n v="0.3175"/>
  </r>
  <r>
    <x v="8"/>
    <x v="231"/>
    <x v="0"/>
    <x v="2"/>
    <m/>
    <m/>
    <s v="RUBBER_INSULATION, M-FLEX 3/4&quot; 1/2"/>
    <s v="IM-000234"/>
    <n v="7"/>
    <n v="110"/>
    <m/>
    <n v="770"/>
    <x v="0"/>
    <n v="103"/>
    <n v="73.5"/>
    <n v="514.5"/>
    <n v="529.93500000000006"/>
    <n v="240.06499999999994"/>
    <n v="0"/>
    <x v="22"/>
    <x v="0"/>
    <e v="#REF!"/>
    <e v="#REF!"/>
    <s v=""/>
    <n v="0.3117727272727272"/>
  </r>
  <r>
    <x v="8"/>
    <x v="231"/>
    <x v="0"/>
    <x v="2"/>
    <m/>
    <m/>
    <s v="RUBBER_INSULATION, M-FLEX 3/4&quot; 1/4"/>
    <s v="IM-000235"/>
    <n v="7"/>
    <n v="95"/>
    <m/>
    <n v="665"/>
    <x v="0"/>
    <n v="79"/>
    <n v="56.7"/>
    <n v="396.90000000000003"/>
    <n v="408.80700000000007"/>
    <n v="256.19299999999993"/>
    <n v="0"/>
    <x v="22"/>
    <x v="0"/>
    <e v="#REF!"/>
    <e v="#REF!"/>
    <s v=""/>
    <n v="0.38525263157894724"/>
  </r>
  <r>
    <x v="8"/>
    <x v="231"/>
    <x v="0"/>
    <x v="2"/>
    <m/>
    <m/>
    <s v="TAPE_PE, PICUS Polythelene Tape (White)X 4&quot;"/>
    <s v="IM-000247"/>
    <n v="4"/>
    <n v="125"/>
    <m/>
    <n v="500"/>
    <x v="0"/>
    <n v="147"/>
    <n v="75"/>
    <n v="300"/>
    <n v="309"/>
    <n v="191"/>
    <n v="0"/>
    <x v="29"/>
    <x v="0"/>
    <e v="#REF!"/>
    <e v="#REF!"/>
    <s v=""/>
    <n v="0.38200000000000001"/>
  </r>
  <r>
    <x v="8"/>
    <x v="231"/>
    <x v="0"/>
    <x v="21"/>
    <m/>
    <m/>
    <s v="REFRIGERANT, ENTALPIA EUROPE R134A 13.6   6/16/26 "/>
    <s v="GE-000517"/>
    <n v="1"/>
    <n v="9000"/>
    <m/>
    <n v="9000"/>
    <x v="0"/>
    <n v="10489"/>
    <n v="7684"/>
    <n v="7684"/>
    <n v="8068.2000000000007"/>
    <n v="931.79999999999927"/>
    <n v="0"/>
    <x v="5"/>
    <x v="1"/>
    <e v="#REF!"/>
    <e v="#REF!"/>
    <s v=""/>
    <n v="0.10353333333333326"/>
  </r>
  <r>
    <x v="8"/>
    <x v="231"/>
    <x v="2"/>
    <x v="22"/>
    <m/>
    <m/>
    <s v="EVAPORATOR, HYUNDAI TUCSON 2013"/>
    <s v="CA-001734"/>
    <n v="1"/>
    <n v="1900"/>
    <m/>
    <n v="1900"/>
    <x v="0"/>
    <n v="2665"/>
    <n v="1450"/>
    <n v="1450"/>
    <n v="1522.5"/>
    <n v="377.5"/>
    <n v="113.25"/>
    <x v="10"/>
    <x v="2"/>
    <e v="#REF!"/>
    <e v="#REF!"/>
    <s v=""/>
    <n v="0.1986842105263158"/>
  </r>
  <r>
    <x v="8"/>
    <x v="231"/>
    <x v="0"/>
    <x v="90"/>
    <m/>
    <m/>
    <s v="ECV, TOYOTA VIOS BATMAN, 8-5A"/>
    <s v="CA-000458"/>
    <n v="1"/>
    <n v="2000"/>
    <m/>
    <n v="2000"/>
    <x v="0"/>
    <n v="1838"/>
    <n v="1000"/>
    <n v="1000"/>
    <n v="1050"/>
    <n v="950"/>
    <n v="0"/>
    <x v="26"/>
    <x v="2"/>
    <e v="#REF!"/>
    <e v="#REF!"/>
    <s v=""/>
    <n v="0.47499999999999998"/>
  </r>
  <r>
    <x v="8"/>
    <x v="231"/>
    <x v="0"/>
    <x v="8"/>
    <m/>
    <m/>
    <s v="BLOWER_MOTOR, UNIVERSAL 6721"/>
    <s v="CA-000237"/>
    <n v="1"/>
    <n v="1300"/>
    <m/>
    <n v="1300"/>
    <x v="0"/>
    <n v="1379"/>
    <n v="750"/>
    <n v="750"/>
    <n v="787.5"/>
    <n v="512.5"/>
    <n v="0"/>
    <x v="15"/>
    <x v="2"/>
    <e v="#REF!"/>
    <e v="#REF!"/>
    <s v=""/>
    <n v="0.39423076923076922"/>
  </r>
  <r>
    <x v="8"/>
    <x v="231"/>
    <x v="0"/>
    <x v="90"/>
    <m/>
    <n v="560"/>
    <s v="RECEIVER_DRIER_ALUMINUM, STAL 8793 (MAZDA 3) 0009"/>
    <s v="CA-000452"/>
    <n v="1"/>
    <n v="500"/>
    <m/>
    <n v="500"/>
    <x v="0"/>
    <n v="520"/>
    <n v="220"/>
    <n v="220"/>
    <n v="231"/>
    <n v="269"/>
    <n v="0"/>
    <x v="27"/>
    <x v="2"/>
    <e v="#REF!"/>
    <e v="#REF!"/>
    <n v="560"/>
    <n v="0.53800000000000003"/>
  </r>
  <r>
    <x v="8"/>
    <x v="231"/>
    <x v="1"/>
    <x v="3"/>
    <m/>
    <m/>
    <s v="RECEIVER_DRIER_ALUMINUM, YK 8015 (L) (Adventure)"/>
    <s v="CA-001085"/>
    <n v="1"/>
    <n v="560"/>
    <m/>
    <n v="560"/>
    <x v="0"/>
    <n v="615"/>
    <n v="260"/>
    <n v="260"/>
    <n v="273"/>
    <n v="287"/>
    <n v="86.1"/>
    <x v="27"/>
    <x v="2"/>
    <e v="#REF!"/>
    <e v="#REF!"/>
    <s v=""/>
    <n v="0.51249999999999996"/>
  </r>
  <r>
    <x v="8"/>
    <x v="231"/>
    <x v="0"/>
    <x v="49"/>
    <m/>
    <m/>
    <s v="AUXIALLIARY_FAN, POKKA 14 BLADES X 12VOLTS"/>
    <s v="CA-000112"/>
    <n v="1"/>
    <n v="750"/>
    <m/>
    <n v="750"/>
    <x v="0"/>
    <n v="882"/>
    <n v="480"/>
    <n v="480"/>
    <n v="504"/>
    <n v="246"/>
    <n v="0"/>
    <x v="16"/>
    <x v="2"/>
    <e v="#REF!"/>
    <e v="#REF!"/>
    <s v=""/>
    <n v="0.32800000000000001"/>
  </r>
  <r>
    <x v="8"/>
    <x v="231"/>
    <x v="0"/>
    <x v="27"/>
    <m/>
    <m/>
    <s v="COPPER_TUBE_SOFTDRAWN, HAILIANG 0.028 X 1/4 x 15 mtr  08/03/26"/>
    <s v="IM-000333"/>
    <n v="0.2"/>
    <n v="2650"/>
    <m/>
    <n v="530"/>
    <x v="0"/>
    <n v="3063"/>
    <n v="1699"/>
    <n v="339.8"/>
    <n v="349.99400000000003"/>
    <n v="180.00599999999997"/>
    <n v="0"/>
    <x v="0"/>
    <x v="0"/>
    <e v="#REF!"/>
    <e v="#REF!"/>
    <s v=""/>
    <n v="0.33963396226415088"/>
  </r>
  <r>
    <x v="8"/>
    <x v="231"/>
    <x v="0"/>
    <x v="27"/>
    <m/>
    <m/>
    <s v="COPPER_TUBE_SOFTDRAWN, HAILIANG 0.028 X 3/8 x 15 mtr 06/02/26"/>
    <s v="IM-000327"/>
    <n v="0.2"/>
    <n v="3650"/>
    <m/>
    <n v="730"/>
    <x v="0"/>
    <n v="4774"/>
    <n v="2648"/>
    <n v="529.6"/>
    <n v="545.48800000000006"/>
    <n v="184.51199999999994"/>
    <n v="0"/>
    <x v="0"/>
    <x v="0"/>
    <e v="#REF!"/>
    <e v="#REF!"/>
    <s v=""/>
    <n v="0.25275616438356158"/>
  </r>
  <r>
    <x v="8"/>
    <x v="231"/>
    <x v="0"/>
    <x v="27"/>
    <m/>
    <m/>
    <s v="RUBBER_INSULATION, M-FLEX 1/2&quot; 1/4"/>
    <s v="IM-000229"/>
    <n v="2"/>
    <n v="50"/>
    <m/>
    <n v="100"/>
    <x v="0"/>
    <n v="47"/>
    <n v="33.6"/>
    <n v="67.2"/>
    <n v="69.216000000000008"/>
    <n v="30.783999999999992"/>
    <n v="0"/>
    <x v="22"/>
    <x v="0"/>
    <e v="#REF!"/>
    <e v="#REF!"/>
    <s v=""/>
    <n v="0.30783999999999989"/>
  </r>
  <r>
    <x v="8"/>
    <x v="231"/>
    <x v="0"/>
    <x v="27"/>
    <m/>
    <m/>
    <s v="RUBBER_INSULATION, M-FLEX 1/2&quot; 3/8"/>
    <s v="IM-000231"/>
    <n v="2"/>
    <n v="60"/>
    <m/>
    <n v="120"/>
    <x v="0"/>
    <n v="53"/>
    <n v="37.6"/>
    <n v="75.2"/>
    <n v="77.456000000000003"/>
    <n v="42.543999999999997"/>
    <n v="0"/>
    <x v="22"/>
    <x v="0"/>
    <e v="#REF!"/>
    <e v="#REF!"/>
    <s v=""/>
    <n v="0.35453333333333331"/>
  </r>
  <r>
    <x v="8"/>
    <x v="231"/>
    <x v="0"/>
    <x v="27"/>
    <m/>
    <m/>
    <s v="TAPE_PE, PICUS Polythelene Tape (White)X 4&quot;"/>
    <s v="IM-000247"/>
    <n v="1"/>
    <n v="125"/>
    <m/>
    <n v="125"/>
    <x v="0"/>
    <n v="147"/>
    <n v="75"/>
    <n v="75"/>
    <n v="77.25"/>
    <n v="47.75"/>
    <n v="0"/>
    <x v="29"/>
    <x v="0"/>
    <e v="#REF!"/>
    <e v="#REF!"/>
    <s v=""/>
    <n v="0.38200000000000001"/>
  </r>
  <r>
    <x v="8"/>
    <x v="232"/>
    <x v="0"/>
    <x v="8"/>
    <m/>
    <m/>
    <s v="FERULLE,  5/8&quot;"/>
    <s v="CA-000646"/>
    <n v="10"/>
    <n v="15"/>
    <m/>
    <n v="150"/>
    <x v="0"/>
    <n v="13"/>
    <n v="7"/>
    <n v="70"/>
    <n v="73.5"/>
    <n v="76.5"/>
    <n v="0"/>
    <x v="42"/>
    <x v="2"/>
    <e v="#REF!"/>
    <e v="#REF!"/>
    <s v=""/>
    <n v="0.51"/>
  </r>
  <r>
    <x v="8"/>
    <x v="232"/>
    <x v="0"/>
    <x v="8"/>
    <m/>
    <m/>
    <s v="FITTINGS, STRAIGHT FLARE TYPE 5/8"/>
    <s v="CA-000673"/>
    <n v="10"/>
    <n v="40"/>
    <m/>
    <n v="400"/>
    <x v="0"/>
    <n v="30"/>
    <n v="16"/>
    <n v="160"/>
    <n v="168"/>
    <n v="232"/>
    <n v="0"/>
    <x v="33"/>
    <x v="2"/>
    <e v="#REF!"/>
    <e v="#REF!"/>
    <s v=""/>
    <n v="0.57999999999999996"/>
  </r>
  <r>
    <x v="8"/>
    <x v="232"/>
    <x v="0"/>
    <x v="8"/>
    <m/>
    <m/>
    <s v="HOSE, COOLMATE 5/8 SUNCTION PER FT"/>
    <s v="GE-000181"/>
    <n v="5"/>
    <n v="95"/>
    <m/>
    <n v="475"/>
    <x v="0"/>
    <n v="83"/>
    <n v="45"/>
    <n v="225"/>
    <n v="236.25"/>
    <n v="238.75"/>
    <n v="0"/>
    <x v="19"/>
    <x v="1"/>
    <e v="#REF!"/>
    <e v="#REF!"/>
    <s v=""/>
    <n v="0.50263157894736843"/>
  </r>
  <r>
    <x v="8"/>
    <x v="232"/>
    <x v="1"/>
    <x v="3"/>
    <m/>
    <m/>
    <s v="BLOWER_MOTOR, TOYOTA INNOVA OLD R"/>
    <s v="CA-000228"/>
    <n v="1"/>
    <n v="2000"/>
    <m/>
    <n v="2000"/>
    <x v="0"/>
    <n v="2389"/>
    <n v="1300"/>
    <n v="1300"/>
    <n v="1365"/>
    <n v="635"/>
    <n v="190.5"/>
    <x v="15"/>
    <x v="2"/>
    <e v="#REF!"/>
    <e v="#REF!"/>
    <s v=""/>
    <n v="0.3175"/>
  </r>
  <r>
    <x v="8"/>
    <x v="232"/>
    <x v="0"/>
    <x v="48"/>
    <m/>
    <n v="2000"/>
    <s v="EVAPORATOR, MITSUBISHI MONTERO 2008 (F) (STAL)"/>
    <s v="CA-001744"/>
    <n v="1"/>
    <n v="1786"/>
    <m/>
    <n v="1786"/>
    <x v="0"/>
    <n v="1930"/>
    <n v="1050"/>
    <n v="1050"/>
    <n v="1102.5"/>
    <n v="683.5"/>
    <n v="0"/>
    <x v="10"/>
    <x v="2"/>
    <e v="#REF!"/>
    <e v="#REF!"/>
    <n v="2000.3200000000002"/>
    <n v="0.38269876819708848"/>
  </r>
  <r>
    <x v="8"/>
    <x v="232"/>
    <x v="0"/>
    <x v="48"/>
    <m/>
    <m/>
    <s v="LUBRICANT, ND-OIL 8  250 CC (134A),OIL COMPRESSOR"/>
    <s v="GE-000197"/>
    <n v="2"/>
    <n v="200"/>
    <m/>
    <n v="400"/>
    <x v="0"/>
    <n v="188"/>
    <n v="85"/>
    <n v="170"/>
    <n v="178.5"/>
    <n v="221.5"/>
    <n v="0"/>
    <x v="9"/>
    <x v="1"/>
    <e v="#REF!"/>
    <e v="#REF!"/>
    <s v=""/>
    <n v="0.55374999999999996"/>
  </r>
  <r>
    <x v="8"/>
    <x v="232"/>
    <x v="0"/>
    <x v="8"/>
    <m/>
    <m/>
    <s v="BLOWER_MOTOR, ISUZU D-MAX 2013 / MUX"/>
    <s v="CA-000171"/>
    <n v="1"/>
    <n v="2000"/>
    <m/>
    <n v="2000"/>
    <x v="0"/>
    <n v="2389"/>
    <n v="1300"/>
    <n v="1300"/>
    <n v="1365"/>
    <n v="635"/>
    <n v="0"/>
    <x v="15"/>
    <x v="2"/>
    <e v="#REF!"/>
    <e v="#REF!"/>
    <s v=""/>
    <n v="0.3175"/>
  </r>
  <r>
    <x v="8"/>
    <x v="232"/>
    <x v="6"/>
    <x v="159"/>
    <m/>
    <m/>
    <s v="EVAPORATOR, NISSAN FRONTIER"/>
    <s v="CA-000519"/>
    <n v="1"/>
    <n v="2000"/>
    <m/>
    <n v="2000"/>
    <x v="0"/>
    <n v="2481"/>
    <n v="1350"/>
    <n v="1350"/>
    <n v="1417.5"/>
    <n v="582.5"/>
    <n v="174.75"/>
    <x v="10"/>
    <x v="2"/>
    <e v="#REF!"/>
    <e v="#REF!"/>
    <s v=""/>
    <n v="0.29125000000000001"/>
  </r>
  <r>
    <x v="8"/>
    <x v="232"/>
    <x v="6"/>
    <x v="159"/>
    <m/>
    <m/>
    <s v="RECEIVER_DRIER_ALUMINUM, YK 8733 (EXALTA)"/>
    <s v="CA-001114"/>
    <n v="1"/>
    <n v="560"/>
    <m/>
    <n v="560"/>
    <x v="0"/>
    <n v="591"/>
    <n v="250"/>
    <n v="250"/>
    <n v="262.5"/>
    <n v="297.5"/>
    <n v="89.25"/>
    <x v="27"/>
    <x v="2"/>
    <e v="#REF!"/>
    <e v="#REF!"/>
    <s v=""/>
    <n v="0.53125"/>
  </r>
  <r>
    <x v="8"/>
    <x v="232"/>
    <x v="6"/>
    <x v="159"/>
    <m/>
    <m/>
    <s v="PULLEY_ASSEMBLY, NISSAN FRONTIER"/>
    <s v="CA-001042"/>
    <n v="1"/>
    <n v="2200"/>
    <m/>
    <n v="2200"/>
    <x v="0"/>
    <n v="2436"/>
    <n v="1450"/>
    <n v="1450"/>
    <n v="1522.5"/>
    <n v="677.5"/>
    <n v="203.25"/>
    <x v="11"/>
    <x v="2"/>
    <e v="#REF!"/>
    <e v="#REF!"/>
    <s v=""/>
    <n v="0.30795454545454548"/>
  </r>
  <r>
    <x v="8"/>
    <x v="232"/>
    <x v="0"/>
    <x v="49"/>
    <m/>
    <m/>
    <s v="AUXIALLIARY_FAN, POKKA 10 BLADES X 12VOLTS"/>
    <s v="CA-000106"/>
    <n v="2"/>
    <n v="680"/>
    <m/>
    <n v="1360"/>
    <x v="0"/>
    <n v="772"/>
    <n v="420"/>
    <n v="840"/>
    <n v="882"/>
    <n v="478"/>
    <n v="0"/>
    <x v="16"/>
    <x v="2"/>
    <e v="#REF!"/>
    <e v="#REF!"/>
    <s v=""/>
    <n v="0.35147058823529409"/>
  </r>
  <r>
    <x v="8"/>
    <x v="232"/>
    <x v="0"/>
    <x v="49"/>
    <m/>
    <m/>
    <s v="SYSTEM_CLEANER, Cleanse GREEN 141B 500 ML"/>
    <s v="GE-000369"/>
    <n v="3"/>
    <n v="120"/>
    <m/>
    <n v="360"/>
    <x v="0"/>
    <n v="113"/>
    <n v="65"/>
    <n v="195"/>
    <n v="204.75"/>
    <n v="155.25"/>
    <n v="0"/>
    <x v="28"/>
    <x v="1"/>
    <e v="#REF!"/>
    <e v="#REF!"/>
    <s v=""/>
    <n v="0.43125000000000002"/>
  </r>
  <r>
    <x v="8"/>
    <x v="232"/>
    <x v="2"/>
    <x v="22"/>
    <m/>
    <m/>
    <s v="RECEIVER_DRIER_ALUMINUM, YK 8733 L (URVAN, NV350)"/>
    <s v="CA-001115"/>
    <n v="1"/>
    <n v="380"/>
    <m/>
    <n v="380"/>
    <x v="0"/>
    <n v="615"/>
    <n v="260"/>
    <n v="260"/>
    <n v="273"/>
    <n v="107"/>
    <n v="32.1"/>
    <x v="27"/>
    <x v="2"/>
    <e v="#REF!"/>
    <e v="#REF!"/>
    <s v=""/>
    <n v="0.28157894736842104"/>
  </r>
  <r>
    <x v="8"/>
    <x v="232"/>
    <x v="2"/>
    <x v="22"/>
    <m/>
    <n v="220"/>
    <s v="CABIN_FILTER, TOYOTA VIOS"/>
    <s v="CA-001295"/>
    <n v="1"/>
    <n v="197"/>
    <m/>
    <n v="197"/>
    <x v="0"/>
    <n v="315"/>
    <n v="100"/>
    <n v="100"/>
    <n v="105"/>
    <n v="92"/>
    <n v="27.599999999999998"/>
    <x v="12"/>
    <x v="2"/>
    <e v="#REF!"/>
    <e v="#REF!"/>
    <n v="220.64000000000001"/>
    <n v="0.46700507614213199"/>
  </r>
  <r>
    <x v="8"/>
    <x v="232"/>
    <x v="2"/>
    <x v="22"/>
    <m/>
    <n v="220"/>
    <s v="CABIN_FILTER, HYUNDAI ACCENT 2013"/>
    <s v="CA-001681"/>
    <n v="1"/>
    <n v="197"/>
    <m/>
    <n v="197"/>
    <x v="0"/>
    <n v="315"/>
    <n v="100"/>
    <n v="100"/>
    <n v="105"/>
    <n v="92"/>
    <n v="27.599999999999998"/>
    <x v="12"/>
    <x v="2"/>
    <e v="#REF!"/>
    <e v="#REF!"/>
    <n v="220.64000000000001"/>
    <n v="0.46700507614213199"/>
  </r>
  <r>
    <x v="8"/>
    <x v="232"/>
    <x v="2"/>
    <x v="22"/>
    <m/>
    <n v="220"/>
    <s v="CABIN_FILTER, NISSAN NV350"/>
    <s v="CA-001711"/>
    <n v="2"/>
    <n v="197"/>
    <m/>
    <n v="394"/>
    <x v="0"/>
    <n v="315"/>
    <n v="100"/>
    <n v="200"/>
    <n v="210"/>
    <n v="184"/>
    <n v="55.199999999999996"/>
    <x v="12"/>
    <x v="2"/>
    <e v="#REF!"/>
    <e v="#REF!"/>
    <n v="220.64000000000001"/>
    <n v="0.46700507614213199"/>
  </r>
  <r>
    <x v="8"/>
    <x v="232"/>
    <x v="2"/>
    <x v="22"/>
    <m/>
    <m/>
    <s v="O_RING, NEK MAKAPAL 3/8"/>
    <s v="CA-000841"/>
    <n v="1"/>
    <n v="200"/>
    <m/>
    <n v="200"/>
    <x v="0"/>
    <n v="111"/>
    <n v="60"/>
    <n v="60"/>
    <n v="63"/>
    <n v="137"/>
    <n v="41.1"/>
    <x v="44"/>
    <x v="2"/>
    <e v="#REF!"/>
    <e v="#REF!"/>
    <s v=""/>
    <n v="0.68500000000000005"/>
  </r>
  <r>
    <x v="8"/>
    <x v="232"/>
    <x v="2"/>
    <x v="22"/>
    <m/>
    <m/>
    <s v="O_RING, NEK MAKAPAL 1/2"/>
    <s v="CA-000840"/>
    <n v="1"/>
    <n v="200"/>
    <m/>
    <n v="200"/>
    <x v="0"/>
    <n v="111"/>
    <n v="60"/>
    <n v="60"/>
    <n v="63"/>
    <n v="137"/>
    <n v="41.1"/>
    <x v="44"/>
    <x v="2"/>
    <e v="#REF!"/>
    <e v="#REF!"/>
    <s v=""/>
    <n v="0.68500000000000005"/>
  </r>
  <r>
    <x v="8"/>
    <x v="232"/>
    <x v="2"/>
    <x v="22"/>
    <m/>
    <m/>
    <s v="O_RING, NEK MANIPIS 5/16"/>
    <s v="CA-000846"/>
    <n v="1"/>
    <n v="200"/>
    <m/>
    <n v="200"/>
    <x v="0"/>
    <n v="111"/>
    <n v="60"/>
    <n v="60"/>
    <n v="63"/>
    <n v="137"/>
    <n v="41.1"/>
    <x v="44"/>
    <x v="2"/>
    <e v="#REF!"/>
    <e v="#REF!"/>
    <s v=""/>
    <n v="0.68500000000000005"/>
  </r>
  <r>
    <x v="8"/>
    <x v="232"/>
    <x v="2"/>
    <x v="22"/>
    <m/>
    <m/>
    <s v="O_RING, NEK MANIPIS 1/2"/>
    <s v="CA-000844"/>
    <n v="1"/>
    <n v="200"/>
    <m/>
    <n v="200"/>
    <x v="0"/>
    <n v="111"/>
    <n v="60"/>
    <n v="60"/>
    <n v="63"/>
    <n v="137"/>
    <n v="41.1"/>
    <x v="44"/>
    <x v="2"/>
    <e v="#REF!"/>
    <e v="#REF!"/>
    <s v=""/>
    <n v="0.68500000000000005"/>
  </r>
  <r>
    <x v="8"/>
    <x v="232"/>
    <x v="2"/>
    <x v="22"/>
    <m/>
    <m/>
    <s v="O_RING, NEK MANIPIS 5/16"/>
    <s v="CA-000846"/>
    <n v="1"/>
    <n v="200"/>
    <m/>
    <n v="200"/>
    <x v="0"/>
    <n v="111"/>
    <n v="60"/>
    <n v="60"/>
    <n v="63"/>
    <n v="137"/>
    <n v="41.1"/>
    <x v="44"/>
    <x v="2"/>
    <e v="#REF!"/>
    <e v="#REF!"/>
    <s v=""/>
    <n v="0.68500000000000005"/>
  </r>
  <r>
    <x v="8"/>
    <x v="232"/>
    <x v="2"/>
    <x v="22"/>
    <m/>
    <m/>
    <s v="LUBRICANT, EMKARATE RL 68H, 1 LITER"/>
    <s v="GE-000135"/>
    <n v="1"/>
    <n v="380"/>
    <m/>
    <n v="380"/>
    <x v="0"/>
    <n v="331"/>
    <n v="180"/>
    <n v="180"/>
    <n v="189"/>
    <n v="191"/>
    <n v="57.3"/>
    <x v="9"/>
    <x v="1"/>
    <e v="#REF!"/>
    <e v="#REF!"/>
    <s v=""/>
    <n v="0.50263157894736843"/>
  </r>
  <r>
    <x v="8"/>
    <x v="232"/>
    <x v="2"/>
    <x v="22"/>
    <m/>
    <m/>
    <s v="BLOWER_MOTOR, UNIVERSAL DOUBLE SHAFTING (ADVENTURE/REVO) 12V"/>
    <s v="CA-000238"/>
    <n v="2"/>
    <n v="550"/>
    <m/>
    <n v="1100"/>
    <x v="0"/>
    <n v="840"/>
    <n v="400"/>
    <n v="800"/>
    <n v="840"/>
    <n v="260"/>
    <n v="78"/>
    <x v="15"/>
    <x v="2"/>
    <e v="#REF!"/>
    <e v="#REF!"/>
    <s v=""/>
    <n v="0.23636363636363636"/>
  </r>
  <r>
    <x v="8"/>
    <x v="232"/>
    <x v="2"/>
    <x v="22"/>
    <m/>
    <m/>
    <s v="EXP. VALVE LT, POKKA 9A129B ACCENT"/>
    <s v="CA-000629"/>
    <n v="2"/>
    <n v="450"/>
    <m/>
    <n v="900"/>
    <x v="0"/>
    <n v="625"/>
    <n v="340"/>
    <n v="680"/>
    <n v="714"/>
    <n v="186"/>
    <n v="55.8"/>
    <x v="23"/>
    <x v="2"/>
    <e v="#REF!"/>
    <e v="#REF!"/>
    <s v=""/>
    <n v="0.20666666666666667"/>
  </r>
  <r>
    <x v="8"/>
    <x v="232"/>
    <x v="2"/>
    <x v="22"/>
    <m/>
    <m/>
    <s v="FITTINGS, STRAIGHT ORING TYPE 5/8"/>
    <s v="CA-000677"/>
    <n v="20"/>
    <n v="25"/>
    <m/>
    <n v="500"/>
    <x v="0"/>
    <n v="30"/>
    <n v="16"/>
    <n v="320"/>
    <n v="336"/>
    <n v="164"/>
    <n v="49.199999999999996"/>
    <x v="33"/>
    <x v="2"/>
    <e v="#REF!"/>
    <e v="#REF!"/>
    <s v=""/>
    <n v="0.32800000000000001"/>
  </r>
  <r>
    <x v="8"/>
    <x v="232"/>
    <x v="2"/>
    <x v="22"/>
    <m/>
    <m/>
    <s v="FERULLE,  5/8&quot;"/>
    <s v="CA-000646"/>
    <n v="20"/>
    <n v="12"/>
    <m/>
    <n v="240"/>
    <x v="0"/>
    <n v="13"/>
    <n v="7"/>
    <n v="140"/>
    <n v="147"/>
    <n v="93"/>
    <n v="27.9"/>
    <x v="42"/>
    <x v="2"/>
    <e v="#REF!"/>
    <e v="#REF!"/>
    <s v=""/>
    <n v="0.38750000000000001"/>
  </r>
  <r>
    <x v="8"/>
    <x v="232"/>
    <x v="0"/>
    <x v="84"/>
    <m/>
    <m/>
    <s v="AUXFAN_MOTOR, HONDA CIVIC GOLD 3256"/>
    <s v="CA-001382"/>
    <n v="1"/>
    <n v="1700"/>
    <m/>
    <n v="1700"/>
    <x v="0"/>
    <n v="1470"/>
    <n v="800"/>
    <n v="800"/>
    <n v="840"/>
    <n v="860"/>
    <n v="0"/>
    <x v="14"/>
    <x v="2"/>
    <e v="#REF!"/>
    <e v="#REF!"/>
    <s v=""/>
    <n v="0.50588235294117645"/>
  </r>
  <r>
    <x v="8"/>
    <x v="233"/>
    <x v="7"/>
    <x v="135"/>
    <m/>
    <m/>
    <m/>
    <s v=""/>
    <m/>
    <m/>
    <m/>
    <n v="0"/>
    <x v="0"/>
    <n v="0"/>
    <n v="0"/>
    <n v="0"/>
    <n v="0"/>
    <n v="0"/>
    <n v="0"/>
    <x v="13"/>
    <x v="3"/>
    <s v=""/>
    <s v=""/>
    <s v=""/>
    <n v="0"/>
  </r>
  <r>
    <x v="8"/>
    <x v="234"/>
    <x v="0"/>
    <x v="27"/>
    <m/>
    <m/>
    <s v="RUBBER_INSULATION, M-FLEX 1/2&quot; 1/4"/>
    <s v="IM-000229"/>
    <n v="2"/>
    <n v="50"/>
    <m/>
    <n v="100"/>
    <x v="0"/>
    <n v="47"/>
    <n v="33.6"/>
    <n v="67.2"/>
    <n v="69.216000000000008"/>
    <n v="30.783999999999992"/>
    <n v="0"/>
    <x v="22"/>
    <x v="0"/>
    <e v="#REF!"/>
    <e v="#REF!"/>
    <s v=""/>
    <n v="0.30783999999999989"/>
  </r>
  <r>
    <x v="8"/>
    <x v="234"/>
    <x v="0"/>
    <x v="27"/>
    <m/>
    <m/>
    <s v="RUBBER_INSULATION, M-FLEX 1/2&quot; 1/2"/>
    <s v="IM-000227"/>
    <n v="2"/>
    <n v="70"/>
    <m/>
    <n v="140"/>
    <x v="0"/>
    <n v="65"/>
    <n v="46.4"/>
    <n v="92.8"/>
    <n v="95.584000000000003"/>
    <n v="44.415999999999997"/>
    <n v="0"/>
    <x v="22"/>
    <x v="0"/>
    <e v="#REF!"/>
    <e v="#REF!"/>
    <s v=""/>
    <n v="0.31725714285714285"/>
  </r>
  <r>
    <x v="8"/>
    <x v="234"/>
    <x v="0"/>
    <x v="27"/>
    <m/>
    <m/>
    <s v="TAPE_PE, PICUS Polythelene Tape (White)X 4&quot;"/>
    <s v="IM-000247"/>
    <n v="2"/>
    <n v="125"/>
    <m/>
    <n v="250"/>
    <x v="0"/>
    <n v="147"/>
    <n v="75"/>
    <n v="150"/>
    <n v="154.5"/>
    <n v="95.5"/>
    <n v="0"/>
    <x v="29"/>
    <x v="0"/>
    <e v="#REF!"/>
    <e v="#REF!"/>
    <s v=""/>
    <n v="0.38200000000000001"/>
  </r>
  <r>
    <x v="8"/>
    <x v="234"/>
    <x v="0"/>
    <x v="27"/>
    <m/>
    <m/>
    <s v="BRACKET , GB 2HP, COATED"/>
    <s v="IM-000011"/>
    <n v="1"/>
    <n v="460"/>
    <m/>
    <n v="460"/>
    <x v="0"/>
    <n v="532"/>
    <n v="295"/>
    <n v="295"/>
    <n v="303.85000000000002"/>
    <n v="156.14999999999998"/>
    <n v="0"/>
    <x v="1"/>
    <x v="0"/>
    <e v="#REF!"/>
    <e v="#REF!"/>
    <s v=""/>
    <n v="0.33945652173913038"/>
  </r>
  <r>
    <x v="8"/>
    <x v="234"/>
    <x v="0"/>
    <x v="27"/>
    <m/>
    <m/>
    <s v="ROYAL CORD, POWERFLEX 4-CORE, #14 2.0 MM, METER"/>
    <s v="GE-000487"/>
    <n v="3"/>
    <n v="160"/>
    <m/>
    <n v="480"/>
    <x v="0"/>
    <n v="131"/>
    <n v="105"/>
    <n v="315"/>
    <n v="330.75"/>
    <n v="149.25"/>
    <n v="0"/>
    <x v="48"/>
    <x v="1"/>
    <e v="#REF!"/>
    <e v="#REF!"/>
    <s v=""/>
    <n v="0.31093749999999998"/>
  </r>
  <r>
    <x v="8"/>
    <x v="234"/>
    <x v="0"/>
    <x v="27"/>
    <m/>
    <m/>
    <s v="BOLT &amp; NUT, DYNABOLT 3/8&quot;"/>
    <s v="GE-000396"/>
    <n v="4"/>
    <n v="25"/>
    <m/>
    <n v="100"/>
    <x v="0"/>
    <n v="19"/>
    <n v="8.9"/>
    <n v="35.6"/>
    <n v="37.380000000000003"/>
    <n v="62.62"/>
    <n v="0"/>
    <x v="57"/>
    <x v="1"/>
    <e v="#REF!"/>
    <e v="#REF!"/>
    <s v=""/>
    <n v="0.62619999999999998"/>
  </r>
  <r>
    <x v="8"/>
    <x v="234"/>
    <x v="0"/>
    <x v="49"/>
    <m/>
    <m/>
    <s v="AUXIALLIARY_FAN, POKKA 10 BLADES X 12VOLTS"/>
    <s v="CA-000106"/>
    <n v="2"/>
    <n v="680"/>
    <m/>
    <n v="1360"/>
    <x v="0"/>
    <n v="772"/>
    <n v="420"/>
    <n v="840"/>
    <n v="882"/>
    <n v="478"/>
    <n v="0"/>
    <x v="16"/>
    <x v="2"/>
    <e v="#REF!"/>
    <e v="#REF!"/>
    <s v=""/>
    <n v="0.35147058823529409"/>
  </r>
  <r>
    <x v="8"/>
    <x v="234"/>
    <x v="1"/>
    <x v="3"/>
    <m/>
    <m/>
    <s v="EVAPORATOR, TOYOTA HIACE 08 REAR"/>
    <s v="CA-001320"/>
    <n v="1"/>
    <n v="2200"/>
    <m/>
    <n v="2200"/>
    <x v="0"/>
    <n v="2757"/>
    <n v="1500"/>
    <n v="1500"/>
    <n v="1575"/>
    <n v="625"/>
    <n v="187.5"/>
    <x v="10"/>
    <x v="2"/>
    <e v="#REF!"/>
    <e v="#REF!"/>
    <s v=""/>
    <n v="0.28409090909090912"/>
  </r>
  <r>
    <x v="8"/>
    <x v="234"/>
    <x v="1"/>
    <x v="3"/>
    <m/>
    <m/>
    <s v="EXP. VALVE LT, POKKA 9A56 INNOVA F"/>
    <s v="CA-000637"/>
    <n v="1"/>
    <n v="550"/>
    <m/>
    <n v="550"/>
    <x v="0"/>
    <n v="460"/>
    <n v="250"/>
    <n v="250"/>
    <n v="262.5"/>
    <n v="287.5"/>
    <n v="86.25"/>
    <x v="23"/>
    <x v="2"/>
    <e v="#REF!"/>
    <e v="#REF!"/>
    <s v=""/>
    <n v="0.52272727272727271"/>
  </r>
  <r>
    <x v="8"/>
    <x v="234"/>
    <x v="0"/>
    <x v="185"/>
    <m/>
    <n v="2000"/>
    <s v="EVAPORATOR, TOYOTA INNOVA OLD (F) JBE-0103ZX (STAL)"/>
    <s v="CA-001633"/>
    <n v="1"/>
    <n v="1786"/>
    <m/>
    <n v="1786"/>
    <x v="0"/>
    <n v="1654"/>
    <n v="900"/>
    <n v="900"/>
    <n v="945"/>
    <n v="841"/>
    <n v="0"/>
    <x v="10"/>
    <x v="2"/>
    <e v="#REF!"/>
    <e v="#REF!"/>
    <n v="2000.3200000000002"/>
    <n v="0.47088465845464728"/>
  </r>
  <r>
    <x v="8"/>
    <x v="234"/>
    <x v="0"/>
    <x v="185"/>
    <m/>
    <m/>
    <s v="EXP. VALVE LT, POKKA 9A56 INNOVA F"/>
    <s v="CA-000637"/>
    <n v="1"/>
    <n v="550"/>
    <m/>
    <n v="550"/>
    <x v="0"/>
    <n v="460"/>
    <n v="250"/>
    <n v="250"/>
    <n v="262.5"/>
    <n v="287.5"/>
    <n v="0"/>
    <x v="23"/>
    <x v="2"/>
    <e v="#REF!"/>
    <e v="#REF!"/>
    <s v=""/>
    <n v="0.52272727272727271"/>
  </r>
  <r>
    <x v="8"/>
    <x v="234"/>
    <x v="4"/>
    <x v="25"/>
    <m/>
    <n v="2200"/>
    <s v="EVAPORATOR, NISSAN NAVARRA 2015 /TERRA/ CALIBRE 16  (STAL)"/>
    <s v="CA-001659"/>
    <n v="1"/>
    <n v="1965"/>
    <m/>
    <n v="1965"/>
    <x v="0"/>
    <n v="2205"/>
    <n v="1200"/>
    <n v="1200"/>
    <n v="1260"/>
    <n v="705"/>
    <n v="211.5"/>
    <x v="10"/>
    <x v="2"/>
    <e v="#REF!"/>
    <e v="#REF!"/>
    <n v="2200.8000000000002"/>
    <n v="0.35877862595419846"/>
  </r>
  <r>
    <x v="8"/>
    <x v="234"/>
    <x v="4"/>
    <x v="25"/>
    <m/>
    <m/>
    <s v="EXP. VALVE LT,  6E19 XTRAIL CELERIO, TRAILBLAZER"/>
    <s v="CA-000570"/>
    <n v="1"/>
    <n v="600"/>
    <m/>
    <n v="600"/>
    <x v="0"/>
    <n v="460"/>
    <n v="250"/>
    <n v="250"/>
    <n v="262.5"/>
    <n v="337.5"/>
    <n v="101.25"/>
    <x v="23"/>
    <x v="2"/>
    <e v="#REF!"/>
    <e v="#REF!"/>
    <s v=""/>
    <n v="0.5625"/>
  </r>
  <r>
    <x v="8"/>
    <x v="234"/>
    <x v="0"/>
    <x v="169"/>
    <m/>
    <m/>
    <s v="REFRIGERANT, ENTALPIA EUROPE R134A 13.6   8/15/26"/>
    <s v="GE-000524"/>
    <n v="1"/>
    <n v="9000"/>
    <m/>
    <n v="9000"/>
    <x v="0"/>
    <n v="10675"/>
    <n v="7820"/>
    <n v="7820"/>
    <n v="8211"/>
    <n v="789"/>
    <n v="0"/>
    <x v="5"/>
    <x v="1"/>
    <e v="#REF!"/>
    <e v="#REF!"/>
    <s v=""/>
    <n v="8.7666666666666671E-2"/>
  </r>
  <r>
    <x v="8"/>
    <x v="234"/>
    <x v="0"/>
    <x v="169"/>
    <m/>
    <m/>
    <s v="SYSTEM_CLEANER, Cleanse GREEN 141B 500 ML"/>
    <s v="GE-000369"/>
    <n v="10"/>
    <n v="120"/>
    <m/>
    <n v="1200"/>
    <x v="0"/>
    <n v="113"/>
    <n v="65"/>
    <n v="650"/>
    <n v="682.5"/>
    <n v="517.5"/>
    <n v="0"/>
    <x v="28"/>
    <x v="1"/>
    <e v="#REF!"/>
    <e v="#REF!"/>
    <s v=""/>
    <n v="0.43125000000000002"/>
  </r>
  <r>
    <x v="8"/>
    <x v="234"/>
    <x v="0"/>
    <x v="186"/>
    <m/>
    <m/>
    <s v="REFRIGERANT, POKKA R32, 600 GRMS  05/09/26"/>
    <s v="GE-000509"/>
    <n v="1"/>
    <n v="750"/>
    <m/>
    <n v="750"/>
    <x v="0"/>
    <n v="756"/>
    <n v="480"/>
    <n v="480"/>
    <n v="504"/>
    <n v="246"/>
    <n v="0"/>
    <x v="5"/>
    <x v="1"/>
    <e v="#REF!"/>
    <e v="#REF!"/>
    <s v=""/>
    <n v="0.32800000000000001"/>
  </r>
  <r>
    <x v="8"/>
    <x v="234"/>
    <x v="0"/>
    <x v="11"/>
    <m/>
    <m/>
    <s v="RESISTOR_BLOCK, NISSAN SENTRA 7569"/>
    <s v="CA-001468"/>
    <n v="1"/>
    <n v="900"/>
    <m/>
    <n v="900"/>
    <x v="0"/>
    <n v="754"/>
    <n v="350"/>
    <n v="350"/>
    <n v="367.5"/>
    <n v="532.5"/>
    <n v="0"/>
    <x v="43"/>
    <x v="2"/>
    <e v="#REF!"/>
    <e v="#REF!"/>
    <s v=""/>
    <n v="0.59166666666666667"/>
  </r>
  <r>
    <x v="8"/>
    <x v="234"/>
    <x v="6"/>
    <x v="159"/>
    <m/>
    <m/>
    <s v="PULLEY_ASSEMBLY, TOYOTA VIOS 2014  4PK"/>
    <s v="CA-001397"/>
    <n v="1"/>
    <n v="2000"/>
    <m/>
    <n v="2000"/>
    <x v="0"/>
    <n v="2016"/>
    <n v="1200"/>
    <n v="1200"/>
    <n v="1260"/>
    <n v="740"/>
    <n v="222"/>
    <x v="11"/>
    <x v="2"/>
    <e v="#REF!"/>
    <e v="#REF!"/>
    <s v=""/>
    <n v="0.37"/>
  </r>
  <r>
    <x v="8"/>
    <x v="234"/>
    <x v="0"/>
    <x v="1"/>
    <m/>
    <m/>
    <s v="RUBBER_INSULATION, M-FLEX 1/2&quot; 1/4"/>
    <s v="IM-000229"/>
    <n v="1"/>
    <n v="50"/>
    <m/>
    <n v="50"/>
    <x v="0"/>
    <n v="47"/>
    <n v="33.6"/>
    <n v="33.6"/>
    <n v="34.608000000000004"/>
    <n v="15.391999999999996"/>
    <n v="0"/>
    <x v="22"/>
    <x v="0"/>
    <e v="#REF!"/>
    <e v="#REF!"/>
    <s v=""/>
    <n v="0.30783999999999989"/>
  </r>
  <r>
    <x v="8"/>
    <x v="234"/>
    <x v="0"/>
    <x v="1"/>
    <m/>
    <m/>
    <s v="RUBBER_INSULATION, M-FLEX 1/2&quot; 1/2"/>
    <s v="IM-000227"/>
    <n v="1"/>
    <n v="60"/>
    <m/>
    <n v="60"/>
    <x v="0"/>
    <n v="65"/>
    <n v="46.4"/>
    <n v="46.4"/>
    <n v="47.792000000000002"/>
    <n v="12.207999999999998"/>
    <n v="0"/>
    <x v="22"/>
    <x v="0"/>
    <e v="#REF!"/>
    <e v="#REF!"/>
    <s v=""/>
    <n v="0.20346666666666663"/>
  </r>
  <r>
    <x v="8"/>
    <x v="234"/>
    <x v="0"/>
    <x v="1"/>
    <m/>
    <m/>
    <s v="TAPE_PE, PICUS Polythelene Tape (White)X 4&quot;"/>
    <s v="IM-000247"/>
    <n v="1"/>
    <n v="125"/>
    <m/>
    <n v="125"/>
    <x v="0"/>
    <n v="147"/>
    <n v="75"/>
    <n v="75"/>
    <n v="77.25"/>
    <n v="47.75"/>
    <n v="0"/>
    <x v="29"/>
    <x v="0"/>
    <e v="#REF!"/>
    <e v="#REF!"/>
    <s v=""/>
    <n v="0.38200000000000001"/>
  </r>
  <r>
    <x v="8"/>
    <x v="234"/>
    <x v="0"/>
    <x v="1"/>
    <m/>
    <m/>
    <s v="REFRIGERANT, ENTALPIA EUROPE R32, 3KGS"/>
    <s v="GE-000475"/>
    <n v="1"/>
    <n v="3000"/>
    <m/>
    <n v="3000"/>
    <x v="0"/>
    <n v="2867"/>
    <n v="2100"/>
    <n v="2100"/>
    <n v="2205"/>
    <n v="795"/>
    <n v="0"/>
    <x v="5"/>
    <x v="1"/>
    <e v="#REF!"/>
    <e v="#REF!"/>
    <s v=""/>
    <n v="0.26500000000000001"/>
  </r>
  <r>
    <x v="8"/>
    <x v="234"/>
    <x v="0"/>
    <x v="10"/>
    <m/>
    <m/>
    <s v="REFRIGERANT, ENTALPIA EUROPE R134A 13.6   8/15/26"/>
    <s v="GE-000524"/>
    <n v="1"/>
    <n v="9000"/>
    <m/>
    <n v="9000"/>
    <x v="0"/>
    <n v="10675"/>
    <n v="7820"/>
    <n v="7820"/>
    <n v="8211"/>
    <n v="789"/>
    <n v="0"/>
    <x v="5"/>
    <x v="1"/>
    <e v="#REF!"/>
    <e v="#REF!"/>
    <s v=""/>
    <n v="8.7666666666666671E-2"/>
  </r>
  <r>
    <x v="8"/>
    <x v="234"/>
    <x v="0"/>
    <x v="2"/>
    <m/>
    <m/>
    <s v="ACCESS_VALVE, OMNI WELDED TYPE "/>
    <s v="GE-000253"/>
    <n v="1"/>
    <n v="50"/>
    <m/>
    <n v="50"/>
    <x v="0"/>
    <n v="47"/>
    <n v="21"/>
    <n v="21"/>
    <n v="22.05"/>
    <n v="27.95"/>
    <n v="0"/>
    <x v="67"/>
    <x v="1"/>
    <e v="#REF!"/>
    <e v="#REF!"/>
    <s v=""/>
    <n v="0.55899999999999994"/>
  </r>
  <r>
    <x v="8"/>
    <x v="234"/>
    <x v="0"/>
    <x v="2"/>
    <m/>
    <m/>
    <s v="AC FILTER DRIER ,  DOUBLE"/>
    <s v="GE-000221"/>
    <n v="1"/>
    <n v="60"/>
    <m/>
    <n v="60"/>
    <x v="0"/>
    <n v="58.800000000000004"/>
    <n v="28"/>
    <n v="28"/>
    <n v="29.400000000000002"/>
    <n v="30.599999999999998"/>
    <n v="0"/>
    <x v="66"/>
    <x v="1"/>
    <e v="#REF!"/>
    <e v="#REF!"/>
    <s v=""/>
    <n v="0.51"/>
  </r>
  <r>
    <x v="8"/>
    <x v="234"/>
    <x v="0"/>
    <x v="2"/>
    <m/>
    <m/>
    <s v="ROD, HARRIS SILVER "/>
    <s v="IM-000098"/>
    <n v="2"/>
    <n v="35"/>
    <m/>
    <n v="70"/>
    <x v="0"/>
    <n v="30"/>
    <n v="19"/>
    <n v="38"/>
    <n v="39.14"/>
    <n v="30.86"/>
    <n v="0"/>
    <x v="56"/>
    <x v="0"/>
    <e v="#REF!"/>
    <e v="#REF!"/>
    <s v=""/>
    <n v="0.44085714285714284"/>
  </r>
  <r>
    <x v="8"/>
    <x v="234"/>
    <x v="0"/>
    <x v="90"/>
    <m/>
    <m/>
    <s v="CONDENSER, HYUNDAI TUCSON 2013"/>
    <s v="IM-000336"/>
    <n v="1"/>
    <n v="4750"/>
    <m/>
    <n v="4750"/>
    <x v="0"/>
    <n v="4594"/>
    <n v="2500"/>
    <n v="2500"/>
    <n v="2625"/>
    <n v="2125"/>
    <n v="0"/>
    <x v="8"/>
    <x v="2"/>
    <e v="#REF!"/>
    <e v="#REF!"/>
    <s v=""/>
    <n v="0.44736842105263158"/>
  </r>
  <r>
    <x v="8"/>
    <x v="234"/>
    <x v="10"/>
    <x v="82"/>
    <m/>
    <m/>
    <s v="AUXFAN_MOTOR, NISSAN NV350"/>
    <s v="CA-000066"/>
    <n v="1"/>
    <n v="1900"/>
    <m/>
    <n v="1900"/>
    <x v="0"/>
    <n v="2114"/>
    <n v="1150"/>
    <n v="1150"/>
    <n v="1207.5"/>
    <n v="692.5"/>
    <n v="207.75"/>
    <x v="14"/>
    <x v="2"/>
    <e v="#REF!"/>
    <e v="#REF!"/>
    <e v="#REF!"/>
    <n v="0"/>
  </r>
  <r>
    <x v="8"/>
    <x v="235"/>
    <x v="0"/>
    <x v="79"/>
    <m/>
    <n v="2000"/>
    <s v="EVAPORATOR, TOYOTA VIOS 2008  (BATMAN) (STAL)"/>
    <s v="CA-000145"/>
    <n v="1"/>
    <n v="1786"/>
    <m/>
    <n v="1786"/>
    <x v="0"/>
    <n v="1746"/>
    <n v="950"/>
    <n v="950"/>
    <n v="997.5"/>
    <n v="788.5"/>
    <n v="0"/>
    <x v="10"/>
    <x v="2"/>
    <e v="#REF!"/>
    <e v="#REF!"/>
    <n v="2000.3200000000002"/>
    <n v="0.44148936170212766"/>
  </r>
  <r>
    <x v="8"/>
    <x v="235"/>
    <x v="0"/>
    <x v="48"/>
    <m/>
    <m/>
    <s v="REFRIGERANT, ENTALPIA EUROPE R134A 13.6   8/15/26"/>
    <s v="GE-000524"/>
    <n v="1"/>
    <n v="9000"/>
    <m/>
    <n v="9000"/>
    <x v="0"/>
    <n v="10675"/>
    <n v="7820"/>
    <n v="7820"/>
    <n v="8211"/>
    <n v="789"/>
    <n v="0"/>
    <x v="5"/>
    <x v="1"/>
    <e v="#REF!"/>
    <e v="#REF!"/>
    <s v=""/>
    <n v="8.7666666666666671E-2"/>
  </r>
  <r>
    <x v="8"/>
    <x v="235"/>
    <x v="0"/>
    <x v="23"/>
    <m/>
    <m/>
    <s v="AUXFAN_MOTOR, HONDA CITY 2009 (19030)"/>
    <s v="CA-000016"/>
    <n v="1"/>
    <n v="1800"/>
    <m/>
    <n v="1800"/>
    <x v="0"/>
    <n v="2114"/>
    <n v="1150"/>
    <n v="1150"/>
    <n v="1207.5"/>
    <n v="592.5"/>
    <n v="0"/>
    <x v="14"/>
    <x v="2"/>
    <e v="#REF!"/>
    <e v="#REF!"/>
    <s v=""/>
    <n v="0.32916666666666666"/>
  </r>
  <r>
    <x v="8"/>
    <x v="235"/>
    <x v="0"/>
    <x v="23"/>
    <m/>
    <m/>
    <s v="AUXFAN_MOTOR, HONDA CITY 2015"/>
    <s v="CA-000017"/>
    <n v="1"/>
    <n v="1800"/>
    <m/>
    <n v="1800"/>
    <x v="0"/>
    <n v="2114"/>
    <n v="1150"/>
    <n v="1150"/>
    <n v="1207.5"/>
    <n v="592.5"/>
    <n v="0"/>
    <x v="14"/>
    <x v="2"/>
    <e v="#REF!"/>
    <e v="#REF!"/>
    <s v=""/>
    <n v="0.32916666666666666"/>
  </r>
  <r>
    <x v="8"/>
    <x v="235"/>
    <x v="0"/>
    <x v="18"/>
    <m/>
    <n v="1900"/>
    <s v="EVAPORATOR, TOYOTA INNOVA OLD (R) JBE-0102X (STAL)"/>
    <s v="CA-001634"/>
    <n v="1"/>
    <n v="1697"/>
    <m/>
    <n v="1697"/>
    <x v="0"/>
    <n v="1470"/>
    <n v="800"/>
    <n v="800"/>
    <n v="840"/>
    <n v="857"/>
    <n v="0"/>
    <x v="10"/>
    <x v="2"/>
    <e v="#REF!"/>
    <e v="#REF!"/>
    <n v="1900.64"/>
    <n v="0.50500883912787276"/>
  </r>
  <r>
    <x v="8"/>
    <x v="235"/>
    <x v="0"/>
    <x v="187"/>
    <m/>
    <m/>
    <s v="COPPER_TUBE_SOFTDRAWN, HAILIANG 0.028 X 1/4 x 15 mtr  08/03/26"/>
    <s v="IM-000333"/>
    <n v="0.2"/>
    <n v="2650"/>
    <m/>
    <n v="530"/>
    <x v="0"/>
    <n v="3063"/>
    <n v="1699"/>
    <n v="339.8"/>
    <n v="349.99400000000003"/>
    <n v="180.00599999999997"/>
    <n v="0"/>
    <x v="0"/>
    <x v="0"/>
    <e v="#REF!"/>
    <e v="#REF!"/>
    <s v=""/>
    <n v="0.33963396226415088"/>
  </r>
  <r>
    <x v="8"/>
    <x v="235"/>
    <x v="0"/>
    <x v="187"/>
    <m/>
    <m/>
    <s v="COPPER_TUBE_SOFTDRAWN, HAILIANG 0.028 X 5/8 x 15 mtr 08/03/26"/>
    <s v="IM-000334"/>
    <n v="0.2"/>
    <n v="5750"/>
    <m/>
    <n v="1150"/>
    <x v="0"/>
    <n v="8196"/>
    <n v="4547"/>
    <n v="909.40000000000009"/>
    <n v="936.68200000000013"/>
    <n v="213.31799999999987"/>
    <n v="0"/>
    <x v="0"/>
    <x v="0"/>
    <e v="#REF!"/>
    <e v="#REF!"/>
    <s v=""/>
    <n v="0.18549391304347815"/>
  </r>
  <r>
    <x v="8"/>
    <x v="235"/>
    <x v="0"/>
    <x v="187"/>
    <m/>
    <m/>
    <s v="RUBBER_INSULATION, M-FLEX 1/2&quot; 1/4"/>
    <s v="IM-000229"/>
    <n v="2"/>
    <n v="50"/>
    <m/>
    <n v="100"/>
    <x v="0"/>
    <n v="47"/>
    <n v="33.6"/>
    <n v="67.2"/>
    <n v="69.216000000000008"/>
    <n v="30.783999999999992"/>
    <n v="0"/>
    <x v="22"/>
    <x v="0"/>
    <e v="#REF!"/>
    <e v="#REF!"/>
    <s v=""/>
    <n v="0.30783999999999989"/>
  </r>
  <r>
    <x v="8"/>
    <x v="235"/>
    <x v="0"/>
    <x v="187"/>
    <m/>
    <m/>
    <s v="RUBBER_INSULATION, M-FLEX 1/2&quot; 5/8"/>
    <s v="IM-000232"/>
    <n v="2"/>
    <n v="80"/>
    <m/>
    <n v="160"/>
    <x v="0"/>
    <n v="77"/>
    <n v="55.2"/>
    <n v="110.4"/>
    <n v="113.712"/>
    <n v="46.287999999999997"/>
    <n v="0"/>
    <x v="22"/>
    <x v="0"/>
    <e v="#REF!"/>
    <e v="#REF!"/>
    <s v=""/>
    <n v="0.2893"/>
  </r>
  <r>
    <x v="8"/>
    <x v="235"/>
    <x v="0"/>
    <x v="187"/>
    <m/>
    <m/>
    <s v="HOSE, ELECTRICAL FLEXIBLE ROLL PER METER"/>
    <s v="G-E000235"/>
    <n v="4"/>
    <n v="15"/>
    <m/>
    <n v="60"/>
    <x v="0"/>
    <n v="15"/>
    <n v="8"/>
    <n v="32"/>
    <n v="33.6"/>
    <n v="26.4"/>
    <n v="0"/>
    <x v="19"/>
    <x v="1"/>
    <e v="#REF!"/>
    <e v="#REF!"/>
    <s v=""/>
    <n v="0.44"/>
  </r>
  <r>
    <x v="8"/>
    <x v="235"/>
    <x v="0"/>
    <x v="187"/>
    <m/>
    <m/>
    <s v="ELECTRICAL WIRE_STRANDED, POWERFLEX THNN STRANDED   #12, MTR"/>
    <s v="GE-000120"/>
    <n v="6"/>
    <n v="45"/>
    <m/>
    <n v="270"/>
    <x v="0"/>
    <n v="50"/>
    <n v="27"/>
    <n v="162"/>
    <n v="170.1"/>
    <n v="99.9"/>
    <n v="0"/>
    <x v="2"/>
    <x v="1"/>
    <e v="#REF!"/>
    <e v="#REF!"/>
    <s v=""/>
    <n v="0.37"/>
  </r>
  <r>
    <x v="8"/>
    <x v="235"/>
    <x v="0"/>
    <x v="10"/>
    <m/>
    <m/>
    <s v="AUXIALLIARY_FAN, POKKA 14 BLADES X 12VOLTS"/>
    <s v="CA-000112"/>
    <n v="1"/>
    <n v="780"/>
    <m/>
    <n v="780"/>
    <x v="0"/>
    <n v="882"/>
    <n v="480"/>
    <n v="480"/>
    <n v="504"/>
    <n v="276"/>
    <n v="0"/>
    <x v="16"/>
    <x v="2"/>
    <e v="#REF!"/>
    <e v="#REF!"/>
    <s v=""/>
    <n v="0.35384615384615387"/>
  </r>
  <r>
    <x v="8"/>
    <x v="235"/>
    <x v="0"/>
    <x v="188"/>
    <m/>
    <m/>
    <s v="COPPER_TUBE_SOFTDRAWN, HAILIANG 0.028 X 1/4 x 15 mtr  08/03/26"/>
    <s v="IM-000333"/>
    <n v="0.6"/>
    <n v="2650"/>
    <m/>
    <n v="1590"/>
    <x v="0"/>
    <n v="3063"/>
    <n v="1699"/>
    <n v="1019.4"/>
    <n v="1049.982"/>
    <n v="540.01800000000003"/>
    <n v="0"/>
    <x v="0"/>
    <x v="0"/>
    <e v="#REF!"/>
    <e v="#REF!"/>
    <s v=""/>
    <n v="0.33963396226415093"/>
  </r>
  <r>
    <x v="8"/>
    <x v="235"/>
    <x v="0"/>
    <x v="188"/>
    <m/>
    <m/>
    <s v="COPPER_TUBE_SOFTDRAWN, HAILIANG 0.028 X 3/8 x 15 mtr 06/02/26"/>
    <s v="IM-000327"/>
    <n v="0.2"/>
    <n v="3650"/>
    <m/>
    <n v="730"/>
    <x v="0"/>
    <n v="4774"/>
    <n v="2648"/>
    <n v="529.6"/>
    <n v="545.48800000000006"/>
    <n v="184.51199999999994"/>
    <n v="0"/>
    <x v="0"/>
    <x v="0"/>
    <e v="#REF!"/>
    <e v="#REF!"/>
    <s v=""/>
    <n v="0.25275616438356158"/>
  </r>
  <r>
    <x v="8"/>
    <x v="235"/>
    <x v="0"/>
    <x v="188"/>
    <m/>
    <m/>
    <s v="COPPER_TUBE_SOFTDRAWN, HAILIANG 0.028 X 1/2 x 15 mtr 06/02/26"/>
    <s v="IM-000328"/>
    <n v="0.2"/>
    <n v="4750"/>
    <m/>
    <n v="950"/>
    <x v="0"/>
    <n v="6554"/>
    <n v="3636"/>
    <n v="727.2"/>
    <n v="749.01600000000008"/>
    <n v="200.98399999999992"/>
    <n v="0"/>
    <x v="0"/>
    <x v="0"/>
    <e v="#REF!"/>
    <e v="#REF!"/>
    <s v=""/>
    <n v="0.2115621052631578"/>
  </r>
  <r>
    <x v="8"/>
    <x v="235"/>
    <x v="0"/>
    <x v="188"/>
    <m/>
    <m/>
    <s v="RUBBER_INSULATION, M-FLEX 1/2&quot; 1/4"/>
    <s v="IM-000229"/>
    <n v="6"/>
    <n v="50"/>
    <m/>
    <n v="300"/>
    <x v="0"/>
    <n v="47"/>
    <n v="33.6"/>
    <n v="201.60000000000002"/>
    <n v="207.64800000000002"/>
    <n v="92.351999999999975"/>
    <n v="0"/>
    <x v="22"/>
    <x v="0"/>
    <e v="#REF!"/>
    <e v="#REF!"/>
    <s v=""/>
    <n v="0.30783999999999989"/>
  </r>
  <r>
    <x v="8"/>
    <x v="235"/>
    <x v="0"/>
    <x v="188"/>
    <m/>
    <m/>
    <s v="RUBBER_INSULATION, M-FLEX 1/2&quot; 3/8"/>
    <s v="IM-000231"/>
    <n v="4"/>
    <n v="60"/>
    <m/>
    <n v="240"/>
    <x v="0"/>
    <n v="53"/>
    <n v="37.6"/>
    <n v="150.4"/>
    <n v="154.91200000000001"/>
    <n v="85.087999999999994"/>
    <n v="0"/>
    <x v="22"/>
    <x v="0"/>
    <e v="#REF!"/>
    <e v="#REF!"/>
    <s v=""/>
    <n v="0.35453333333333331"/>
  </r>
  <r>
    <x v="8"/>
    <x v="235"/>
    <x v="1"/>
    <x v="5"/>
    <m/>
    <m/>
    <s v="LUBRICANT, EMKARATE RL 68H, 1 LITER"/>
    <s v="GE-000135"/>
    <n v="2"/>
    <n v="450"/>
    <m/>
    <n v="900"/>
    <x v="0"/>
    <n v="331"/>
    <n v="180"/>
    <n v="360"/>
    <n v="378"/>
    <n v="522"/>
    <n v="156.6"/>
    <x v="9"/>
    <x v="1"/>
    <e v="#REF!"/>
    <e v="#REF!"/>
    <e v="#REF!"/>
    <n v="0"/>
  </r>
  <r>
    <x v="8"/>
    <x v="235"/>
    <x v="4"/>
    <x v="25"/>
    <m/>
    <n v="2000"/>
    <s v="BLOWER_MOTOR, NISSAN ALMERA"/>
    <s v="CA-000194"/>
    <n v="1"/>
    <n v="1786"/>
    <m/>
    <n v="1786"/>
    <x v="0"/>
    <n v="2481"/>
    <n v="1350"/>
    <n v="1350"/>
    <n v="1417.5"/>
    <n v="368.5"/>
    <n v="110.55"/>
    <x v="15"/>
    <x v="2"/>
    <e v="#REF!"/>
    <e v="#REF!"/>
    <n v="2000.3200000000002"/>
    <n v="0.20632698768197089"/>
  </r>
  <r>
    <x v="8"/>
    <x v="235"/>
    <x v="4"/>
    <x v="25"/>
    <m/>
    <n v="2000"/>
    <s v="EVAPORATOR, MITSUBISHI MIRAGE"/>
    <s v="CA-000514"/>
    <n v="1"/>
    <n v="1786"/>
    <m/>
    <n v="1786"/>
    <x v="0"/>
    <n v="2389"/>
    <n v="1300"/>
    <n v="1300"/>
    <n v="1365"/>
    <n v="421"/>
    <n v="126.3"/>
    <x v="10"/>
    <x v="2"/>
    <e v="#REF!"/>
    <e v="#REF!"/>
    <n v="2000.3200000000002"/>
    <n v="0.23572228443449048"/>
  </r>
  <r>
    <x v="8"/>
    <x v="235"/>
    <x v="0"/>
    <x v="27"/>
    <m/>
    <m/>
    <s v="TAPE_FOAM, AEROTAPE 3MM X 50 MM X 9.1 MTR  06/18/26"/>
    <s v="IM-000332"/>
    <n v="1"/>
    <n v="430"/>
    <m/>
    <n v="430"/>
    <x v="0"/>
    <m/>
    <m/>
    <m/>
    <m/>
    <m/>
    <n v="0"/>
    <x v="25"/>
    <x v="0"/>
    <e v="#REF!"/>
    <e v="#REF!"/>
    <s v=""/>
    <n v="0"/>
  </r>
  <r>
    <x v="8"/>
    <x v="235"/>
    <x v="0"/>
    <x v="27"/>
    <m/>
    <m/>
    <s v="BOLT &amp; NUT, DYNABOLT 3/8&quot;"/>
    <s v="GE-000396"/>
    <n v="6"/>
    <n v="25"/>
    <m/>
    <n v="150"/>
    <x v="0"/>
    <n v="19"/>
    <n v="8.9"/>
    <n v="53.400000000000006"/>
    <n v="56.070000000000007"/>
    <n v="93.929999999999993"/>
    <n v="0"/>
    <x v="57"/>
    <x v="1"/>
    <e v="#REF!"/>
    <e v="#REF!"/>
    <s v=""/>
    <n v="0.62619999999999998"/>
  </r>
  <r>
    <x v="8"/>
    <x v="235"/>
    <x v="0"/>
    <x v="27"/>
    <m/>
    <m/>
    <s v="REFRIGERANT, POKKA R32, 600 GRMS  05/09/26"/>
    <s v="GE-000509"/>
    <n v="2"/>
    <n v="750"/>
    <m/>
    <n v="1500"/>
    <x v="0"/>
    <n v="756"/>
    <n v="480"/>
    <n v="960"/>
    <n v="1008"/>
    <n v="492"/>
    <n v="0"/>
    <x v="5"/>
    <x v="1"/>
    <e v="#REF!"/>
    <e v="#REF!"/>
    <s v=""/>
    <n v="0.32800000000000001"/>
  </r>
  <r>
    <x v="8"/>
    <x v="235"/>
    <x v="0"/>
    <x v="187"/>
    <m/>
    <m/>
    <s v="MAPP_GAS, Gazz Pro (Winterpine) TORCH GAS"/>
    <s v="IM-000310"/>
    <n v="1"/>
    <n v="380"/>
    <m/>
    <n v="380"/>
    <x v="0"/>
    <n v="451"/>
    <n v="250"/>
    <n v="250"/>
    <n v="257.5"/>
    <n v="122.5"/>
    <n v="0"/>
    <x v="45"/>
    <x v="0"/>
    <e v="#REF!"/>
    <e v="#REF!"/>
    <s v=""/>
    <n v="0.32236842105263158"/>
  </r>
  <r>
    <x v="8"/>
    <x v="235"/>
    <x v="0"/>
    <x v="1"/>
    <m/>
    <m/>
    <s v="CAPACITOR_DOUBLE, PS CBB65 15 + 1.5 UF"/>
    <s v="GE-000350"/>
    <n v="1"/>
    <n v="340"/>
    <m/>
    <n v="340"/>
    <x v="0"/>
    <n v="276"/>
    <n v="150"/>
    <n v="150"/>
    <n v="157.5"/>
    <n v="182.5"/>
    <n v="0"/>
    <x v="65"/>
    <x v="1"/>
    <e v="#REF!"/>
    <e v="#REF!"/>
    <s v=""/>
    <n v="0.53676470588235292"/>
  </r>
  <r>
    <x v="8"/>
    <x v="235"/>
    <x v="4"/>
    <x v="25"/>
    <m/>
    <m/>
    <s v="AUXFAN_MOTOR, MITSUBISHI MIRAGE 4 PIN 7030"/>
    <s v="CA-000054"/>
    <n v="1"/>
    <n v="1800"/>
    <m/>
    <n v="1800"/>
    <x v="0"/>
    <n v="2114"/>
    <n v="1150"/>
    <n v="1150"/>
    <n v="1207.5"/>
    <n v="592.5"/>
    <n v="177.75"/>
    <x v="14"/>
    <x v="2"/>
    <e v="#REF!"/>
    <e v="#REF!"/>
    <s v=""/>
    <n v="0.32916666666666666"/>
  </r>
  <r>
    <x v="8"/>
    <x v="236"/>
    <x v="2"/>
    <x v="22"/>
    <m/>
    <m/>
    <s v="TEMPERATURE_RESISTANCE, HYUNDAI ACCENT 97143"/>
    <s v="CA-001825"/>
    <n v="2"/>
    <n v="700"/>
    <m/>
    <n v="1400"/>
    <x v="0"/>
    <n v="699"/>
    <n v="350"/>
    <n v="700"/>
    <n v="735"/>
    <n v="665"/>
    <n v="199.5"/>
    <x v="32"/>
    <x v="2"/>
    <e v="#REF!"/>
    <e v="#REF!"/>
    <s v=""/>
    <n v="0.47499999999999998"/>
  </r>
  <r>
    <x v="8"/>
    <x v="236"/>
    <x v="0"/>
    <x v="63"/>
    <m/>
    <m/>
    <s v="RUBBER_INSULATION, M-FLEX 3/8&quot; X 7/8"/>
    <s v="IM-000245"/>
    <n v="4"/>
    <n v="65"/>
    <m/>
    <n v="260"/>
    <x v="0"/>
    <n v="55"/>
    <n v="39.200000000000003"/>
    <n v="156.80000000000001"/>
    <n v="161.50400000000002"/>
    <n v="98.495999999999981"/>
    <n v="0"/>
    <x v="22"/>
    <x v="0"/>
    <e v="#REF!"/>
    <e v="#REF!"/>
    <s v=""/>
    <n v="0.37883076923076914"/>
  </r>
  <r>
    <x v="8"/>
    <x v="236"/>
    <x v="0"/>
    <x v="63"/>
    <m/>
    <m/>
    <s v="RUBBER_INSULATION, M-FLEX 1/2&quot; 5/8"/>
    <s v="IM-000232"/>
    <n v="4"/>
    <n v="80"/>
    <m/>
    <n v="320"/>
    <x v="0"/>
    <n v="77"/>
    <n v="55.2"/>
    <n v="220.8"/>
    <n v="227.42400000000001"/>
    <n v="92.575999999999993"/>
    <n v="0"/>
    <x v="22"/>
    <x v="0"/>
    <e v="#REF!"/>
    <e v="#REF!"/>
    <s v=""/>
    <n v="0.2893"/>
  </r>
  <r>
    <x v="8"/>
    <x v="236"/>
    <x v="0"/>
    <x v="63"/>
    <m/>
    <m/>
    <s v="TAPE_FOAM, AEROTAPE 3MM X 50 MM X 9.1 MTR  06/18/26"/>
    <s v="IM-000332"/>
    <n v="1"/>
    <n v="430"/>
    <m/>
    <n v="430"/>
    <x v="0"/>
    <m/>
    <m/>
    <m/>
    <m/>
    <m/>
    <n v="0"/>
    <x v="25"/>
    <x v="0"/>
    <e v="#REF!"/>
    <e v="#REF!"/>
    <s v=""/>
    <n v="0"/>
  </r>
  <r>
    <x v="8"/>
    <x v="236"/>
    <x v="6"/>
    <x v="159"/>
    <m/>
    <n v="2100"/>
    <s v="EVAPORATOR, TOYOTA WIGO 16-22 (STAL)"/>
    <s v="CA-000147"/>
    <n v="1"/>
    <n v="1875"/>
    <m/>
    <n v="1875"/>
    <x v="0"/>
    <n v="1930"/>
    <n v="1050"/>
    <n v="1050"/>
    <n v="1102.5"/>
    <n v="772.5"/>
    <n v="231.75"/>
    <x v="10"/>
    <x v="2"/>
    <e v="#REF!"/>
    <e v="#REF!"/>
    <n v="2100"/>
    <n v="0.41199999999999998"/>
  </r>
  <r>
    <x v="8"/>
    <x v="236"/>
    <x v="6"/>
    <x v="159"/>
    <m/>
    <m/>
    <s v="RESISTOR_BLOCK, TOYOTA VIOS /AVANZA 7562"/>
    <s v="CA-001215"/>
    <n v="1"/>
    <n v="900"/>
    <m/>
    <n v="900"/>
    <x v="0"/>
    <n v="861"/>
    <n v="400"/>
    <n v="400"/>
    <n v="420"/>
    <n v="480"/>
    <n v="144"/>
    <x v="43"/>
    <x v="2"/>
    <e v="#REF!"/>
    <e v="#REF!"/>
    <s v=""/>
    <n v="0.53333333333333333"/>
  </r>
  <r>
    <x v="8"/>
    <x v="236"/>
    <x v="0"/>
    <x v="23"/>
    <m/>
    <m/>
    <s v="EVAPORATOR, NISSAN CALIBRE 16"/>
    <s v="CA-001275"/>
    <n v="1"/>
    <n v="2200"/>
    <m/>
    <n v="2200"/>
    <x v="0"/>
    <n v="2849"/>
    <n v="1550"/>
    <n v="1550"/>
    <n v="1627.5"/>
    <n v="572.5"/>
    <n v="0"/>
    <x v="10"/>
    <x v="2"/>
    <e v="#REF!"/>
    <e v="#REF!"/>
    <s v=""/>
    <n v="0.26022727272727275"/>
  </r>
  <r>
    <x v="8"/>
    <x v="236"/>
    <x v="0"/>
    <x v="23"/>
    <m/>
    <m/>
    <s v="AUXIALLIARY_FAN, POKKA 10 BLADES X 12VOLTS"/>
    <s v="CA-000106"/>
    <n v="1"/>
    <n v="630"/>
    <m/>
    <n v="630"/>
    <x v="0"/>
    <n v="772"/>
    <n v="420"/>
    <n v="420"/>
    <n v="441"/>
    <n v="189"/>
    <n v="0"/>
    <x v="16"/>
    <x v="2"/>
    <e v="#REF!"/>
    <e v="#REF!"/>
    <s v=""/>
    <n v="0.3"/>
  </r>
  <r>
    <x v="8"/>
    <x v="236"/>
    <x v="0"/>
    <x v="48"/>
    <m/>
    <m/>
    <s v="EVAPORATOR, MITSUBISHI EXPANDER"/>
    <s v="CA-001610"/>
    <n v="1"/>
    <n v="2000"/>
    <m/>
    <n v="2000"/>
    <x v="0"/>
    <n v="2481"/>
    <n v="1350"/>
    <n v="1350"/>
    <n v="1417.5"/>
    <n v="582.5"/>
    <n v="0"/>
    <x v="10"/>
    <x v="2"/>
    <e v="#REF!"/>
    <e v="#REF!"/>
    <s v=""/>
    <n v="0.29125000000000001"/>
  </r>
  <r>
    <x v="8"/>
    <x v="236"/>
    <x v="0"/>
    <x v="11"/>
    <m/>
    <m/>
    <s v="TEMPERATURE_RESISTANCE, MONTERO THERMISTOR 5PIN"/>
    <s v="CA-001641"/>
    <n v="1"/>
    <n v="950"/>
    <m/>
    <n v="950"/>
    <x v="0"/>
    <n v="882"/>
    <n v="350"/>
    <n v="350"/>
    <n v="367.5"/>
    <n v="582.5"/>
    <n v="0"/>
    <x v="32"/>
    <x v="2"/>
    <e v="#REF!"/>
    <e v="#REF!"/>
    <s v=""/>
    <n v="0.61315789473684212"/>
  </r>
  <r>
    <x v="8"/>
    <x v="236"/>
    <x v="0"/>
    <x v="53"/>
    <m/>
    <m/>
    <s v="REFRIGERANT, POKKA R32, 600 GRMS  05/09/26"/>
    <s v="GE-000509"/>
    <n v="1"/>
    <n v="750"/>
    <m/>
    <n v="750"/>
    <x v="0"/>
    <n v="756"/>
    <n v="480"/>
    <n v="480"/>
    <n v="504"/>
    <n v="246"/>
    <n v="0"/>
    <x v="5"/>
    <x v="1"/>
    <e v="#REF!"/>
    <e v="#REF!"/>
    <s v=""/>
    <n v="0.32800000000000001"/>
  </r>
  <r>
    <x v="8"/>
    <x v="236"/>
    <x v="0"/>
    <x v="189"/>
    <m/>
    <m/>
    <s v="DRAIN_PUMP, HYSYS KOREA, 6M"/>
    <s v="GE-000207"/>
    <n v="1"/>
    <n v="4000"/>
    <m/>
    <n v="4000"/>
    <x v="0"/>
    <n v="3937"/>
    <n v="2142.4"/>
    <n v="2142.4"/>
    <n v="2249.52"/>
    <n v="1750.48"/>
    <n v="0"/>
    <x v="21"/>
    <x v="1"/>
    <e v="#REF!"/>
    <e v="#REF!"/>
    <s v=""/>
    <n v="0.43762000000000001"/>
  </r>
  <r>
    <x v="8"/>
    <x v="236"/>
    <x v="0"/>
    <x v="23"/>
    <m/>
    <m/>
    <s v="BLOWER_MOTOR, TOYOTA INNOVA OLD R"/>
    <s v="CA-000228"/>
    <n v="1"/>
    <n v="1900"/>
    <m/>
    <n v="1900"/>
    <x v="0"/>
    <n v="2389"/>
    <n v="1300"/>
    <n v="1300"/>
    <n v="1365"/>
    <n v="535"/>
    <n v="0"/>
    <x v="15"/>
    <x v="2"/>
    <e v="#REF!"/>
    <e v="#REF!"/>
    <s v=""/>
    <n v="0.28157894736842104"/>
  </r>
  <r>
    <x v="8"/>
    <x v="236"/>
    <x v="0"/>
    <x v="190"/>
    <m/>
    <m/>
    <s v="COPPER_TUBE_SOFTDRAWN, HAILIANG 0.028 X 3/8 x 15 mtr 06/02/26"/>
    <s v="IM-000327"/>
    <n v="0.4"/>
    <n v="3650"/>
    <m/>
    <n v="1460"/>
    <x v="0"/>
    <n v="4774"/>
    <n v="2648"/>
    <n v="1059.2"/>
    <n v="1090.9760000000001"/>
    <n v="369.02399999999989"/>
    <n v="0"/>
    <x v="0"/>
    <x v="0"/>
    <e v="#REF!"/>
    <e v="#REF!"/>
    <e v="#REF!"/>
    <n v="0"/>
  </r>
  <r>
    <x v="8"/>
    <x v="236"/>
    <x v="0"/>
    <x v="190"/>
    <m/>
    <m/>
    <s v="COPPER_TUBE_SOFTDRAWN, HAILIANG 0.028 X 5/8 x 15 mtr 08/03/26"/>
    <s v="IM-000334"/>
    <n v="0.4"/>
    <n v="5750"/>
    <m/>
    <n v="2300"/>
    <x v="0"/>
    <n v="8196"/>
    <n v="4547"/>
    <n v="1818.8000000000002"/>
    <n v="0"/>
    <n v="2300"/>
    <n v="0"/>
    <x v="0"/>
    <x v="0"/>
    <e v="#REF!"/>
    <e v="#REF!"/>
    <e v="#REF!"/>
    <n v="0"/>
  </r>
  <r>
    <x v="8"/>
    <x v="236"/>
    <x v="0"/>
    <x v="190"/>
    <m/>
    <m/>
    <s v="TAPE ELECTRICAL, ARMAK 0.16 MM X 19 MM X 16 M 04/25/26"/>
    <s v="GE-000491"/>
    <n v="1"/>
    <n v="125"/>
    <m/>
    <n v="125"/>
    <x v="0"/>
    <n v="73"/>
    <n v="42"/>
    <n v="42"/>
    <n v="0"/>
    <n v="125"/>
    <n v="0"/>
    <x v="50"/>
    <x v="1"/>
    <e v="#REF!"/>
    <e v="#REF!"/>
    <e v="#REF!"/>
    <n v="0"/>
  </r>
  <r>
    <x v="8"/>
    <x v="237"/>
    <x v="2"/>
    <x v="9"/>
    <m/>
    <n v="2000"/>
    <s v="EVAPORATOR, SUZUKI JIMNY/ALTO"/>
    <s v="CA-000530"/>
    <n v="1"/>
    <n v="1786"/>
    <m/>
    <n v="1786"/>
    <x v="0"/>
    <n v="2389"/>
    <n v="1300"/>
    <n v="1300"/>
    <n v="1365"/>
    <n v="421"/>
    <n v="126.3"/>
    <x v="10"/>
    <x v="2"/>
    <e v="#REF!"/>
    <e v="#REF!"/>
    <n v="2000.3200000000002"/>
    <n v="0.23572228443449048"/>
  </r>
  <r>
    <x v="8"/>
    <x v="237"/>
    <x v="2"/>
    <x v="9"/>
    <m/>
    <n v="550"/>
    <s v="EXP. VALVE LT, POKKA 9A63 MONTERO"/>
    <s v="CA-000641"/>
    <n v="2"/>
    <n v="491"/>
    <m/>
    <n v="982"/>
    <x v="0"/>
    <n v="441"/>
    <n v="240"/>
    <n v="480"/>
    <n v="504"/>
    <n v="478"/>
    <n v="143.4"/>
    <x v="23"/>
    <x v="2"/>
    <e v="#REF!"/>
    <e v="#REF!"/>
    <n v="549.92000000000007"/>
    <n v="0.48676171079429736"/>
  </r>
  <r>
    <x v="8"/>
    <x v="237"/>
    <x v="0"/>
    <x v="1"/>
    <m/>
    <m/>
    <s v="REFRIGERANT, POKKA R32, 600 GRMS  05/09/26"/>
    <s v="GE-000509"/>
    <n v="2"/>
    <n v="750"/>
    <m/>
    <n v="1500"/>
    <x v="0"/>
    <n v="756"/>
    <n v="480"/>
    <n v="960"/>
    <n v="1008"/>
    <n v="492"/>
    <n v="0"/>
    <x v="5"/>
    <x v="1"/>
    <e v="#REF!"/>
    <e v="#REF!"/>
    <s v=""/>
    <n v="0.32800000000000001"/>
  </r>
  <r>
    <x v="8"/>
    <x v="237"/>
    <x v="0"/>
    <x v="49"/>
    <m/>
    <m/>
    <s v="HOSE, COOLMATE 5/8 SUNCTION PER FT"/>
    <s v="GE-000181"/>
    <n v="1"/>
    <n v="95"/>
    <m/>
    <n v="95"/>
    <x v="0"/>
    <n v="83"/>
    <n v="45"/>
    <n v="45"/>
    <n v="47.25"/>
    <n v="47.75"/>
    <n v="0"/>
    <x v="19"/>
    <x v="1"/>
    <e v="#REF!"/>
    <e v="#REF!"/>
    <s v=""/>
    <n v="0.50263157894736843"/>
  </r>
  <r>
    <x v="8"/>
    <x v="237"/>
    <x v="0"/>
    <x v="49"/>
    <m/>
    <m/>
    <s v="FERULLE,  5/8&quot;"/>
    <s v="CA-000646"/>
    <n v="2"/>
    <n v="15"/>
    <m/>
    <n v="30"/>
    <x v="0"/>
    <n v="13"/>
    <n v="7"/>
    <n v="14"/>
    <n v="14.700000000000001"/>
    <n v="15.299999999999999"/>
    <n v="0"/>
    <x v="42"/>
    <x v="2"/>
    <e v="#REF!"/>
    <e v="#REF!"/>
    <s v=""/>
    <n v="0.51"/>
  </r>
  <r>
    <x v="8"/>
    <x v="237"/>
    <x v="0"/>
    <x v="49"/>
    <m/>
    <m/>
    <s v="FITTINGS, STRAIGHT FLARE TYPE 5/8"/>
    <s v="CA-000673"/>
    <n v="2"/>
    <n v="40"/>
    <m/>
    <n v="80"/>
    <x v="0"/>
    <n v="30"/>
    <n v="16"/>
    <n v="32"/>
    <n v="33.6"/>
    <n v="46.4"/>
    <n v="0"/>
    <x v="33"/>
    <x v="2"/>
    <e v="#REF!"/>
    <e v="#REF!"/>
    <s v=""/>
    <n v="0.57999999999999996"/>
  </r>
  <r>
    <x v="8"/>
    <x v="237"/>
    <x v="0"/>
    <x v="49"/>
    <m/>
    <m/>
    <s v="BLOWER_MOTOR, ISUZU D-MAX 2008"/>
    <s v="CA-000170"/>
    <n v="1"/>
    <n v="2000"/>
    <m/>
    <n v="2000"/>
    <x v="0"/>
    <n v="2509"/>
    <n v="1365"/>
    <n v="1365"/>
    <n v="1433.25"/>
    <n v="566.75"/>
    <n v="0"/>
    <x v="15"/>
    <x v="2"/>
    <e v="#REF!"/>
    <e v="#REF!"/>
    <s v=""/>
    <n v="0.28337499999999999"/>
  </r>
  <r>
    <x v="8"/>
    <x v="237"/>
    <x v="0"/>
    <x v="190"/>
    <m/>
    <m/>
    <s v="RUBBER_INSULATION, M-FLEX 1/2&quot; 5/8"/>
    <s v="IM-000232"/>
    <n v="4"/>
    <n v="80"/>
    <m/>
    <n v="320"/>
    <x v="0"/>
    <n v="77"/>
    <n v="55.2"/>
    <n v="220.8"/>
    <n v="227.42400000000001"/>
    <n v="92.575999999999993"/>
    <n v="0"/>
    <x v="22"/>
    <x v="0"/>
    <e v="#REF!"/>
    <e v="#REF!"/>
    <s v=""/>
    <n v="0.2893"/>
  </r>
  <r>
    <x v="8"/>
    <x v="237"/>
    <x v="0"/>
    <x v="190"/>
    <m/>
    <m/>
    <s v="COPPER_TUBE_SOFTDRAWN, HAILIANG 0.028 X 5/8 x 15 mtr 08/03/26"/>
    <s v="IM-000334"/>
    <n v="0.2"/>
    <n v="5750"/>
    <m/>
    <n v="1150"/>
    <x v="0"/>
    <n v="8196"/>
    <n v="4547"/>
    <n v="909.40000000000009"/>
    <n v="936.68200000000013"/>
    <n v="213.31799999999987"/>
    <n v="0"/>
    <x v="0"/>
    <x v="0"/>
    <e v="#REF!"/>
    <e v="#REF!"/>
    <s v=""/>
    <n v="0.18549391304347815"/>
  </r>
  <r>
    <x v="8"/>
    <x v="237"/>
    <x v="0"/>
    <x v="32"/>
    <m/>
    <m/>
    <s v="BOLT &amp; NUT, DYNABOLT 3/8&quot;"/>
    <s v="GE-000396"/>
    <n v="2"/>
    <n v="25"/>
    <m/>
    <n v="50"/>
    <x v="0"/>
    <n v="19"/>
    <n v="8.9"/>
    <n v="17.8"/>
    <n v="18.690000000000001"/>
    <n v="31.31"/>
    <n v="0"/>
    <x v="57"/>
    <x v="1"/>
    <e v="#REF!"/>
    <e v="#REF!"/>
    <s v=""/>
    <n v="0.62619999999999998"/>
  </r>
  <r>
    <x v="8"/>
    <x v="237"/>
    <x v="0"/>
    <x v="32"/>
    <m/>
    <m/>
    <s v="COPPER_TUBE_SOFTDRAWN, HAILIANG 0.028 X 1/4 x 15 mtr  08/03/26"/>
    <s v="IM-000333"/>
    <n v="0.2"/>
    <n v="2650"/>
    <m/>
    <n v="530"/>
    <x v="0"/>
    <n v="3063"/>
    <n v="1699"/>
    <n v="339.8"/>
    <n v="349.99400000000003"/>
    <n v="180.00599999999997"/>
    <n v="0"/>
    <x v="0"/>
    <x v="0"/>
    <e v="#REF!"/>
    <e v="#REF!"/>
    <s v=""/>
    <n v="0.33963396226415088"/>
  </r>
  <r>
    <x v="8"/>
    <x v="237"/>
    <x v="0"/>
    <x v="150"/>
    <m/>
    <m/>
    <s v="REFRIGERANT, POKKA R32, 600 GRMS  05/09/26"/>
    <s v="GE-000509"/>
    <n v="1"/>
    <n v="750"/>
    <m/>
    <n v="750"/>
    <x v="0"/>
    <n v="756"/>
    <n v="480"/>
    <n v="480"/>
    <n v="504"/>
    <n v="246"/>
    <n v="0"/>
    <x v="5"/>
    <x v="1"/>
    <e v="#REF!"/>
    <e v="#REF!"/>
    <s v=""/>
    <n v="0.32800000000000001"/>
  </r>
  <r>
    <x v="8"/>
    <x v="237"/>
    <x v="2"/>
    <x v="9"/>
    <m/>
    <m/>
    <s v="BLOWER_MOTOR, ISUZU D-MAX 2013 / MUX"/>
    <s v="CA-000171"/>
    <n v="1"/>
    <n v="2000"/>
    <m/>
    <n v="2000"/>
    <x v="0"/>
    <n v="2389"/>
    <n v="1300"/>
    <n v="1300"/>
    <n v="1365"/>
    <n v="635"/>
    <n v="190.5"/>
    <x v="15"/>
    <x v="2"/>
    <e v="#REF!"/>
    <e v="#REF!"/>
    <s v=""/>
    <n v="0.3175"/>
  </r>
  <r>
    <x v="8"/>
    <x v="237"/>
    <x v="2"/>
    <x v="9"/>
    <m/>
    <m/>
    <s v="CABIN_FILTER, TOYOTA VIOS"/>
    <s v="CA-001295"/>
    <n v="2"/>
    <n v="350"/>
    <m/>
    <n v="700"/>
    <x v="0"/>
    <n v="315"/>
    <n v="100"/>
    <n v="200"/>
    <n v="210"/>
    <n v="490"/>
    <n v="147"/>
    <x v="12"/>
    <x v="2"/>
    <e v="#REF!"/>
    <e v="#REF!"/>
    <s v=""/>
    <n v="0.7"/>
  </r>
  <r>
    <x v="8"/>
    <x v="237"/>
    <x v="0"/>
    <x v="49"/>
    <m/>
    <m/>
    <s v="EVAPORATOR, TOYOTA AVANZA 14 HS-40A523"/>
    <s v="CA-000536"/>
    <n v="1"/>
    <n v="2000"/>
    <m/>
    <n v="2000"/>
    <x v="0"/>
    <n v="2389"/>
    <n v="1300"/>
    <n v="1300"/>
    <n v="1365"/>
    <n v="635"/>
    <n v="0"/>
    <x v="10"/>
    <x v="2"/>
    <e v="#REF!"/>
    <e v="#REF!"/>
    <s v=""/>
    <n v="0.3175"/>
  </r>
  <r>
    <x v="8"/>
    <x v="237"/>
    <x v="0"/>
    <x v="1"/>
    <m/>
    <m/>
    <s v="ROD, HARRIS SILVER "/>
    <s v="IM-000098"/>
    <n v="1"/>
    <n v="35"/>
    <m/>
    <n v="35"/>
    <x v="0"/>
    <n v="30"/>
    <n v="19"/>
    <n v="19"/>
    <n v="19.57"/>
    <n v="15.43"/>
    <n v="0"/>
    <x v="56"/>
    <x v="0"/>
    <e v="#REF!"/>
    <e v="#REF!"/>
    <s v=""/>
    <n v="0.44085714285714284"/>
  </r>
  <r>
    <x v="8"/>
    <x v="237"/>
    <x v="0"/>
    <x v="1"/>
    <m/>
    <m/>
    <s v="CAPACITOR_FAN, PS CBB61 2.5 UF"/>
    <s v="GE-000054"/>
    <n v="1"/>
    <n v="95"/>
    <m/>
    <n v="95"/>
    <x v="0"/>
    <n v="50"/>
    <n v="27"/>
    <n v="27"/>
    <n v="28.35"/>
    <n v="66.650000000000006"/>
    <n v="0"/>
    <x v="76"/>
    <x v="1"/>
    <e v="#REF!"/>
    <e v="#REF!"/>
    <s v=""/>
    <n v="0.70157894736842108"/>
  </r>
  <r>
    <x v="8"/>
    <x v="237"/>
    <x v="0"/>
    <x v="1"/>
    <m/>
    <m/>
    <s v="GAUGE, LO 250PSI "/>
    <s v="TL-000004"/>
    <n v="1"/>
    <n v="360"/>
    <m/>
    <n v="360"/>
    <x v="0"/>
    <n v="368"/>
    <n v="200"/>
    <n v="200"/>
    <n v="210"/>
    <n v="150"/>
    <n v="0"/>
    <x v="63"/>
    <x v="4"/>
    <e v="#REF!"/>
    <e v="#REF!"/>
    <s v=""/>
    <n v="0.41666666666666669"/>
  </r>
  <r>
    <x v="8"/>
    <x v="238"/>
    <x v="6"/>
    <x v="159"/>
    <m/>
    <m/>
    <s v="EVAPORATOR, TOYOTA VIOS 2008  (BATMAN) (STAL)"/>
    <s v="CA-000145"/>
    <n v="1"/>
    <n v="2000"/>
    <m/>
    <n v="2000"/>
    <x v="0"/>
    <n v="1746"/>
    <n v="950"/>
    <n v="950"/>
    <n v="997.5"/>
    <n v="1002.5"/>
    <n v="300.75"/>
    <x v="10"/>
    <x v="2"/>
    <e v="#REF!"/>
    <e v="#REF!"/>
    <s v=""/>
    <n v="0.50124999999999997"/>
  </r>
  <r>
    <x v="8"/>
    <x v="238"/>
    <x v="0"/>
    <x v="57"/>
    <m/>
    <m/>
    <s v="COPPER_TUBE_SOFTDRAWN, HAILIANG 0.028 X 1/4 x 15 mtr  08/03/26"/>
    <s v="IM-000333"/>
    <n v="1"/>
    <n v="2000"/>
    <m/>
    <n v="2000"/>
    <x v="0"/>
    <n v="3063"/>
    <n v="1699"/>
    <n v="1699"/>
    <n v="1749.97"/>
    <n v="250.02999999999997"/>
    <n v="0"/>
    <x v="0"/>
    <x v="0"/>
    <e v="#REF!"/>
    <e v="#REF!"/>
    <s v=""/>
    <n v="0.12501499999999999"/>
  </r>
  <r>
    <x v="8"/>
    <x v="238"/>
    <x v="0"/>
    <x v="57"/>
    <m/>
    <m/>
    <s v="COPPER_TUBE_SOFTDRAWN, HAILIANG 0.028 X 3/8 x 15 mtr 06/02/26"/>
    <s v="IM-000327"/>
    <n v="1"/>
    <n v="3000"/>
    <m/>
    <n v="3000"/>
    <x v="0"/>
    <n v="4774"/>
    <n v="2648"/>
    <n v="2648"/>
    <n v="2727.44"/>
    <n v="272.55999999999995"/>
    <n v="0"/>
    <x v="0"/>
    <x v="0"/>
    <e v="#REF!"/>
    <e v="#REF!"/>
    <s v=""/>
    <n v="9.0853333333333314E-2"/>
  </r>
  <r>
    <x v="8"/>
    <x v="238"/>
    <x v="0"/>
    <x v="57"/>
    <m/>
    <m/>
    <s v="RUBBER_INSULATION, M-FLEX 1/2&quot; 1/4"/>
    <s v="IM-000229"/>
    <n v="8"/>
    <n v="50"/>
    <m/>
    <n v="400"/>
    <x v="0"/>
    <n v="47"/>
    <n v="33.6"/>
    <n v="268.8"/>
    <n v="276.86400000000003"/>
    <n v="123.13599999999997"/>
    <n v="0"/>
    <x v="22"/>
    <x v="0"/>
    <e v="#REF!"/>
    <e v="#REF!"/>
    <s v=""/>
    <n v="0.30783999999999989"/>
  </r>
  <r>
    <x v="8"/>
    <x v="238"/>
    <x v="0"/>
    <x v="57"/>
    <m/>
    <m/>
    <s v="RUBBER_INSULATION, M-FLEX 1/2&quot; 3/8"/>
    <s v="IM-000231"/>
    <n v="8"/>
    <n v="60"/>
    <m/>
    <n v="480"/>
    <x v="0"/>
    <n v="53"/>
    <n v="37.6"/>
    <n v="300.8"/>
    <n v="309.82400000000001"/>
    <n v="170.17599999999999"/>
    <n v="0"/>
    <x v="22"/>
    <x v="0"/>
    <e v="#REF!"/>
    <e v="#REF!"/>
    <s v=""/>
    <n v="0.35453333333333331"/>
  </r>
  <r>
    <x v="8"/>
    <x v="238"/>
    <x v="0"/>
    <x v="57"/>
    <m/>
    <m/>
    <s v="TAPE_PE, PICUS Polythelene Tape (White)X 4&quot;"/>
    <s v="IM-000247"/>
    <n v="2"/>
    <n v="125"/>
    <m/>
    <n v="250"/>
    <x v="0"/>
    <n v="147"/>
    <n v="75"/>
    <n v="150"/>
    <n v="154.5"/>
    <n v="95.5"/>
    <n v="0"/>
    <x v="29"/>
    <x v="0"/>
    <e v="#REF!"/>
    <e v="#REF!"/>
    <s v=""/>
    <n v="0.38200000000000001"/>
  </r>
  <r>
    <x v="8"/>
    <x v="238"/>
    <x v="0"/>
    <x v="57"/>
    <m/>
    <m/>
    <s v="TAPE_FOAM, AEROTAPE 3MM X 50 MM X 9.1 MTR  06/18/26"/>
    <s v="IM-000332"/>
    <n v="1"/>
    <n v="430"/>
    <m/>
    <n v="430"/>
    <x v="0"/>
    <n v="510"/>
    <n v="330"/>
    <n v="330"/>
    <n v="339.90000000000003"/>
    <n v="90.099999999999966"/>
    <n v="0"/>
    <x v="25"/>
    <x v="0"/>
    <e v="#REF!"/>
    <e v="#REF!"/>
    <s v=""/>
    <n v="0.20953488372093015"/>
  </r>
  <r>
    <x v="8"/>
    <x v="238"/>
    <x v="0"/>
    <x v="1"/>
    <m/>
    <m/>
    <s v="REF_DRIER, OMNI WELDED TYPE  SINGLE"/>
    <s v="GE-000005"/>
    <n v="1"/>
    <n v="60"/>
    <m/>
    <n v="60"/>
    <x v="0"/>
    <n v="58.800000000000004"/>
    <n v="28"/>
    <n v="28"/>
    <n v="29.400000000000002"/>
    <n v="30.599999999999998"/>
    <n v="0"/>
    <x v="73"/>
    <x v="1"/>
    <e v="#REF!"/>
    <e v="#REF!"/>
    <s v=""/>
    <n v="0.51"/>
  </r>
  <r>
    <x v="8"/>
    <x v="238"/>
    <x v="0"/>
    <x v="1"/>
    <m/>
    <m/>
    <s v="REF_DRIER, OMNI WELDED TYPE  DOUBLE"/>
    <s v="GE-000004"/>
    <n v="1"/>
    <n v="60"/>
    <m/>
    <n v="60"/>
    <x v="0"/>
    <n v="60.900000000000006"/>
    <n v="29"/>
    <n v="29"/>
    <n v="30.450000000000003"/>
    <n v="29.549999999999997"/>
    <n v="0"/>
    <x v="73"/>
    <x v="1"/>
    <e v="#REF!"/>
    <e v="#REF!"/>
    <s v=""/>
    <n v="0.49249999999999994"/>
  </r>
  <r>
    <x v="8"/>
    <x v="238"/>
    <x v="0"/>
    <x v="1"/>
    <m/>
    <m/>
    <s v="REFRIGERANT, ENTALPIA EUROPE R134A 13.6   8/15/26"/>
    <s v="GE-000524"/>
    <n v="1"/>
    <n v="9000"/>
    <m/>
    <n v="9000"/>
    <x v="0"/>
    <n v="10675"/>
    <n v="7820"/>
    <n v="7820"/>
    <n v="8211"/>
    <n v="789"/>
    <n v="0"/>
    <x v="5"/>
    <x v="1"/>
    <e v="#REF!"/>
    <e v="#REF!"/>
    <s v=""/>
    <n v="8.7666666666666671E-2"/>
  </r>
  <r>
    <x v="8"/>
    <x v="238"/>
    <x v="0"/>
    <x v="57"/>
    <m/>
    <m/>
    <s v="BRACKET , ROBYN STEEL  1HP, COATED  (ISHABELLA)"/>
    <s v="IM-000330"/>
    <n v="1"/>
    <n v="360"/>
    <m/>
    <n v="360"/>
    <x v="0"/>
    <n v="352"/>
    <n v="195"/>
    <n v="195"/>
    <n v="200.85"/>
    <n v="159.15"/>
    <n v="0"/>
    <x v="1"/>
    <x v="0"/>
    <e v="#REF!"/>
    <e v="#REF!"/>
    <s v=""/>
    <n v="0.44208333333333333"/>
  </r>
  <r>
    <x v="8"/>
    <x v="238"/>
    <x v="4"/>
    <x v="25"/>
    <m/>
    <m/>
    <s v="BLOWER_MOTOR, MITSUBISHI MONTERO 2016"/>
    <s v="CA-000192"/>
    <n v="1"/>
    <n v="2000"/>
    <m/>
    <n v="2000"/>
    <x v="0"/>
    <n v="2481"/>
    <n v="1350"/>
    <n v="1350"/>
    <n v="1417.5"/>
    <n v="582.5"/>
    <n v="174.75"/>
    <x v="15"/>
    <x v="2"/>
    <e v="#REF!"/>
    <e v="#REF!"/>
    <s v=""/>
    <n v="0.29125000000000001"/>
  </r>
  <r>
    <x v="8"/>
    <x v="238"/>
    <x v="2"/>
    <x v="96"/>
    <m/>
    <m/>
    <s v="EVAPORATOR, TOYOTA AVANZA 14 HS-40A523"/>
    <s v="CA-000536"/>
    <n v="1"/>
    <n v="2000"/>
    <m/>
    <n v="2000"/>
    <x v="0"/>
    <n v="2389"/>
    <n v="1300"/>
    <n v="1300"/>
    <n v="1365"/>
    <n v="635"/>
    <n v="190.5"/>
    <x v="10"/>
    <x v="2"/>
    <e v="#REF!"/>
    <e v="#REF!"/>
    <s v=""/>
    <n v="0.3175"/>
  </r>
  <r>
    <x v="8"/>
    <x v="239"/>
    <x v="4"/>
    <x v="25"/>
    <m/>
    <m/>
    <s v="EVAPORATOR, ISUZU TRAVIS / NHR LT HS -40A506"/>
    <s v="CA-001835"/>
    <n v="1"/>
    <n v="2000"/>
    <m/>
    <n v="2000"/>
    <x v="0"/>
    <n v="2481"/>
    <n v="1350"/>
    <n v="1350"/>
    <n v="1417.5"/>
    <n v="582.5"/>
    <n v="174.75"/>
    <x v="10"/>
    <x v="2"/>
    <e v="#REF!"/>
    <e v="#REF!"/>
    <s v=""/>
    <n v="0.29125000000000001"/>
  </r>
  <r>
    <x v="8"/>
    <x v="239"/>
    <x v="4"/>
    <x v="25"/>
    <m/>
    <m/>
    <s v="AUXIALLIARY_FAN, POKKA 10 BLADES X 12VOLTS"/>
    <s v="CA-000106"/>
    <n v="1"/>
    <n v="680"/>
    <m/>
    <n v="680"/>
    <x v="0"/>
    <n v="772"/>
    <n v="420"/>
    <n v="420"/>
    <n v="441"/>
    <n v="239"/>
    <n v="71.7"/>
    <x v="16"/>
    <x v="2"/>
    <e v="#REF!"/>
    <e v="#REF!"/>
    <s v=""/>
    <n v="0.35147058823529409"/>
  </r>
  <r>
    <x v="8"/>
    <x v="239"/>
    <x v="0"/>
    <x v="1"/>
    <m/>
    <m/>
    <s v="BOLT &amp; NUT, DYNABOLT 5/16&quot;"/>
    <s v="GE-000397"/>
    <n v="6"/>
    <n v="20"/>
    <m/>
    <n v="120"/>
    <x v="0"/>
    <n v="14"/>
    <n v="6.5"/>
    <n v="39"/>
    <n v="40.950000000000003"/>
    <n v="79.05"/>
    <n v="0"/>
    <x v="57"/>
    <x v="1"/>
    <e v="#REF!"/>
    <e v="#REF!"/>
    <s v=""/>
    <n v="0.65874999999999995"/>
  </r>
  <r>
    <x v="8"/>
    <x v="239"/>
    <x v="0"/>
    <x v="1"/>
    <m/>
    <m/>
    <s v="BOLT &amp; NUT, TOX WITH METAL SCREW #8"/>
    <s v="GE-000404"/>
    <n v="5"/>
    <n v="6"/>
    <m/>
    <n v="30"/>
    <x v="0"/>
    <n v="3"/>
    <n v="1.25"/>
    <n v="6.25"/>
    <n v="6.5625"/>
    <n v="23.4375"/>
    <n v="0"/>
    <x v="57"/>
    <x v="1"/>
    <e v="#REF!"/>
    <e v="#REF!"/>
    <s v=""/>
    <n v="0.78125"/>
  </r>
  <r>
    <x v="8"/>
    <x v="239"/>
    <x v="0"/>
    <x v="1"/>
    <m/>
    <m/>
    <s v="TAPE_FOAM, POKKA 5MM X 50 MM X 9.1 MTR"/>
    <s v="IM-000106"/>
    <n v="1"/>
    <n v="260"/>
    <m/>
    <n v="260"/>
    <x v="0"/>
    <n v="194"/>
    <n v="125"/>
    <n v="125"/>
    <n v="128.75"/>
    <n v="131.25"/>
    <n v="0"/>
    <x v="25"/>
    <x v="0"/>
    <e v="#REF!"/>
    <e v="#REF!"/>
    <s v=""/>
    <n v="0.50480769230769229"/>
  </r>
  <r>
    <x v="8"/>
    <x v="239"/>
    <x v="0"/>
    <x v="1"/>
    <m/>
    <m/>
    <s v="RUBBER_INSULATION, M-FLEX 1/2&quot; 3/4"/>
    <s v="IM-000230"/>
    <n v="1"/>
    <n v="90"/>
    <m/>
    <n v="90"/>
    <x v="0"/>
    <n v="67"/>
    <n v="51.8"/>
    <n v="51.8"/>
    <n v="53.353999999999999"/>
    <n v="36.646000000000001"/>
    <n v="0"/>
    <x v="22"/>
    <x v="0"/>
    <e v="#REF!"/>
    <e v="#REF!"/>
    <s v=""/>
    <n v="0.40717777777777781"/>
  </r>
  <r>
    <x v="8"/>
    <x v="239"/>
    <x v="1"/>
    <x v="3"/>
    <m/>
    <m/>
    <s v="EXP. VALVE LT, POKKA 9A244 NISSAN NV350"/>
    <s v="CA-001471"/>
    <n v="2"/>
    <n v="550"/>
    <m/>
    <n v="1100"/>
    <x v="0"/>
    <n v="515"/>
    <n v="280"/>
    <n v="560"/>
    <n v="588"/>
    <n v="512"/>
    <n v="153.6"/>
    <x v="23"/>
    <x v="2"/>
    <e v="#REF!"/>
    <e v="#REF!"/>
    <s v=""/>
    <n v="0.46545454545454545"/>
  </r>
  <r>
    <x v="8"/>
    <x v="239"/>
    <x v="1"/>
    <x v="3"/>
    <m/>
    <m/>
    <s v="RECEIVER_DRIER_ALUMINUM, YK 8733 L (URVAN, NV350)"/>
    <s v="CA-001115"/>
    <n v="1"/>
    <n v="560"/>
    <m/>
    <n v="560"/>
    <x v="0"/>
    <n v="615"/>
    <n v="260"/>
    <n v="260"/>
    <n v="273"/>
    <n v="287"/>
    <n v="86.1"/>
    <x v="27"/>
    <x v="2"/>
    <e v="#REF!"/>
    <e v="#REF!"/>
    <s v=""/>
    <n v="0.51249999999999996"/>
  </r>
  <r>
    <x v="8"/>
    <x v="239"/>
    <x v="0"/>
    <x v="84"/>
    <m/>
    <m/>
    <s v="BLOWER_MOTOR, ISUZU CROSSWIND ('R)"/>
    <s v="CA-000168"/>
    <n v="1"/>
    <n v="1900"/>
    <m/>
    <n v="1900"/>
    <x v="0"/>
    <n v="2481"/>
    <n v="1350"/>
    <n v="1350"/>
    <n v="1417.5"/>
    <n v="482.5"/>
    <n v="0"/>
    <x v="15"/>
    <x v="2"/>
    <e v="#REF!"/>
    <e v="#REF!"/>
    <e v="#REF!"/>
    <n v="0"/>
  </r>
  <r>
    <x v="8"/>
    <x v="239"/>
    <x v="0"/>
    <x v="191"/>
    <m/>
    <m/>
    <s v="EVAPORATOR, MITSUBISHI LANCER 2010-2014"/>
    <s v="CA-001258"/>
    <n v="1"/>
    <n v="2200"/>
    <m/>
    <n v="2200"/>
    <x v="0"/>
    <n v="2757"/>
    <n v="1500"/>
    <n v="1500"/>
    <n v="1575"/>
    <n v="625"/>
    <n v="0"/>
    <x v="10"/>
    <x v="2"/>
    <e v="#REF!"/>
    <e v="#REF!"/>
    <s v=""/>
    <n v="0.28409090909090912"/>
  </r>
  <r>
    <x v="8"/>
    <x v="239"/>
    <x v="0"/>
    <x v="191"/>
    <m/>
    <m/>
    <s v="EXP. VALVE LT, POKKA 9A62 ADVENTURE"/>
    <s v="CA-001413"/>
    <n v="1"/>
    <n v="600"/>
    <m/>
    <n v="600"/>
    <x v="0"/>
    <n v="478"/>
    <n v="260"/>
    <n v="260"/>
    <n v="273"/>
    <n v="327"/>
    <n v="0"/>
    <x v="23"/>
    <x v="2"/>
    <e v="#REF!"/>
    <e v="#REF!"/>
    <s v=""/>
    <n v="0.54500000000000004"/>
  </r>
  <r>
    <x v="8"/>
    <x v="239"/>
    <x v="0"/>
    <x v="191"/>
    <m/>
    <m/>
    <s v="O_RING, NEK MAKAPAL 5/8 TINGI"/>
    <s v="CA-001494"/>
    <n v="10"/>
    <n v="7"/>
    <m/>
    <n v="70"/>
    <x v="0"/>
    <n v="2"/>
    <n v="1"/>
    <n v="10"/>
    <n v="10.5"/>
    <n v="59.5"/>
    <n v="0"/>
    <x v="44"/>
    <x v="2"/>
    <e v="#REF!"/>
    <e v="#REF!"/>
    <s v=""/>
    <n v="0.85"/>
  </r>
  <r>
    <x v="8"/>
    <x v="239"/>
    <x v="0"/>
    <x v="191"/>
    <m/>
    <m/>
    <s v="O_RING, NEK MAKAPAL 1/2  TINGI"/>
    <s v="CA-001491"/>
    <n v="10"/>
    <n v="5"/>
    <m/>
    <n v="50"/>
    <x v="0"/>
    <n v="2"/>
    <n v="1"/>
    <n v="10"/>
    <n v="10.5"/>
    <n v="39.5"/>
    <n v="0"/>
    <x v="44"/>
    <x v="2"/>
    <e v="#REF!"/>
    <e v="#REF!"/>
    <s v=""/>
    <n v="0.79"/>
  </r>
  <r>
    <x v="8"/>
    <x v="239"/>
    <x v="0"/>
    <x v="191"/>
    <m/>
    <m/>
    <s v="VALVE CORE 134A ,  PITO"/>
    <s v="GE-000256"/>
    <n v="2"/>
    <n v="25"/>
    <m/>
    <n v="50"/>
    <x v="0"/>
    <n v="21"/>
    <n v="11"/>
    <n v="22"/>
    <n v="23.1"/>
    <n v="26.9"/>
    <n v="0"/>
    <x v="30"/>
    <x v="1"/>
    <e v="#REF!"/>
    <e v="#REF!"/>
    <s v=""/>
    <n v="0.53799999999999992"/>
  </r>
  <r>
    <x v="8"/>
    <x v="240"/>
    <x v="7"/>
    <x v="135"/>
    <m/>
    <m/>
    <m/>
    <s v=""/>
    <m/>
    <m/>
    <m/>
    <n v="0"/>
    <x v="0"/>
    <n v="0"/>
    <n v="0"/>
    <n v="0"/>
    <n v="0"/>
    <n v="0"/>
    <n v="0"/>
    <x v="13"/>
    <x v="3"/>
    <s v=""/>
    <s v=""/>
    <s v=""/>
    <n v="0"/>
  </r>
  <r>
    <x v="8"/>
    <x v="241"/>
    <x v="0"/>
    <x v="190"/>
    <m/>
    <m/>
    <s v="REFRIGERANT, ENTALPIA EUROPE R410A 13.6   6/16/26 "/>
    <s v="GE-000519"/>
    <n v="1"/>
    <n v="7500"/>
    <m/>
    <n v="7500"/>
    <x v="0"/>
    <n v="8792"/>
    <n v="6441"/>
    <n v="6441"/>
    <n v="6763.05"/>
    <n v="736.94999999999982"/>
    <n v="0"/>
    <x v="5"/>
    <x v="1"/>
    <e v="#REF!"/>
    <e v="#REF!"/>
    <s v=""/>
    <n v="9.8259999999999972E-2"/>
  </r>
  <r>
    <x v="8"/>
    <x v="241"/>
    <x v="0"/>
    <x v="49"/>
    <m/>
    <m/>
    <s v="BLOWER_MOTOR, TOYOTA ALTIS 2013 W/ RESISTOR"/>
    <s v="CA-000212"/>
    <n v="1"/>
    <n v="3400"/>
    <m/>
    <n v="3400"/>
    <x v="0"/>
    <n v="4594"/>
    <n v="2500"/>
    <n v="2500"/>
    <n v="2625"/>
    <n v="775"/>
    <n v="0"/>
    <x v="15"/>
    <x v="2"/>
    <e v="#REF!"/>
    <e v="#REF!"/>
    <s v=""/>
    <n v="0.22794117647058823"/>
  </r>
  <r>
    <x v="8"/>
    <x v="241"/>
    <x v="0"/>
    <x v="49"/>
    <m/>
    <m/>
    <s v="AUXIALLIARY_FAN, POKKA 10 BLADES X 12VOLTS"/>
    <s v="CA-000106"/>
    <n v="1"/>
    <n v="680"/>
    <m/>
    <n v="680"/>
    <x v="0"/>
    <n v="772"/>
    <n v="420"/>
    <n v="420"/>
    <n v="441"/>
    <n v="239"/>
    <n v="0"/>
    <x v="16"/>
    <x v="2"/>
    <e v="#REF!"/>
    <e v="#REF!"/>
    <s v=""/>
    <n v="0.35147058823529409"/>
  </r>
  <r>
    <x v="8"/>
    <x v="241"/>
    <x v="0"/>
    <x v="192"/>
    <m/>
    <m/>
    <s v="BOLT &amp; NUT, DYNABOLT 3/8&quot;"/>
    <s v="GE-000396"/>
    <n v="6"/>
    <n v="25"/>
    <m/>
    <n v="150"/>
    <x v="0"/>
    <n v="19"/>
    <n v="8.9"/>
    <n v="53.400000000000006"/>
    <n v="56.070000000000007"/>
    <n v="93.929999999999993"/>
    <n v="0"/>
    <x v="57"/>
    <x v="1"/>
    <e v="#REF!"/>
    <e v="#REF!"/>
    <s v=""/>
    <n v="0.62619999999999998"/>
  </r>
  <r>
    <x v="8"/>
    <x v="241"/>
    <x v="0"/>
    <x v="192"/>
    <m/>
    <m/>
    <s v="TAPE_PE, PICUS Polythelene Tape (White)X 4&quot;"/>
    <s v="IM-000247"/>
    <n v="1"/>
    <n v="125"/>
    <m/>
    <n v="125"/>
    <x v="0"/>
    <n v="147"/>
    <n v="75"/>
    <n v="75"/>
    <n v="77.25"/>
    <n v="47.75"/>
    <n v="0"/>
    <x v="29"/>
    <x v="0"/>
    <e v="#REF!"/>
    <e v="#REF!"/>
    <s v=""/>
    <n v="0.38200000000000001"/>
  </r>
  <r>
    <x v="8"/>
    <x v="241"/>
    <x v="0"/>
    <x v="192"/>
    <m/>
    <m/>
    <s v="RUBBER_INSULATION, M-FLEX 1/2&quot; 3/8"/>
    <s v="IM-000231"/>
    <n v="1"/>
    <n v="60"/>
    <m/>
    <n v="60"/>
    <x v="0"/>
    <n v="53"/>
    <n v="37.6"/>
    <n v="37.6"/>
    <n v="38.728000000000002"/>
    <n v="21.271999999999998"/>
    <n v="0"/>
    <x v="22"/>
    <x v="0"/>
    <e v="#REF!"/>
    <e v="#REF!"/>
    <s v=""/>
    <n v="0.35453333333333331"/>
  </r>
  <r>
    <x v="8"/>
    <x v="241"/>
    <x v="0"/>
    <x v="192"/>
    <m/>
    <m/>
    <s v="RUBBER_INSULATION, M-FLEX 1/2&quot; 1/4"/>
    <s v="IM-000229"/>
    <n v="1"/>
    <n v="50"/>
    <m/>
    <n v="50"/>
    <x v="0"/>
    <n v="47"/>
    <n v="33.6"/>
    <n v="33.6"/>
    <n v="34.608000000000004"/>
    <n v="15.391999999999996"/>
    <n v="0"/>
    <x v="22"/>
    <x v="0"/>
    <e v="#REF!"/>
    <e v="#REF!"/>
    <s v=""/>
    <n v="0.30783999999999989"/>
  </r>
  <r>
    <x v="8"/>
    <x v="241"/>
    <x v="0"/>
    <x v="72"/>
    <m/>
    <m/>
    <s v="EXP. VALVE LT, POKKA 9A129B ACCENT"/>
    <s v="CA-000629"/>
    <n v="2"/>
    <n v="600"/>
    <m/>
    <n v="1200"/>
    <x v="0"/>
    <n v="625"/>
    <n v="340"/>
    <n v="680"/>
    <n v="714"/>
    <n v="486"/>
    <n v="0"/>
    <x v="23"/>
    <x v="2"/>
    <e v="#REF!"/>
    <e v="#REF!"/>
    <s v=""/>
    <n v="0.40500000000000003"/>
  </r>
  <r>
    <x v="8"/>
    <x v="241"/>
    <x v="0"/>
    <x v="83"/>
    <m/>
    <m/>
    <s v="EXP. VALVE SC, HONDA OVERSIZE / FX R134A"/>
    <s v="CA-000569"/>
    <n v="1"/>
    <n v="500"/>
    <m/>
    <n v="500"/>
    <x v="0"/>
    <n v="478"/>
    <n v="260"/>
    <n v="260"/>
    <n v="273"/>
    <n v="227"/>
    <n v="0"/>
    <x v="34"/>
    <x v="2"/>
    <s v=""/>
    <s v=""/>
    <s v=""/>
    <n v="0.45400000000000001"/>
  </r>
  <r>
    <x v="8"/>
    <x v="241"/>
    <x v="6"/>
    <x v="159"/>
    <m/>
    <m/>
    <s v="AUXFAN_MOTOR, TOYOTA AVANZA 2410"/>
    <s v="CA-000081"/>
    <n v="1"/>
    <n v="1800"/>
    <m/>
    <n v="1800"/>
    <x v="0"/>
    <n v="2022"/>
    <n v="1100"/>
    <n v="1100"/>
    <n v="1155"/>
    <n v="645"/>
    <n v="193.5"/>
    <x v="14"/>
    <x v="2"/>
    <e v="#REF!"/>
    <e v="#REF!"/>
    <s v=""/>
    <n v="0.35833333333333334"/>
  </r>
  <r>
    <x v="8"/>
    <x v="241"/>
    <x v="0"/>
    <x v="8"/>
    <m/>
    <m/>
    <s v="EVAPORATOR, HONDA CRV 2008   40A102"/>
    <s v="CA-000482"/>
    <n v="1"/>
    <n v="2100"/>
    <m/>
    <n v="2100"/>
    <x v="0"/>
    <n v="2573"/>
    <n v="1400"/>
    <n v="1400"/>
    <n v="1470"/>
    <n v="630"/>
    <n v="0"/>
    <x v="10"/>
    <x v="2"/>
    <e v="#REF!"/>
    <e v="#REF!"/>
    <s v=""/>
    <n v="0.3"/>
  </r>
  <r>
    <x v="8"/>
    <x v="241"/>
    <x v="0"/>
    <x v="11"/>
    <m/>
    <m/>
    <s v="SILICA_GEL, STAL SHORT"/>
    <s v="CA-001638"/>
    <n v="1"/>
    <n v="200"/>
    <m/>
    <n v="200"/>
    <x v="0"/>
    <n v="44"/>
    <n v="22"/>
    <n v="22"/>
    <n v="23.1"/>
    <n v="176.9"/>
    <n v="0"/>
    <x v="37"/>
    <x v="2"/>
    <e v="#REF!"/>
    <e v="#REF!"/>
    <s v=""/>
    <n v="0.88450000000000006"/>
  </r>
  <r>
    <x v="8"/>
    <x v="241"/>
    <x v="0"/>
    <x v="11"/>
    <m/>
    <m/>
    <s v="SYSTEM_CLEANER, Cleanse GREEN 141B 500 ML"/>
    <s v="GE-000369"/>
    <n v="2"/>
    <n v="120"/>
    <m/>
    <n v="240"/>
    <x v="0"/>
    <n v="113"/>
    <n v="65"/>
    <n v="130"/>
    <n v="136.5"/>
    <n v="103.5"/>
    <n v="0"/>
    <x v="28"/>
    <x v="1"/>
    <e v="#REF!"/>
    <e v="#REF!"/>
    <s v=""/>
    <n v="0.43125000000000002"/>
  </r>
  <r>
    <x v="9"/>
    <x v="242"/>
    <x v="1"/>
    <x v="3"/>
    <m/>
    <m/>
    <s v="EVAPORATOR, SUZUKI SPRESSO JY4594"/>
    <s v="CA-001820"/>
    <n v="1"/>
    <n v="2200"/>
    <m/>
    <n v="2200"/>
    <x v="0"/>
    <n v="3032"/>
    <n v="1650"/>
    <n v="1650"/>
    <n v="1732.5"/>
    <n v="467.5"/>
    <n v="140.25"/>
    <x v="10"/>
    <x v="2"/>
    <e v="#REF!"/>
    <e v="#REF!"/>
    <s v=""/>
    <n v="0.21249999999999999"/>
  </r>
  <r>
    <x v="9"/>
    <x v="242"/>
    <x v="0"/>
    <x v="63"/>
    <m/>
    <m/>
    <s v="RUBBER_INSULATION, M-FLEX 1/2&quot; 1/2"/>
    <s v="IM-000227"/>
    <n v="3"/>
    <n v="70"/>
    <m/>
    <n v="210"/>
    <x v="0"/>
    <n v="65"/>
    <n v="46.4"/>
    <n v="139.19999999999999"/>
    <n v="143.376"/>
    <n v="66.623999999999995"/>
    <n v="0"/>
    <x v="22"/>
    <x v="0"/>
    <e v="#REF!"/>
    <e v="#REF!"/>
    <s v=""/>
    <n v="0.31725714285714285"/>
  </r>
  <r>
    <x v="9"/>
    <x v="242"/>
    <x v="0"/>
    <x v="63"/>
    <m/>
    <m/>
    <s v="RUBBER_INSULATION, M-FLEX 1/2&quot; 1/4"/>
    <s v="IM-000229"/>
    <n v="3"/>
    <n v="50"/>
    <m/>
    <n v="150"/>
    <x v="0"/>
    <n v="47"/>
    <n v="33.6"/>
    <n v="100.80000000000001"/>
    <n v="103.82400000000001"/>
    <n v="46.175999999999988"/>
    <n v="0"/>
    <x v="22"/>
    <x v="0"/>
    <e v="#REF!"/>
    <e v="#REF!"/>
    <s v=""/>
    <n v="0.30783999999999989"/>
  </r>
  <r>
    <x v="9"/>
    <x v="242"/>
    <x v="0"/>
    <x v="63"/>
    <m/>
    <m/>
    <s v="COPPER_TUBE_SOFTDRAWN, HAILIANG 0.028 X 1/2 x 15 mtr 06/02/26"/>
    <s v="IM-000328"/>
    <n v="1"/>
    <n v="4100"/>
    <m/>
    <n v="4100"/>
    <x v="0"/>
    <n v="6554"/>
    <n v="3636"/>
    <n v="3636"/>
    <n v="3745.08"/>
    <n v="354.92000000000007"/>
    <n v="0"/>
    <x v="0"/>
    <x v="0"/>
    <e v="#REF!"/>
    <e v="#REF!"/>
    <s v=""/>
    <n v="8.6565853658536598E-2"/>
  </r>
  <r>
    <x v="9"/>
    <x v="242"/>
    <x v="0"/>
    <x v="11"/>
    <m/>
    <m/>
    <s v="EVAPORATOR, MITSUBISHI MIRAGE"/>
    <s v="CA-000514"/>
    <n v="1"/>
    <n v="2000"/>
    <m/>
    <n v="2000"/>
    <x v="0"/>
    <n v="2389"/>
    <n v="1300"/>
    <n v="1300"/>
    <n v="1365"/>
    <n v="635"/>
    <n v="0"/>
    <x v="10"/>
    <x v="2"/>
    <e v="#REF!"/>
    <e v="#REF!"/>
    <s v=""/>
    <n v="0.3175"/>
  </r>
  <r>
    <x v="9"/>
    <x v="242"/>
    <x v="0"/>
    <x v="11"/>
    <m/>
    <m/>
    <s v="SILICA_GEL, STAL SHORT"/>
    <s v="CA-001638"/>
    <n v="1"/>
    <n v="200"/>
    <m/>
    <n v="200"/>
    <x v="0"/>
    <n v="44"/>
    <n v="22"/>
    <n v="22"/>
    <n v="23.1"/>
    <n v="176.9"/>
    <n v="0"/>
    <x v="37"/>
    <x v="2"/>
    <e v="#REF!"/>
    <e v="#REF!"/>
    <s v=""/>
    <n v="0.88450000000000006"/>
  </r>
  <r>
    <x v="9"/>
    <x v="242"/>
    <x v="0"/>
    <x v="63"/>
    <m/>
    <m/>
    <s v="BRACKET , GB 2HP, COATED"/>
    <s v="IM-000011"/>
    <n v="1"/>
    <n v="460"/>
    <m/>
    <n v="460"/>
    <x v="0"/>
    <n v="532"/>
    <n v="295"/>
    <n v="295"/>
    <n v="303.85000000000002"/>
    <n v="156.14999999999998"/>
    <n v="0"/>
    <x v="1"/>
    <x v="0"/>
    <e v="#REF!"/>
    <e v="#REF!"/>
    <s v=""/>
    <n v="0.33945652173913038"/>
  </r>
  <r>
    <x v="9"/>
    <x v="242"/>
    <x v="0"/>
    <x v="84"/>
    <m/>
    <m/>
    <s v="BLOWER_MOTOR, TOYOTA VIOS SUPERMAN"/>
    <s v="CA-000233"/>
    <n v="1"/>
    <n v="2000"/>
    <m/>
    <n v="2000"/>
    <x v="0"/>
    <n v="2389"/>
    <n v="1300"/>
    <n v="1300"/>
    <n v="1365"/>
    <n v="635"/>
    <n v="0"/>
    <x v="15"/>
    <x v="2"/>
    <e v="#REF!"/>
    <e v="#REF!"/>
    <s v=""/>
    <n v="0.3175"/>
  </r>
  <r>
    <x v="9"/>
    <x v="242"/>
    <x v="0"/>
    <x v="49"/>
    <m/>
    <m/>
    <s v="EVAPORATOR, HYUNDAI TUCSON 2017"/>
    <s v="CA-001782"/>
    <n v="1"/>
    <n v="2200"/>
    <m/>
    <n v="2200"/>
    <x v="0"/>
    <n v="2849"/>
    <n v="1550"/>
    <n v="1550"/>
    <n v="1627.5"/>
    <n v="572.5"/>
    <n v="0"/>
    <x v="10"/>
    <x v="2"/>
    <e v="#REF!"/>
    <e v="#REF!"/>
    <s v=""/>
    <n v="0.26022727272727275"/>
  </r>
  <r>
    <x v="9"/>
    <x v="242"/>
    <x v="0"/>
    <x v="61"/>
    <m/>
    <m/>
    <s v="EVAPORATOR, TOYOTA INNOVA NEW (F) CENTRAL"/>
    <s v="CA-001373"/>
    <n v="1"/>
    <n v="2000"/>
    <m/>
    <n v="2000"/>
    <x v="0"/>
    <n v="3216"/>
    <n v="1750"/>
    <n v="1750"/>
    <n v="1837.5"/>
    <n v="162.5"/>
    <n v="0"/>
    <x v="10"/>
    <x v="2"/>
    <e v="#REF!"/>
    <e v="#REF!"/>
    <s v=""/>
    <n v="8.1250000000000003E-2"/>
  </r>
  <r>
    <x v="9"/>
    <x v="242"/>
    <x v="4"/>
    <x v="25"/>
    <m/>
    <m/>
    <s v="AUXFAN_MOTOR, HONDA CRV (3070 / 3130)"/>
    <s v="CA-000007"/>
    <n v="1"/>
    <n v="1600"/>
    <m/>
    <n v="1600"/>
    <x v="0"/>
    <n v="1654"/>
    <n v="900"/>
    <n v="900"/>
    <n v="945"/>
    <n v="655"/>
    <n v="196.5"/>
    <x v="14"/>
    <x v="2"/>
    <e v="#REF!"/>
    <e v="#REF!"/>
    <s v=""/>
    <n v="0.40937499999999999"/>
  </r>
  <r>
    <x v="9"/>
    <x v="242"/>
    <x v="6"/>
    <x v="159"/>
    <m/>
    <m/>
    <s v="AUXIALLIARY_FAN, POKKA 10 BLADES X 12VOLTS"/>
    <s v="CA-000106"/>
    <n v="2"/>
    <n v="680"/>
    <m/>
    <n v="1360"/>
    <x v="0"/>
    <n v="772"/>
    <n v="420"/>
    <n v="840"/>
    <n v="882"/>
    <n v="478"/>
    <n v="143.4"/>
    <x v="16"/>
    <x v="2"/>
    <e v="#REF!"/>
    <e v="#REF!"/>
    <s v=""/>
    <n v="0.35147058823529409"/>
  </r>
  <r>
    <x v="9"/>
    <x v="242"/>
    <x v="7"/>
    <x v="135"/>
    <m/>
    <m/>
    <m/>
    <s v=""/>
    <m/>
    <m/>
    <m/>
    <n v="0"/>
    <x v="0"/>
    <n v="0"/>
    <n v="0"/>
    <n v="0"/>
    <n v="0"/>
    <n v="0"/>
    <n v="0"/>
    <x v="13"/>
    <x v="3"/>
    <e v="#REF!"/>
    <e v="#REF!"/>
    <s v=""/>
    <n v="0"/>
  </r>
  <r>
    <x v="9"/>
    <x v="242"/>
    <x v="7"/>
    <x v="135"/>
    <m/>
    <m/>
    <m/>
    <s v=""/>
    <m/>
    <m/>
    <m/>
    <n v="0"/>
    <x v="0"/>
    <n v="0"/>
    <n v="0"/>
    <n v="0"/>
    <n v="0"/>
    <n v="0"/>
    <n v="0"/>
    <x v="13"/>
    <x v="3"/>
    <e v="#REF!"/>
    <e v="#REF!"/>
    <s v=""/>
    <n v="0"/>
  </r>
  <r>
    <x v="9"/>
    <x v="242"/>
    <x v="7"/>
    <x v="135"/>
    <m/>
    <m/>
    <m/>
    <s v=""/>
    <m/>
    <m/>
    <m/>
    <n v="0"/>
    <x v="0"/>
    <n v="0"/>
    <n v="0"/>
    <n v="0"/>
    <n v="0"/>
    <n v="0"/>
    <n v="0"/>
    <x v="13"/>
    <x v="3"/>
    <e v="#REF!"/>
    <e v="#REF!"/>
    <s v=""/>
    <n v="0"/>
  </r>
  <r>
    <x v="9"/>
    <x v="242"/>
    <x v="7"/>
    <x v="135"/>
    <m/>
    <m/>
    <m/>
    <s v=""/>
    <m/>
    <m/>
    <m/>
    <n v="0"/>
    <x v="0"/>
    <n v="0"/>
    <n v="0"/>
    <n v="0"/>
    <n v="0"/>
    <n v="0"/>
    <n v="0"/>
    <x v="13"/>
    <x v="3"/>
    <e v="#REF!"/>
    <e v="#REF!"/>
    <s v=""/>
    <n v="0"/>
  </r>
  <r>
    <x v="9"/>
    <x v="242"/>
    <x v="7"/>
    <x v="135"/>
    <m/>
    <m/>
    <m/>
    <s v=""/>
    <m/>
    <m/>
    <m/>
    <n v="0"/>
    <x v="0"/>
    <n v="0"/>
    <n v="0"/>
    <n v="0"/>
    <n v="0"/>
    <n v="0"/>
    <n v="0"/>
    <x v="13"/>
    <x v="3"/>
    <e v="#REF!"/>
    <e v="#REF!"/>
    <s v=""/>
    <n v="0"/>
  </r>
  <r>
    <x v="9"/>
    <x v="242"/>
    <x v="7"/>
    <x v="135"/>
    <m/>
    <m/>
    <m/>
    <s v=""/>
    <m/>
    <m/>
    <m/>
    <n v="0"/>
    <x v="0"/>
    <n v="0"/>
    <n v="0"/>
    <n v="0"/>
    <n v="0"/>
    <n v="0"/>
    <n v="0"/>
    <x v="13"/>
    <x v="3"/>
    <e v="#REF!"/>
    <e v="#REF!"/>
    <s v=""/>
    <n v="0"/>
  </r>
  <r>
    <x v="9"/>
    <x v="242"/>
    <x v="7"/>
    <x v="135"/>
    <m/>
    <m/>
    <m/>
    <s v=""/>
    <m/>
    <m/>
    <m/>
    <n v="0"/>
    <x v="0"/>
    <n v="0"/>
    <n v="0"/>
    <n v="0"/>
    <n v="0"/>
    <n v="0"/>
    <n v="0"/>
    <x v="13"/>
    <x v="3"/>
    <e v="#REF!"/>
    <e v="#REF!"/>
    <s v=""/>
    <n v="0"/>
  </r>
  <r>
    <x v="9"/>
    <x v="242"/>
    <x v="7"/>
    <x v="135"/>
    <m/>
    <m/>
    <m/>
    <s v=""/>
    <m/>
    <m/>
    <m/>
    <n v="0"/>
    <x v="0"/>
    <n v="0"/>
    <n v="0"/>
    <n v="0"/>
    <n v="0"/>
    <n v="0"/>
    <n v="0"/>
    <x v="13"/>
    <x v="3"/>
    <e v="#REF!"/>
    <e v="#REF!"/>
    <s v=""/>
    <n v="0"/>
  </r>
  <r>
    <x v="9"/>
    <x v="242"/>
    <x v="7"/>
    <x v="135"/>
    <m/>
    <m/>
    <m/>
    <s v=""/>
    <m/>
    <m/>
    <m/>
    <n v="0"/>
    <x v="0"/>
    <n v="0"/>
    <n v="0"/>
    <n v="0"/>
    <n v="0"/>
    <n v="0"/>
    <n v="0"/>
    <x v="13"/>
    <x v="3"/>
    <e v="#REF!"/>
    <e v="#REF!"/>
    <s v=""/>
    <n v="0"/>
  </r>
  <r>
    <x v="9"/>
    <x v="242"/>
    <x v="7"/>
    <x v="135"/>
    <m/>
    <m/>
    <m/>
    <s v=""/>
    <m/>
    <m/>
    <m/>
    <n v="0"/>
    <x v="0"/>
    <n v="0"/>
    <n v="0"/>
    <n v="0"/>
    <n v="0"/>
    <n v="0"/>
    <n v="0"/>
    <x v="13"/>
    <x v="3"/>
    <e v="#REF!"/>
    <e v="#REF!"/>
    <s v=""/>
    <n v="0"/>
  </r>
  <r>
    <x v="9"/>
    <x v="243"/>
    <x v="7"/>
    <x v="135"/>
    <m/>
    <m/>
    <m/>
    <s v=""/>
    <m/>
    <m/>
    <m/>
    <n v="0"/>
    <x v="0"/>
    <n v="0"/>
    <n v="0"/>
    <n v="0"/>
    <n v="0"/>
    <n v="0"/>
    <n v="0"/>
    <x v="13"/>
    <x v="3"/>
    <e v="#REF!"/>
    <e v="#REF!"/>
    <s v=""/>
    <n v="0"/>
  </r>
  <r>
    <x v="9"/>
    <x v="244"/>
    <x v="7"/>
    <x v="135"/>
    <m/>
    <m/>
    <m/>
    <s v=""/>
    <m/>
    <m/>
    <m/>
    <n v="0"/>
    <x v="0"/>
    <n v="0"/>
    <n v="0"/>
    <n v="0"/>
    <n v="0"/>
    <n v="0"/>
    <n v="0"/>
    <x v="13"/>
    <x v="3"/>
    <e v="#REF!"/>
    <e v="#REF!"/>
    <s v=""/>
    <n v="0"/>
  </r>
  <r>
    <x v="9"/>
    <x v="245"/>
    <x v="7"/>
    <x v="135"/>
    <m/>
    <m/>
    <m/>
    <s v=""/>
    <m/>
    <m/>
    <m/>
    <n v="0"/>
    <x v="0"/>
    <n v="0"/>
    <n v="0"/>
    <n v="0"/>
    <n v="0"/>
    <n v="0"/>
    <n v="0"/>
    <x v="13"/>
    <x v="3"/>
    <s v=""/>
    <s v=""/>
    <s v=""/>
    <n v="0"/>
  </r>
  <r>
    <x v="9"/>
    <x v="246"/>
    <x v="7"/>
    <x v="135"/>
    <m/>
    <m/>
    <m/>
    <s v=""/>
    <m/>
    <m/>
    <m/>
    <n v="0"/>
    <x v="0"/>
    <n v="0"/>
    <n v="0"/>
    <n v="0"/>
    <n v="0"/>
    <n v="0"/>
    <n v="0"/>
    <x v="13"/>
    <x v="3"/>
    <s v=""/>
    <s v=""/>
    <s v=""/>
    <n v="0"/>
  </r>
  <r>
    <x v="9"/>
    <x v="247"/>
    <x v="7"/>
    <x v="135"/>
    <m/>
    <m/>
    <m/>
    <s v=""/>
    <m/>
    <m/>
    <m/>
    <n v="0"/>
    <x v="0"/>
    <n v="0"/>
    <n v="0"/>
    <n v="0"/>
    <n v="0"/>
    <n v="0"/>
    <n v="0"/>
    <x v="13"/>
    <x v="3"/>
    <s v=""/>
    <s v=""/>
    <s v=""/>
    <n v="0"/>
  </r>
  <r>
    <x v="9"/>
    <x v="248"/>
    <x v="7"/>
    <x v="135"/>
    <m/>
    <m/>
    <m/>
    <s v=""/>
    <m/>
    <m/>
    <m/>
    <n v="0"/>
    <x v="0"/>
    <n v="0"/>
    <n v="0"/>
    <n v="0"/>
    <n v="0"/>
    <n v="0"/>
    <n v="0"/>
    <x v="13"/>
    <x v="3"/>
    <s v=""/>
    <s v=""/>
    <s v=""/>
    <n v="0"/>
  </r>
  <r>
    <x v="9"/>
    <x v="249"/>
    <x v="7"/>
    <x v="135"/>
    <m/>
    <m/>
    <m/>
    <s v=""/>
    <m/>
    <m/>
    <m/>
    <n v="0"/>
    <x v="0"/>
    <n v="0"/>
    <n v="0"/>
    <n v="0"/>
    <n v="0"/>
    <n v="0"/>
    <n v="0"/>
    <x v="13"/>
    <x v="3"/>
    <s v=""/>
    <s v=""/>
    <s v=""/>
    <n v="0"/>
  </r>
  <r>
    <x v="9"/>
    <x v="250"/>
    <x v="7"/>
    <x v="135"/>
    <m/>
    <m/>
    <m/>
    <s v=""/>
    <m/>
    <m/>
    <m/>
    <n v="0"/>
    <x v="0"/>
    <n v="0"/>
    <n v="0"/>
    <n v="0"/>
    <n v="0"/>
    <n v="0"/>
    <n v="0"/>
    <x v="13"/>
    <x v="3"/>
    <s v=""/>
    <s v=""/>
    <s v=""/>
    <n v="0"/>
  </r>
  <r>
    <x v="9"/>
    <x v="251"/>
    <x v="7"/>
    <x v="135"/>
    <m/>
    <m/>
    <m/>
    <s v=""/>
    <m/>
    <m/>
    <m/>
    <n v="0"/>
    <x v="0"/>
    <n v="0"/>
    <n v="0"/>
    <n v="0"/>
    <n v="0"/>
    <n v="0"/>
    <n v="0"/>
    <x v="13"/>
    <x v="3"/>
    <m/>
    <m/>
    <s v=""/>
    <n v="0"/>
  </r>
  <r>
    <x v="9"/>
    <x v="252"/>
    <x v="7"/>
    <x v="135"/>
    <m/>
    <m/>
    <m/>
    <s v=""/>
    <m/>
    <m/>
    <m/>
    <n v="0"/>
    <x v="0"/>
    <n v="0"/>
    <n v="0"/>
    <n v="0"/>
    <n v="0"/>
    <n v="0"/>
    <n v="0"/>
    <x v="13"/>
    <x v="3"/>
    <s v=""/>
    <s v=""/>
    <s v=""/>
    <n v="0"/>
  </r>
  <r>
    <x v="9"/>
    <x v="253"/>
    <x v="7"/>
    <x v="135"/>
    <m/>
    <m/>
    <m/>
    <s v=""/>
    <m/>
    <m/>
    <m/>
    <n v="0"/>
    <x v="0"/>
    <n v="0"/>
    <n v="0"/>
    <n v="0"/>
    <n v="0"/>
    <n v="0"/>
    <n v="0"/>
    <x v="13"/>
    <x v="3"/>
    <s v=""/>
    <s v=""/>
    <s v=""/>
    <n v="0"/>
  </r>
  <r>
    <x v="9"/>
    <x v="254"/>
    <x v="7"/>
    <x v="135"/>
    <m/>
    <m/>
    <m/>
    <s v=""/>
    <m/>
    <m/>
    <m/>
    <n v="0"/>
    <x v="0"/>
    <n v="0"/>
    <n v="0"/>
    <n v="0"/>
    <n v="0"/>
    <n v="0"/>
    <n v="0"/>
    <x v="13"/>
    <x v="3"/>
    <s v=""/>
    <s v=""/>
    <s v=""/>
    <n v="0"/>
  </r>
  <r>
    <x v="9"/>
    <x v="255"/>
    <x v="7"/>
    <x v="135"/>
    <m/>
    <m/>
    <m/>
    <s v=""/>
    <m/>
    <m/>
    <m/>
    <n v="0"/>
    <x v="0"/>
    <n v="0"/>
    <n v="0"/>
    <n v="0"/>
    <n v="0"/>
    <n v="0"/>
    <n v="0"/>
    <x v="13"/>
    <x v="3"/>
    <s v=""/>
    <s v=""/>
    <s v=""/>
    <n v="0"/>
  </r>
  <r>
    <x v="9"/>
    <x v="256"/>
    <x v="7"/>
    <x v="135"/>
    <m/>
    <m/>
    <m/>
    <s v=""/>
    <m/>
    <m/>
    <m/>
    <n v="0"/>
    <x v="0"/>
    <n v="0"/>
    <n v="0"/>
    <n v="0"/>
    <n v="0"/>
    <n v="0"/>
    <n v="0"/>
    <x v="13"/>
    <x v="3"/>
    <s v=""/>
    <s v=""/>
    <s v=""/>
    <n v="0"/>
  </r>
  <r>
    <x v="9"/>
    <x v="257"/>
    <x v="7"/>
    <x v="135"/>
    <m/>
    <m/>
    <m/>
    <s v=""/>
    <m/>
    <m/>
    <m/>
    <n v="0"/>
    <x v="0"/>
    <n v="0"/>
    <n v="0"/>
    <n v="0"/>
    <n v="0"/>
    <n v="0"/>
    <n v="0"/>
    <x v="13"/>
    <x v="3"/>
    <s v=""/>
    <s v=""/>
    <s v=""/>
    <n v="0"/>
  </r>
  <r>
    <x v="9"/>
    <x v="258"/>
    <x v="7"/>
    <x v="135"/>
    <m/>
    <m/>
    <m/>
    <s v=""/>
    <m/>
    <m/>
    <m/>
    <n v="0"/>
    <x v="0"/>
    <n v="0"/>
    <n v="0"/>
    <n v="0"/>
    <n v="0"/>
    <n v="0"/>
    <n v="0"/>
    <x v="13"/>
    <x v="3"/>
    <s v=""/>
    <s v=""/>
    <s v=""/>
    <n v="0"/>
  </r>
  <r>
    <x v="9"/>
    <x v="259"/>
    <x v="7"/>
    <x v="135"/>
    <m/>
    <m/>
    <m/>
    <s v=""/>
    <m/>
    <m/>
    <m/>
    <n v="0"/>
    <x v="0"/>
    <n v="0"/>
    <n v="0"/>
    <n v="0"/>
    <n v="0"/>
    <n v="0"/>
    <n v="0"/>
    <x v="13"/>
    <x v="3"/>
    <s v=""/>
    <s v=""/>
    <s v=""/>
    <n v="0"/>
  </r>
  <r>
    <x v="9"/>
    <x v="260"/>
    <x v="7"/>
    <x v="135"/>
    <m/>
    <m/>
    <m/>
    <s v=""/>
    <m/>
    <m/>
    <m/>
    <n v="0"/>
    <x v="0"/>
    <n v="0"/>
    <n v="0"/>
    <n v="0"/>
    <n v="0"/>
    <n v="0"/>
    <n v="0"/>
    <x v="13"/>
    <x v="3"/>
    <s v=""/>
    <s v=""/>
    <s v=""/>
    <n v="0"/>
  </r>
  <r>
    <x v="9"/>
    <x v="261"/>
    <x v="7"/>
    <x v="135"/>
    <m/>
    <m/>
    <m/>
    <s v=""/>
    <m/>
    <m/>
    <m/>
    <n v="0"/>
    <x v="0"/>
    <n v="0"/>
    <n v="0"/>
    <n v="0"/>
    <n v="0"/>
    <n v="0"/>
    <n v="0"/>
    <x v="13"/>
    <x v="3"/>
    <s v=""/>
    <s v=""/>
    <s v=""/>
    <n v="0"/>
  </r>
  <r>
    <x v="9"/>
    <x v="262"/>
    <x v="7"/>
    <x v="135"/>
    <m/>
    <m/>
    <m/>
    <s v=""/>
    <m/>
    <m/>
    <m/>
    <n v="0"/>
    <x v="0"/>
    <n v="0"/>
    <n v="0"/>
    <n v="0"/>
    <n v="0"/>
    <n v="0"/>
    <n v="0"/>
    <x v="13"/>
    <x v="3"/>
    <s v=""/>
    <s v=""/>
    <s v=""/>
    <n v="0"/>
  </r>
  <r>
    <x v="9"/>
    <x v="263"/>
    <x v="7"/>
    <x v="135"/>
    <m/>
    <m/>
    <m/>
    <s v=""/>
    <m/>
    <m/>
    <m/>
    <n v="0"/>
    <x v="0"/>
    <n v="0"/>
    <n v="0"/>
    <n v="0"/>
    <n v="0"/>
    <n v="0"/>
    <n v="0"/>
    <x v="13"/>
    <x v="3"/>
    <s v=""/>
    <s v=""/>
    <s v=""/>
    <n v="0"/>
  </r>
  <r>
    <x v="9"/>
    <x v="264"/>
    <x v="7"/>
    <x v="135"/>
    <m/>
    <m/>
    <m/>
    <s v=""/>
    <m/>
    <m/>
    <m/>
    <n v="0"/>
    <x v="0"/>
    <n v="0"/>
    <n v="0"/>
    <n v="0"/>
    <n v="0"/>
    <n v="0"/>
    <n v="0"/>
    <x v="13"/>
    <x v="3"/>
    <s v=""/>
    <s v=""/>
    <s v=""/>
    <n v="0"/>
  </r>
  <r>
    <x v="9"/>
    <x v="265"/>
    <x v="7"/>
    <x v="135"/>
    <m/>
    <m/>
    <m/>
    <s v=""/>
    <m/>
    <m/>
    <m/>
    <n v="0"/>
    <x v="0"/>
    <n v="0"/>
    <n v="0"/>
    <n v="0"/>
    <n v="0"/>
    <n v="0"/>
    <n v="0"/>
    <x v="13"/>
    <x v="3"/>
    <s v=""/>
    <s v=""/>
    <s v=""/>
    <n v="0"/>
  </r>
  <r>
    <x v="9"/>
    <x v="266"/>
    <x v="7"/>
    <x v="135"/>
    <m/>
    <m/>
    <m/>
    <s v=""/>
    <m/>
    <m/>
    <m/>
    <n v="0"/>
    <x v="0"/>
    <n v="0"/>
    <n v="0"/>
    <n v="0"/>
    <n v="0"/>
    <n v="0"/>
    <n v="0"/>
    <x v="13"/>
    <x v="3"/>
    <s v=""/>
    <s v=""/>
    <s v=""/>
    <n v="0"/>
  </r>
  <r>
    <x v="9"/>
    <x v="267"/>
    <x v="7"/>
    <x v="135"/>
    <m/>
    <m/>
    <m/>
    <s v=""/>
    <m/>
    <m/>
    <m/>
    <n v="0"/>
    <x v="0"/>
    <n v="0"/>
    <n v="0"/>
    <n v="0"/>
    <n v="0"/>
    <n v="0"/>
    <n v="0"/>
    <x v="13"/>
    <x v="3"/>
    <s v=""/>
    <s v=""/>
    <s v=""/>
    <n v="0"/>
  </r>
  <r>
    <x v="9"/>
    <x v="268"/>
    <x v="7"/>
    <x v="135"/>
    <m/>
    <m/>
    <m/>
    <s v=""/>
    <m/>
    <m/>
    <m/>
    <n v="0"/>
    <x v="0"/>
    <n v="0"/>
    <n v="0"/>
    <n v="0"/>
    <n v="0"/>
    <n v="0"/>
    <n v="0"/>
    <x v="13"/>
    <x v="3"/>
    <s v=""/>
    <s v=""/>
    <s v=""/>
    <n v="0"/>
  </r>
  <r>
    <x v="9"/>
    <x v="269"/>
    <x v="7"/>
    <x v="135"/>
    <m/>
    <m/>
    <m/>
    <m/>
    <m/>
    <m/>
    <m/>
    <n v="0"/>
    <x v="0"/>
    <n v="0"/>
    <n v="0"/>
    <n v="0"/>
    <n v="0"/>
    <n v="0"/>
    <n v="0"/>
    <x v="13"/>
    <x v="3"/>
    <s v=""/>
    <s v=""/>
    <s v=""/>
    <n v="0"/>
  </r>
  <r>
    <x v="9"/>
    <x v="270"/>
    <x v="7"/>
    <x v="135"/>
    <m/>
    <m/>
    <m/>
    <s v=""/>
    <m/>
    <m/>
    <m/>
    <n v="0"/>
    <x v="0"/>
    <n v="0"/>
    <n v="0"/>
    <n v="0"/>
    <n v="0"/>
    <n v="0"/>
    <n v="0"/>
    <x v="13"/>
    <x v="3"/>
    <s v=""/>
    <s v=""/>
    <s v=""/>
    <n v="0"/>
  </r>
  <r>
    <x v="9"/>
    <x v="271"/>
    <x v="7"/>
    <x v="135"/>
    <m/>
    <m/>
    <m/>
    <s v=""/>
    <m/>
    <m/>
    <m/>
    <n v="0"/>
    <x v="0"/>
    <n v="0"/>
    <n v="0"/>
    <n v="0"/>
    <n v="0"/>
    <n v="0"/>
    <n v="0"/>
    <x v="13"/>
    <x v="3"/>
    <s v=""/>
    <s v=""/>
    <s v=""/>
    <n v="0"/>
  </r>
  <r>
    <x v="10"/>
    <x v="272"/>
    <x v="7"/>
    <x v="135"/>
    <m/>
    <m/>
    <m/>
    <s v=""/>
    <m/>
    <m/>
    <m/>
    <n v="0"/>
    <x v="0"/>
    <n v="0"/>
    <n v="0"/>
    <n v="0"/>
    <n v="0"/>
    <n v="0"/>
    <n v="0"/>
    <x v="13"/>
    <x v="3"/>
    <s v=""/>
    <s v=""/>
    <s v=""/>
    <n v="0"/>
  </r>
  <r>
    <x v="10"/>
    <x v="273"/>
    <x v="7"/>
    <x v="135"/>
    <m/>
    <m/>
    <m/>
    <s v=""/>
    <m/>
    <m/>
    <m/>
    <n v="0"/>
    <x v="0"/>
    <n v="0"/>
    <n v="0"/>
    <n v="0"/>
    <n v="0"/>
    <n v="0"/>
    <n v="0"/>
    <x v="13"/>
    <x v="3"/>
    <s v=""/>
    <s v=""/>
    <s v=""/>
    <n v="0"/>
  </r>
  <r>
    <x v="10"/>
    <x v="274"/>
    <x v="7"/>
    <x v="135"/>
    <m/>
    <m/>
    <m/>
    <s v=""/>
    <m/>
    <m/>
    <m/>
    <n v="0"/>
    <x v="0"/>
    <n v="0"/>
    <n v="0"/>
    <n v="0"/>
    <n v="0"/>
    <n v="0"/>
    <n v="0"/>
    <x v="13"/>
    <x v="3"/>
    <s v=""/>
    <s v=""/>
    <s v=""/>
    <n v="0"/>
  </r>
  <r>
    <x v="10"/>
    <x v="275"/>
    <x v="7"/>
    <x v="135"/>
    <m/>
    <m/>
    <m/>
    <s v=""/>
    <m/>
    <m/>
    <m/>
    <n v="0"/>
    <x v="0"/>
    <n v="0"/>
    <n v="0"/>
    <n v="0"/>
    <n v="0"/>
    <n v="0"/>
    <n v="0"/>
    <x v="13"/>
    <x v="3"/>
    <s v=""/>
    <s v=""/>
    <s v=""/>
    <n v="0"/>
  </r>
  <r>
    <x v="10"/>
    <x v="276"/>
    <x v="7"/>
    <x v="135"/>
    <m/>
    <m/>
    <m/>
    <s v=""/>
    <m/>
    <m/>
    <m/>
    <n v="0"/>
    <x v="0"/>
    <n v="0"/>
    <n v="0"/>
    <n v="0"/>
    <n v="0"/>
    <n v="0"/>
    <n v="0"/>
    <x v="13"/>
    <x v="3"/>
    <m/>
    <m/>
    <m/>
    <n v="0"/>
  </r>
  <r>
    <x v="10"/>
    <x v="277"/>
    <x v="7"/>
    <x v="135"/>
    <m/>
    <m/>
    <m/>
    <s v=""/>
    <m/>
    <m/>
    <m/>
    <n v="0"/>
    <x v="0"/>
    <n v="0"/>
    <n v="0"/>
    <n v="0"/>
    <n v="0"/>
    <n v="0"/>
    <n v="0"/>
    <x v="13"/>
    <x v="3"/>
    <m/>
    <m/>
    <m/>
    <n v="0"/>
  </r>
  <r>
    <x v="10"/>
    <x v="278"/>
    <x v="7"/>
    <x v="135"/>
    <m/>
    <m/>
    <m/>
    <m/>
    <m/>
    <m/>
    <m/>
    <n v="0"/>
    <x v="0"/>
    <n v="0"/>
    <n v="0"/>
    <n v="0"/>
    <n v="0"/>
    <n v="0"/>
    <n v="0"/>
    <x v="13"/>
    <x v="3"/>
    <s v=""/>
    <s v=""/>
    <s v=""/>
    <n v="0"/>
  </r>
  <r>
    <x v="10"/>
    <x v="279"/>
    <x v="7"/>
    <x v="135"/>
    <m/>
    <m/>
    <m/>
    <s v=""/>
    <m/>
    <m/>
    <m/>
    <n v="0"/>
    <x v="0"/>
    <n v="0"/>
    <n v="0"/>
    <n v="0"/>
    <n v="0"/>
    <n v="0"/>
    <n v="0"/>
    <x v="13"/>
    <x v="3"/>
    <s v=""/>
    <s v=""/>
    <s v=""/>
    <n v="0"/>
  </r>
  <r>
    <x v="10"/>
    <x v="280"/>
    <x v="7"/>
    <x v="135"/>
    <m/>
    <m/>
    <m/>
    <s v=""/>
    <m/>
    <m/>
    <m/>
    <n v="0"/>
    <x v="0"/>
    <n v="0"/>
    <n v="0"/>
    <n v="0"/>
    <n v="0"/>
    <n v="0"/>
    <n v="0"/>
    <x v="13"/>
    <x v="3"/>
    <s v=""/>
    <s v=""/>
    <s v=""/>
    <n v="0"/>
  </r>
  <r>
    <x v="10"/>
    <x v="281"/>
    <x v="7"/>
    <x v="135"/>
    <m/>
    <m/>
    <m/>
    <s v=""/>
    <m/>
    <m/>
    <m/>
    <n v="0"/>
    <x v="0"/>
    <n v="0"/>
    <n v="0"/>
    <n v="0"/>
    <n v="0"/>
    <n v="0"/>
    <n v="0"/>
    <x v="13"/>
    <x v="3"/>
    <s v=""/>
    <s v=""/>
    <s v=""/>
    <n v="0"/>
  </r>
  <r>
    <x v="10"/>
    <x v="282"/>
    <x v="7"/>
    <x v="135"/>
    <m/>
    <m/>
    <m/>
    <s v=""/>
    <m/>
    <m/>
    <m/>
    <n v="0"/>
    <x v="0"/>
    <n v="0"/>
    <n v="0"/>
    <n v="0"/>
    <n v="0"/>
    <n v="0"/>
    <n v="0"/>
    <x v="13"/>
    <x v="3"/>
    <s v=""/>
    <s v=""/>
    <s v=""/>
    <n v="0"/>
  </r>
  <r>
    <x v="10"/>
    <x v="283"/>
    <x v="7"/>
    <x v="135"/>
    <m/>
    <m/>
    <m/>
    <s v=""/>
    <m/>
    <m/>
    <m/>
    <n v="0"/>
    <x v="0"/>
    <n v="0"/>
    <n v="0"/>
    <n v="0"/>
    <n v="0"/>
    <n v="0"/>
    <n v="0"/>
    <x v="13"/>
    <x v="3"/>
    <s v=""/>
    <s v=""/>
    <s v=""/>
    <n v="0"/>
  </r>
  <r>
    <x v="10"/>
    <x v="284"/>
    <x v="7"/>
    <x v="135"/>
    <m/>
    <m/>
    <m/>
    <s v=""/>
    <m/>
    <m/>
    <m/>
    <n v="0"/>
    <x v="0"/>
    <n v="0"/>
    <n v="0"/>
    <n v="0"/>
    <n v="0"/>
    <n v="0"/>
    <n v="0"/>
    <x v="13"/>
    <x v="3"/>
    <s v=""/>
    <s v=""/>
    <s v=""/>
    <n v="0"/>
  </r>
  <r>
    <x v="10"/>
    <x v="285"/>
    <x v="7"/>
    <x v="135"/>
    <m/>
    <m/>
    <m/>
    <s v=""/>
    <m/>
    <m/>
    <m/>
    <n v="0"/>
    <x v="0"/>
    <n v="0"/>
    <n v="0"/>
    <n v="0"/>
    <n v="0"/>
    <n v="0"/>
    <n v="0"/>
    <x v="13"/>
    <x v="3"/>
    <s v=""/>
    <s v=""/>
    <s v=""/>
    <n v="0"/>
  </r>
  <r>
    <x v="10"/>
    <x v="286"/>
    <x v="7"/>
    <x v="135"/>
    <m/>
    <m/>
    <m/>
    <s v=""/>
    <m/>
    <m/>
    <m/>
    <n v="0"/>
    <x v="0"/>
    <n v="0"/>
    <n v="0"/>
    <n v="0"/>
    <n v="0"/>
    <n v="0"/>
    <n v="0"/>
    <x v="13"/>
    <x v="3"/>
    <s v=""/>
    <s v=""/>
    <s v=""/>
    <n v="0"/>
  </r>
  <r>
    <x v="10"/>
    <x v="287"/>
    <x v="7"/>
    <x v="135"/>
    <m/>
    <m/>
    <m/>
    <s v=""/>
    <m/>
    <m/>
    <m/>
    <n v="0"/>
    <x v="0"/>
    <n v="0"/>
    <n v="0"/>
    <n v="0"/>
    <n v="0"/>
    <n v="0"/>
    <n v="0"/>
    <x v="13"/>
    <x v="3"/>
    <s v=""/>
    <s v=""/>
    <s v=""/>
    <n v="0"/>
  </r>
  <r>
    <x v="10"/>
    <x v="288"/>
    <x v="7"/>
    <x v="135"/>
    <m/>
    <m/>
    <m/>
    <s v=""/>
    <m/>
    <m/>
    <m/>
    <n v="0"/>
    <x v="0"/>
    <n v="0"/>
    <n v="0"/>
    <n v="0"/>
    <n v="0"/>
    <n v="0"/>
    <n v="0"/>
    <x v="13"/>
    <x v="3"/>
    <s v=""/>
    <s v=""/>
    <s v=""/>
    <n v="0"/>
  </r>
  <r>
    <x v="10"/>
    <x v="289"/>
    <x v="7"/>
    <x v="135"/>
    <m/>
    <m/>
    <m/>
    <s v=""/>
    <m/>
    <m/>
    <m/>
    <n v="0"/>
    <x v="0"/>
    <n v="0"/>
    <n v="0"/>
    <n v="0"/>
    <n v="0"/>
    <n v="0"/>
    <n v="0"/>
    <x v="13"/>
    <x v="3"/>
    <s v=""/>
    <s v=""/>
    <s v=""/>
    <n v="0"/>
  </r>
  <r>
    <x v="10"/>
    <x v="290"/>
    <x v="7"/>
    <x v="135"/>
    <m/>
    <m/>
    <m/>
    <s v=""/>
    <m/>
    <m/>
    <m/>
    <n v="0"/>
    <x v="0"/>
    <n v="0"/>
    <n v="0"/>
    <n v="0"/>
    <n v="0"/>
    <n v="0"/>
    <n v="0"/>
    <x v="13"/>
    <x v="3"/>
    <s v=""/>
    <s v=""/>
    <s v=""/>
    <n v="0"/>
  </r>
  <r>
    <x v="10"/>
    <x v="291"/>
    <x v="7"/>
    <x v="135"/>
    <m/>
    <m/>
    <m/>
    <s v=""/>
    <m/>
    <m/>
    <m/>
    <n v="0"/>
    <x v="0"/>
    <n v="0"/>
    <n v="0"/>
    <n v="0"/>
    <n v="0"/>
    <n v="0"/>
    <n v="0"/>
    <x v="13"/>
    <x v="3"/>
    <s v=""/>
    <s v=""/>
    <s v=""/>
    <n v="0"/>
  </r>
  <r>
    <x v="10"/>
    <x v="292"/>
    <x v="7"/>
    <x v="135"/>
    <m/>
    <m/>
    <m/>
    <s v=""/>
    <m/>
    <m/>
    <m/>
    <n v="0"/>
    <x v="0"/>
    <n v="0"/>
    <n v="0"/>
    <n v="0"/>
    <n v="0"/>
    <n v="0"/>
    <n v="0"/>
    <x v="13"/>
    <x v="3"/>
    <s v=""/>
    <s v=""/>
    <s v=""/>
    <n v="0"/>
  </r>
  <r>
    <x v="10"/>
    <x v="293"/>
    <x v="11"/>
    <x v="135"/>
    <m/>
    <m/>
    <m/>
    <m/>
    <m/>
    <m/>
    <m/>
    <n v="0"/>
    <x v="0"/>
    <n v="0"/>
    <n v="0"/>
    <n v="0"/>
    <n v="0"/>
    <n v="0"/>
    <n v="0"/>
    <x v="13"/>
    <x v="3"/>
    <s v=""/>
    <s v=""/>
    <s v=""/>
    <n v="0"/>
  </r>
  <r>
    <x v="10"/>
    <x v="294"/>
    <x v="7"/>
    <x v="135"/>
    <m/>
    <m/>
    <m/>
    <s v=""/>
    <m/>
    <m/>
    <m/>
    <n v="0"/>
    <x v="0"/>
    <n v="0"/>
    <n v="0"/>
    <n v="0"/>
    <n v="0"/>
    <n v="0"/>
    <n v="0"/>
    <x v="13"/>
    <x v="3"/>
    <s v=""/>
    <s v=""/>
    <s v=""/>
    <n v="0"/>
  </r>
  <r>
    <x v="10"/>
    <x v="295"/>
    <x v="7"/>
    <x v="135"/>
    <m/>
    <m/>
    <m/>
    <s v=""/>
    <m/>
    <m/>
    <m/>
    <n v="0"/>
    <x v="0"/>
    <n v="0"/>
    <n v="0"/>
    <n v="0"/>
    <n v="0"/>
    <n v="0"/>
    <n v="0"/>
    <x v="13"/>
    <x v="3"/>
    <s v=""/>
    <s v=""/>
    <s v=""/>
    <n v="0"/>
  </r>
  <r>
    <x v="10"/>
    <x v="296"/>
    <x v="7"/>
    <x v="135"/>
    <m/>
    <m/>
    <m/>
    <s v=""/>
    <m/>
    <m/>
    <m/>
    <n v="0"/>
    <x v="0"/>
    <n v="0"/>
    <n v="0"/>
    <n v="0"/>
    <n v="0"/>
    <n v="0"/>
    <n v="0"/>
    <x v="13"/>
    <x v="3"/>
    <s v=""/>
    <s v=""/>
    <s v=""/>
    <n v="0"/>
  </r>
  <r>
    <x v="10"/>
    <x v="297"/>
    <x v="7"/>
    <x v="135"/>
    <m/>
    <m/>
    <m/>
    <s v=""/>
    <m/>
    <m/>
    <m/>
    <n v="0"/>
    <x v="0"/>
    <n v="0"/>
    <n v="0"/>
    <n v="0"/>
    <n v="0"/>
    <n v="0"/>
    <n v="0"/>
    <x v="13"/>
    <x v="3"/>
    <s v=""/>
    <s v=""/>
    <s v=""/>
    <n v="0"/>
  </r>
  <r>
    <x v="10"/>
    <x v="298"/>
    <x v="7"/>
    <x v="135"/>
    <m/>
    <m/>
    <m/>
    <s v=""/>
    <m/>
    <m/>
    <m/>
    <n v="0"/>
    <x v="0"/>
    <n v="0"/>
    <n v="0"/>
    <n v="0"/>
    <n v="0"/>
    <n v="0"/>
    <n v="0"/>
    <x v="13"/>
    <x v="3"/>
    <s v=""/>
    <s v=""/>
    <s v=""/>
    <n v="0"/>
  </r>
  <r>
    <x v="10"/>
    <x v="299"/>
    <x v="7"/>
    <x v="135"/>
    <m/>
    <m/>
    <m/>
    <m/>
    <m/>
    <m/>
    <m/>
    <n v="0"/>
    <x v="0"/>
    <n v="0"/>
    <n v="0"/>
    <n v="0"/>
    <n v="0"/>
    <n v="0"/>
    <n v="0"/>
    <x v="13"/>
    <x v="3"/>
    <s v=""/>
    <s v=""/>
    <s v=""/>
    <n v="0"/>
  </r>
  <r>
    <x v="10"/>
    <x v="300"/>
    <x v="7"/>
    <x v="135"/>
    <m/>
    <m/>
    <m/>
    <s v=""/>
    <m/>
    <m/>
    <m/>
    <n v="0"/>
    <x v="0"/>
    <n v="0"/>
    <n v="0"/>
    <n v="0"/>
    <n v="0"/>
    <n v="0"/>
    <n v="0"/>
    <x v="13"/>
    <x v="3"/>
    <s v=""/>
    <s v=""/>
    <s v=""/>
    <n v="0"/>
  </r>
  <r>
    <x v="10"/>
    <x v="301"/>
    <x v="7"/>
    <x v="135"/>
    <m/>
    <m/>
    <m/>
    <s v=""/>
    <m/>
    <m/>
    <m/>
    <n v="0"/>
    <x v="0"/>
    <n v="0"/>
    <n v="0"/>
    <n v="0"/>
    <n v="0"/>
    <n v="0"/>
    <n v="0"/>
    <x v="13"/>
    <x v="3"/>
    <s v=""/>
    <s v=""/>
    <s v=""/>
    <n v="0"/>
  </r>
  <r>
    <x v="10"/>
    <x v="302"/>
    <x v="7"/>
    <x v="135"/>
    <m/>
    <m/>
    <m/>
    <s v=""/>
    <m/>
    <m/>
    <m/>
    <n v="0"/>
    <x v="0"/>
    <n v="0"/>
    <n v="0"/>
    <n v="0"/>
    <n v="0"/>
    <n v="0"/>
    <n v="0"/>
    <x v="13"/>
    <x v="3"/>
    <s v=""/>
    <s v=""/>
    <s v=""/>
    <n v="0"/>
  </r>
  <r>
    <x v="11"/>
    <x v="303"/>
    <x v="7"/>
    <x v="135"/>
    <m/>
    <m/>
    <m/>
    <s v=""/>
    <m/>
    <m/>
    <m/>
    <n v="0"/>
    <x v="0"/>
    <n v="0"/>
    <n v="0"/>
    <n v="0"/>
    <n v="0"/>
    <n v="0"/>
    <n v="0"/>
    <x v="13"/>
    <x v="3"/>
    <s v=""/>
    <s v=""/>
    <s v=""/>
    <n v="0"/>
  </r>
  <r>
    <x v="11"/>
    <x v="304"/>
    <x v="7"/>
    <x v="135"/>
    <m/>
    <m/>
    <m/>
    <s v=""/>
    <m/>
    <m/>
    <m/>
    <n v="0"/>
    <x v="0"/>
    <n v="0"/>
    <n v="0"/>
    <n v="0"/>
    <n v="0"/>
    <n v="0"/>
    <n v="0"/>
    <x v="13"/>
    <x v="3"/>
    <s v=""/>
    <s v=""/>
    <s v=""/>
    <n v="0"/>
  </r>
  <r>
    <x v="11"/>
    <x v="305"/>
    <x v="7"/>
    <x v="135"/>
    <m/>
    <m/>
    <m/>
    <s v=""/>
    <m/>
    <m/>
    <m/>
    <n v="0"/>
    <x v="0"/>
    <n v="0"/>
    <n v="0"/>
    <n v="0"/>
    <n v="0"/>
    <n v="0"/>
    <n v="0"/>
    <x v="13"/>
    <x v="3"/>
    <s v=""/>
    <s v=""/>
    <s v=""/>
    <n v="0"/>
  </r>
  <r>
    <x v="11"/>
    <x v="306"/>
    <x v="7"/>
    <x v="135"/>
    <m/>
    <m/>
    <m/>
    <s v=""/>
    <m/>
    <m/>
    <m/>
    <n v="0"/>
    <x v="0"/>
    <n v="0"/>
    <n v="0"/>
    <n v="0"/>
    <n v="0"/>
    <n v="0"/>
    <n v="0"/>
    <x v="13"/>
    <x v="3"/>
    <s v=""/>
    <s v=""/>
    <s v=""/>
    <n v="0"/>
  </r>
  <r>
    <x v="11"/>
    <x v="307"/>
    <x v="7"/>
    <x v="135"/>
    <m/>
    <m/>
    <m/>
    <s v=""/>
    <m/>
    <m/>
    <m/>
    <n v="0"/>
    <x v="0"/>
    <n v="0"/>
    <n v="0"/>
    <n v="0"/>
    <n v="0"/>
    <n v="0"/>
    <n v="0"/>
    <x v="13"/>
    <x v="3"/>
    <s v=""/>
    <s v=""/>
    <s v=""/>
    <n v="0"/>
  </r>
  <r>
    <x v="11"/>
    <x v="308"/>
    <x v="7"/>
    <x v="135"/>
    <m/>
    <m/>
    <m/>
    <s v=""/>
    <m/>
    <m/>
    <m/>
    <n v="0"/>
    <x v="0"/>
    <n v="0"/>
    <n v="0"/>
    <n v="0"/>
    <n v="0"/>
    <n v="0"/>
    <n v="0"/>
    <x v="13"/>
    <x v="3"/>
    <s v=""/>
    <s v=""/>
    <s v=""/>
    <n v="0"/>
  </r>
  <r>
    <x v="11"/>
    <x v="309"/>
    <x v="7"/>
    <x v="135"/>
    <m/>
    <m/>
    <m/>
    <s v=""/>
    <m/>
    <m/>
    <m/>
    <n v="0"/>
    <x v="0"/>
    <n v="0"/>
    <n v="0"/>
    <n v="0"/>
    <n v="0"/>
    <n v="0"/>
    <n v="0"/>
    <x v="13"/>
    <x v="3"/>
    <s v=""/>
    <s v=""/>
    <s v=""/>
    <n v="0"/>
  </r>
  <r>
    <x v="11"/>
    <x v="310"/>
    <x v="7"/>
    <x v="135"/>
    <m/>
    <m/>
    <m/>
    <s v=""/>
    <m/>
    <m/>
    <m/>
    <n v="0"/>
    <x v="0"/>
    <n v="0"/>
    <n v="0"/>
    <n v="0"/>
    <n v="0"/>
    <n v="0"/>
    <n v="0"/>
    <x v="13"/>
    <x v="3"/>
    <s v=""/>
    <s v=""/>
    <s v=""/>
    <n v="0"/>
  </r>
  <r>
    <x v="11"/>
    <x v="311"/>
    <x v="7"/>
    <x v="135"/>
    <m/>
    <m/>
    <m/>
    <s v=""/>
    <m/>
    <m/>
    <m/>
    <n v="0"/>
    <x v="0"/>
    <n v="0"/>
    <n v="0"/>
    <n v="0"/>
    <n v="0"/>
    <n v="0"/>
    <n v="0"/>
    <x v="13"/>
    <x v="3"/>
    <s v=""/>
    <s v=""/>
    <s v=""/>
    <n v="0"/>
  </r>
  <r>
    <x v="11"/>
    <x v="312"/>
    <x v="7"/>
    <x v="135"/>
    <m/>
    <m/>
    <m/>
    <s v=""/>
    <m/>
    <m/>
    <m/>
    <n v="0"/>
    <x v="0"/>
    <n v="0"/>
    <n v="0"/>
    <n v="0"/>
    <n v="0"/>
    <n v="0"/>
    <n v="0"/>
    <x v="13"/>
    <x v="3"/>
    <s v=""/>
    <s v=""/>
    <s v=""/>
    <n v="0"/>
  </r>
  <r>
    <x v="11"/>
    <x v="313"/>
    <x v="7"/>
    <x v="135"/>
    <m/>
    <m/>
    <m/>
    <s v=""/>
    <m/>
    <m/>
    <m/>
    <n v="0"/>
    <x v="0"/>
    <n v="0"/>
    <n v="0"/>
    <n v="0"/>
    <n v="0"/>
    <n v="0"/>
    <n v="0"/>
    <x v="13"/>
    <x v="3"/>
    <s v=""/>
    <s v=""/>
    <s v=""/>
    <n v="0"/>
  </r>
  <r>
    <x v="11"/>
    <x v="314"/>
    <x v="7"/>
    <x v="135"/>
    <m/>
    <m/>
    <m/>
    <s v=""/>
    <m/>
    <m/>
    <m/>
    <n v="0"/>
    <x v="0"/>
    <n v="0"/>
    <n v="0"/>
    <n v="0"/>
    <n v="0"/>
    <n v="0"/>
    <n v="0"/>
    <x v="13"/>
    <x v="3"/>
    <s v=""/>
    <s v=""/>
    <s v=""/>
    <n v="0"/>
  </r>
  <r>
    <x v="11"/>
    <x v="315"/>
    <x v="7"/>
    <x v="135"/>
    <m/>
    <m/>
    <m/>
    <s v=""/>
    <m/>
    <m/>
    <m/>
    <n v="0"/>
    <x v="0"/>
    <n v="0"/>
    <n v="0"/>
    <n v="0"/>
    <n v="0"/>
    <n v="0"/>
    <n v="0"/>
    <x v="13"/>
    <x v="3"/>
    <s v=""/>
    <s v=""/>
    <s v=""/>
    <n v="0"/>
  </r>
  <r>
    <x v="11"/>
    <x v="316"/>
    <x v="7"/>
    <x v="135"/>
    <m/>
    <m/>
    <m/>
    <s v=""/>
    <m/>
    <m/>
    <m/>
    <n v="0"/>
    <x v="0"/>
    <n v="0"/>
    <n v="0"/>
    <n v="0"/>
    <n v="0"/>
    <n v="0"/>
    <n v="0"/>
    <x v="13"/>
    <x v="3"/>
    <s v=""/>
    <s v=""/>
    <s v=""/>
    <n v="0"/>
  </r>
  <r>
    <x v="11"/>
    <x v="317"/>
    <x v="7"/>
    <x v="135"/>
    <m/>
    <m/>
    <m/>
    <s v=""/>
    <m/>
    <m/>
    <m/>
    <n v="0"/>
    <x v="0"/>
    <n v="0"/>
    <n v="0"/>
    <n v="0"/>
    <n v="0"/>
    <n v="0"/>
    <n v="0"/>
    <x v="13"/>
    <x v="3"/>
    <s v=""/>
    <s v=""/>
    <s v=""/>
    <n v="0"/>
  </r>
  <r>
    <x v="11"/>
    <x v="318"/>
    <x v="7"/>
    <x v="135"/>
    <m/>
    <m/>
    <m/>
    <s v=""/>
    <m/>
    <m/>
    <m/>
    <n v="0"/>
    <x v="0"/>
    <n v="0"/>
    <n v="0"/>
    <n v="0"/>
    <n v="0"/>
    <n v="0"/>
    <n v="0"/>
    <x v="13"/>
    <x v="3"/>
    <s v=""/>
    <s v=""/>
    <s v=""/>
    <n v="0"/>
  </r>
  <r>
    <x v="11"/>
    <x v="319"/>
    <x v="7"/>
    <x v="135"/>
    <m/>
    <m/>
    <m/>
    <s v=""/>
    <m/>
    <m/>
    <m/>
    <n v="0"/>
    <x v="0"/>
    <n v="0"/>
    <n v="0"/>
    <n v="0"/>
    <n v="0"/>
    <n v="0"/>
    <n v="0"/>
    <x v="13"/>
    <x v="3"/>
    <s v=""/>
    <s v=""/>
    <s v=""/>
    <n v="0"/>
  </r>
  <r>
    <x v="11"/>
    <x v="320"/>
    <x v="7"/>
    <x v="135"/>
    <m/>
    <m/>
    <m/>
    <s v=""/>
    <m/>
    <m/>
    <m/>
    <n v="0"/>
    <x v="0"/>
    <n v="0"/>
    <n v="0"/>
    <n v="0"/>
    <n v="0"/>
    <n v="0"/>
    <n v="0"/>
    <x v="13"/>
    <x v="3"/>
    <s v=""/>
    <s v=""/>
    <s v=""/>
    <n v="0"/>
  </r>
  <r>
    <x v="11"/>
    <x v="321"/>
    <x v="7"/>
    <x v="135"/>
    <m/>
    <m/>
    <m/>
    <s v=""/>
    <m/>
    <m/>
    <m/>
    <n v="0"/>
    <x v="0"/>
    <n v="0"/>
    <n v="0"/>
    <n v="0"/>
    <n v="0"/>
    <n v="0"/>
    <n v="0"/>
    <x v="13"/>
    <x v="3"/>
    <s v=""/>
    <s v=""/>
    <s v=""/>
    <n v="0"/>
  </r>
  <r>
    <x v="11"/>
    <x v="322"/>
    <x v="7"/>
    <x v="135"/>
    <m/>
    <m/>
    <m/>
    <m/>
    <m/>
    <m/>
    <m/>
    <n v="0"/>
    <x v="0"/>
    <n v="0"/>
    <n v="0"/>
    <n v="0"/>
    <n v="0"/>
    <n v="0"/>
    <n v="0"/>
    <x v="13"/>
    <x v="3"/>
    <s v=""/>
    <s v=""/>
    <s v=""/>
    <n v="0"/>
  </r>
  <r>
    <x v="11"/>
    <x v="323"/>
    <x v="7"/>
    <x v="135"/>
    <m/>
    <m/>
    <m/>
    <s v=""/>
    <m/>
    <m/>
    <m/>
    <n v="0"/>
    <x v="0"/>
    <n v="0"/>
    <n v="0"/>
    <n v="0"/>
    <n v="0"/>
    <n v="0"/>
    <n v="0"/>
    <x v="13"/>
    <x v="3"/>
    <s v=""/>
    <s v=""/>
    <s v=""/>
    <n v="0"/>
  </r>
  <r>
    <x v="11"/>
    <x v="324"/>
    <x v="7"/>
    <x v="135"/>
    <m/>
    <m/>
    <m/>
    <s v=""/>
    <m/>
    <m/>
    <m/>
    <n v="0"/>
    <x v="0"/>
    <n v="0"/>
    <n v="0"/>
    <n v="0"/>
    <n v="0"/>
    <n v="0"/>
    <n v="0"/>
    <x v="13"/>
    <x v="3"/>
    <s v=""/>
    <s v=""/>
    <s v=""/>
    <n v="0"/>
  </r>
  <r>
    <x v="11"/>
    <x v="325"/>
    <x v="7"/>
    <x v="135"/>
    <m/>
    <m/>
    <m/>
    <s v=""/>
    <m/>
    <m/>
    <m/>
    <n v="0"/>
    <x v="0"/>
    <n v="0"/>
    <n v="0"/>
    <n v="0"/>
    <n v="0"/>
    <n v="0"/>
    <n v="0"/>
    <x v="13"/>
    <x v="3"/>
    <s v=""/>
    <s v=""/>
    <s v=""/>
    <n v="0"/>
  </r>
  <r>
    <x v="11"/>
    <x v="326"/>
    <x v="7"/>
    <x v="135"/>
    <m/>
    <m/>
    <m/>
    <s v=""/>
    <m/>
    <m/>
    <m/>
    <n v="0"/>
    <x v="0"/>
    <n v="0"/>
    <n v="0"/>
    <n v="0"/>
    <n v="0"/>
    <n v="0"/>
    <n v="0"/>
    <x v="13"/>
    <x v="3"/>
    <s v=""/>
    <s v=""/>
    <s v=""/>
    <n v="0"/>
  </r>
  <r>
    <x v="11"/>
    <x v="327"/>
    <x v="7"/>
    <x v="135"/>
    <m/>
    <m/>
    <m/>
    <s v=""/>
    <m/>
    <m/>
    <m/>
    <n v="0"/>
    <x v="0"/>
    <n v="0"/>
    <n v="0"/>
    <n v="0"/>
    <n v="0"/>
    <n v="0"/>
    <n v="0"/>
    <x v="13"/>
    <x v="3"/>
    <s v=""/>
    <s v=""/>
    <s v=""/>
    <n v="0"/>
  </r>
  <r>
    <x v="11"/>
    <x v="328"/>
    <x v="7"/>
    <x v="135"/>
    <m/>
    <m/>
    <m/>
    <s v=""/>
    <m/>
    <m/>
    <m/>
    <n v="0"/>
    <x v="0"/>
    <n v="0"/>
    <n v="0"/>
    <n v="0"/>
    <n v="0"/>
    <n v="0"/>
    <n v="0"/>
    <x v="13"/>
    <x v="3"/>
    <s v=""/>
    <s v=""/>
    <s v=""/>
    <n v="0"/>
  </r>
  <r>
    <x v="11"/>
    <x v="329"/>
    <x v="7"/>
    <x v="135"/>
    <m/>
    <m/>
    <m/>
    <s v=""/>
    <m/>
    <m/>
    <m/>
    <n v="0"/>
    <x v="0"/>
    <n v="0"/>
    <n v="0"/>
    <n v="0"/>
    <n v="0"/>
    <n v="0"/>
    <n v="0"/>
    <x v="13"/>
    <x v="3"/>
    <s v=""/>
    <s v=""/>
    <s v=""/>
    <n v="0"/>
  </r>
  <r>
    <x v="11"/>
    <x v="330"/>
    <x v="7"/>
    <x v="135"/>
    <m/>
    <m/>
    <m/>
    <m/>
    <m/>
    <m/>
    <m/>
    <n v="0"/>
    <x v="0"/>
    <n v="0"/>
    <n v="0"/>
    <n v="0"/>
    <n v="0"/>
    <n v="0"/>
    <n v="0"/>
    <x v="13"/>
    <x v="3"/>
    <s v=""/>
    <s v=""/>
    <s v=""/>
    <n v="0"/>
  </r>
  <r>
    <x v="11"/>
    <x v="331"/>
    <x v="7"/>
    <x v="135"/>
    <m/>
    <m/>
    <m/>
    <s v=""/>
    <m/>
    <m/>
    <m/>
    <n v="0"/>
    <x v="0"/>
    <n v="0"/>
    <n v="0"/>
    <n v="0"/>
    <n v="0"/>
    <n v="0"/>
    <n v="0"/>
    <x v="13"/>
    <x v="3"/>
    <s v=""/>
    <s v=""/>
    <s v=""/>
    <n v="0"/>
  </r>
  <r>
    <x v="11"/>
    <x v="332"/>
    <x v="7"/>
    <x v="135"/>
    <m/>
    <m/>
    <m/>
    <s v=""/>
    <m/>
    <m/>
    <m/>
    <n v="0"/>
    <x v="0"/>
    <n v="0"/>
    <n v="0"/>
    <n v="0"/>
    <n v="0"/>
    <n v="0"/>
    <n v="0"/>
    <x v="13"/>
    <x v="3"/>
    <s v=""/>
    <s v=""/>
    <s v=""/>
    <n v="0"/>
  </r>
  <r>
    <x v="12"/>
    <x v="333"/>
    <x v="7"/>
    <x v="135"/>
    <m/>
    <m/>
    <m/>
    <s v=""/>
    <m/>
    <m/>
    <m/>
    <n v="0"/>
    <x v="0"/>
    <n v="0"/>
    <n v="0"/>
    <n v="0"/>
    <n v="0"/>
    <n v="0"/>
    <n v="0"/>
    <x v="13"/>
    <x v="3"/>
    <s v=""/>
    <s v=""/>
    <s v=""/>
    <n v="0"/>
  </r>
  <r>
    <x v="12"/>
    <x v="334"/>
    <x v="7"/>
    <x v="135"/>
    <m/>
    <m/>
    <m/>
    <s v=""/>
    <m/>
    <m/>
    <m/>
    <n v="0"/>
    <x v="0"/>
    <n v="0"/>
    <n v="0"/>
    <n v="0"/>
    <n v="0"/>
    <n v="0"/>
    <n v="0"/>
    <x v="13"/>
    <x v="3"/>
    <s v=""/>
    <s v=""/>
    <s v=""/>
    <n v="0"/>
  </r>
  <r>
    <x v="12"/>
    <x v="335"/>
    <x v="7"/>
    <x v="135"/>
    <m/>
    <m/>
    <m/>
    <s v=""/>
    <m/>
    <m/>
    <m/>
    <n v="0"/>
    <x v="0"/>
    <n v="0"/>
    <n v="0"/>
    <n v="0"/>
    <n v="0"/>
    <n v="0"/>
    <n v="0"/>
    <x v="13"/>
    <x v="3"/>
    <s v=""/>
    <s v=""/>
    <s v=""/>
    <n v="0"/>
  </r>
  <r>
    <x v="12"/>
    <x v="336"/>
    <x v="7"/>
    <x v="135"/>
    <m/>
    <m/>
    <m/>
    <s v=""/>
    <m/>
    <m/>
    <m/>
    <n v="0"/>
    <x v="0"/>
    <n v="0"/>
    <n v="0"/>
    <n v="0"/>
    <n v="0"/>
    <n v="0"/>
    <n v="0"/>
    <x v="13"/>
    <x v="3"/>
    <s v=""/>
    <s v=""/>
    <s v=""/>
    <n v="0"/>
  </r>
  <r>
    <x v="12"/>
    <x v="337"/>
    <x v="7"/>
    <x v="135"/>
    <m/>
    <m/>
    <m/>
    <s v=""/>
    <m/>
    <m/>
    <m/>
    <n v="0"/>
    <x v="0"/>
    <n v="0"/>
    <n v="0"/>
    <n v="0"/>
    <n v="0"/>
    <n v="0"/>
    <n v="0"/>
    <x v="13"/>
    <x v="3"/>
    <s v=""/>
    <s v=""/>
    <s v=""/>
    <n v="0"/>
  </r>
  <r>
    <x v="12"/>
    <x v="338"/>
    <x v="7"/>
    <x v="135"/>
    <m/>
    <m/>
    <m/>
    <s v=""/>
    <m/>
    <m/>
    <m/>
    <n v="0"/>
    <x v="0"/>
    <n v="0"/>
    <n v="0"/>
    <n v="0"/>
    <n v="0"/>
    <n v="0"/>
    <n v="0"/>
    <x v="13"/>
    <x v="3"/>
    <s v=""/>
    <s v=""/>
    <s v=""/>
    <n v="0"/>
  </r>
  <r>
    <x v="12"/>
    <x v="339"/>
    <x v="7"/>
    <x v="135"/>
    <m/>
    <m/>
    <m/>
    <s v=""/>
    <m/>
    <m/>
    <m/>
    <n v="0"/>
    <x v="0"/>
    <n v="0"/>
    <n v="0"/>
    <n v="0"/>
    <n v="0"/>
    <n v="0"/>
    <n v="0"/>
    <x v="13"/>
    <x v="3"/>
    <s v=""/>
    <s v=""/>
    <s v=""/>
    <n v="0"/>
  </r>
  <r>
    <x v="12"/>
    <x v="340"/>
    <x v="7"/>
    <x v="135"/>
    <m/>
    <m/>
    <m/>
    <s v=""/>
    <m/>
    <m/>
    <m/>
    <n v="0"/>
    <x v="0"/>
    <n v="0"/>
    <n v="0"/>
    <n v="0"/>
    <n v="0"/>
    <n v="0"/>
    <n v="0"/>
    <x v="13"/>
    <x v="3"/>
    <s v=""/>
    <s v=""/>
    <s v=""/>
    <n v="0"/>
  </r>
  <r>
    <x v="12"/>
    <x v="341"/>
    <x v="7"/>
    <x v="135"/>
    <m/>
    <m/>
    <m/>
    <s v=""/>
    <m/>
    <m/>
    <m/>
    <n v="0"/>
    <x v="0"/>
    <n v="0"/>
    <n v="0"/>
    <n v="0"/>
    <n v="0"/>
    <n v="0"/>
    <n v="0"/>
    <x v="13"/>
    <x v="3"/>
    <s v=""/>
    <s v=""/>
    <s v=""/>
    <n v="0"/>
  </r>
  <r>
    <x v="12"/>
    <x v="342"/>
    <x v="7"/>
    <x v="135"/>
    <m/>
    <m/>
    <m/>
    <s v=""/>
    <m/>
    <m/>
    <m/>
    <n v="0"/>
    <x v="0"/>
    <n v="0"/>
    <n v="0"/>
    <n v="0"/>
    <n v="0"/>
    <n v="0"/>
    <n v="0"/>
    <x v="13"/>
    <x v="3"/>
    <s v=""/>
    <s v=""/>
    <s v=""/>
    <n v="0"/>
  </r>
  <r>
    <x v="12"/>
    <x v="343"/>
    <x v="7"/>
    <x v="135"/>
    <m/>
    <m/>
    <m/>
    <s v=""/>
    <m/>
    <m/>
    <m/>
    <n v="0"/>
    <x v="0"/>
    <n v="0"/>
    <n v="0"/>
    <n v="0"/>
    <n v="0"/>
    <n v="0"/>
    <n v="0"/>
    <x v="13"/>
    <x v="3"/>
    <s v=""/>
    <s v=""/>
    <s v=""/>
    <n v="0"/>
  </r>
  <r>
    <x v="12"/>
    <x v="344"/>
    <x v="7"/>
    <x v="135"/>
    <m/>
    <m/>
    <m/>
    <s v=""/>
    <m/>
    <m/>
    <m/>
    <n v="0"/>
    <x v="0"/>
    <n v="0"/>
    <n v="0"/>
    <n v="0"/>
    <n v="0"/>
    <n v="0"/>
    <n v="0"/>
    <x v="13"/>
    <x v="3"/>
    <s v=""/>
    <s v=""/>
    <s v=""/>
    <n v="0"/>
  </r>
  <r>
    <x v="12"/>
    <x v="345"/>
    <x v="7"/>
    <x v="135"/>
    <m/>
    <m/>
    <m/>
    <s v=""/>
    <m/>
    <m/>
    <m/>
    <n v="0"/>
    <x v="0"/>
    <n v="0"/>
    <n v="0"/>
    <n v="0"/>
    <n v="0"/>
    <n v="0"/>
    <n v="0"/>
    <x v="13"/>
    <x v="3"/>
    <s v=""/>
    <s v=""/>
    <s v=""/>
    <n v="0"/>
  </r>
  <r>
    <x v="12"/>
    <x v="346"/>
    <x v="7"/>
    <x v="135"/>
    <m/>
    <m/>
    <m/>
    <s v=""/>
    <m/>
    <m/>
    <m/>
    <n v="0"/>
    <x v="0"/>
    <n v="0"/>
    <n v="0"/>
    <n v="0"/>
    <n v="0"/>
    <n v="0"/>
    <n v="0"/>
    <x v="13"/>
    <x v="3"/>
    <s v=""/>
    <s v=""/>
    <s v=""/>
    <n v="0"/>
  </r>
  <r>
    <x v="12"/>
    <x v="347"/>
    <x v="7"/>
    <x v="135"/>
    <m/>
    <m/>
    <m/>
    <s v=""/>
    <m/>
    <m/>
    <m/>
    <n v="0"/>
    <x v="0"/>
    <n v="0"/>
    <n v="0"/>
    <n v="0"/>
    <n v="0"/>
    <n v="0"/>
    <n v="0"/>
    <x v="13"/>
    <x v="3"/>
    <s v=""/>
    <s v=""/>
    <s v=""/>
    <n v="0"/>
  </r>
  <r>
    <x v="12"/>
    <x v="348"/>
    <x v="7"/>
    <x v="135"/>
    <m/>
    <m/>
    <m/>
    <s v=""/>
    <m/>
    <m/>
    <m/>
    <n v="0"/>
    <x v="0"/>
    <n v="0"/>
    <n v="0"/>
    <n v="0"/>
    <n v="0"/>
    <n v="0"/>
    <n v="0"/>
    <x v="13"/>
    <x v="3"/>
    <s v=""/>
    <s v=""/>
    <s v=""/>
    <n v="0"/>
  </r>
  <r>
    <x v="12"/>
    <x v="349"/>
    <x v="7"/>
    <x v="135"/>
    <m/>
    <m/>
    <m/>
    <s v=""/>
    <m/>
    <m/>
    <m/>
    <n v="0"/>
    <x v="0"/>
    <n v="0"/>
    <n v="0"/>
    <n v="0"/>
    <n v="0"/>
    <n v="0"/>
    <n v="0"/>
    <x v="13"/>
    <x v="3"/>
    <s v=""/>
    <s v=""/>
    <s v=""/>
    <n v="0"/>
  </r>
  <r>
    <x v="12"/>
    <x v="350"/>
    <x v="7"/>
    <x v="135"/>
    <m/>
    <m/>
    <m/>
    <s v=""/>
    <m/>
    <m/>
    <m/>
    <n v="0"/>
    <x v="0"/>
    <n v="0"/>
    <n v="0"/>
    <n v="0"/>
    <n v="0"/>
    <n v="0"/>
    <n v="0"/>
    <x v="13"/>
    <x v="3"/>
    <s v=""/>
    <s v=""/>
    <s v=""/>
    <n v="0"/>
  </r>
  <r>
    <x v="12"/>
    <x v="351"/>
    <x v="7"/>
    <x v="135"/>
    <m/>
    <m/>
    <m/>
    <s v=""/>
    <m/>
    <m/>
    <m/>
    <n v="0"/>
    <x v="0"/>
    <n v="0"/>
    <n v="0"/>
    <n v="0"/>
    <n v="0"/>
    <n v="0"/>
    <n v="0"/>
    <x v="13"/>
    <x v="3"/>
    <s v=""/>
    <s v=""/>
    <s v=""/>
    <n v="0"/>
  </r>
  <r>
    <x v="12"/>
    <x v="352"/>
    <x v="7"/>
    <x v="135"/>
    <m/>
    <m/>
    <m/>
    <s v=""/>
    <m/>
    <m/>
    <m/>
    <n v="0"/>
    <x v="0"/>
    <n v="0"/>
    <n v="0"/>
    <n v="0"/>
    <n v="0"/>
    <n v="0"/>
    <n v="0"/>
    <x v="13"/>
    <x v="3"/>
    <s v=""/>
    <s v=""/>
    <s v=""/>
    <n v="0"/>
  </r>
  <r>
    <x v="12"/>
    <x v="353"/>
    <x v="7"/>
    <x v="135"/>
    <m/>
    <m/>
    <m/>
    <s v=""/>
    <m/>
    <m/>
    <m/>
    <n v="0"/>
    <x v="0"/>
    <n v="0"/>
    <n v="0"/>
    <n v="0"/>
    <n v="0"/>
    <n v="0"/>
    <n v="0"/>
    <x v="13"/>
    <x v="3"/>
    <s v=""/>
    <s v=""/>
    <s v=""/>
    <n v="0"/>
  </r>
  <r>
    <x v="12"/>
    <x v="354"/>
    <x v="11"/>
    <x v="135"/>
    <m/>
    <m/>
    <m/>
    <m/>
    <m/>
    <m/>
    <m/>
    <n v="0"/>
    <x v="0"/>
    <n v="0"/>
    <n v="0"/>
    <n v="0"/>
    <n v="0"/>
    <n v="0"/>
    <n v="0"/>
    <x v="13"/>
    <x v="3"/>
    <s v=""/>
    <s v=""/>
    <s v=""/>
    <n v="0"/>
  </r>
  <r>
    <x v="12"/>
    <x v="355"/>
    <x v="7"/>
    <x v="135"/>
    <m/>
    <m/>
    <m/>
    <s v=""/>
    <m/>
    <m/>
    <m/>
    <n v="0"/>
    <x v="0"/>
    <n v="0"/>
    <n v="0"/>
    <n v="0"/>
    <n v="0"/>
    <n v="0"/>
    <n v="0"/>
    <x v="13"/>
    <x v="3"/>
    <s v=""/>
    <s v=""/>
    <s v=""/>
    <n v="0"/>
  </r>
  <r>
    <x v="12"/>
    <x v="356"/>
    <x v="7"/>
    <x v="135"/>
    <m/>
    <m/>
    <m/>
    <s v=""/>
    <m/>
    <m/>
    <m/>
    <n v="0"/>
    <x v="0"/>
    <n v="0"/>
    <n v="0"/>
    <n v="0"/>
    <n v="0"/>
    <n v="0"/>
    <n v="0"/>
    <x v="13"/>
    <x v="3"/>
    <s v=""/>
    <s v=""/>
    <s v=""/>
    <n v="0"/>
  </r>
  <r>
    <x v="12"/>
    <x v="357"/>
    <x v="7"/>
    <x v="135"/>
    <m/>
    <m/>
    <m/>
    <s v=""/>
    <m/>
    <m/>
    <m/>
    <n v="0"/>
    <x v="0"/>
    <n v="0"/>
    <n v="0"/>
    <n v="0"/>
    <n v="0"/>
    <n v="0"/>
    <n v="0"/>
    <x v="13"/>
    <x v="3"/>
    <s v=""/>
    <s v=""/>
    <s v=""/>
    <n v="0"/>
  </r>
  <r>
    <x v="12"/>
    <x v="358"/>
    <x v="7"/>
    <x v="135"/>
    <m/>
    <m/>
    <m/>
    <s v=""/>
    <m/>
    <m/>
    <m/>
    <n v="0"/>
    <x v="0"/>
    <n v="0"/>
    <n v="0"/>
    <n v="0"/>
    <n v="0"/>
    <n v="0"/>
    <n v="0"/>
    <x v="13"/>
    <x v="3"/>
    <s v=""/>
    <s v=""/>
    <s v=""/>
    <n v="0"/>
  </r>
  <r>
    <x v="12"/>
    <x v="359"/>
    <x v="7"/>
    <x v="135"/>
    <m/>
    <m/>
    <m/>
    <s v=""/>
    <m/>
    <m/>
    <m/>
    <n v="0"/>
    <x v="0"/>
    <n v="0"/>
    <n v="0"/>
    <n v="0"/>
    <n v="0"/>
    <n v="0"/>
    <n v="0"/>
    <x v="13"/>
    <x v="3"/>
    <s v=""/>
    <s v=""/>
    <s v=""/>
    <n v="0"/>
  </r>
  <r>
    <x v="12"/>
    <x v="360"/>
    <x v="7"/>
    <x v="135"/>
    <m/>
    <m/>
    <m/>
    <s v=""/>
    <m/>
    <m/>
    <m/>
    <n v="0"/>
    <x v="0"/>
    <n v="0"/>
    <n v="0"/>
    <n v="0"/>
    <n v="0"/>
    <n v="0"/>
    <n v="0"/>
    <x v="13"/>
    <x v="3"/>
    <s v=""/>
    <s v=""/>
    <s v=""/>
    <n v="0"/>
  </r>
  <r>
    <x v="12"/>
    <x v="361"/>
    <x v="7"/>
    <x v="135"/>
    <m/>
    <m/>
    <m/>
    <s v=""/>
    <m/>
    <m/>
    <m/>
    <n v="0"/>
    <x v="0"/>
    <n v="0"/>
    <n v="0"/>
    <n v="0"/>
    <n v="0"/>
    <n v="0"/>
    <n v="0"/>
    <x v="13"/>
    <x v="3"/>
    <s v=""/>
    <s v=""/>
    <s v=""/>
    <n v="0"/>
  </r>
  <r>
    <x v="12"/>
    <x v="362"/>
    <x v="7"/>
    <x v="135"/>
    <m/>
    <m/>
    <m/>
    <m/>
    <m/>
    <m/>
    <m/>
    <n v="0"/>
    <x v="0"/>
    <n v="0"/>
    <n v="0"/>
    <n v="0"/>
    <n v="0"/>
    <n v="0"/>
    <n v="0"/>
    <x v="13"/>
    <x v="3"/>
    <s v=""/>
    <s v=""/>
    <s v=""/>
    <n v="0"/>
  </r>
  <r>
    <x v="12"/>
    <x v="363"/>
    <x v="7"/>
    <x v="135"/>
    <m/>
    <m/>
    <m/>
    <s v=""/>
    <m/>
    <m/>
    <m/>
    <n v="0"/>
    <x v="0"/>
    <n v="0"/>
    <n v="0"/>
    <n v="0"/>
    <n v="0"/>
    <n v="0"/>
    <n v="0"/>
    <x v="13"/>
    <x v="3"/>
    <s v=""/>
    <s v=""/>
    <s v=""/>
    <n v="0"/>
  </r>
  <r>
    <x v="1"/>
    <x v="364"/>
    <x v="7"/>
    <x v="135"/>
    <m/>
    <m/>
    <m/>
    <s v=""/>
    <m/>
    <m/>
    <m/>
    <n v="0"/>
    <x v="0"/>
    <n v="0"/>
    <n v="0"/>
    <n v="0"/>
    <n v="0"/>
    <n v="0"/>
    <n v="0"/>
    <x v="13"/>
    <x v="3"/>
    <e v="#REF!"/>
    <e v="#REF!"/>
    <e v="#REF!"/>
    <n v="0"/>
  </r>
  <r>
    <x v="4"/>
    <x v="365"/>
    <x v="7"/>
    <x v="135"/>
    <m/>
    <m/>
    <m/>
    <s v=""/>
    <m/>
    <m/>
    <m/>
    <n v="0"/>
    <x v="0"/>
    <n v="0"/>
    <n v="0"/>
    <n v="0"/>
    <n v="0"/>
    <n v="0"/>
    <n v="0"/>
    <x v="13"/>
    <x v="3"/>
    <e v="#REF!"/>
    <e v="#REF!"/>
    <e v="#REF!"/>
    <n v="0"/>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m/>
    <m/>
    <m/>
    <m/>
    <m/>
    <x v="0"/>
    <n v="0"/>
    <n v="0"/>
    <n v="0"/>
    <n v="0"/>
    <n v="0"/>
    <n v="0"/>
    <x v="13"/>
    <x v="3"/>
    <m/>
    <m/>
    <m/>
    <m/>
  </r>
  <r>
    <x v="13"/>
    <x v="179"/>
    <x v="11"/>
    <x v="135"/>
    <m/>
    <m/>
    <m/>
    <s v=""/>
    <m/>
    <m/>
    <m/>
    <n v="0"/>
    <x v="0"/>
    <n v="0"/>
    <n v="0"/>
    <n v="0"/>
    <n v="0"/>
    <n v="0"/>
    <n v="0"/>
    <x v="13"/>
    <x v="3"/>
    <e v="#REF!"/>
    <e v="#REF!"/>
    <e v="#REF!"/>
    <n v="0"/>
  </r>
  <r>
    <x v="13"/>
    <x v="179"/>
    <x v="11"/>
    <x v="135"/>
    <m/>
    <m/>
    <m/>
    <s v=""/>
    <m/>
    <m/>
    <m/>
    <n v="0"/>
    <x v="0"/>
    <n v="0"/>
    <n v="0"/>
    <n v="0"/>
    <n v="0"/>
    <n v="0"/>
    <n v="0"/>
    <x v="13"/>
    <x v="3"/>
    <e v="#REF!"/>
    <e v="#REF!"/>
    <e v="#REF!"/>
    <n v="0"/>
  </r>
  <r>
    <x v="13"/>
    <x v="179"/>
    <x v="11"/>
    <x v="135"/>
    <m/>
    <m/>
    <m/>
    <s v=""/>
    <n v="1"/>
    <m/>
    <m/>
    <n v="0"/>
    <x v="0"/>
    <n v="0"/>
    <n v="0"/>
    <n v="0"/>
    <n v="0"/>
    <n v="0"/>
    <n v="0"/>
    <x v="13"/>
    <x v="3"/>
    <e v="#REF!"/>
    <e v="#REF!"/>
    <e v="#REF!"/>
    <n v="0"/>
  </r>
  <r>
    <x v="6"/>
    <x v="179"/>
    <x v="7"/>
    <x v="135"/>
    <m/>
    <m/>
    <m/>
    <s v=""/>
    <m/>
    <m/>
    <m/>
    <n v="0"/>
    <x v="0"/>
    <n v="0"/>
    <n v="0"/>
    <n v="0"/>
    <n v="0"/>
    <n v="0"/>
    <n v="0"/>
    <x v="13"/>
    <x v="3"/>
    <e v="#REF!"/>
    <e v="#REF!"/>
    <e v="#REF!"/>
    <n v="0"/>
  </r>
  <r>
    <x v="6"/>
    <x v="179"/>
    <x v="7"/>
    <x v="135"/>
    <m/>
    <m/>
    <m/>
    <s v=""/>
    <m/>
    <m/>
    <m/>
    <n v="0"/>
    <x v="0"/>
    <n v="0"/>
    <n v="0"/>
    <n v="0"/>
    <n v="0"/>
    <n v="0"/>
    <n v="0"/>
    <x v="13"/>
    <x v="3"/>
    <e v="#REF!"/>
    <e v="#REF!"/>
    <e v="#REF!"/>
    <n v="0"/>
  </r>
  <r>
    <x v="6"/>
    <x v="179"/>
    <x v="7"/>
    <x v="135"/>
    <m/>
    <m/>
    <m/>
    <s v=""/>
    <m/>
    <m/>
    <m/>
    <n v="0"/>
    <x v="0"/>
    <n v="0"/>
    <n v="0"/>
    <n v="0"/>
    <n v="0"/>
    <n v="0"/>
    <n v="0"/>
    <x v="13"/>
    <x v="3"/>
    <e v="#REF!"/>
    <e v="#REF!"/>
    <e v="#REF!"/>
    <n v="0"/>
  </r>
  <r>
    <x v="6"/>
    <x v="179"/>
    <x v="7"/>
    <x v="135"/>
    <m/>
    <m/>
    <m/>
    <s v=""/>
    <m/>
    <m/>
    <m/>
    <n v="0"/>
    <x v="0"/>
    <n v="0"/>
    <n v="0"/>
    <n v="0"/>
    <n v="0"/>
    <n v="0"/>
    <n v="0"/>
    <x v="13"/>
    <x v="3"/>
    <e v="#REF!"/>
    <e v="#REF!"/>
    <e v="#REF!"/>
    <n v="0"/>
  </r>
  <r>
    <x v="6"/>
    <x v="179"/>
    <x v="7"/>
    <x v="135"/>
    <m/>
    <m/>
    <m/>
    <s v=""/>
    <m/>
    <m/>
    <m/>
    <n v="0"/>
    <x v="0"/>
    <n v="0"/>
    <n v="0"/>
    <n v="0"/>
    <n v="0"/>
    <n v="0"/>
    <n v="0"/>
    <x v="13"/>
    <x v="3"/>
    <s v=""/>
    <s v=""/>
    <s v=""/>
    <n v="0"/>
  </r>
  <r>
    <x v="6"/>
    <x v="179"/>
    <x v="7"/>
    <x v="135"/>
    <m/>
    <m/>
    <m/>
    <s v=""/>
    <m/>
    <m/>
    <m/>
    <n v="0"/>
    <x v="0"/>
    <n v="0"/>
    <n v="0"/>
    <n v="0"/>
    <n v="0"/>
    <n v="0"/>
    <n v="0"/>
    <x v="13"/>
    <x v="3"/>
    <s v=""/>
    <s v=""/>
    <s v=""/>
    <n v="0"/>
  </r>
  <r>
    <x v="6"/>
    <x v="179"/>
    <x v="7"/>
    <x v="135"/>
    <m/>
    <m/>
    <m/>
    <s v=""/>
    <m/>
    <m/>
    <m/>
    <n v="0"/>
    <x v="0"/>
    <n v="0"/>
    <n v="0"/>
    <n v="0"/>
    <n v="0"/>
    <n v="0"/>
    <n v="0"/>
    <x v="13"/>
    <x v="3"/>
    <s v=""/>
    <s v=""/>
    <s v=""/>
    <n v="0"/>
  </r>
  <r>
    <x v="6"/>
    <x v="179"/>
    <x v="7"/>
    <x v="135"/>
    <m/>
    <m/>
    <m/>
    <s v=""/>
    <m/>
    <m/>
    <m/>
    <n v="0"/>
    <x v="0"/>
    <n v="0"/>
    <n v="0"/>
    <n v="0"/>
    <n v="0"/>
    <n v="0"/>
    <n v="0"/>
    <x v="13"/>
    <x v="3"/>
    <s v=""/>
    <s v=""/>
    <s v=""/>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D00-000002000000}" name="PivotTable1" cacheId="0" applyNumberFormats="0" applyBorderFormats="0" applyFontFormats="0" applyPatternFormats="0" applyAlignmentFormats="0" applyWidthHeightFormats="1" dataCaption="Values" updatedVersion="8" minRefreshableVersion="3" useAutoFormatting="1" rowGrandTotals="0" colGrandTotals="0" createdVersion="7" indent="0" outline="1" outlineData="1" multipleFieldFilters="0">
  <location ref="B5:P199" firstHeaderRow="1" firstDataRow="2" firstDataCol="1"/>
  <pivotFields count="25">
    <pivotField axis="axisCol" showAll="0" sortType="ascending">
      <items count="15">
        <item x="0"/>
        <item x="1"/>
        <item x="2"/>
        <item x="3"/>
        <item x="4"/>
        <item x="5"/>
        <item x="7"/>
        <item x="8"/>
        <item x="9"/>
        <item x="10"/>
        <item x="11"/>
        <item x="12"/>
        <item x="6"/>
        <item x="13"/>
        <item t="default"/>
      </items>
    </pivotField>
    <pivotField numFmtId="14" showAll="0"/>
    <pivotField showAll="0"/>
    <pivotField axis="axisRow" showAll="0">
      <items count="1531">
        <item m="1" x="807"/>
        <item m="1" x="819"/>
        <item m="1" x="1302"/>
        <item m="1" x="1172"/>
        <item m="1" x="622"/>
        <item m="1" x="1306"/>
        <item m="1" x="1251"/>
        <item m="1" x="1179"/>
        <item m="1" x="271"/>
        <item m="1" x="1265"/>
        <item m="1" x="601"/>
        <item m="1" x="598"/>
        <item m="1" x="659"/>
        <item m="1" x="272"/>
        <item m="1" x="1214"/>
        <item m="1" x="1389"/>
        <item m="1" x="1270"/>
        <item m="1" x="1504"/>
        <item m="1" x="1277"/>
        <item x="101"/>
        <item m="1" x="579"/>
        <item m="1" x="691"/>
        <item m="1" x="717"/>
        <item m="1" x="641"/>
        <item m="1" x="967"/>
        <item m="1" x="449"/>
        <item m="1" x="1494"/>
        <item m="1" x="1149"/>
        <item m="1" x="456"/>
        <item m="1" x="1346"/>
        <item m="1" x="1111"/>
        <item m="1" x="1420"/>
        <item m="1" x="1418"/>
        <item m="1" x="1222"/>
        <item m="1" x="808"/>
        <item x="42"/>
        <item m="1" x="966"/>
        <item m="1" x="969"/>
        <item m="1" x="588"/>
        <item m="1" x="479"/>
        <item m="1" x="1258"/>
        <item m="1" x="824"/>
        <item m="1" x="481"/>
        <item m="1" x="751"/>
        <item m="1" x="834"/>
        <item m="1" x="1317"/>
        <item m="1" x="996"/>
        <item m="1" x="1094"/>
        <item m="1" x="780"/>
        <item m="1" x="1488"/>
        <item m="1" x="941"/>
        <item m="1" x="573"/>
        <item m="1" x="258"/>
        <item m="1" x="726"/>
        <item m="1" x="514"/>
        <item m="1" x="1391"/>
        <item m="1" x="909"/>
        <item m="1" x="516"/>
        <item m="1" x="1280"/>
        <item m="1" x="520"/>
        <item m="1" x="910"/>
        <item m="1" x="988"/>
        <item m="1" x="989"/>
        <item m="1" x="685"/>
        <item m="1" x="820"/>
        <item m="1" x="1204"/>
        <item m="1" x="647"/>
        <item m="1" x="1431"/>
        <item m="1" x="1059"/>
        <item m="1" x="1407"/>
        <item x="16"/>
        <item m="1" x="532"/>
        <item m="1" x="1132"/>
        <item m="1" x="790"/>
        <item m="1" x="743"/>
        <item m="1" x="1176"/>
        <item m="1" x="650"/>
        <item m="1" x="809"/>
        <item m="1" x="1425"/>
        <item m="1" x="1295"/>
        <item m="1" x="977"/>
        <item m="1" x="987"/>
        <item m="1" x="1388"/>
        <item m="1" x="709"/>
        <item m="1" x="580"/>
        <item m="1" x="776"/>
        <item m="1" x="599"/>
        <item m="1" x="1089"/>
        <item m="1" x="727"/>
        <item m="1" x="1139"/>
        <item m="1" x="998"/>
        <item m="1" x="1156"/>
        <item m="1" x="923"/>
        <item m="1" x="924"/>
        <item x="125"/>
        <item m="1" x="571"/>
        <item m="1" x="561"/>
        <item m="1" x="1508"/>
        <item m="1" x="692"/>
        <item m="1" x="835"/>
        <item m="1" x="452"/>
        <item m="1" x="853"/>
        <item m="1" x="827"/>
        <item m="1" x="632"/>
        <item m="1" x="772"/>
        <item m="1" x="656"/>
        <item m="1" x="1242"/>
        <item x="105"/>
        <item m="1" x="517"/>
        <item m="1" x="353"/>
        <item m="1" x="843"/>
        <item m="1" x="596"/>
        <item m="1" x="1178"/>
        <item m="1" x="801"/>
        <item m="1" x="672"/>
        <item m="1" x="945"/>
        <item m="1" x="1434"/>
        <item m="1" x="1210"/>
        <item x="77"/>
        <item m="1" x="699"/>
        <item m="1" x="1003"/>
        <item m="1" x="1501"/>
        <item m="1" x="832"/>
        <item m="1" x="687"/>
        <item m="1" x="679"/>
        <item m="1" x="1467"/>
        <item m="1" x="1196"/>
        <item m="1" x="1328"/>
        <item m="1" x="1400"/>
        <item m="1" x="526"/>
        <item m="1" x="1384"/>
        <item m="1" x="771"/>
        <item m="1" x="1016"/>
        <item m="1" x="1010"/>
        <item x="61"/>
        <item m="1" x="633"/>
        <item m="1" x="417"/>
        <item m="1" x="721"/>
        <item m="1" x="694"/>
        <item m="1" x="576"/>
        <item m="1" x="1229"/>
        <item m="1" x="1026"/>
        <item m="1" x="1108"/>
        <item x="54"/>
        <item m="1" x="1151"/>
        <item m="1" x="1180"/>
        <item m="1" x="1424"/>
        <item m="1" x="1045"/>
        <item m="1" x="503"/>
        <item m="1" x="210"/>
        <item m="1" x="915"/>
        <item m="1" x="1244"/>
        <item m="1" x="916"/>
        <item m="1" x="657"/>
        <item x="26"/>
        <item m="1" x="1438"/>
        <item m="1" x="922"/>
        <item m="1" x="1415"/>
        <item m="1" x="1272"/>
        <item m="1" x="1216"/>
        <item m="1" x="741"/>
        <item m="1" x="1020"/>
        <item m="1" x="851"/>
        <item m="1" x="928"/>
        <item m="1" x="602"/>
        <item x="38"/>
        <item m="1" x="595"/>
        <item m="1" x="1279"/>
        <item x="6"/>
        <item m="1" x="1097"/>
        <item m="1" x="939"/>
        <item m="1" x="1338"/>
        <item m="1" x="1393"/>
        <item m="1" x="676"/>
        <item x="50"/>
        <item m="1" x="755"/>
        <item m="1" x="1376"/>
        <item m="1" x="735"/>
        <item m="1" x="728"/>
        <item m="1" x="914"/>
        <item m="1" x="797"/>
        <item m="1" x="934"/>
        <item m="1" x="546"/>
        <item m="1" x="1175"/>
        <item m="1" x="1369"/>
        <item m="1" x="846"/>
        <item m="1" x="787"/>
        <item m="1" x="833"/>
        <item m="1" x="1298"/>
        <item m="1" x="1471"/>
        <item m="1" x="583"/>
        <item m="1" x="946"/>
        <item m="1" x="1171"/>
        <item m="1" x="947"/>
        <item m="1" x="556"/>
        <item m="1" x="1525"/>
        <item x="57"/>
        <item m="1" x="1238"/>
        <item m="1" x="450"/>
        <item m="1" x="1002"/>
        <item m="1" x="575"/>
        <item m="1" x="666"/>
        <item x="48"/>
        <item m="1" x="1077"/>
        <item m="1" x="1469"/>
        <item m="1" x="948"/>
        <item m="1" x="528"/>
        <item m="1" x="982"/>
        <item x="27"/>
        <item m="1" x="1267"/>
        <item m="1" x="1032"/>
        <item m="1" x="1039"/>
        <item m="1" x="1218"/>
        <item m="1" x="1102"/>
        <item m="1" x="1430"/>
        <item m="1" x="1065"/>
        <item m="1" x="1118"/>
        <item m="1" x="1147"/>
        <item m="1" x="760"/>
        <item m="1" x="574"/>
        <item m="1" x="1365"/>
        <item m="1" x="1278"/>
        <item m="1" x="1126"/>
        <item m="1" x="592"/>
        <item m="1" x="1304"/>
        <item m="1" x="949"/>
        <item m="1" x="1226"/>
        <item m="1" x="723"/>
        <item m="1" x="1057"/>
        <item m="1" x="804"/>
        <item m="1" x="1286"/>
        <item m="1" x="1323"/>
        <item m="1" x="1311"/>
        <item x="31"/>
        <item m="1" x="1005"/>
        <item m="1" x="850"/>
        <item m="1" x="739"/>
        <item m="1" x="441"/>
        <item x="72"/>
        <item m="1" x="729"/>
        <item m="1" x="950"/>
        <item m="1" x="1143"/>
        <item m="1" x="1417"/>
        <item m="1" x="1450"/>
        <item m="1" x="1465"/>
        <item m="1" x="1221"/>
        <item x="7"/>
        <item m="1" x="1150"/>
        <item m="1" x="673"/>
        <item m="1" x="710"/>
        <item m="1" x="236"/>
        <item m="1" x="1382"/>
        <item m="1" x="1138"/>
        <item m="1" x="1364"/>
        <item m="1" x="997"/>
        <item m="1" x="1264"/>
        <item m="1" x="1455"/>
        <item m="1" x="1473"/>
        <item m="1" x="1261"/>
        <item m="1" x="620"/>
        <item m="1" x="1262"/>
        <item m="1" x="1173"/>
        <item m="1" x="1021"/>
        <item m="1" x="722"/>
        <item m="1" x="1397"/>
        <item m="1" x="1207"/>
        <item m="1" x="1123"/>
        <item m="1" x="1412"/>
        <item m="1" x="1375"/>
        <item m="1" x="425"/>
        <item m="1" x="1299"/>
        <item m="1" x="1527"/>
        <item m="1" x="1133"/>
        <item m="1" x="1475"/>
        <item x="28"/>
        <item m="1" x="1462"/>
        <item m="1" x="485"/>
        <item m="1" x="1174"/>
        <item m="1" x="1140"/>
        <item m="1" x="1049"/>
        <item m="1" x="1197"/>
        <item m="1" x="1520"/>
        <item m="1" x="1489"/>
        <item m="1" x="1464"/>
        <item m="1" x="1300"/>
        <item m="1" x="1247"/>
        <item m="1" x="1029"/>
        <item m="1" x="1129"/>
        <item m="1" x="684"/>
        <item m="1" x="791"/>
        <item m="1" x="1427"/>
        <item m="1" x="951"/>
        <item m="1" x="371"/>
        <item m="1" x="1381"/>
        <item m="1" x="1050"/>
        <item m="1" x="1366"/>
        <item m="1" x="1245"/>
        <item m="1" x="1383"/>
        <item m="1" x="1482"/>
        <item m="1" x="1184"/>
        <item m="1" x="732"/>
        <item m="1" x="912"/>
        <item m="1" x="1068"/>
        <item m="1" x="984"/>
        <item x="25"/>
        <item m="1" x="1433"/>
        <item m="1" x="1472"/>
        <item m="1" x="653"/>
        <item m="1" x="539"/>
        <item m="1" x="1105"/>
        <item m="1" x="1082"/>
        <item m="1" x="1019"/>
        <item x="9"/>
        <item m="1" x="1368"/>
        <item m="1" x="1523"/>
        <item m="1" x="540"/>
        <item m="1" x="971"/>
        <item m="1" x="1341"/>
        <item m="1" x="1236"/>
        <item m="1" x="1403"/>
        <item m="1" x="590"/>
        <item m="1" x="1036"/>
        <item m="1" x="589"/>
        <item m="1" x="1109"/>
        <item m="1" x="1470"/>
        <item m="1" x="1237"/>
        <item m="1" x="1239"/>
        <item m="1" x="817"/>
        <item m="1" x="705"/>
        <item m="1" x="670"/>
        <item m="1" x="952"/>
        <item m="1" x="319"/>
        <item m="1" x="606"/>
        <item m="1" x="1421"/>
        <item m="1" x="568"/>
        <item m="1" x="995"/>
        <item x="12"/>
        <item m="1" x="1327"/>
        <item m="1" x="849"/>
        <item m="1" x="779"/>
        <item m="1" x="634"/>
        <item m="1" x="1046"/>
        <item m="1" x="796"/>
        <item m="1" x="677"/>
        <item m="1" x="1372"/>
        <item m="1" x="564"/>
        <item m="1" x="1181"/>
        <item m="1" x="1099"/>
        <item m="1" x="1362"/>
        <item m="1" x="572"/>
        <item x="10"/>
        <item m="1" x="733"/>
        <item m="1" x="1060"/>
        <item m="1" x="1227"/>
        <item m="1" x="1153"/>
        <item m="1" x="1517"/>
        <item x="20"/>
        <item m="1" x="616"/>
        <item x="182"/>
        <item m="1" x="631"/>
        <item m="1" x="1390"/>
        <item m="1" x="686"/>
        <item m="1" x="781"/>
        <item m="1" x="578"/>
        <item m="1" x="1217"/>
        <item x="120"/>
        <item m="1" x="1480"/>
        <item m="1" x="593"/>
        <item m="1" x="698"/>
        <item m="1" x="1013"/>
        <item m="1" x="554"/>
        <item m="1" x="1041"/>
        <item m="1" x="504"/>
        <item m="1" x="734"/>
        <item m="1" x="974"/>
        <item m="1" x="547"/>
        <item m="1" x="1281"/>
        <item m="1" x="197"/>
        <item m="1" x="1406"/>
        <item m="1" x="1287"/>
        <item m="1" x="1047"/>
        <item m="1" x="773"/>
        <item m="1" x="1456"/>
        <item m="1" x="646"/>
        <item m="1" x="1499"/>
        <item m="1" x="550"/>
        <item m="1" x="245"/>
        <item m="1" x="1307"/>
        <item m="1" x="1378"/>
        <item m="1" x="1246"/>
        <item m="1" x="1260"/>
        <item m="1" x="1080"/>
        <item m="1" x="1116"/>
        <item m="1" x="744"/>
        <item m="1" x="533"/>
        <item m="1" x="784"/>
        <item m="1" x="629"/>
        <item m="1" x="1319"/>
        <item m="1" x="1028"/>
        <item m="1" x="1528"/>
        <item m="1" x="810"/>
        <item m="1" x="825"/>
        <item m="1" x="1193"/>
        <item m="1" x="1250"/>
        <item m="1" x="1152"/>
        <item m="1" x="805"/>
        <item m="1" x="981"/>
        <item m="1" x="1447"/>
        <item m="1" x="1402"/>
        <item x="21"/>
        <item m="1" x="674"/>
        <item x="22"/>
        <item m="1" x="693"/>
        <item m="1" x="706"/>
        <item m="1" x="1486"/>
        <item m="1" x="623"/>
        <item m="1" x="1511"/>
        <item m="1" x="1064"/>
        <item m="1" x="668"/>
        <item m="1" x="1268"/>
        <item m="1" x="1515"/>
        <item m="1" x="953"/>
        <item m="1" x="654"/>
        <item m="1" x="1305"/>
        <item m="1" x="1491"/>
        <item m="1" x="1516"/>
        <item m="1" x="757"/>
        <item m="1" x="758"/>
        <item m="1" x="1203"/>
        <item m="1" x="940"/>
        <item m="1" x="926"/>
        <item m="1" x="830"/>
        <item m="1" x="954"/>
        <item m="1" x="700"/>
        <item m="1" x="1158"/>
        <item m="1" x="221"/>
        <item m="1" x="818"/>
        <item m="1" x="510"/>
        <item m="1" x="955"/>
        <item m="1" x="613"/>
        <item m="1" x="357"/>
        <item m="1" x="1288"/>
        <item m="1" x="837"/>
        <item m="1" x="523"/>
        <item m="1" x="369"/>
        <item m="1" x="1115"/>
        <item m="1" x="718"/>
        <item m="1" x="1392"/>
        <item m="1" x="565"/>
        <item m="1" x="518"/>
        <item m="1" x="1011"/>
        <item m="1" x="956"/>
        <item m="1" x="562"/>
        <item m="1" x="394"/>
        <item m="1" x="1318"/>
        <item m="1" x="1075"/>
        <item m="1" x="1072"/>
        <item m="1" x="1334"/>
        <item m="1" x="701"/>
        <item x="166"/>
        <item m="1" x="544"/>
        <item m="1" x="603"/>
        <item m="1" x="493"/>
        <item m="1" x="335"/>
        <item m="1" x="1459"/>
        <item m="1" x="1360"/>
        <item m="1" x="1496"/>
        <item m="1" x="1169"/>
        <item x="91"/>
        <item m="1" x="1387"/>
        <item m="1" x="1231"/>
        <item m="1" x="648"/>
        <item m="1" x="999"/>
        <item m="1" x="1122"/>
        <item m="1" x="318"/>
        <item x="71"/>
        <item m="1" x="770"/>
        <item m="1" x="1104"/>
        <item x="14"/>
        <item m="1" x="612"/>
        <item m="1" x="1144"/>
        <item m="1" x="291"/>
        <item m="1" x="1512"/>
        <item x="34"/>
        <item m="1" x="1058"/>
        <item m="1" x="1124"/>
        <item m="1" x="761"/>
        <item m="1" x="1161"/>
        <item m="1" x="203"/>
        <item m="1" x="196"/>
        <item m="1" x="785"/>
        <item x="35"/>
        <item m="1" x="918"/>
        <item m="1" x="419"/>
        <item m="1" x="1354"/>
        <item m="1" x="1195"/>
        <item m="1" x="1443"/>
        <item m="1" x="667"/>
        <item m="1" x="660"/>
        <item m="1" x="1031"/>
        <item m="1" x="386"/>
        <item m="1" x="1326"/>
        <item m="1" x="1095"/>
        <item m="1" x="519"/>
        <item m="1" x="1325"/>
        <item m="1" x="1248"/>
        <item m="1" x="1347"/>
        <item m="1" x="494"/>
        <item m="1" x="511"/>
        <item m="1" x="816"/>
        <item m="1" x="748"/>
        <item m="1" x="1034"/>
        <item m="1" x="558"/>
        <item m="1" x="1273"/>
        <item m="1" x="1336"/>
        <item x="90"/>
        <item m="1" x="1092"/>
        <item m="1" x="1440"/>
        <item m="1" x="1130"/>
        <item x="11"/>
        <item m="1" x="567"/>
        <item m="1" x="908"/>
        <item x="84"/>
        <item m="1" x="1449"/>
        <item m="1" x="1134"/>
        <item m="1" x="1432"/>
        <item m="1" x="1054"/>
        <item m="1" x="1285"/>
        <item m="1" x="993"/>
        <item m="1" x="223"/>
        <item m="1" x="1107"/>
        <item m="1" x="582"/>
        <item m="1" x="215"/>
        <item m="1" x="1314"/>
        <item m="1" x="1030"/>
        <item m="1" x="957"/>
        <item x="97"/>
        <item m="1" x="1043"/>
        <item m="1" x="1386"/>
        <item m="1" x="499"/>
        <item m="1" x="524"/>
        <item m="1" x="661"/>
        <item m="1" x="1289"/>
        <item m="1" x="747"/>
        <item m="1" x="626"/>
        <item m="1" x="227"/>
        <item m="1" x="1040"/>
        <item m="1" x="604"/>
        <item m="1" x="220"/>
        <item m="1" x="1399"/>
        <item m="1" x="680"/>
        <item m="1" x="1367"/>
        <item m="1" x="695"/>
        <item m="1" x="752"/>
        <item m="1" x="261"/>
        <item m="1" x="1056"/>
        <item m="1" x="724"/>
        <item m="1" x="1478"/>
        <item m="1" x="766"/>
        <item m="1" x="1209"/>
        <item m="1" x="591"/>
        <item m="1" x="958"/>
        <item m="1" x="297"/>
        <item m="1" x="1313"/>
        <item m="1" x="777"/>
        <item m="1" x="1166"/>
        <item m="1" x="529"/>
        <item m="1" x="1205"/>
        <item m="1" x="1468"/>
        <item m="1" x="627"/>
        <item m="1" x="1429"/>
        <item m="1" x="1062"/>
        <item m="1" x="842"/>
        <item m="1" x="1355"/>
        <item m="1" x="1044"/>
        <item m="1" x="713"/>
        <item m="1" x="1345"/>
        <item m="1" x="1442"/>
        <item m="1" x="1183"/>
        <item m="1" x="942"/>
        <item m="1" x="944"/>
        <item m="1" x="1477"/>
        <item m="1" x="753"/>
        <item m="1" x="828"/>
        <item m="1" x="1416"/>
        <item m="1" x="1167"/>
        <item m="1" x="1308"/>
        <item m="1" x="1461"/>
        <item m="1" x="840"/>
        <item m="1" x="1001"/>
        <item m="1" x="1141"/>
        <item m="1" x="1495"/>
        <item m="1" x="844"/>
        <item m="1" x="1315"/>
        <item m="1" x="1135"/>
        <item m="1" x="1358"/>
        <item m="1" x="638"/>
        <item m="1" x="1252"/>
        <item m="1" x="711"/>
        <item m="1" x="1316"/>
        <item m="1" x="1330"/>
        <item m="1" x="838"/>
        <item m="1" x="767"/>
        <item m="1" x="555"/>
        <item m="1" x="522"/>
        <item m="1" x="1007"/>
        <item m="1" x="1350"/>
        <item m="1" x="585"/>
        <item m="1" x="570"/>
        <item m="1" x="308"/>
        <item m="1" x="789"/>
        <item m="1" x="642"/>
        <item m="1" x="1458"/>
        <item m="1" x="1335"/>
        <item m="1" x="1436"/>
        <item m="1" x="644"/>
        <item m="1" x="799"/>
        <item m="1" x="793"/>
        <item m="1" x="649"/>
        <item m="1" x="848"/>
        <item m="1" x="1451"/>
        <item m="1" x="1063"/>
        <item m="1" x="534"/>
        <item m="1" x="1395"/>
        <item m="1" x="736"/>
        <item m="1" x="1340"/>
        <item m="1" x="233"/>
        <item m="1" x="1266"/>
        <item m="1" x="1025"/>
        <item m="1" x="973"/>
        <item m="1" x="1051"/>
        <item x="45"/>
        <item m="1" x="991"/>
        <item m="1" x="992"/>
        <item x="18"/>
        <item x="8"/>
        <item m="1" x="1457"/>
        <item m="1" x="798"/>
        <item m="1" x="1113"/>
        <item m="1" x="605"/>
        <item x="58"/>
        <item m="1" x="1211"/>
        <item m="1" x="1125"/>
        <item m="1" x="1009"/>
        <item m="1" x="500"/>
        <item m="1" x="1090"/>
        <item m="1" x="618"/>
        <item m="1" x="1380"/>
        <item m="1" x="624"/>
        <item m="1" x="1321"/>
        <item m="1" x="1404"/>
        <item m="1" x="681"/>
        <item m="1" x="978"/>
        <item m="1" x="1291"/>
        <item x="33"/>
        <item m="1" x="530"/>
        <item m="1" x="1074"/>
        <item m="1" x="1249"/>
        <item m="1" x="1096"/>
        <item m="1" x="1254"/>
        <item m="1" x="1257"/>
        <item m="1" x="1163"/>
        <item m="1" x="1083"/>
        <item m="1" x="1067"/>
        <item m="1" x="1332"/>
        <item m="1" x="811"/>
        <item m="1" x="617"/>
        <item m="1" x="1078"/>
        <item m="1" x="330"/>
        <item m="1" x="754"/>
        <item m="1" x="545"/>
        <item m="1" x="976"/>
        <item m="1" x="975"/>
        <item x="82"/>
        <item m="1" x="1081"/>
        <item m="1" x="1165"/>
        <item m="1" x="1170"/>
        <item m="1" x="355"/>
        <item m="1" x="1240"/>
        <item m="1" x="688"/>
        <item m="1" x="521"/>
        <item m="1" x="1189"/>
        <item m="1" x="774"/>
        <item m="1" x="802"/>
        <item m="1" x="316"/>
        <item m="1" x="937"/>
        <item m="1" x="662"/>
        <item m="1" x="1410"/>
        <item x="49"/>
        <item m="1" x="1213"/>
        <item m="1" x="1187"/>
        <item m="1" x="559"/>
        <item m="1" x="1503"/>
        <item m="1" x="1374"/>
        <item m="1" x="1164"/>
        <item m="1" x="768"/>
        <item m="1" x="1394"/>
        <item m="1" x="737"/>
        <item m="1" x="959"/>
        <item m="1" x="645"/>
        <item x="76"/>
        <item m="1" x="1215"/>
        <item m="1" x="714"/>
        <item m="1" x="1037"/>
        <item m="1" x="1128"/>
        <item m="1" x="457"/>
        <item m="1" x="1200"/>
        <item m="1" x="1379"/>
        <item m="1" x="1371"/>
        <item m="1" x="1529"/>
        <item x="30"/>
        <item m="1" x="697"/>
        <item m="1" x="831"/>
        <item m="1" x="643"/>
        <item m="1" x="1349"/>
        <item m="1" x="904"/>
        <item m="1" x="715"/>
        <item m="1" x="1069"/>
        <item m="1" x="1337"/>
        <item m="1" x="1310"/>
        <item m="1" x="1276"/>
        <item m="1" x="1136"/>
        <item m="1" x="501"/>
        <item m="1" x="630"/>
        <item m="1" x="985"/>
        <item m="1" x="1275"/>
        <item m="1" x="1483"/>
        <item m="1" x="1487"/>
        <item m="1" x="1454"/>
        <item m="1" x="512"/>
        <item m="1" x="1070"/>
        <item m="1" x="1441"/>
        <item m="1" x="1023"/>
        <item m="1" x="1303"/>
        <item m="1" x="1220"/>
        <item m="1" x="615"/>
        <item m="1" x="1339"/>
        <item m="1" x="702"/>
        <item m="1" x="1401"/>
        <item x="158"/>
        <item m="1" x="1085"/>
        <item m="1" x="1422"/>
        <item m="1" x="1509"/>
        <item m="1" x="1271"/>
        <item m="1" x="1293"/>
        <item m="1" x="1448"/>
        <item m="1" x="384"/>
        <item m="1" x="703"/>
        <item x="19"/>
        <item m="1" x="1428"/>
        <item m="1" x="1084"/>
        <item m="1" x="1426"/>
        <item m="1" x="1017"/>
        <item m="1" x="960"/>
        <item m="1" x="594"/>
        <item m="1" x="1521"/>
        <item m="1" x="1452"/>
        <item m="1" x="535"/>
        <item m="1" x="1192"/>
        <item m="1" x="298"/>
        <item m="1" x="1522"/>
        <item m="1" x="1091"/>
        <item m="1" x="704"/>
        <item m="1" x="983"/>
        <item m="1" x="211"/>
        <item m="1" x="663"/>
        <item m="1" x="961"/>
        <item m="1" x="972"/>
        <item m="1" x="505"/>
        <item m="1" x="1256"/>
        <item m="1" x="962"/>
        <item m="1" x="970"/>
        <item x="122"/>
        <item m="1" x="549"/>
        <item m="1" x="352"/>
        <item m="1" x="1194"/>
        <item m="1" x="1035"/>
        <item m="1" x="1444"/>
        <item m="1" x="1232"/>
        <item x="145"/>
        <item m="1" x="655"/>
        <item m="1" x="548"/>
        <item m="1" x="1185"/>
        <item m="1" x="1190"/>
        <item m="1" x="1505"/>
        <item m="1" x="1224"/>
        <item m="1" x="1361"/>
        <item m="1" x="513"/>
        <item m="1" x="1191"/>
        <item m="1" x="963"/>
        <item m="1" x="719"/>
        <item m="1" x="619"/>
        <item m="1" x="1101"/>
        <item m="1" x="730"/>
        <item m="1" x="1061"/>
        <item m="1" x="322"/>
        <item m="1" x="1052"/>
        <item m="1" x="930"/>
        <item x="2"/>
        <item m="1" x="536"/>
        <item m="1" x="1446"/>
        <item m="1" x="216"/>
        <item m="1" x="1485"/>
        <item m="1" x="664"/>
        <item m="1" x="557"/>
        <item m="1" x="1377"/>
        <item m="1" x="1460"/>
        <item m="1" x="964"/>
        <item m="1" x="1498"/>
        <item m="1" x="1131"/>
        <item m="1" x="1263"/>
        <item m="1" x="527"/>
        <item m="1" x="1290"/>
        <item m="1" x="421"/>
        <item m="1" x="305"/>
        <item m="1" x="665"/>
        <item m="1" x="782"/>
        <item m="1" x="813"/>
        <item m="1" x="1437"/>
        <item m="1" x="509"/>
        <item m="1" x="1481"/>
        <item m="1" x="1162"/>
        <item m="1" x="609"/>
        <item m="1" x="1359"/>
        <item m="1" x="938"/>
        <item x="114"/>
        <item m="1" x="1137"/>
        <item m="1" x="836"/>
        <item m="1" x="1066"/>
        <item m="1" x="1348"/>
        <item m="1" x="1333"/>
        <item m="1" x="278"/>
        <item m="1" x="1219"/>
        <item m="1" x="1119"/>
        <item m="1" x="566"/>
        <item m="1" x="1198"/>
        <item x="132"/>
        <item m="1" x="652"/>
        <item m="1" x="1269"/>
        <item m="1" x="243"/>
        <item x="171"/>
        <item m="1" x="800"/>
        <item x="53"/>
        <item m="1" x="1225"/>
        <item m="1" x="1309"/>
        <item m="1" x="614"/>
        <item x="123"/>
        <item m="1" x="607"/>
        <item m="1" x="1088"/>
        <item m="1" x="1524"/>
        <item m="1" x="563"/>
        <item m="1" x="764"/>
        <item m="1" x="1154"/>
        <item m="1" x="725"/>
        <item m="1" x="1148"/>
        <item m="1" x="597"/>
        <item m="1" x="293"/>
        <item m="1" x="794"/>
        <item x="96"/>
        <item m="1" x="1022"/>
        <item m="1" x="1324"/>
        <item m="1" x="1186"/>
        <item m="1" x="1294"/>
        <item m="1" x="720"/>
        <item m="1" x="1160"/>
        <item m="1" x="1514"/>
        <item m="1" x="1409"/>
        <item m="1" x="1385"/>
        <item m="1" x="310"/>
        <item m="1" x="913"/>
        <item m="1" x="821"/>
        <item m="1" x="682"/>
        <item m="1" x="742"/>
        <item m="1" x="635"/>
        <item m="1" x="854"/>
        <item m="1" x="968"/>
        <item m="1" x="1497"/>
        <item m="1" x="1159"/>
        <item m="1" x="826"/>
        <item m="1" x="1093"/>
        <item m="1" x="256"/>
        <item m="1" x="1329"/>
        <item m="1" x="1243"/>
        <item m="1" x="1357"/>
        <item m="1" x="1042"/>
        <item m="1" x="1033"/>
        <item m="1" x="1006"/>
        <item m="1" x="814"/>
        <item m="1" x="1274"/>
        <item m="1" x="1055"/>
        <item m="1" x="1363"/>
        <item m="1" x="1463"/>
        <item m="1" x="731"/>
        <item m="1" x="625"/>
        <item m="1" x="584"/>
        <item m="1" x="762"/>
        <item m="1" x="637"/>
        <item m="1" x="965"/>
        <item m="1" x="689"/>
        <item m="1" x="1370"/>
        <item m="1" x="1233"/>
        <item m="1" x="990"/>
        <item m="1" x="1100"/>
        <item m="1" x="1182"/>
        <item m="1" x="1038"/>
        <item m="1" x="1098"/>
        <item m="1" x="1312"/>
        <item m="1" x="749"/>
        <item m="1" x="845"/>
        <item x="155"/>
        <item m="1" x="1004"/>
        <item m="1" x="1071"/>
        <item m="1" x="1255"/>
        <item m="1" x="1453"/>
        <item m="1" x="907"/>
        <item m="1" x="1079"/>
        <item m="1" x="1493"/>
        <item m="1" x="707"/>
        <item m="1" x="986"/>
        <item m="1" x="431"/>
        <item m="1" x="1188"/>
        <item m="1" x="242"/>
        <item m="1" x="1423"/>
        <item m="1" x="551"/>
        <item m="1" x="1177"/>
        <item m="1" x="1411"/>
        <item m="1" x="1513"/>
        <item m="1" x="786"/>
        <item m="1" x="1351"/>
        <item m="1" x="756"/>
        <item m="1" x="1466"/>
        <item m="1" x="506"/>
        <item m="1" x="1344"/>
        <item m="1" x="552"/>
        <item m="1" x="587"/>
        <item m="1" x="531"/>
        <item m="1" x="1413"/>
        <item m="1" x="822"/>
        <item m="1" x="1331"/>
        <item m="1" x="537"/>
        <item m="1" x="1519"/>
        <item m="1" x="1445"/>
        <item m="1" x="1484"/>
        <item m="1" x="1352"/>
        <item m="1" x="1235"/>
        <item m="1" x="283"/>
        <item m="1" x="806"/>
        <item m="1" x="1506"/>
        <item m="1" x="515"/>
        <item m="1" x="586"/>
        <item m="1" x="683"/>
        <item m="1" x="241"/>
        <item m="1" x="1518"/>
        <item m="1" x="1201"/>
        <item x="46"/>
        <item m="1" x="1439"/>
        <item m="1" x="823"/>
        <item m="1" x="282"/>
        <item x="37"/>
        <item m="1" x="1282"/>
        <item m="1" x="217"/>
        <item m="1" x="763"/>
        <item x="168"/>
        <item m="1" x="636"/>
        <item m="1" x="669"/>
        <item m="1" x="1008"/>
        <item m="1" x="1435"/>
        <item m="1" x="783"/>
        <item m="1" x="1117"/>
        <item m="1" x="917"/>
        <item m="1" x="538"/>
        <item m="1" x="979"/>
        <item m="1" x="1474"/>
        <item m="1" x="1301"/>
        <item m="1" x="1353"/>
        <item m="1" x="1510"/>
        <item m="1" x="1234"/>
        <item m="1" x="577"/>
        <item m="1" x="1202"/>
        <item m="1" x="1012"/>
        <item m="1" x="1322"/>
        <item m="1" x="1168"/>
        <item x="144"/>
        <item m="1" x="1000"/>
        <item m="1" x="525"/>
        <item m="1" x="1212"/>
        <item m="1" x="740"/>
        <item m="1" x="716"/>
        <item m="1" x="569"/>
        <item m="1" x="935"/>
        <item m="1" x="1087"/>
        <item m="1" x="759"/>
        <item m="1" x="1048"/>
        <item m="1" x="1343"/>
        <item m="1" x="628"/>
        <item x="52"/>
        <item m="1" x="1500"/>
        <item m="1" x="1356"/>
        <item m="1" x="788"/>
        <item m="1" x="1145"/>
        <item m="1" x="678"/>
        <item m="1" x="1120"/>
        <item m="1" x="1073"/>
        <item m="1" x="847"/>
        <item m="1" x="1502"/>
        <item m="1" x="1076"/>
        <item m="1" x="1342"/>
        <item m="1" x="696"/>
        <item m="1" x="553"/>
        <item m="1" x="581"/>
        <item m="1" x="803"/>
        <item m="1" x="1142"/>
        <item m="1" x="994"/>
        <item m="1" x="639"/>
        <item m="1" x="1476"/>
        <item m="1" x="542"/>
        <item m="1" x="778"/>
        <item x="5"/>
        <item m="1" x="1014"/>
        <item x="173"/>
        <item m="1" x="1241"/>
        <item m="1" x="1284"/>
        <item m="1" x="775"/>
        <item m="1" x="765"/>
        <item m="1" x="712"/>
        <item m="1" x="1127"/>
        <item m="1" x="1053"/>
        <item m="1" x="379"/>
        <item m="1" x="1408"/>
        <item m="1" x="1373"/>
        <item m="1" x="708"/>
        <item m="1" x="651"/>
        <item m="1" x="829"/>
        <item m="1" x="1253"/>
        <item m="1" x="933"/>
        <item m="1" x="852"/>
        <item m="1" x="1223"/>
        <item x="51"/>
        <item m="1" x="839"/>
        <item m="1" x="1490"/>
        <item m="1" x="1155"/>
        <item m="1" x="608"/>
        <item m="1" x="1114"/>
        <item m="1" x="254"/>
        <item m="1" x="502"/>
        <item m="1" x="1206"/>
        <item m="1" x="927"/>
        <item m="1" x="1024"/>
        <item x="59"/>
        <item m="1" x="841"/>
        <item m="1" x="792"/>
        <item x="160"/>
        <item m="1" x="1110"/>
        <item m="1" x="306"/>
        <item m="1" x="671"/>
        <item m="1" x="1292"/>
        <item m="1" x="1121"/>
        <item m="1" x="812"/>
        <item m="1" x="750"/>
        <item x="41"/>
        <item m="1" x="1112"/>
        <item m="1" x="746"/>
        <item m="1" x="1259"/>
        <item m="1" x="600"/>
        <item m="1" x="560"/>
        <item m="1" x="541"/>
        <item m="1" x="1027"/>
        <item m="1" x="1199"/>
        <item m="1" x="543"/>
        <item m="1" x="1297"/>
        <item x="55"/>
        <item m="1" x="894"/>
        <item m="1" x="738"/>
        <item m="1" x="1230"/>
        <item m="1" x="508"/>
        <item m="1" x="1106"/>
        <item m="1" x="1507"/>
        <item m="1" x="1492"/>
        <item m="1" x="1526"/>
        <item m="1" x="1296"/>
        <item m="1" x="1283"/>
        <item m="1" x="769"/>
        <item m="1" x="1479"/>
        <item m="1" x="1015"/>
        <item x="1"/>
        <item m="1" x="1103"/>
        <item m="1" x="1419"/>
        <item m="1" x="1208"/>
        <item m="1" x="640"/>
        <item m="1" x="675"/>
        <item m="1" x="745"/>
        <item m="1" x="1320"/>
        <item m="1" x="1086"/>
        <item m="1" x="621"/>
        <item m="1" x="943"/>
        <item m="1" x="936"/>
        <item m="1" x="1146"/>
        <item m="1" x="690"/>
        <item x="150"/>
        <item m="1" x="980"/>
        <item m="1" x="1157"/>
        <item m="1" x="1228"/>
        <item m="1" x="1396"/>
        <item m="1" x="795"/>
        <item m="1" x="1414"/>
        <item m="1" x="1405"/>
        <item m="1" x="1018"/>
        <item m="1" x="658"/>
        <item m="1" x="420"/>
        <item m="1" x="1398"/>
        <item m="1" x="610"/>
        <item m="1" x="611"/>
        <item x="135"/>
        <item m="1" x="931"/>
        <item m="1" x="855"/>
        <item m="1" x="856"/>
        <item x="70"/>
        <item m="1" x="507"/>
        <item x="62"/>
        <item m="1" x="857"/>
        <item m="1" x="932"/>
        <item m="1" x="858"/>
        <item m="1" x="859"/>
        <item m="1" x="496"/>
        <item m="1" x="860"/>
        <item m="1" x="861"/>
        <item m="1" x="911"/>
        <item m="1" x="929"/>
        <item x="73"/>
        <item m="1" x="862"/>
        <item m="1" x="863"/>
        <item m="1" x="228"/>
        <item m="1" x="864"/>
        <item m="1" x="865"/>
        <item m="1" x="867"/>
        <item m="1" x="866"/>
        <item m="1" x="870"/>
        <item m="1" x="489"/>
        <item x="23"/>
        <item m="1" x="925"/>
        <item m="1" x="872"/>
        <item m="1" x="815"/>
        <item m="1" x="868"/>
        <item m="1" x="869"/>
        <item m="1" x="873"/>
        <item x="36"/>
        <item m="1" x="921"/>
        <item m="1" x="467"/>
        <item m="1" x="920"/>
        <item m="1" x="874"/>
        <item m="1" x="875"/>
        <item m="1" x="871"/>
        <item m="1" x="263"/>
        <item x="181"/>
        <item m="1" x="876"/>
        <item m="1" x="877"/>
        <item m="1" x="478"/>
        <item m="1" x="204"/>
        <item m="1" x="454"/>
        <item m="1" x="878"/>
        <item m="1" x="879"/>
        <item m="1" x="880"/>
        <item m="1" x="881"/>
        <item m="1" x="882"/>
        <item m="1" x="883"/>
        <item m="1" x="919"/>
        <item m="1" x="406"/>
        <item m="1" x="447"/>
        <item m="1" x="255"/>
        <item m="1" x="884"/>
        <item m="1" x="885"/>
        <item m="1" x="886"/>
        <item m="1" x="212"/>
        <item m="1" x="887"/>
        <item m="1" x="888"/>
        <item m="1" x="889"/>
        <item m="1" x="890"/>
        <item m="1" x="891"/>
        <item m="1" x="295"/>
        <item m="1" x="892"/>
        <item m="1" x="893"/>
        <item x="79"/>
        <item m="1" x="895"/>
        <item m="1" x="896"/>
        <item m="1" x="897"/>
        <item m="1" x="248"/>
        <item m="1" x="898"/>
        <item m="1" x="899"/>
        <item m="1" x="900"/>
        <item m="1" x="901"/>
        <item m="1" x="902"/>
        <item m="1" x="903"/>
        <item m="1" x="905"/>
        <item m="1" x="906"/>
        <item x="147"/>
        <item m="1" x="213"/>
        <item m="1" x="214"/>
        <item m="1" x="443"/>
        <item m="1" x="444"/>
        <item m="1" x="445"/>
        <item m="1" x="446"/>
        <item m="1" x="219"/>
        <item m="1" x="218"/>
        <item m="1" x="222"/>
        <item m="1" x="448"/>
        <item m="1" x="451"/>
        <item m="1" x="495"/>
        <item m="1" x="229"/>
        <item m="1" x="232"/>
        <item m="1" x="231"/>
        <item m="1" x="230"/>
        <item m="1" x="234"/>
        <item m="1" x="235"/>
        <item m="1" x="453"/>
        <item m="1" x="238"/>
        <item m="1" x="237"/>
        <item m="1" x="239"/>
        <item m="1" x="240"/>
        <item x="89"/>
        <item m="1" x="455"/>
        <item m="1" x="244"/>
        <item m="1" x="458"/>
        <item m="1" x="246"/>
        <item m="1" x="249"/>
        <item m="1" x="247"/>
        <item m="1" x="251"/>
        <item m="1" x="459"/>
        <item m="1" x="250"/>
        <item m="1" x="252"/>
        <item m="1" x="253"/>
        <item m="1" x="460"/>
        <item m="1" x="461"/>
        <item m="1" x="257"/>
        <item m="1" x="259"/>
        <item m="1" x="260"/>
        <item m="1" x="262"/>
        <item x="100"/>
        <item x="15"/>
        <item m="1" x="264"/>
        <item m="1" x="265"/>
        <item m="1" x="462"/>
        <item m="1" x="267"/>
        <item m="1" x="266"/>
        <item m="1" x="269"/>
        <item m="1" x="463"/>
        <item m="1" x="270"/>
        <item m="1" x="464"/>
        <item x="32"/>
        <item m="1" x="466"/>
        <item m="1" x="465"/>
        <item m="1" x="268"/>
        <item m="1" x="498"/>
        <item m="1" x="274"/>
        <item m="1" x="273"/>
        <item m="1" x="275"/>
        <item m="1" x="468"/>
        <item m="1" x="277"/>
        <item m="1" x="279"/>
        <item m="1" x="281"/>
        <item m="1" x="280"/>
        <item m="1" x="469"/>
        <item m="1" x="284"/>
        <item m="1" x="470"/>
        <item m="1" x="285"/>
        <item m="1" x="471"/>
        <item m="1" x="472"/>
        <item m="1" x="286"/>
        <item m="1" x="473"/>
        <item m="1" x="287"/>
        <item m="1" x="288"/>
        <item m="1" x="289"/>
        <item m="1" x="290"/>
        <item m="1" x="292"/>
        <item m="1" x="294"/>
        <item m="1" x="276"/>
        <item m="1" x="474"/>
        <item m="1" x="296"/>
        <item x="104"/>
        <item m="1" x="475"/>
        <item m="1" x="300"/>
        <item m="1" x="302"/>
        <item m="1" x="299"/>
        <item m="1" x="476"/>
        <item m="1" x="301"/>
        <item m="1" x="303"/>
        <item x="165"/>
        <item m="1" x="304"/>
        <item m="1" x="307"/>
        <item m="1" x="477"/>
        <item m="1" x="309"/>
        <item m="1" x="311"/>
        <item m="1" x="312"/>
        <item m="1" x="480"/>
        <item m="1" x="313"/>
        <item x="93"/>
        <item m="1" x="314"/>
        <item m="1" x="315"/>
        <item m="1" x="317"/>
        <item m="1" x="320"/>
        <item m="1" x="321"/>
        <item m="1" x="324"/>
        <item m="1" x="323"/>
        <item m="1" x="325"/>
        <item m="1" x="326"/>
        <item m="1" x="327"/>
        <item m="1" x="329"/>
        <item m="1" x="482"/>
        <item m="1" x="328"/>
        <item m="1" x="331"/>
        <item m="1" x="332"/>
        <item m="1" x="333"/>
        <item m="1" x="334"/>
        <item m="1" x="336"/>
        <item m="1" x="337"/>
        <item m="1" x="338"/>
        <item m="1" x="339"/>
        <item m="1" x="340"/>
        <item m="1" x="341"/>
        <item m="1" x="342"/>
        <item m="1" x="344"/>
        <item m="1" x="225"/>
        <item m="1" x="343"/>
        <item m="1" x="345"/>
        <item m="1" x="348"/>
        <item m="1" x="347"/>
        <item m="1" x="224"/>
        <item m="1" x="346"/>
        <item m="1" x="193"/>
        <item m="1" x="483"/>
        <item m="1" x="349"/>
        <item m="1" x="351"/>
        <item m="1" x="350"/>
        <item m="1" x="484"/>
        <item m="1" x="497"/>
        <item m="1" x="354"/>
        <item m="1" x="356"/>
        <item m="1" x="486"/>
        <item m="1" x="358"/>
        <item m="1" x="362"/>
        <item m="1" x="359"/>
        <item m="1" x="361"/>
        <item m="1" x="360"/>
        <item m="1" x="363"/>
        <item m="1" x="487"/>
        <item m="1" x="364"/>
        <item m="1" x="488"/>
        <item m="1" x="365"/>
        <item m="1" x="366"/>
        <item m="1" x="367"/>
        <item m="1" x="368"/>
        <item m="1" x="370"/>
        <item m="1" x="372"/>
        <item x="17"/>
        <item m="1" x="374"/>
        <item m="1" x="375"/>
        <item m="1" x="376"/>
        <item m="1" x="490"/>
        <item m="1" x="378"/>
        <item m="1" x="491"/>
        <item m="1" x="380"/>
        <item m="1" x="381"/>
        <item m="1" x="382"/>
        <item m="1" x="383"/>
        <item m="1" x="385"/>
        <item m="1" x="387"/>
        <item m="1" x="388"/>
        <item m="1" x="389"/>
        <item m="1" x="226"/>
        <item x="85"/>
        <item m="1" x="390"/>
        <item m="1" x="391"/>
        <item m="1" x="392"/>
        <item m="1" x="393"/>
        <item m="1" x="395"/>
        <item x="109"/>
        <item m="1" x="396"/>
        <item m="1" x="397"/>
        <item m="1" x="398"/>
        <item m="1" x="399"/>
        <item m="1" x="492"/>
        <item m="1" x="400"/>
        <item m="1" x="401"/>
        <item x="151"/>
        <item m="1" x="402"/>
        <item m="1" x="403"/>
        <item m="1" x="405"/>
        <item m="1" x="404"/>
        <item m="1" x="407"/>
        <item m="1" x="408"/>
        <item m="1" x="409"/>
        <item m="1" x="410"/>
        <item m="1" x="411"/>
        <item m="1" x="412"/>
        <item m="1" x="413"/>
        <item m="1" x="414"/>
        <item m="1" x="373"/>
        <item m="1" x="415"/>
        <item m="1" x="416"/>
        <item x="179"/>
        <item m="1" x="201"/>
        <item m="1" x="418"/>
        <item m="1" x="377"/>
        <item x="124"/>
        <item m="1" x="422"/>
        <item m="1" x="423"/>
        <item m="1" x="424"/>
        <item m="1" x="426"/>
        <item x="130"/>
        <item m="1" x="427"/>
        <item x="170"/>
        <item m="1" x="428"/>
        <item m="1" x="429"/>
        <item m="1" x="430"/>
        <item x="188"/>
        <item m="1" x="432"/>
        <item m="1" x="433"/>
        <item m="1" x="434"/>
        <item m="1" x="435"/>
        <item m="1" x="436"/>
        <item m="1" x="442"/>
        <item m="1" x="437"/>
        <item m="1" x="438"/>
        <item x="13"/>
        <item m="1" x="439"/>
        <item x="88"/>
        <item m="1" x="440"/>
        <item x="40"/>
        <item x="0"/>
        <item m="1" x="200"/>
        <item x="113"/>
        <item m="1" x="194"/>
        <item m="1" x="206"/>
        <item m="1" x="195"/>
        <item x="116"/>
        <item x="115"/>
        <item x="111"/>
        <item x="3"/>
        <item m="1" x="207"/>
        <item x="24"/>
        <item x="128"/>
        <item x="78"/>
        <item x="66"/>
        <item x="94"/>
        <item m="1" x="209"/>
        <item x="121"/>
        <item x="80"/>
        <item x="65"/>
        <item x="81"/>
        <item x="110"/>
        <item x="92"/>
        <item x="67"/>
        <item x="86"/>
        <item x="87"/>
        <item x="29"/>
        <item x="39"/>
        <item x="106"/>
        <item x="107"/>
        <item x="112"/>
        <item x="74"/>
        <item x="75"/>
        <item x="108"/>
        <item x="63"/>
        <item m="1" x="208"/>
        <item x="43"/>
        <item x="44"/>
        <item x="127"/>
        <item x="102"/>
        <item x="83"/>
        <item x="126"/>
        <item x="56"/>
        <item x="60"/>
        <item x="64"/>
        <item x="99"/>
        <item x="131"/>
        <item m="1" x="202"/>
        <item x="103"/>
        <item x="117"/>
        <item x="95"/>
        <item x="68"/>
        <item m="1" x="199"/>
        <item x="98"/>
        <item x="47"/>
        <item x="69"/>
        <item m="1" x="198"/>
        <item x="118"/>
        <item x="119"/>
        <item x="133"/>
        <item x="129"/>
        <item x="134"/>
        <item x="136"/>
        <item x="137"/>
        <item x="138"/>
        <item x="139"/>
        <item x="140"/>
        <item x="141"/>
        <item x="142"/>
        <item x="143"/>
        <item x="146"/>
        <item m="1" x="205"/>
        <item x="148"/>
        <item x="149"/>
        <item x="152"/>
        <item x="153"/>
        <item x="154"/>
        <item x="156"/>
        <item x="157"/>
        <item x="159"/>
        <item x="161"/>
        <item x="162"/>
        <item x="163"/>
        <item x="164"/>
        <item x="167"/>
        <item x="169"/>
        <item x="172"/>
        <item x="174"/>
        <item x="175"/>
        <item x="176"/>
        <item x="177"/>
        <item x="4"/>
        <item x="178"/>
        <item x="180"/>
        <item x="183"/>
        <item x="184"/>
        <item x="185"/>
        <item x="186"/>
        <item x="187"/>
        <item x="189"/>
        <item x="190"/>
        <item x="191"/>
        <item x="192"/>
        <item t="default"/>
      </items>
    </pivotField>
    <pivotField showAll="0"/>
    <pivotField showAll="0"/>
    <pivotField showAll="0"/>
    <pivotField showAll="0"/>
    <pivotField showAll="0"/>
    <pivotField showAll="0"/>
    <pivotField showAll="0"/>
    <pivotField dataField="1" showAll="0"/>
    <pivotField showAll="0"/>
    <pivotField showAll="0"/>
    <pivotField showAll="0"/>
    <pivotField numFmtId="43" showAll="0"/>
    <pivotField showAll="0"/>
    <pivotField showAll="0"/>
    <pivotField showAll="0"/>
    <pivotField showAll="0"/>
    <pivotField showAll="0"/>
    <pivotField showAll="0"/>
    <pivotField showAll="0"/>
    <pivotField showAll="0"/>
    <pivotField numFmtId="9" showAll="0"/>
  </pivotFields>
  <rowFields count="1">
    <field x="3"/>
  </rowFields>
  <rowItems count="193">
    <i>
      <x v="19"/>
    </i>
    <i>
      <x v="35"/>
    </i>
    <i>
      <x v="70"/>
    </i>
    <i>
      <x v="94"/>
    </i>
    <i>
      <x v="107"/>
    </i>
    <i>
      <x v="118"/>
    </i>
    <i>
      <x v="134"/>
    </i>
    <i>
      <x v="143"/>
    </i>
    <i>
      <x v="154"/>
    </i>
    <i>
      <x v="165"/>
    </i>
    <i>
      <x v="168"/>
    </i>
    <i>
      <x v="174"/>
    </i>
    <i>
      <x v="196"/>
    </i>
    <i>
      <x v="202"/>
    </i>
    <i>
      <x v="208"/>
    </i>
    <i>
      <x v="233"/>
    </i>
    <i>
      <x v="238"/>
    </i>
    <i>
      <x v="246"/>
    </i>
    <i>
      <x v="274"/>
    </i>
    <i>
      <x v="304"/>
    </i>
    <i>
      <x v="312"/>
    </i>
    <i>
      <x v="336"/>
    </i>
    <i>
      <x v="350"/>
    </i>
    <i>
      <x v="356"/>
    </i>
    <i>
      <x v="358"/>
    </i>
    <i>
      <x v="365"/>
    </i>
    <i>
      <x v="409"/>
    </i>
    <i>
      <x v="411"/>
    </i>
    <i>
      <x v="459"/>
    </i>
    <i>
      <x v="468"/>
    </i>
    <i>
      <x v="475"/>
    </i>
    <i>
      <x v="478"/>
    </i>
    <i>
      <x v="483"/>
    </i>
    <i>
      <x v="491"/>
    </i>
    <i>
      <x v="515"/>
    </i>
    <i>
      <x v="519"/>
    </i>
    <i>
      <x v="522"/>
    </i>
    <i>
      <x v="536"/>
    </i>
    <i>
      <x v="631"/>
    </i>
    <i>
      <x v="634"/>
    </i>
    <i>
      <x v="635"/>
    </i>
    <i>
      <x v="640"/>
    </i>
    <i>
      <x v="654"/>
    </i>
    <i>
      <x v="673"/>
    </i>
    <i>
      <x v="688"/>
    </i>
    <i>
      <x v="700"/>
    </i>
    <i>
      <x v="710"/>
    </i>
    <i>
      <x v="739"/>
    </i>
    <i>
      <x v="748"/>
    </i>
    <i>
      <x v="772"/>
    </i>
    <i>
      <x v="779"/>
    </i>
    <i>
      <x v="798"/>
    </i>
    <i>
      <x v="825"/>
    </i>
    <i>
      <x v="836"/>
    </i>
    <i>
      <x v="840"/>
    </i>
    <i>
      <x v="842"/>
    </i>
    <i>
      <x v="846"/>
    </i>
    <i>
      <x v="858"/>
    </i>
    <i>
      <x v="909"/>
    </i>
    <i>
      <x v="954"/>
    </i>
    <i>
      <x v="958"/>
    </i>
    <i>
      <x v="962"/>
    </i>
    <i>
      <x v="982"/>
    </i>
    <i>
      <x v="995"/>
    </i>
    <i>
      <x v="1017"/>
    </i>
    <i>
      <x v="1019"/>
    </i>
    <i>
      <x v="1037"/>
    </i>
    <i>
      <x v="1048"/>
    </i>
    <i>
      <x v="1051"/>
    </i>
    <i>
      <x v="1059"/>
    </i>
    <i>
      <x v="1070"/>
    </i>
    <i>
      <x v="1084"/>
    </i>
    <i>
      <x v="1098"/>
    </i>
    <i>
      <x v="1112"/>
    </i>
    <i>
      <x v="1116"/>
    </i>
    <i>
      <x v="1118"/>
    </i>
    <i>
      <x v="1128"/>
    </i>
    <i>
      <x v="1138"/>
    </i>
    <i>
      <x v="1145"/>
    </i>
    <i>
      <x v="1153"/>
    </i>
    <i>
      <x v="1181"/>
    </i>
    <i>
      <x v="1194"/>
    </i>
    <i>
      <x v="1218"/>
    </i>
    <i>
      <x v="1236"/>
    </i>
    <i>
      <x v="1237"/>
    </i>
    <i>
      <x v="1247"/>
    </i>
    <i>
      <x v="1277"/>
    </i>
    <i>
      <x v="1285"/>
    </i>
    <i>
      <x v="1294"/>
    </i>
    <i>
      <x v="1352"/>
    </i>
    <i>
      <x v="1368"/>
    </i>
    <i>
      <x v="1374"/>
    </i>
    <i>
      <x v="1382"/>
    </i>
    <i>
      <x v="1398"/>
    </i>
    <i>
      <x v="1402"/>
    </i>
    <i>
      <x v="1407"/>
    </i>
    <i>
      <x v="1409"/>
    </i>
    <i>
      <x v="1413"/>
    </i>
    <i>
      <x v="1422"/>
    </i>
    <i>
      <x v="1424"/>
    </i>
    <i>
      <x v="1426"/>
    </i>
    <i>
      <x v="1427"/>
    </i>
    <i>
      <x v="1429"/>
    </i>
    <i>
      <x v="1433"/>
    </i>
    <i>
      <x v="1434"/>
    </i>
    <i>
      <x v="1435"/>
    </i>
    <i>
      <x v="1436"/>
    </i>
    <i>
      <x v="1438"/>
    </i>
    <i>
      <x v="1439"/>
    </i>
    <i>
      <x v="1440"/>
    </i>
    <i>
      <x v="1441"/>
    </i>
    <i>
      <x v="1442"/>
    </i>
    <i>
      <x v="1444"/>
    </i>
    <i>
      <x v="1445"/>
    </i>
    <i>
      <x v="1446"/>
    </i>
    <i>
      <x v="1447"/>
    </i>
    <i>
      <x v="1448"/>
    </i>
    <i>
      <x v="1449"/>
    </i>
    <i>
      <x v="1450"/>
    </i>
    <i>
      <x v="1451"/>
    </i>
    <i>
      <x v="1452"/>
    </i>
    <i>
      <x v="1453"/>
    </i>
    <i>
      <x v="1454"/>
    </i>
    <i>
      <x v="1455"/>
    </i>
    <i>
      <x v="1456"/>
    </i>
    <i>
      <x v="1457"/>
    </i>
    <i>
      <x v="1458"/>
    </i>
    <i>
      <x v="1459"/>
    </i>
    <i>
      <x v="1460"/>
    </i>
    <i>
      <x v="1461"/>
    </i>
    <i>
      <x v="1463"/>
    </i>
    <i>
      <x v="1464"/>
    </i>
    <i>
      <x v="1465"/>
    </i>
    <i>
      <x v="1466"/>
    </i>
    <i>
      <x v="1467"/>
    </i>
    <i>
      <x v="1468"/>
    </i>
    <i>
      <x v="1469"/>
    </i>
    <i>
      <x v="1470"/>
    </i>
    <i>
      <x v="1471"/>
    </i>
    <i>
      <x v="1472"/>
    </i>
    <i>
      <x v="1473"/>
    </i>
    <i>
      <x v="1475"/>
    </i>
    <i>
      <x v="1476"/>
    </i>
    <i>
      <x v="1477"/>
    </i>
    <i>
      <x v="1478"/>
    </i>
    <i>
      <x v="1480"/>
    </i>
    <i>
      <x v="1481"/>
    </i>
    <i>
      <x v="1482"/>
    </i>
    <i>
      <x v="1484"/>
    </i>
    <i>
      <x v="1485"/>
    </i>
    <i>
      <x v="1486"/>
    </i>
    <i>
      <x v="1487"/>
    </i>
    <i>
      <x v="1488"/>
    </i>
    <i>
      <x v="1489"/>
    </i>
    <i>
      <x v="1490"/>
    </i>
    <i>
      <x v="1491"/>
    </i>
    <i>
      <x v="1492"/>
    </i>
    <i>
      <x v="1493"/>
    </i>
    <i>
      <x v="1494"/>
    </i>
    <i>
      <x v="1495"/>
    </i>
    <i>
      <x v="1496"/>
    </i>
    <i>
      <x v="1497"/>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rowItems>
  <colFields count="1">
    <field x="0"/>
  </colFields>
  <colItems count="14">
    <i>
      <x/>
    </i>
    <i>
      <x v="1"/>
    </i>
    <i>
      <x v="2"/>
    </i>
    <i>
      <x v="3"/>
    </i>
    <i>
      <x v="4"/>
    </i>
    <i>
      <x v="5"/>
    </i>
    <i>
      <x v="6"/>
    </i>
    <i>
      <x v="7"/>
    </i>
    <i>
      <x v="8"/>
    </i>
    <i>
      <x v="9"/>
    </i>
    <i>
      <x v="10"/>
    </i>
    <i>
      <x v="11"/>
    </i>
    <i>
      <x v="12"/>
    </i>
    <i>
      <x v="13"/>
    </i>
  </colItems>
  <dataFields count="1">
    <dataField name="Sum of Sales" fld="11" baseField="0" baseItem="0"/>
  </dataFields>
  <formats count="13">
    <format dxfId="82">
      <pivotArea grandRow="1" outline="0" collapsedLevelsAreSubtotals="1" fieldPosition="0"/>
    </format>
    <format dxfId="81">
      <pivotArea collapsedLevelsAreSubtotals="1" fieldPosition="0">
        <references count="1">
          <reference field="0" count="1">
            <x v="0"/>
          </reference>
        </references>
      </pivotArea>
    </format>
    <format dxfId="80">
      <pivotArea collapsedLevelsAreSubtotals="1" fieldPosition="0">
        <references count="1">
          <reference field="0" count="1">
            <x v="1"/>
          </reference>
        </references>
      </pivotArea>
    </format>
    <format dxfId="79">
      <pivotArea collapsedLevelsAreSubtotals="1" fieldPosition="0">
        <references count="1">
          <reference field="0" count="1">
            <x v="2"/>
          </reference>
        </references>
      </pivotArea>
    </format>
    <format dxfId="78">
      <pivotArea collapsedLevelsAreSubtotals="1" fieldPosition="0">
        <references count="1">
          <reference field="0" count="1">
            <x v="4"/>
          </reference>
        </references>
      </pivotArea>
    </format>
    <format dxfId="77">
      <pivotArea collapsedLevelsAreSubtotals="1" fieldPosition="0">
        <references count="1">
          <reference field="0" count="1">
            <x v="5"/>
          </reference>
        </references>
      </pivotArea>
    </format>
    <format dxfId="76">
      <pivotArea collapsedLevelsAreSubtotals="1" fieldPosition="0">
        <references count="1">
          <reference field="0" count="1">
            <x v="6"/>
          </reference>
        </references>
      </pivotArea>
    </format>
    <format dxfId="75">
      <pivotArea collapsedLevelsAreSubtotals="1" fieldPosition="0">
        <references count="1">
          <reference field="0" count="1">
            <x v="7"/>
          </reference>
        </references>
      </pivotArea>
    </format>
    <format dxfId="74">
      <pivotArea collapsedLevelsAreSubtotals="1" fieldPosition="0">
        <references count="1">
          <reference field="0" count="1">
            <x v="8"/>
          </reference>
        </references>
      </pivotArea>
    </format>
    <format dxfId="73">
      <pivotArea collapsedLevelsAreSubtotals="1" fieldPosition="0">
        <references count="1">
          <reference field="0" count="1">
            <x v="9"/>
          </reference>
        </references>
      </pivotArea>
    </format>
    <format dxfId="72">
      <pivotArea collapsedLevelsAreSubtotals="1" fieldPosition="0">
        <references count="1">
          <reference field="0" count="1">
            <x v="10"/>
          </reference>
        </references>
      </pivotArea>
    </format>
    <format dxfId="71">
      <pivotArea collapsedLevelsAreSubtotals="1" fieldPosition="0">
        <references count="1">
          <reference field="0" count="1">
            <x v="11"/>
          </reference>
        </references>
      </pivotArea>
    </format>
    <format dxfId="70">
      <pivotArea collapsedLevelsAreSubtotals="1" fieldPosition="0">
        <references count="1">
          <reference field="0"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3821B85-4633-486C-AEC1-3B2E201E2FFB}" name="ADD_ON10" displayName="ADD_ON10" ref="AC9:AD13" totalsRowShown="0">
  <autoFilter ref="AC9:AD13" xr:uid="{00000000-0009-0000-0100-000005000000}"/>
  <tableColumns count="2">
    <tableColumn id="1" xr3:uid="{CA81DFC3-19CF-49DD-84A3-569135844B14}" name="CATEGORY"/>
    <tableColumn id="2" xr3:uid="{CA18B361-A8F1-474F-A308-1E0013F8FE82}" name="ADD ON" dataDxfId="6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CD174C6-F40B-4F58-874D-CE9FE6D2EBCB}" name="ExpenseList" displayName="ExpenseList" ref="A4:O33" totalsRowShown="0" headerRowDxfId="68">
  <autoFilter ref="A4:O33" xr:uid="{502B4BA1-081D-4C1B-9963-E2AF4456168F}"/>
  <tableColumns count="15">
    <tableColumn id="1" xr3:uid="{775D2DD3-183A-4F4D-A58B-0368FE097ED4}" name="Category" dataDxfId="67"/>
    <tableColumn id="2" xr3:uid="{C7D3D4AF-AFB6-4F00-B5CE-C3D2B05AD7B0}" name="Expense Item" dataDxfId="66"/>
    <tableColumn id="3" xr3:uid="{92B01DED-0576-4FE7-B1A0-AA8588699FB6}" name="January" dataDxfId="65"/>
    <tableColumn id="4" xr3:uid="{9A549434-BA6A-46DF-9066-881582EAAAF8}" name="February" dataDxfId="64"/>
    <tableColumn id="5" xr3:uid="{AD8330F0-A806-4B19-97AB-6663A6061544}" name="March" dataDxfId="63"/>
    <tableColumn id="6" xr3:uid="{A99674C1-57AF-4BF8-9B17-3AF936EDFECA}" name="April" dataDxfId="62"/>
    <tableColumn id="7" xr3:uid="{7116ACA3-9AA7-46F8-AA66-8032A4874D31}" name="May" dataDxfId="61"/>
    <tableColumn id="8" xr3:uid="{71BECCB0-26FB-47F9-8B7B-6E97BD8176FA}" name="June" dataDxfId="60"/>
    <tableColumn id="9" xr3:uid="{63077C0F-C0B7-4B15-A5D9-68A9AABA298D}" name="July" dataDxfId="59"/>
    <tableColumn id="10" xr3:uid="{FED0F709-F360-4F27-817D-279D320DFF54}" name="August" dataDxfId="58"/>
    <tableColumn id="11" xr3:uid="{E34697EA-268B-49C2-8F51-FCF9FD8FE97D}" name="September" dataDxfId="57"/>
    <tableColumn id="12" xr3:uid="{47C1087E-ED0E-4CD7-9A72-F68136926404}" name="October" dataDxfId="56"/>
    <tableColumn id="13" xr3:uid="{C9F9C9B7-90D2-4F3D-93AA-24BC6CE457CD}" name="November" dataDxfId="55"/>
    <tableColumn id="14" xr3:uid="{975B3D3C-EFB3-4536-95B2-C0AC733C1F9E}" name="December" dataDxfId="54"/>
    <tableColumn id="15" xr3:uid="{B0222D95-C131-442E-BE35-71429BF134A5}" name="YTD Total" dataDxfId="5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BD44ECD-6AB8-479A-B60A-9D516022306F}" name="ClientAssignments" displayName="ClientAssignments" ref="A6:M201" totalsRowShown="0" headerRowDxfId="43" dataDxfId="42">
  <autoFilter ref="A6:M201" xr:uid="{CBD44ECD-6AB8-479A-B60A-9D516022306F}"/>
  <tableColumns count="13">
    <tableColumn id="1" xr3:uid="{935FB262-3EA3-4655-87E1-3417B730ABD5}" name="Code" dataDxfId="52"/>
    <tableColumn id="2" xr3:uid="{021165CA-D788-4F4B-BC43-E2A54007A0B2}" name="Customer" dataDxfId="51"/>
    <tableColumn id="3" xr3:uid="{7F404579-C018-41EB-A69D-C74633E7F0F2}" name="Terms" dataDxfId="50"/>
    <tableColumn id="4" xr3:uid="{24623EA7-08EF-4F55-BE29-8F17EFA74002}" name="Credit Limit" dataDxfId="41"/>
    <tableColumn id="5" xr3:uid="{A59FD8B5-C4BB-4D20-A22C-58E999C530D0}" name="Status" dataDxfId="49"/>
    <tableColumn id="6" xr3:uid="{B92CF566-82FB-40E4-B066-0123316ABA4B}" name="Action" dataDxfId="48"/>
    <tableColumn id="7" xr3:uid="{BCB55A89-919C-4384-9C14-0F4E0771DB1B}" name="Assigned Agent" dataDxfId="47"/>
    <tableColumn id="8" xr3:uid="{11DA9C83-A430-497B-BE6A-878103D62BCC}" name="Assignment Status" dataDxfId="46"/>
    <tableColumn id="9" xr3:uid="{1AB6C1BC-479E-446A-89D7-1F4733027A87}" name="Agents Found" dataDxfId="45"/>
    <tableColumn id="10" xr3:uid="{963B3725-034E-47A5-881E-2A1271DC1BAE}" name="DR Count" dataDxfId="44"/>
    <tableColumn id="11" xr3:uid="{0CBD62C2-8F90-4129-9A82-57445998DBFA}" name="Latest Sale" dataDxfId="40"/>
    <tableColumn id="12" xr3:uid="{17EA39E6-E4C7-4D24-B16D-6D2619279B2C}" name="Total Sales" dataDxfId="39"/>
    <tableColumn id="13" xr3:uid="{93291592-AECC-45D3-854C-08282B24624D}" name="Agent Commission" dataDxfId="3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hyperlink" Target="mailto:Vin@30%25" TargetMode="External"/><Relationship Id="rId2" Type="http://schemas.openxmlformats.org/officeDocument/2006/relationships/hyperlink" Target="mailto:Rod@60%25" TargetMode="External"/><Relationship Id="rId1" Type="http://schemas.openxmlformats.org/officeDocument/2006/relationships/hyperlink" Target="mailto:Sharing@50%25" TargetMode="External"/><Relationship Id="rId5" Type="http://schemas.openxmlformats.org/officeDocument/2006/relationships/drawing" Target="../drawings/drawing2.xml"/><Relationship Id="rId4" Type="http://schemas.openxmlformats.org/officeDocument/2006/relationships/hyperlink" Target="mailto:Fred@10%25"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dimension ref="A1:H27"/>
  <sheetViews>
    <sheetView showGridLines="0" zoomScale="89" zoomScaleNormal="89" workbookViewId="0">
      <pane xSplit="1" ySplit="5" topLeftCell="B6" activePane="bottomRight" state="frozen"/>
      <selection pane="topRight"/>
      <selection pane="bottomLeft"/>
      <selection pane="bottomRight" activeCell="K681" sqref="K681"/>
    </sheetView>
  </sheetViews>
  <sheetFormatPr defaultColWidth="9" defaultRowHeight="14.25"/>
  <cols>
    <col min="1" max="1" width="14.125" customWidth="1"/>
    <col min="2" max="2" width="12.5" customWidth="1"/>
    <col min="3" max="3" width="16.625" customWidth="1"/>
    <col min="4" max="4" width="19.125" customWidth="1"/>
    <col min="5" max="6" width="18.375" customWidth="1"/>
    <col min="7" max="7" width="17.5" customWidth="1"/>
    <col min="8" max="8" width="14.125" customWidth="1"/>
    <col min="9" max="76" width="10" customWidth="1"/>
    <col min="77" max="77" width="7" customWidth="1"/>
    <col min="78" max="79" width="11.5" customWidth="1"/>
  </cols>
  <sheetData>
    <row r="1" spans="1:8" ht="23.25">
      <c r="A1" s="214" t="s">
        <v>0</v>
      </c>
      <c r="B1" s="214"/>
      <c r="C1" s="214"/>
      <c r="D1" s="214"/>
      <c r="E1" s="214"/>
      <c r="F1" s="214"/>
      <c r="G1" s="214"/>
      <c r="H1" s="214"/>
    </row>
    <row r="2" spans="1:8">
      <c r="A2" s="215" t="s">
        <v>1</v>
      </c>
      <c r="B2" s="215"/>
      <c r="C2" s="215"/>
      <c r="D2" s="215"/>
      <c r="E2" s="215"/>
      <c r="F2" s="215"/>
      <c r="G2" s="215"/>
      <c r="H2" s="215"/>
    </row>
    <row r="4" spans="1:8">
      <c r="A4" s="213" t="s">
        <v>2</v>
      </c>
      <c r="B4" s="213"/>
      <c r="C4" s="213"/>
      <c r="D4" s="213"/>
      <c r="E4" s="213"/>
      <c r="F4" s="213"/>
      <c r="G4" s="213"/>
      <c r="H4" s="213"/>
    </row>
    <row r="5" spans="1:8">
      <c r="A5" s="213"/>
      <c r="B5" s="213"/>
      <c r="C5" s="213"/>
      <c r="D5" s="213"/>
      <c r="E5" s="213"/>
      <c r="F5" s="213"/>
      <c r="G5" s="213"/>
      <c r="H5" s="213"/>
    </row>
    <row r="7" spans="1:8" ht="15">
      <c r="A7" s="216" t="s">
        <v>3</v>
      </c>
      <c r="B7" s="216"/>
      <c r="C7" s="216"/>
      <c r="D7" s="216"/>
      <c r="E7" s="216"/>
      <c r="F7" s="216"/>
      <c r="G7" s="216"/>
      <c r="H7" s="216"/>
    </row>
    <row r="8" spans="1:8" ht="15">
      <c r="A8" s="41" t="s">
        <v>4</v>
      </c>
      <c r="B8" s="41" t="s">
        <v>5</v>
      </c>
      <c r="C8" s="41" t="s">
        <v>6</v>
      </c>
      <c r="D8" s="41" t="s">
        <v>7</v>
      </c>
      <c r="E8" s="41" t="s">
        <v>8</v>
      </c>
      <c r="F8" s="41" t="s">
        <v>9</v>
      </c>
      <c r="G8" s="41" t="s">
        <v>10</v>
      </c>
      <c r="H8" s="41" t="s">
        <v>11</v>
      </c>
    </row>
    <row r="9" spans="1:8" ht="28.5">
      <c r="A9" s="48" t="s">
        <v>12</v>
      </c>
      <c r="B9" s="48" t="s">
        <v>13</v>
      </c>
      <c r="C9" s="48" t="s">
        <v>14</v>
      </c>
      <c r="D9" s="49" t="s">
        <v>15</v>
      </c>
      <c r="E9" s="49" t="s">
        <v>16</v>
      </c>
      <c r="F9" s="49" t="s">
        <v>17</v>
      </c>
      <c r="G9" s="49" t="s">
        <v>18</v>
      </c>
      <c r="H9" s="48" t="s">
        <v>19</v>
      </c>
    </row>
    <row r="10" spans="1:8" ht="28.5">
      <c r="A10" s="52" t="s">
        <v>20</v>
      </c>
      <c r="B10" s="52" t="s">
        <v>21</v>
      </c>
      <c r="C10" s="52" t="s">
        <v>22</v>
      </c>
      <c r="D10" s="53" t="s">
        <v>23</v>
      </c>
      <c r="E10" s="53" t="s">
        <v>24</v>
      </c>
      <c r="F10" s="53" t="s">
        <v>25</v>
      </c>
      <c r="G10" s="53" t="s">
        <v>26</v>
      </c>
      <c r="H10" s="52" t="s">
        <v>27</v>
      </c>
    </row>
    <row r="11" spans="1:8" ht="28.5">
      <c r="A11" s="52" t="s">
        <v>28</v>
      </c>
      <c r="B11" s="52" t="s">
        <v>29</v>
      </c>
      <c r="C11" s="52" t="s">
        <v>30</v>
      </c>
      <c r="D11" s="53" t="s">
        <v>31</v>
      </c>
      <c r="E11" s="53" t="s">
        <v>32</v>
      </c>
      <c r="F11" s="53" t="s">
        <v>33</v>
      </c>
      <c r="G11" s="53" t="s">
        <v>34</v>
      </c>
      <c r="H11" s="52" t="s">
        <v>19</v>
      </c>
    </row>
    <row r="12" spans="1:8" ht="28.5">
      <c r="A12" s="52" t="s">
        <v>35</v>
      </c>
      <c r="B12" s="52" t="s">
        <v>36</v>
      </c>
      <c r="C12" s="52" t="s">
        <v>37</v>
      </c>
      <c r="D12" s="53" t="s">
        <v>38</v>
      </c>
      <c r="E12" s="53" t="s">
        <v>39</v>
      </c>
      <c r="F12" s="53" t="s">
        <v>40</v>
      </c>
      <c r="G12" s="53" t="s">
        <v>41</v>
      </c>
      <c r="H12" s="52" t="s">
        <v>19</v>
      </c>
    </row>
    <row r="13" spans="1:8" ht="42.75">
      <c r="A13" s="52" t="s">
        <v>42</v>
      </c>
      <c r="B13" s="52" t="s">
        <v>43</v>
      </c>
      <c r="C13" s="52" t="s">
        <v>44</v>
      </c>
      <c r="D13" s="53" t="s">
        <v>45</v>
      </c>
      <c r="E13" s="53" t="s">
        <v>46</v>
      </c>
      <c r="F13" s="53" t="s">
        <v>47</v>
      </c>
      <c r="G13" s="53" t="s">
        <v>48</v>
      </c>
      <c r="H13" s="52" t="s">
        <v>49</v>
      </c>
    </row>
    <row r="14" spans="1:8" ht="28.5">
      <c r="A14" s="52" t="s">
        <v>50</v>
      </c>
      <c r="B14" s="52" t="s">
        <v>51</v>
      </c>
      <c r="C14" s="52" t="s">
        <v>52</v>
      </c>
      <c r="D14" s="53" t="s">
        <v>53</v>
      </c>
      <c r="E14" s="53" t="s">
        <v>54</v>
      </c>
      <c r="F14" s="53" t="s">
        <v>55</v>
      </c>
      <c r="G14" s="53" t="s">
        <v>56</v>
      </c>
      <c r="H14" s="52" t="s">
        <v>57</v>
      </c>
    </row>
    <row r="16" spans="1:8" ht="15">
      <c r="A16" s="216" t="s">
        <v>58</v>
      </c>
      <c r="B16" s="216"/>
      <c r="C16" s="216"/>
      <c r="D16" s="216"/>
      <c r="E16" s="216"/>
      <c r="F16" s="216"/>
      <c r="G16" s="216"/>
      <c r="H16" s="216"/>
    </row>
    <row r="17" spans="1:8" ht="15">
      <c r="A17" s="41" t="s">
        <v>59</v>
      </c>
      <c r="B17" s="41" t="s">
        <v>60</v>
      </c>
      <c r="C17" s="41" t="s">
        <v>61</v>
      </c>
      <c r="D17" s="41" t="s">
        <v>62</v>
      </c>
      <c r="F17" s="210" t="s">
        <v>63</v>
      </c>
      <c r="G17" s="210"/>
      <c r="H17" s="210"/>
    </row>
    <row r="18" spans="1:8">
      <c r="A18" s="193" t="s">
        <v>64</v>
      </c>
      <c r="B18" s="194" t="e">
        <f>Audit!D17</f>
        <v>#REF!</v>
      </c>
      <c r="C18" s="195" t="e">
        <f>Audit!E17</f>
        <v>#REF!</v>
      </c>
      <c r="D18" s="196" t="s">
        <v>65</v>
      </c>
      <c r="F18" s="211" t="s">
        <v>66</v>
      </c>
      <c r="G18" s="211"/>
      <c r="H18" s="211"/>
    </row>
    <row r="19" spans="1:8">
      <c r="A19" s="197" t="s">
        <v>67</v>
      </c>
      <c r="B19" s="44" t="e">
        <f>Audit!D18</f>
        <v>#REF!</v>
      </c>
      <c r="C19" s="46" t="e">
        <f>Audit!E18</f>
        <v>#REF!</v>
      </c>
      <c r="D19" s="198" t="s">
        <v>65</v>
      </c>
      <c r="F19" s="211"/>
      <c r="G19" s="211"/>
      <c r="H19" s="211"/>
    </row>
    <row r="20" spans="1:8">
      <c r="A20" s="197" t="s">
        <v>68</v>
      </c>
      <c r="B20" s="44" t="e">
        <f>Audit!D19</f>
        <v>#REF!</v>
      </c>
      <c r="C20" s="46" t="e">
        <f>Audit!E19</f>
        <v>#REF!</v>
      </c>
      <c r="D20" s="198" t="s">
        <v>65</v>
      </c>
      <c r="F20" s="211"/>
      <c r="G20" s="211"/>
      <c r="H20" s="211"/>
    </row>
    <row r="21" spans="1:8">
      <c r="A21" s="197" t="s">
        <v>69</v>
      </c>
      <c r="B21" s="199" t="e">
        <f>Audit!B20</f>
        <v>#REF!</v>
      </c>
      <c r="C21" s="46" t="e">
        <f>Audit!E20</f>
        <v>#REF!</v>
      </c>
      <c r="D21" s="198" t="s">
        <v>70</v>
      </c>
      <c r="F21" s="211"/>
      <c r="G21" s="211"/>
      <c r="H21" s="211"/>
    </row>
    <row r="22" spans="1:8" ht="28.5">
      <c r="A22" s="197" t="s">
        <v>71</v>
      </c>
      <c r="B22" s="199" t="e">
        <f>Audit!B24</f>
        <v>#REF!</v>
      </c>
      <c r="C22" s="46" t="e">
        <f>Audit!E24</f>
        <v>#REF!</v>
      </c>
      <c r="D22" s="198" t="s">
        <v>72</v>
      </c>
    </row>
    <row r="23" spans="1:8" ht="29.25">
      <c r="A23" s="197" t="s">
        <v>73</v>
      </c>
      <c r="B23" s="199" t="e">
        <f>Audit!B25</f>
        <v>#REF!</v>
      </c>
      <c r="C23" s="46" t="e">
        <f>Audit!E25</f>
        <v>#REF!</v>
      </c>
      <c r="D23" s="198" t="s">
        <v>74</v>
      </c>
      <c r="F23" s="210" t="s">
        <v>75</v>
      </c>
      <c r="G23" s="210"/>
      <c r="H23" s="210"/>
    </row>
    <row r="24" spans="1:8" ht="28.5">
      <c r="A24" s="200" t="s">
        <v>76</v>
      </c>
      <c r="B24" s="201" t="e">
        <f>Audit!B26</f>
        <v>#REF!</v>
      </c>
      <c r="C24" s="115" t="e">
        <f>Audit!E26</f>
        <v>#REF!</v>
      </c>
      <c r="D24" s="202" t="s">
        <v>72</v>
      </c>
      <c r="F24" s="212" t="s">
        <v>77</v>
      </c>
      <c r="G24" s="212"/>
      <c r="H24" s="212"/>
    </row>
    <row r="25" spans="1:8">
      <c r="F25" s="212"/>
      <c r="G25" s="212"/>
      <c r="H25" s="212"/>
    </row>
    <row r="26" spans="1:8">
      <c r="F26" s="212"/>
      <c r="G26" s="212"/>
      <c r="H26" s="212"/>
    </row>
    <row r="27" spans="1:8">
      <c r="F27" s="212"/>
      <c r="G27" s="212"/>
      <c r="H27" s="212"/>
    </row>
  </sheetData>
  <mergeCells count="9">
    <mergeCell ref="F23:H23"/>
    <mergeCell ref="F18:H21"/>
    <mergeCell ref="F24:H27"/>
    <mergeCell ref="A4:H5"/>
    <mergeCell ref="A1:H1"/>
    <mergeCell ref="A2:H2"/>
    <mergeCell ref="A7:H7"/>
    <mergeCell ref="A16:H16"/>
    <mergeCell ref="F17:H17"/>
  </mergeCells>
  <conditionalFormatting sqref="C18:C24">
    <cfRule type="expression" dxfId="37" priority="1">
      <formula>$C18="PASS"</formula>
    </cfRule>
    <cfRule type="expression" dxfId="36" priority="2">
      <formula>$C18="FAIL"</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A775-1714-4949-90C3-6655E6D85A08}">
  <sheetPr>
    <tabColor rgb="FF00B050"/>
    <outlinePr summaryBelow="0" summaryRight="0"/>
  </sheetPr>
  <dimension ref="B1:AJ174"/>
  <sheetViews>
    <sheetView zoomScale="70" zoomScaleNormal="70" workbookViewId="0">
      <pane xSplit="3" ySplit="5" topLeftCell="D35" activePane="bottomRight" state="frozen"/>
      <selection pane="topRight"/>
      <selection pane="bottomLeft"/>
      <selection pane="bottomRight" activeCell="F62" sqref="F62"/>
    </sheetView>
  </sheetViews>
  <sheetFormatPr defaultColWidth="12.625" defaultRowHeight="15" customHeight="1" outlineLevelRow="2" outlineLevelCol="1"/>
  <cols>
    <col min="1" max="1" width="5.75" customWidth="1"/>
    <col min="2" max="2" width="28.375" customWidth="1"/>
    <col min="3" max="3" width="14.5" customWidth="1"/>
    <col min="4" max="4" width="14.5" customWidth="1" outlineLevel="1"/>
    <col min="5" max="5" width="17.125" customWidth="1" outlineLevel="1"/>
    <col min="6" max="7" width="18.5" customWidth="1" outlineLevel="1"/>
    <col min="8" max="8" width="19" customWidth="1" outlineLevel="1"/>
    <col min="9" max="10" width="17.125" customWidth="1" outlineLevel="1"/>
    <col min="11" max="11" width="15.25" customWidth="1" outlineLevel="1"/>
    <col min="12" max="12" width="16" customWidth="1" outlineLevel="1"/>
    <col min="13" max="13" width="19" customWidth="1" outlineLevel="1"/>
    <col min="14" max="15" width="14.375" customWidth="1" outlineLevel="1"/>
    <col min="16" max="16" width="17.625" customWidth="1"/>
    <col min="17" max="17" width="16" customWidth="1"/>
    <col min="18" max="18" width="17.75" customWidth="1"/>
    <col min="19" max="19" width="14.75" customWidth="1"/>
    <col min="20" max="20" width="16.75" customWidth="1"/>
    <col min="21" max="21" width="17.625" customWidth="1"/>
    <col min="22" max="22" width="17.125" customWidth="1"/>
    <col min="23" max="23" width="16.75" customWidth="1"/>
    <col min="24" max="24" width="20.25" customWidth="1"/>
    <col min="25" max="27" width="18.75" customWidth="1"/>
    <col min="28" max="28" width="18.5" customWidth="1"/>
    <col min="29" max="29" width="17.625" customWidth="1"/>
    <col min="30" max="30" width="30" customWidth="1"/>
    <col min="31" max="31" width="37.25" customWidth="1"/>
    <col min="32" max="32" width="12.625" customWidth="1"/>
    <col min="33" max="33" width="13.25" customWidth="1"/>
    <col min="34" max="34" width="11.5" customWidth="1"/>
    <col min="35" max="38" width="4.75" customWidth="1"/>
    <col min="39" max="39" width="20.75" customWidth="1"/>
    <col min="40" max="40" width="17.625" customWidth="1"/>
    <col min="41" max="41" width="21" customWidth="1"/>
  </cols>
  <sheetData>
    <row r="1" spans="2:33" ht="32.25" customHeight="1" thickBot="1">
      <c r="B1" s="298" t="s">
        <v>3771</v>
      </c>
      <c r="C1" s="9">
        <v>3</v>
      </c>
      <c r="D1" s="118">
        <v>46298</v>
      </c>
      <c r="E1" s="4"/>
      <c r="F1" s="4"/>
      <c r="G1" s="10"/>
      <c r="H1" s="4"/>
      <c r="I1" s="10"/>
      <c r="J1" s="10"/>
    </row>
    <row r="2" spans="2:33" ht="15" customHeight="1" thickBot="1">
      <c r="B2" s="255" t="s">
        <v>300</v>
      </c>
      <c r="C2" s="256"/>
      <c r="D2" s="251">
        <v>0.36944833333333332</v>
      </c>
      <c r="E2" s="252"/>
      <c r="F2" s="251">
        <v>0.46434266666666668</v>
      </c>
      <c r="G2" s="252"/>
      <c r="H2" s="251">
        <v>0.4712563666666667</v>
      </c>
      <c r="I2" s="252"/>
      <c r="J2" s="251">
        <v>0.57341799999999998</v>
      </c>
      <c r="K2" s="252"/>
      <c r="L2" s="251">
        <v>0.64928866666666663</v>
      </c>
      <c r="M2" s="252"/>
      <c r="N2" s="251">
        <v>0.67444333333333328</v>
      </c>
      <c r="O2" s="252"/>
      <c r="P2" s="251">
        <v>0.57050599999999996</v>
      </c>
      <c r="Q2" s="252"/>
      <c r="R2" s="251">
        <v>0.36974699999999999</v>
      </c>
      <c r="S2" s="252"/>
      <c r="T2" s="251">
        <v>0.43383699999999997</v>
      </c>
      <c r="U2" s="252"/>
      <c r="V2" s="251">
        <v>2.3076666666666665E-2</v>
      </c>
      <c r="W2" s="252"/>
      <c r="X2" s="251">
        <v>0</v>
      </c>
      <c r="Y2" s="252"/>
      <c r="Z2" s="251">
        <v>0</v>
      </c>
      <c r="AA2" s="252"/>
      <c r="AB2" s="253" t="s">
        <v>301</v>
      </c>
      <c r="AC2" s="254"/>
      <c r="AD2" s="119" t="s">
        <v>302</v>
      </c>
    </row>
    <row r="3" spans="2:33" ht="23.25" customHeight="1" thickBot="1">
      <c r="B3" s="255" t="s">
        <v>303</v>
      </c>
      <c r="C3" s="256"/>
      <c r="D3" s="257">
        <v>554172.5</v>
      </c>
      <c r="E3" s="258"/>
      <c r="F3" s="257">
        <v>696514</v>
      </c>
      <c r="G3" s="258"/>
      <c r="H3" s="257">
        <v>706884.55</v>
      </c>
      <c r="I3" s="258"/>
      <c r="J3" s="259">
        <v>860127</v>
      </c>
      <c r="K3" s="260"/>
      <c r="L3" s="257">
        <v>973933</v>
      </c>
      <c r="M3" s="258"/>
      <c r="N3" s="257">
        <v>1011665</v>
      </c>
      <c r="O3" s="258"/>
      <c r="P3" s="257">
        <v>855759</v>
      </c>
      <c r="Q3" s="258"/>
      <c r="R3" s="257">
        <v>554620.5</v>
      </c>
      <c r="S3" s="258"/>
      <c r="T3" s="257">
        <v>650755.5</v>
      </c>
      <c r="U3" s="258"/>
      <c r="V3" s="257">
        <v>34615</v>
      </c>
      <c r="W3" s="258"/>
      <c r="X3" s="257">
        <v>0</v>
      </c>
      <c r="Y3" s="258"/>
      <c r="Z3" s="257">
        <v>0</v>
      </c>
      <c r="AA3" s="258"/>
      <c r="AB3" s="231">
        <v>6899046.0499999998</v>
      </c>
      <c r="AC3" s="261">
        <v>0.38328033611111112</v>
      </c>
      <c r="AD3" s="217">
        <v>-11100953.949999999</v>
      </c>
    </row>
    <row r="4" spans="2:33" ht="15.75" thickBot="1">
      <c r="B4" s="223">
        <v>46298</v>
      </c>
      <c r="C4" s="227" t="s">
        <v>304</v>
      </c>
      <c r="D4" s="248">
        <v>46023</v>
      </c>
      <c r="E4" s="249"/>
      <c r="F4" s="248">
        <v>46055</v>
      </c>
      <c r="G4" s="249"/>
      <c r="H4" s="248">
        <v>46083</v>
      </c>
      <c r="I4" s="249"/>
      <c r="J4" s="250">
        <v>46114</v>
      </c>
      <c r="K4" s="250"/>
      <c r="L4" s="248">
        <v>46144</v>
      </c>
      <c r="M4" s="248"/>
      <c r="N4" s="250">
        <v>46175</v>
      </c>
      <c r="O4" s="250"/>
      <c r="P4" s="248">
        <v>46205</v>
      </c>
      <c r="Q4" s="248"/>
      <c r="R4" s="250">
        <v>46236</v>
      </c>
      <c r="S4" s="250"/>
      <c r="T4" s="248">
        <v>46267</v>
      </c>
      <c r="U4" s="248"/>
      <c r="V4" s="250">
        <v>46297</v>
      </c>
      <c r="W4" s="250"/>
      <c r="X4" s="248">
        <v>46328</v>
      </c>
      <c r="Y4" s="248"/>
      <c r="Z4" s="250">
        <v>46358</v>
      </c>
      <c r="AA4" s="250"/>
      <c r="AB4" s="232"/>
      <c r="AC4" s="261"/>
      <c r="AD4" s="218"/>
    </row>
    <row r="5" spans="2:33">
      <c r="B5" s="224"/>
      <c r="C5" s="228"/>
      <c r="D5" s="120" t="s">
        <v>305</v>
      </c>
      <c r="E5" s="121" t="s">
        <v>306</v>
      </c>
      <c r="F5" s="120" t="s">
        <v>305</v>
      </c>
      <c r="G5" s="121" t="s">
        <v>306</v>
      </c>
      <c r="H5" s="120" t="s">
        <v>305</v>
      </c>
      <c r="I5" s="121" t="s">
        <v>306</v>
      </c>
      <c r="J5" s="122" t="s">
        <v>305</v>
      </c>
      <c r="K5" s="123" t="s">
        <v>306</v>
      </c>
      <c r="L5" s="122" t="s">
        <v>305</v>
      </c>
      <c r="M5" s="123" t="s">
        <v>306</v>
      </c>
      <c r="N5" s="120" t="s">
        <v>305</v>
      </c>
      <c r="O5" s="124" t="s">
        <v>306</v>
      </c>
      <c r="P5" s="120" t="s">
        <v>305</v>
      </c>
      <c r="Q5" s="124" t="s">
        <v>306</v>
      </c>
      <c r="R5" s="120" t="s">
        <v>305</v>
      </c>
      <c r="S5" s="124" t="s">
        <v>306</v>
      </c>
      <c r="T5" s="120" t="s">
        <v>305</v>
      </c>
      <c r="U5" s="124" t="s">
        <v>306</v>
      </c>
      <c r="V5" s="120" t="s">
        <v>305</v>
      </c>
      <c r="W5" s="124" t="s">
        <v>306</v>
      </c>
      <c r="X5" s="120" t="s">
        <v>305</v>
      </c>
      <c r="Y5" s="124" t="s">
        <v>306</v>
      </c>
      <c r="Z5" s="120" t="s">
        <v>305</v>
      </c>
      <c r="AA5" s="121" t="s">
        <v>306</v>
      </c>
      <c r="AB5" s="233">
        <v>18000000</v>
      </c>
      <c r="AC5" s="261"/>
      <c r="AD5" s="218"/>
    </row>
    <row r="6" spans="2:33" ht="15.75" thickBot="1">
      <c r="B6" s="263" t="s">
        <v>307</v>
      </c>
      <c r="C6" s="264"/>
      <c r="D6" s="125">
        <v>75000</v>
      </c>
      <c r="E6" s="126">
        <v>1500000</v>
      </c>
      <c r="F6" s="125">
        <v>75000</v>
      </c>
      <c r="G6" s="126">
        <v>1500000</v>
      </c>
      <c r="H6" s="125">
        <v>75000</v>
      </c>
      <c r="I6" s="126">
        <v>1500000</v>
      </c>
      <c r="J6" s="125">
        <v>75000</v>
      </c>
      <c r="K6" s="126">
        <v>1500000</v>
      </c>
      <c r="L6" s="125">
        <v>75000</v>
      </c>
      <c r="M6" s="126">
        <v>1500000</v>
      </c>
      <c r="N6" s="125">
        <v>75000</v>
      </c>
      <c r="O6" s="126">
        <v>1500000</v>
      </c>
      <c r="P6" s="125">
        <v>75000</v>
      </c>
      <c r="Q6" s="126">
        <v>1500000</v>
      </c>
      <c r="R6" s="125">
        <v>75000</v>
      </c>
      <c r="S6" s="126">
        <v>1500000</v>
      </c>
      <c r="T6" s="125">
        <v>75000</v>
      </c>
      <c r="U6" s="126">
        <v>1500000</v>
      </c>
      <c r="V6" s="125">
        <v>75000</v>
      </c>
      <c r="W6" s="126">
        <v>1500000</v>
      </c>
      <c r="X6" s="125">
        <v>75000</v>
      </c>
      <c r="Y6" s="126">
        <v>1500000</v>
      </c>
      <c r="Z6" s="125">
        <v>75000</v>
      </c>
      <c r="AA6" s="126">
        <v>1500000</v>
      </c>
      <c r="AB6" s="234"/>
      <c r="AC6" s="262"/>
      <c r="AD6" s="219"/>
    </row>
    <row r="7" spans="2:33">
      <c r="B7" s="127">
        <v>45566</v>
      </c>
      <c r="C7" s="128">
        <v>1</v>
      </c>
      <c r="D7" s="129">
        <v>0</v>
      </c>
      <c r="E7" s="130">
        <v>0</v>
      </c>
      <c r="F7" s="129">
        <v>0</v>
      </c>
      <c r="G7" s="130">
        <v>0</v>
      </c>
      <c r="H7" s="129">
        <v>0</v>
      </c>
      <c r="I7" s="130">
        <v>0</v>
      </c>
      <c r="J7" s="129">
        <v>51239</v>
      </c>
      <c r="K7" s="130">
        <v>51239</v>
      </c>
      <c r="L7" s="129">
        <v>0</v>
      </c>
      <c r="M7" s="130">
        <v>0</v>
      </c>
      <c r="N7" s="129">
        <v>56723</v>
      </c>
      <c r="O7" s="130">
        <v>56723</v>
      </c>
      <c r="P7" s="129">
        <v>22046</v>
      </c>
      <c r="Q7" s="130">
        <v>22046</v>
      </c>
      <c r="R7" s="129">
        <v>23680</v>
      </c>
      <c r="S7" s="130">
        <v>23680</v>
      </c>
      <c r="T7" s="129">
        <v>18288</v>
      </c>
      <c r="U7" s="130">
        <v>18288</v>
      </c>
      <c r="V7" s="129">
        <v>34615</v>
      </c>
      <c r="W7" s="130">
        <v>34615</v>
      </c>
      <c r="X7" s="129">
        <v>0</v>
      </c>
      <c r="Y7" s="130">
        <v>0</v>
      </c>
      <c r="Z7" s="129">
        <v>0</v>
      </c>
      <c r="AA7" s="130">
        <v>0</v>
      </c>
      <c r="AE7" s="10">
        <v>1500000</v>
      </c>
      <c r="AF7" s="10">
        <v>75000</v>
      </c>
      <c r="AG7" s="10">
        <v>27605.129032258064</v>
      </c>
    </row>
    <row r="8" spans="2:33">
      <c r="B8" s="127">
        <v>45567</v>
      </c>
      <c r="C8" s="128">
        <v>2</v>
      </c>
      <c r="D8" s="129">
        <v>18062</v>
      </c>
      <c r="E8" s="130">
        <v>18062</v>
      </c>
      <c r="F8" s="129">
        <v>35345</v>
      </c>
      <c r="G8" s="130">
        <v>35345</v>
      </c>
      <c r="H8" s="129">
        <v>36375</v>
      </c>
      <c r="I8" s="130">
        <v>36375</v>
      </c>
      <c r="J8" s="129">
        <v>0</v>
      </c>
      <c r="K8" s="130">
        <v>51239</v>
      </c>
      <c r="L8" s="129">
        <v>31324</v>
      </c>
      <c r="M8" s="130">
        <v>31324</v>
      </c>
      <c r="N8" s="129">
        <v>44632</v>
      </c>
      <c r="O8" s="130">
        <v>101355</v>
      </c>
      <c r="P8" s="129">
        <v>30014</v>
      </c>
      <c r="Q8" s="130">
        <v>52060</v>
      </c>
      <c r="R8" s="129">
        <v>0</v>
      </c>
      <c r="S8" s="130">
        <v>23680</v>
      </c>
      <c r="T8" s="129">
        <v>31870</v>
      </c>
      <c r="U8" s="130">
        <v>50158</v>
      </c>
      <c r="V8" s="129">
        <v>0</v>
      </c>
      <c r="W8" s="130">
        <v>34615</v>
      </c>
      <c r="X8" s="129">
        <v>0</v>
      </c>
      <c r="Y8" s="130">
        <v>0</v>
      </c>
      <c r="Z8" s="129">
        <v>0</v>
      </c>
      <c r="AA8" s="130">
        <v>0</v>
      </c>
      <c r="AE8" s="10">
        <v>1500000</v>
      </c>
      <c r="AF8" s="10">
        <v>75000</v>
      </c>
      <c r="AG8" s="10">
        <v>27605.129032258064</v>
      </c>
    </row>
    <row r="9" spans="2:33">
      <c r="B9" s="127">
        <v>45568</v>
      </c>
      <c r="C9" s="128">
        <v>3</v>
      </c>
      <c r="D9" s="129">
        <v>23348</v>
      </c>
      <c r="E9" s="130">
        <v>41410</v>
      </c>
      <c r="F9" s="129">
        <v>27093</v>
      </c>
      <c r="G9" s="130">
        <v>62438</v>
      </c>
      <c r="H9" s="129">
        <v>31114</v>
      </c>
      <c r="I9" s="130">
        <v>67489</v>
      </c>
      <c r="J9" s="129">
        <v>0</v>
      </c>
      <c r="K9" s="130">
        <v>51239</v>
      </c>
      <c r="L9" s="129">
        <v>0</v>
      </c>
      <c r="M9" s="130">
        <v>31324</v>
      </c>
      <c r="N9" s="129">
        <v>39515</v>
      </c>
      <c r="O9" s="130">
        <v>140870</v>
      </c>
      <c r="P9" s="129">
        <v>38931</v>
      </c>
      <c r="Q9" s="130">
        <v>90991</v>
      </c>
      <c r="R9" s="129">
        <v>10568</v>
      </c>
      <c r="S9" s="130">
        <v>34248</v>
      </c>
      <c r="T9" s="129">
        <v>31088.5</v>
      </c>
      <c r="U9" s="130">
        <v>81246.5</v>
      </c>
      <c r="V9" s="129">
        <v>0</v>
      </c>
      <c r="W9" s="130">
        <v>34615</v>
      </c>
      <c r="X9" s="129">
        <v>0</v>
      </c>
      <c r="Y9" s="130">
        <v>0</v>
      </c>
      <c r="Z9" s="129">
        <v>0</v>
      </c>
      <c r="AA9" s="130">
        <v>0</v>
      </c>
      <c r="AC9" s="9" t="s">
        <v>291</v>
      </c>
      <c r="AD9" s="9" t="s">
        <v>308</v>
      </c>
      <c r="AE9" s="10">
        <v>1500000</v>
      </c>
      <c r="AF9" s="10">
        <v>75000</v>
      </c>
      <c r="AG9" s="10">
        <v>27605.129032258064</v>
      </c>
    </row>
    <row r="10" spans="2:33">
      <c r="B10" s="127">
        <v>45569</v>
      </c>
      <c r="C10" s="128">
        <v>4</v>
      </c>
      <c r="D10" s="129">
        <v>0</v>
      </c>
      <c r="E10" s="130">
        <v>41410</v>
      </c>
      <c r="F10" s="129">
        <v>31455</v>
      </c>
      <c r="G10" s="130">
        <v>93893</v>
      </c>
      <c r="H10" s="129">
        <v>57986</v>
      </c>
      <c r="I10" s="130">
        <v>125475</v>
      </c>
      <c r="J10" s="129">
        <v>24657</v>
      </c>
      <c r="K10" s="130">
        <v>75896</v>
      </c>
      <c r="L10" s="129">
        <v>38209</v>
      </c>
      <c r="M10" s="130">
        <v>69533</v>
      </c>
      <c r="N10" s="129">
        <v>24707</v>
      </c>
      <c r="O10" s="130">
        <v>165577</v>
      </c>
      <c r="P10" s="129">
        <v>46195</v>
      </c>
      <c r="Q10" s="130">
        <v>137186</v>
      </c>
      <c r="R10" s="129">
        <v>30710</v>
      </c>
      <c r="S10" s="130">
        <v>64958</v>
      </c>
      <c r="T10" s="129">
        <v>42401</v>
      </c>
      <c r="U10" s="130">
        <v>123647.5</v>
      </c>
      <c r="V10" s="129">
        <v>0</v>
      </c>
      <c r="W10" s="130">
        <v>34615</v>
      </c>
      <c r="X10" s="129">
        <v>0</v>
      </c>
      <c r="Y10" s="130">
        <v>0</v>
      </c>
      <c r="Z10" s="129">
        <v>0</v>
      </c>
      <c r="AA10" s="130">
        <v>0</v>
      </c>
      <c r="AC10" t="s">
        <v>294</v>
      </c>
      <c r="AD10" s="131">
        <v>0.05</v>
      </c>
      <c r="AE10" s="10">
        <v>1500000</v>
      </c>
      <c r="AF10" s="10">
        <v>75000</v>
      </c>
      <c r="AG10" s="10">
        <v>27605.129032258064</v>
      </c>
    </row>
    <row r="11" spans="2:33">
      <c r="B11" s="127">
        <v>45570</v>
      </c>
      <c r="C11" s="128">
        <v>5</v>
      </c>
      <c r="D11" s="129">
        <v>27160</v>
      </c>
      <c r="E11" s="130">
        <v>68570</v>
      </c>
      <c r="F11" s="129">
        <v>5010</v>
      </c>
      <c r="G11" s="130">
        <v>98903</v>
      </c>
      <c r="H11" s="129">
        <v>27506</v>
      </c>
      <c r="I11" s="130">
        <v>152981</v>
      </c>
      <c r="J11" s="129">
        <v>0</v>
      </c>
      <c r="K11" s="130">
        <v>75896</v>
      </c>
      <c r="L11" s="129">
        <v>21276</v>
      </c>
      <c r="M11" s="130">
        <v>90809</v>
      </c>
      <c r="N11" s="129">
        <v>27135</v>
      </c>
      <c r="O11" s="130">
        <v>192712</v>
      </c>
      <c r="P11" s="129">
        <v>0</v>
      </c>
      <c r="Q11" s="130">
        <v>137186</v>
      </c>
      <c r="R11" s="129">
        <v>10707.5</v>
      </c>
      <c r="S11" s="130">
        <v>75665.5</v>
      </c>
      <c r="T11" s="129">
        <v>58371</v>
      </c>
      <c r="U11" s="130">
        <v>182018.5</v>
      </c>
      <c r="V11" s="129">
        <v>0</v>
      </c>
      <c r="W11" s="130">
        <v>34615</v>
      </c>
      <c r="X11" s="129">
        <v>0</v>
      </c>
      <c r="Y11" s="130">
        <v>0</v>
      </c>
      <c r="Z11" s="129">
        <v>0</v>
      </c>
      <c r="AA11" s="130">
        <v>0</v>
      </c>
      <c r="AC11" t="s">
        <v>295</v>
      </c>
      <c r="AD11" s="131">
        <v>0.05</v>
      </c>
      <c r="AE11" s="10">
        <v>1500000</v>
      </c>
      <c r="AF11" s="10">
        <v>75000</v>
      </c>
      <c r="AG11" s="10">
        <v>27605.129032258064</v>
      </c>
    </row>
    <row r="12" spans="2:33">
      <c r="B12" s="127">
        <v>45571</v>
      </c>
      <c r="C12" s="128">
        <v>6</v>
      </c>
      <c r="D12" s="129">
        <v>27471</v>
      </c>
      <c r="E12" s="130">
        <v>96041</v>
      </c>
      <c r="F12" s="129">
        <v>6300</v>
      </c>
      <c r="G12" s="130">
        <v>105203</v>
      </c>
      <c r="H12" s="129">
        <v>37701.550000000003</v>
      </c>
      <c r="I12" s="130">
        <v>190682.55</v>
      </c>
      <c r="J12" s="129">
        <v>30785</v>
      </c>
      <c r="K12" s="130">
        <v>106681</v>
      </c>
      <c r="L12" s="129">
        <v>40219</v>
      </c>
      <c r="M12" s="130">
        <v>131028</v>
      </c>
      <c r="N12" s="129">
        <v>31718</v>
      </c>
      <c r="O12" s="130">
        <v>224430</v>
      </c>
      <c r="P12" s="129">
        <v>30413</v>
      </c>
      <c r="Q12" s="130">
        <v>167599</v>
      </c>
      <c r="R12" s="129">
        <v>45960</v>
      </c>
      <c r="S12" s="130">
        <v>121625.5</v>
      </c>
      <c r="T12" s="129">
        <v>0</v>
      </c>
      <c r="U12" s="130">
        <v>182018.5</v>
      </c>
      <c r="V12" s="129">
        <v>0</v>
      </c>
      <c r="W12" s="130">
        <v>34615</v>
      </c>
      <c r="X12" s="129">
        <v>0</v>
      </c>
      <c r="Y12" s="130">
        <v>0</v>
      </c>
      <c r="Z12" s="129">
        <v>0</v>
      </c>
      <c r="AA12" s="130">
        <v>0</v>
      </c>
      <c r="AC12" t="s">
        <v>297</v>
      </c>
      <c r="AD12" s="131">
        <v>0.03</v>
      </c>
      <c r="AE12" s="10">
        <v>1500000</v>
      </c>
      <c r="AF12" s="10">
        <v>75000</v>
      </c>
      <c r="AG12" s="10">
        <v>27605.129032258064</v>
      </c>
    </row>
    <row r="13" spans="2:33">
      <c r="B13" s="127">
        <v>45572</v>
      </c>
      <c r="C13" s="128">
        <v>7</v>
      </c>
      <c r="D13" s="129">
        <v>46280</v>
      </c>
      <c r="E13" s="130">
        <v>142321</v>
      </c>
      <c r="F13" s="129">
        <v>29488</v>
      </c>
      <c r="G13" s="130">
        <v>134691</v>
      </c>
      <c r="H13" s="129">
        <v>48158</v>
      </c>
      <c r="I13" s="130">
        <v>238840.55</v>
      </c>
      <c r="J13" s="129">
        <v>69658</v>
      </c>
      <c r="K13" s="130">
        <v>176339</v>
      </c>
      <c r="L13" s="129">
        <v>16814</v>
      </c>
      <c r="M13" s="130">
        <v>147842</v>
      </c>
      <c r="N13" s="129">
        <v>0</v>
      </c>
      <c r="O13" s="130">
        <v>224430</v>
      </c>
      <c r="P13" s="129">
        <v>42315</v>
      </c>
      <c r="Q13" s="130">
        <v>209914</v>
      </c>
      <c r="R13" s="129">
        <v>28094</v>
      </c>
      <c r="S13" s="130">
        <v>149719.5</v>
      </c>
      <c r="T13" s="129">
        <v>14198</v>
      </c>
      <c r="U13" s="130">
        <v>196216.5</v>
      </c>
      <c r="V13" s="129">
        <v>0</v>
      </c>
      <c r="W13" s="130">
        <v>34615</v>
      </c>
      <c r="X13" s="129">
        <v>0</v>
      </c>
      <c r="Y13" s="130">
        <v>0</v>
      </c>
      <c r="Z13" s="129">
        <v>0</v>
      </c>
      <c r="AA13" s="130">
        <v>0</v>
      </c>
      <c r="AC13" t="s">
        <v>296</v>
      </c>
      <c r="AD13" s="131">
        <v>0.05</v>
      </c>
      <c r="AE13" s="10">
        <v>1500000</v>
      </c>
      <c r="AF13" s="10">
        <v>75000</v>
      </c>
      <c r="AG13" s="10">
        <v>27605.129032258064</v>
      </c>
    </row>
    <row r="14" spans="2:33">
      <c r="B14" s="127">
        <v>45573</v>
      </c>
      <c r="C14" s="128">
        <v>8</v>
      </c>
      <c r="D14" s="129">
        <v>8450</v>
      </c>
      <c r="E14" s="130">
        <v>150771</v>
      </c>
      <c r="F14" s="129">
        <v>0</v>
      </c>
      <c r="G14" s="130">
        <v>134691</v>
      </c>
      <c r="H14" s="129">
        <v>0</v>
      </c>
      <c r="I14" s="130">
        <v>238840.55</v>
      </c>
      <c r="J14" s="129">
        <v>23263</v>
      </c>
      <c r="K14" s="130">
        <v>199602</v>
      </c>
      <c r="L14" s="129">
        <v>24832</v>
      </c>
      <c r="M14" s="130">
        <v>172674</v>
      </c>
      <c r="N14" s="129">
        <v>19084</v>
      </c>
      <c r="O14" s="130">
        <v>243514</v>
      </c>
      <c r="P14" s="129">
        <v>32335</v>
      </c>
      <c r="Q14" s="130">
        <v>242249</v>
      </c>
      <c r="R14" s="129">
        <v>30986</v>
      </c>
      <c r="S14" s="130">
        <v>180705.5</v>
      </c>
      <c r="T14" s="129">
        <v>15763</v>
      </c>
      <c r="U14" s="130">
        <v>211979.5</v>
      </c>
      <c r="V14" s="129">
        <v>0</v>
      </c>
      <c r="W14" s="130">
        <v>34615</v>
      </c>
      <c r="X14" s="129">
        <v>0</v>
      </c>
      <c r="Y14" s="130">
        <v>0</v>
      </c>
      <c r="Z14" s="129">
        <v>0</v>
      </c>
      <c r="AA14" s="130">
        <v>0</v>
      </c>
      <c r="AE14" s="10">
        <v>1500000</v>
      </c>
      <c r="AF14" s="10">
        <v>75000</v>
      </c>
      <c r="AG14" s="10">
        <v>27605.129032258064</v>
      </c>
    </row>
    <row r="15" spans="2:33">
      <c r="B15" s="127">
        <v>45574</v>
      </c>
      <c r="C15" s="128">
        <v>9</v>
      </c>
      <c r="D15" s="129">
        <v>18931</v>
      </c>
      <c r="E15" s="130">
        <v>169702</v>
      </c>
      <c r="F15" s="129">
        <v>17255</v>
      </c>
      <c r="G15" s="130">
        <v>151946</v>
      </c>
      <c r="H15" s="129">
        <v>37221</v>
      </c>
      <c r="I15" s="130">
        <v>276061.55</v>
      </c>
      <c r="J15" s="129">
        <v>41275</v>
      </c>
      <c r="K15" s="130">
        <v>240877</v>
      </c>
      <c r="L15" s="129">
        <v>64342</v>
      </c>
      <c r="M15" s="130">
        <v>237016</v>
      </c>
      <c r="N15" s="129">
        <v>45256</v>
      </c>
      <c r="O15" s="130">
        <v>288770</v>
      </c>
      <c r="P15" s="129">
        <v>37365</v>
      </c>
      <c r="Q15" s="130">
        <v>279614</v>
      </c>
      <c r="R15" s="129">
        <v>0</v>
      </c>
      <c r="S15" s="130">
        <v>180705.5</v>
      </c>
      <c r="T15" s="129">
        <v>14255</v>
      </c>
      <c r="U15" s="130">
        <v>226234.5</v>
      </c>
      <c r="V15" s="129">
        <v>0</v>
      </c>
      <c r="W15" s="130">
        <v>34615</v>
      </c>
      <c r="X15" s="129">
        <v>0</v>
      </c>
      <c r="Y15" s="130">
        <v>0</v>
      </c>
      <c r="Z15" s="129">
        <v>0</v>
      </c>
      <c r="AA15" s="130">
        <v>0</v>
      </c>
      <c r="AE15" s="10">
        <v>1500000</v>
      </c>
      <c r="AF15" s="10">
        <v>75000</v>
      </c>
      <c r="AG15" s="10">
        <v>27605.129032258064</v>
      </c>
    </row>
    <row r="16" spans="2:33">
      <c r="B16" s="127">
        <v>45575</v>
      </c>
      <c r="C16" s="128">
        <v>10</v>
      </c>
      <c r="D16" s="129">
        <v>36175</v>
      </c>
      <c r="E16" s="130">
        <v>205877</v>
      </c>
      <c r="F16" s="129">
        <v>39549</v>
      </c>
      <c r="G16" s="130">
        <v>191495</v>
      </c>
      <c r="H16" s="129">
        <v>7630</v>
      </c>
      <c r="I16" s="130">
        <v>283691.55</v>
      </c>
      <c r="J16" s="129">
        <v>48177</v>
      </c>
      <c r="K16" s="130">
        <v>289054</v>
      </c>
      <c r="L16" s="129">
        <v>0</v>
      </c>
      <c r="M16" s="130">
        <v>237016</v>
      </c>
      <c r="N16" s="129">
        <v>28085</v>
      </c>
      <c r="O16" s="130">
        <v>316855</v>
      </c>
      <c r="P16" s="129">
        <v>38598</v>
      </c>
      <c r="Q16" s="130">
        <v>318212</v>
      </c>
      <c r="R16" s="129">
        <v>4600</v>
      </c>
      <c r="S16" s="130">
        <v>185305.5</v>
      </c>
      <c r="T16" s="129">
        <v>16450</v>
      </c>
      <c r="U16" s="130">
        <v>242684.5</v>
      </c>
      <c r="V16" s="129">
        <v>0</v>
      </c>
      <c r="W16" s="130">
        <v>34615</v>
      </c>
      <c r="X16" s="129">
        <v>0</v>
      </c>
      <c r="Y16" s="130">
        <v>0</v>
      </c>
      <c r="Z16" s="129">
        <v>0</v>
      </c>
      <c r="AA16" s="130">
        <v>0</v>
      </c>
      <c r="AE16" s="10">
        <v>1500000</v>
      </c>
      <c r="AF16" s="10">
        <v>75000</v>
      </c>
      <c r="AG16" s="10">
        <v>27605.129032258064</v>
      </c>
    </row>
    <row r="17" spans="2:33">
      <c r="B17" s="127">
        <v>45576</v>
      </c>
      <c r="C17" s="128">
        <v>11</v>
      </c>
      <c r="D17" s="129">
        <v>0</v>
      </c>
      <c r="E17" s="130">
        <v>205877</v>
      </c>
      <c r="F17" s="129">
        <v>44230</v>
      </c>
      <c r="G17" s="130">
        <v>235725</v>
      </c>
      <c r="H17" s="129">
        <v>17065</v>
      </c>
      <c r="I17" s="130">
        <v>300756.55</v>
      </c>
      <c r="J17" s="129">
        <v>28101</v>
      </c>
      <c r="K17" s="130">
        <v>317155</v>
      </c>
      <c r="L17" s="129">
        <v>56942</v>
      </c>
      <c r="M17" s="130">
        <v>293958</v>
      </c>
      <c r="N17" s="129">
        <v>24278</v>
      </c>
      <c r="O17" s="130">
        <v>341133</v>
      </c>
      <c r="P17" s="129">
        <v>36566</v>
      </c>
      <c r="Q17" s="130">
        <v>354778</v>
      </c>
      <c r="R17" s="129">
        <v>15898</v>
      </c>
      <c r="S17" s="130">
        <v>201203.5</v>
      </c>
      <c r="T17" s="129">
        <v>15380</v>
      </c>
      <c r="U17" s="130">
        <v>258064.5</v>
      </c>
      <c r="V17" s="129">
        <v>0</v>
      </c>
      <c r="W17" s="130">
        <v>34615</v>
      </c>
      <c r="X17" s="129">
        <v>0</v>
      </c>
      <c r="Y17" s="130">
        <v>0</v>
      </c>
      <c r="Z17" s="129">
        <v>0</v>
      </c>
      <c r="AA17" s="130">
        <v>0</v>
      </c>
      <c r="AE17" s="10">
        <v>1500000</v>
      </c>
      <c r="AF17" s="10">
        <v>75000</v>
      </c>
      <c r="AG17" s="10">
        <v>27605.129032258064</v>
      </c>
    </row>
    <row r="18" spans="2:33">
      <c r="B18" s="127">
        <v>45577</v>
      </c>
      <c r="C18" s="128">
        <v>12</v>
      </c>
      <c r="D18" s="129">
        <v>20225</v>
      </c>
      <c r="E18" s="130">
        <v>226102</v>
      </c>
      <c r="F18" s="129">
        <v>14930</v>
      </c>
      <c r="G18" s="130">
        <v>250655</v>
      </c>
      <c r="H18" s="129">
        <v>28850</v>
      </c>
      <c r="I18" s="130">
        <v>329606.55</v>
      </c>
      <c r="J18" s="129">
        <v>0</v>
      </c>
      <c r="K18" s="130">
        <v>317155</v>
      </c>
      <c r="L18" s="129">
        <v>32610</v>
      </c>
      <c r="M18" s="130">
        <v>326568</v>
      </c>
      <c r="N18" s="129">
        <v>37523</v>
      </c>
      <c r="O18" s="130">
        <v>378656</v>
      </c>
      <c r="P18" s="129">
        <v>0</v>
      </c>
      <c r="Q18" s="130">
        <v>354778</v>
      </c>
      <c r="R18" s="129">
        <v>16665</v>
      </c>
      <c r="S18" s="130">
        <v>217868.5</v>
      </c>
      <c r="T18" s="129">
        <v>29862</v>
      </c>
      <c r="U18" s="130">
        <v>287926.5</v>
      </c>
      <c r="V18" s="129">
        <v>0</v>
      </c>
      <c r="W18" s="130">
        <v>34615</v>
      </c>
      <c r="X18" s="129">
        <v>0</v>
      </c>
      <c r="Y18" s="130">
        <v>0</v>
      </c>
      <c r="Z18" s="129">
        <v>0</v>
      </c>
      <c r="AA18" s="130">
        <v>0</v>
      </c>
      <c r="AE18" s="10">
        <v>1500000</v>
      </c>
      <c r="AF18" s="10">
        <v>75000</v>
      </c>
      <c r="AG18" s="10">
        <v>27605.129032258064</v>
      </c>
    </row>
    <row r="19" spans="2:33">
      <c r="B19" s="127">
        <v>45578</v>
      </c>
      <c r="C19" s="128">
        <v>13</v>
      </c>
      <c r="D19" s="129">
        <v>11540</v>
      </c>
      <c r="E19" s="130">
        <v>237642</v>
      </c>
      <c r="F19" s="129">
        <v>31030</v>
      </c>
      <c r="G19" s="130">
        <v>281685</v>
      </c>
      <c r="H19" s="129">
        <v>40688</v>
      </c>
      <c r="I19" s="130">
        <v>370294.55</v>
      </c>
      <c r="J19" s="129">
        <v>15400</v>
      </c>
      <c r="K19" s="130">
        <v>332555</v>
      </c>
      <c r="L19" s="129">
        <v>0</v>
      </c>
      <c r="M19" s="130">
        <v>326568</v>
      </c>
      <c r="N19" s="129">
        <v>57994</v>
      </c>
      <c r="O19" s="130">
        <v>436650</v>
      </c>
      <c r="P19" s="129">
        <v>28229</v>
      </c>
      <c r="Q19" s="130">
        <v>383007</v>
      </c>
      <c r="R19" s="129">
        <v>33572</v>
      </c>
      <c r="S19" s="130">
        <v>251440.5</v>
      </c>
      <c r="T19" s="129">
        <v>0</v>
      </c>
      <c r="U19" s="130">
        <v>287926.5</v>
      </c>
      <c r="V19" s="129">
        <v>0</v>
      </c>
      <c r="W19" s="130">
        <v>34615</v>
      </c>
      <c r="X19" s="129">
        <v>0</v>
      </c>
      <c r="Y19" s="130">
        <v>0</v>
      </c>
      <c r="Z19" s="129">
        <v>0</v>
      </c>
      <c r="AA19" s="130">
        <v>0</v>
      </c>
      <c r="AE19" s="10">
        <v>1500000</v>
      </c>
      <c r="AF19" s="10">
        <v>75000</v>
      </c>
      <c r="AG19" s="10">
        <v>27605.129032258064</v>
      </c>
    </row>
    <row r="20" spans="2:33">
      <c r="B20" s="127">
        <v>45579</v>
      </c>
      <c r="C20" s="128">
        <v>14</v>
      </c>
      <c r="D20" s="129">
        <v>28621</v>
      </c>
      <c r="E20" s="130">
        <v>266263</v>
      </c>
      <c r="F20" s="129">
        <v>20320</v>
      </c>
      <c r="G20" s="130">
        <v>302005</v>
      </c>
      <c r="H20" s="129">
        <v>23767</v>
      </c>
      <c r="I20" s="130">
        <v>394061.55</v>
      </c>
      <c r="J20" s="129">
        <v>27855</v>
      </c>
      <c r="K20" s="130">
        <v>360410</v>
      </c>
      <c r="L20" s="129">
        <v>23260</v>
      </c>
      <c r="M20" s="130">
        <v>349828</v>
      </c>
      <c r="N20" s="129">
        <v>0</v>
      </c>
      <c r="O20" s="130">
        <v>436650</v>
      </c>
      <c r="P20" s="129">
        <v>12981</v>
      </c>
      <c r="Q20" s="130">
        <v>395988</v>
      </c>
      <c r="R20" s="129">
        <v>3510</v>
      </c>
      <c r="S20" s="130">
        <v>254950.5</v>
      </c>
      <c r="T20" s="129">
        <v>14021</v>
      </c>
      <c r="U20" s="130">
        <v>301947.5</v>
      </c>
      <c r="V20" s="129">
        <v>0</v>
      </c>
      <c r="W20" s="130">
        <v>34615</v>
      </c>
      <c r="X20" s="129">
        <v>0</v>
      </c>
      <c r="Y20" s="130">
        <v>0</v>
      </c>
      <c r="Z20" s="129">
        <v>0</v>
      </c>
      <c r="AA20" s="130">
        <v>0</v>
      </c>
      <c r="AE20" s="10">
        <v>1500000</v>
      </c>
      <c r="AF20" s="10">
        <v>75000</v>
      </c>
      <c r="AG20" s="10">
        <v>27605.129032258064</v>
      </c>
    </row>
    <row r="21" spans="2:33">
      <c r="B21" s="127">
        <v>45580</v>
      </c>
      <c r="C21" s="128">
        <v>15</v>
      </c>
      <c r="D21" s="129">
        <v>13336</v>
      </c>
      <c r="E21" s="130">
        <v>279599</v>
      </c>
      <c r="F21" s="129">
        <v>0</v>
      </c>
      <c r="G21" s="130">
        <v>302005</v>
      </c>
      <c r="H21" s="129">
        <v>0</v>
      </c>
      <c r="I21" s="130">
        <v>394061.55</v>
      </c>
      <c r="J21" s="129">
        <v>121659</v>
      </c>
      <c r="K21" s="130">
        <v>482069</v>
      </c>
      <c r="L21" s="129">
        <v>56305</v>
      </c>
      <c r="M21" s="130">
        <v>406133</v>
      </c>
      <c r="N21" s="129">
        <v>35586</v>
      </c>
      <c r="O21" s="130">
        <v>472236</v>
      </c>
      <c r="P21" s="129">
        <v>36189</v>
      </c>
      <c r="Q21" s="130">
        <v>432177</v>
      </c>
      <c r="R21" s="129">
        <v>26827</v>
      </c>
      <c r="S21" s="130">
        <v>281777.5</v>
      </c>
      <c r="T21" s="129">
        <v>15895</v>
      </c>
      <c r="U21" s="130">
        <v>317842.5</v>
      </c>
      <c r="V21" s="129">
        <v>0</v>
      </c>
      <c r="W21" s="130">
        <v>34615</v>
      </c>
      <c r="X21" s="129">
        <v>0</v>
      </c>
      <c r="Y21" s="130">
        <v>0</v>
      </c>
      <c r="Z21" s="129">
        <v>0</v>
      </c>
      <c r="AA21" s="130">
        <v>0</v>
      </c>
      <c r="AC21" s="10"/>
      <c r="AE21" s="10">
        <v>1500000</v>
      </c>
      <c r="AF21" s="10">
        <v>75000</v>
      </c>
      <c r="AG21" s="10">
        <v>27605.129032258064</v>
      </c>
    </row>
    <row r="22" spans="2:33">
      <c r="B22" s="127">
        <v>45581</v>
      </c>
      <c r="C22" s="128">
        <v>16</v>
      </c>
      <c r="D22" s="129">
        <v>18185</v>
      </c>
      <c r="E22" s="130">
        <v>297784</v>
      </c>
      <c r="F22" s="129">
        <v>27675</v>
      </c>
      <c r="G22" s="130">
        <v>329680</v>
      </c>
      <c r="H22" s="129">
        <v>21100</v>
      </c>
      <c r="I22" s="130">
        <v>415161.55</v>
      </c>
      <c r="J22" s="129">
        <v>13285</v>
      </c>
      <c r="K22" s="130">
        <v>495354</v>
      </c>
      <c r="L22" s="129">
        <v>28127</v>
      </c>
      <c r="M22" s="130">
        <v>434260</v>
      </c>
      <c r="N22" s="129">
        <v>33260</v>
      </c>
      <c r="O22" s="130">
        <v>505496</v>
      </c>
      <c r="P22" s="129">
        <v>23965</v>
      </c>
      <c r="Q22" s="130">
        <v>456142</v>
      </c>
      <c r="R22" s="129">
        <v>200</v>
      </c>
      <c r="S22" s="130">
        <v>281977.5</v>
      </c>
      <c r="T22" s="129">
        <v>30340</v>
      </c>
      <c r="U22" s="130">
        <v>348182.5</v>
      </c>
      <c r="V22" s="129">
        <v>0</v>
      </c>
      <c r="W22" s="130">
        <v>34615</v>
      </c>
      <c r="X22" s="129">
        <v>0</v>
      </c>
      <c r="Y22" s="130">
        <v>0</v>
      </c>
      <c r="Z22" s="129">
        <v>0</v>
      </c>
      <c r="AA22" s="130">
        <v>0</v>
      </c>
      <c r="AE22" s="10">
        <v>1500000</v>
      </c>
      <c r="AF22" s="10">
        <v>75000</v>
      </c>
      <c r="AG22" s="10">
        <v>27605.129032258064</v>
      </c>
    </row>
    <row r="23" spans="2:33">
      <c r="B23" s="127">
        <v>45582</v>
      </c>
      <c r="C23" s="128">
        <v>17</v>
      </c>
      <c r="D23" s="129">
        <v>18420</v>
      </c>
      <c r="E23" s="130">
        <v>316204</v>
      </c>
      <c r="F23" s="129">
        <v>21570</v>
      </c>
      <c r="G23" s="130">
        <v>351250</v>
      </c>
      <c r="H23" s="129">
        <v>17962</v>
      </c>
      <c r="I23" s="130">
        <v>433123.55</v>
      </c>
      <c r="J23" s="129">
        <v>20528</v>
      </c>
      <c r="K23" s="130">
        <v>515882</v>
      </c>
      <c r="L23" s="129">
        <v>0</v>
      </c>
      <c r="M23" s="130">
        <v>434260</v>
      </c>
      <c r="N23" s="129">
        <v>54565</v>
      </c>
      <c r="O23" s="130">
        <v>560061</v>
      </c>
      <c r="P23" s="129">
        <v>41128</v>
      </c>
      <c r="Q23" s="130">
        <v>497270</v>
      </c>
      <c r="R23" s="129">
        <v>9290</v>
      </c>
      <c r="S23" s="130">
        <v>291267.5</v>
      </c>
      <c r="T23" s="129">
        <v>11545</v>
      </c>
      <c r="U23" s="130">
        <v>359727.5</v>
      </c>
      <c r="V23" s="129">
        <v>0</v>
      </c>
      <c r="W23" s="130">
        <v>34615</v>
      </c>
      <c r="X23" s="129">
        <v>0</v>
      </c>
      <c r="Y23" s="130">
        <v>0</v>
      </c>
      <c r="Z23" s="129">
        <v>0</v>
      </c>
      <c r="AA23" s="130">
        <v>0</v>
      </c>
      <c r="AE23" s="10">
        <v>1500000</v>
      </c>
      <c r="AF23" s="10">
        <v>75000</v>
      </c>
      <c r="AG23" s="10">
        <v>27605.129032258064</v>
      </c>
    </row>
    <row r="24" spans="2:33">
      <c r="B24" s="127">
        <v>45583</v>
      </c>
      <c r="C24" s="128">
        <v>18</v>
      </c>
      <c r="D24" s="129">
        <v>0</v>
      </c>
      <c r="E24" s="130">
        <v>316204</v>
      </c>
      <c r="F24" s="129">
        <v>20232</v>
      </c>
      <c r="G24" s="130">
        <v>371482</v>
      </c>
      <c r="H24" s="129">
        <v>21290</v>
      </c>
      <c r="I24" s="130">
        <v>454413.55</v>
      </c>
      <c r="J24" s="129">
        <v>21273</v>
      </c>
      <c r="K24" s="130">
        <v>537155</v>
      </c>
      <c r="L24" s="129">
        <v>44081</v>
      </c>
      <c r="M24" s="130">
        <v>478341</v>
      </c>
      <c r="N24" s="129">
        <v>54396</v>
      </c>
      <c r="O24" s="130">
        <v>614457</v>
      </c>
      <c r="P24" s="129">
        <v>21621</v>
      </c>
      <c r="Q24" s="130">
        <v>518891</v>
      </c>
      <c r="R24" s="129">
        <v>19816</v>
      </c>
      <c r="S24" s="130">
        <v>311083.5</v>
      </c>
      <c r="T24" s="129">
        <v>4777</v>
      </c>
      <c r="U24" s="130">
        <v>364504.5</v>
      </c>
      <c r="V24" s="129">
        <v>0</v>
      </c>
      <c r="W24" s="130">
        <v>34615</v>
      </c>
      <c r="X24" s="129">
        <v>0</v>
      </c>
      <c r="Y24" s="130">
        <v>0</v>
      </c>
      <c r="Z24" s="129">
        <v>0</v>
      </c>
      <c r="AA24" s="130">
        <v>0</v>
      </c>
      <c r="AE24" s="10">
        <v>1500000</v>
      </c>
      <c r="AF24" s="10">
        <v>75000</v>
      </c>
      <c r="AG24" s="10">
        <v>27605.129032258064</v>
      </c>
    </row>
    <row r="25" spans="2:33">
      <c r="B25" s="127">
        <v>45584</v>
      </c>
      <c r="C25" s="128">
        <v>19</v>
      </c>
      <c r="D25" s="129">
        <v>9625</v>
      </c>
      <c r="E25" s="130">
        <v>325829</v>
      </c>
      <c r="F25" s="129">
        <v>27060</v>
      </c>
      <c r="G25" s="130">
        <v>398542</v>
      </c>
      <c r="H25" s="129">
        <v>29104</v>
      </c>
      <c r="I25" s="130">
        <v>483517.55</v>
      </c>
      <c r="J25" s="129">
        <v>350</v>
      </c>
      <c r="K25" s="130">
        <v>537505</v>
      </c>
      <c r="L25" s="129">
        <v>24697</v>
      </c>
      <c r="M25" s="130">
        <v>503038</v>
      </c>
      <c r="N25" s="129">
        <v>31954</v>
      </c>
      <c r="O25" s="130">
        <v>646411</v>
      </c>
      <c r="P25" s="129">
        <v>500</v>
      </c>
      <c r="Q25" s="130">
        <v>519391</v>
      </c>
      <c r="R25" s="129">
        <v>7970</v>
      </c>
      <c r="S25" s="130">
        <v>319053.5</v>
      </c>
      <c r="T25" s="129">
        <v>24774</v>
      </c>
      <c r="U25" s="130">
        <v>389278.5</v>
      </c>
      <c r="V25" s="129">
        <v>0</v>
      </c>
      <c r="W25" s="130">
        <v>34615</v>
      </c>
      <c r="X25" s="129">
        <v>0</v>
      </c>
      <c r="Y25" s="130">
        <v>0</v>
      </c>
      <c r="Z25" s="129">
        <v>0</v>
      </c>
      <c r="AA25" s="130">
        <v>0</v>
      </c>
      <c r="AE25" s="10">
        <v>1500000</v>
      </c>
      <c r="AF25" s="10">
        <v>75000</v>
      </c>
      <c r="AG25" s="10">
        <v>27605.129032258064</v>
      </c>
    </row>
    <row r="26" spans="2:33">
      <c r="B26" s="127">
        <v>45585</v>
      </c>
      <c r="C26" s="128">
        <v>20</v>
      </c>
      <c r="D26" s="129">
        <v>14390</v>
      </c>
      <c r="E26" s="130">
        <v>340219</v>
      </c>
      <c r="F26" s="129">
        <v>20848</v>
      </c>
      <c r="G26" s="130">
        <v>419390</v>
      </c>
      <c r="H26" s="129">
        <v>44475</v>
      </c>
      <c r="I26" s="130">
        <v>527992.55000000005</v>
      </c>
      <c r="J26" s="129">
        <v>18805</v>
      </c>
      <c r="K26" s="130">
        <v>556310</v>
      </c>
      <c r="L26" s="129">
        <v>46980</v>
      </c>
      <c r="M26" s="130">
        <v>550018</v>
      </c>
      <c r="N26" s="129">
        <v>39268</v>
      </c>
      <c r="O26" s="130">
        <v>685679</v>
      </c>
      <c r="P26" s="129">
        <v>32520</v>
      </c>
      <c r="Q26" s="130">
        <v>551911</v>
      </c>
      <c r="R26" s="129">
        <v>32149</v>
      </c>
      <c r="S26" s="130">
        <v>351202.5</v>
      </c>
      <c r="T26" s="129">
        <v>0</v>
      </c>
      <c r="U26" s="130">
        <v>389278.5</v>
      </c>
      <c r="V26" s="129">
        <v>0</v>
      </c>
      <c r="W26" s="130">
        <v>34615</v>
      </c>
      <c r="X26" s="129">
        <v>0</v>
      </c>
      <c r="Y26" s="130">
        <v>0</v>
      </c>
      <c r="Z26" s="129">
        <v>0</v>
      </c>
      <c r="AA26" s="130">
        <v>0</v>
      </c>
      <c r="AE26" s="10">
        <v>1500000</v>
      </c>
      <c r="AF26" s="10">
        <v>75000</v>
      </c>
      <c r="AG26" s="10">
        <v>27605.129032258064</v>
      </c>
    </row>
    <row r="27" spans="2:33">
      <c r="B27" s="127">
        <v>45586</v>
      </c>
      <c r="C27" s="128">
        <v>21</v>
      </c>
      <c r="D27" s="129">
        <v>12872.5</v>
      </c>
      <c r="E27" s="130">
        <v>353091.5</v>
      </c>
      <c r="F27" s="129">
        <v>40720</v>
      </c>
      <c r="G27" s="130">
        <v>460110</v>
      </c>
      <c r="H27" s="129">
        <v>25568</v>
      </c>
      <c r="I27" s="130">
        <v>553560.55000000005</v>
      </c>
      <c r="J27" s="129">
        <v>68094</v>
      </c>
      <c r="K27" s="130">
        <v>624404</v>
      </c>
      <c r="L27" s="129">
        <v>24114</v>
      </c>
      <c r="M27" s="130">
        <v>574132</v>
      </c>
      <c r="N27" s="129">
        <v>0</v>
      </c>
      <c r="O27" s="130">
        <v>685679</v>
      </c>
      <c r="P27" s="129">
        <v>43212</v>
      </c>
      <c r="Q27" s="130">
        <v>595123</v>
      </c>
      <c r="R27" s="129">
        <v>21550</v>
      </c>
      <c r="S27" s="130">
        <v>372752.5</v>
      </c>
      <c r="T27" s="129">
        <v>36274</v>
      </c>
      <c r="U27" s="130">
        <v>425552.5</v>
      </c>
      <c r="V27" s="129">
        <v>0</v>
      </c>
      <c r="W27" s="130">
        <v>34615</v>
      </c>
      <c r="X27" s="129">
        <v>0</v>
      </c>
      <c r="Y27" s="130">
        <v>0</v>
      </c>
      <c r="Z27" s="129">
        <v>0</v>
      </c>
      <c r="AA27" s="130">
        <v>0</v>
      </c>
      <c r="AE27" s="10">
        <v>1500000</v>
      </c>
      <c r="AF27" s="10">
        <v>75000</v>
      </c>
      <c r="AG27" s="10">
        <v>27605.129032258064</v>
      </c>
    </row>
    <row r="28" spans="2:33">
      <c r="B28" s="127">
        <v>45587</v>
      </c>
      <c r="C28" s="128">
        <v>22</v>
      </c>
      <c r="D28" s="129">
        <v>20420</v>
      </c>
      <c r="E28" s="130">
        <v>373511.5</v>
      </c>
      <c r="F28" s="129">
        <v>0</v>
      </c>
      <c r="G28" s="130">
        <v>460110</v>
      </c>
      <c r="H28" s="129">
        <v>0</v>
      </c>
      <c r="I28" s="130">
        <v>553560.55000000005</v>
      </c>
      <c r="J28" s="129">
        <v>38284</v>
      </c>
      <c r="K28" s="130">
        <v>662688</v>
      </c>
      <c r="L28" s="129">
        <v>44733</v>
      </c>
      <c r="M28" s="130">
        <v>618865</v>
      </c>
      <c r="N28" s="129">
        <v>69006</v>
      </c>
      <c r="O28" s="130">
        <v>754685</v>
      </c>
      <c r="P28" s="129">
        <v>23685</v>
      </c>
      <c r="Q28" s="130">
        <v>618808</v>
      </c>
      <c r="R28" s="129">
        <v>20679</v>
      </c>
      <c r="S28" s="130">
        <v>393431.5</v>
      </c>
      <c r="T28" s="129">
        <v>12260</v>
      </c>
      <c r="U28" s="130">
        <v>437812.5</v>
      </c>
      <c r="V28" s="129">
        <v>0</v>
      </c>
      <c r="W28" s="130">
        <v>34615</v>
      </c>
      <c r="X28" s="129">
        <v>0</v>
      </c>
      <c r="Y28" s="130">
        <v>0</v>
      </c>
      <c r="Z28" s="129">
        <v>0</v>
      </c>
      <c r="AA28" s="130">
        <v>0</v>
      </c>
      <c r="AE28" s="10">
        <v>1500000</v>
      </c>
      <c r="AF28" s="10">
        <v>75000</v>
      </c>
      <c r="AG28" s="10">
        <v>27605.129032258064</v>
      </c>
    </row>
    <row r="29" spans="2:33" ht="19.5">
      <c r="B29" s="127">
        <v>45588</v>
      </c>
      <c r="C29" s="128">
        <v>23</v>
      </c>
      <c r="D29" s="129">
        <v>16085</v>
      </c>
      <c r="E29" s="130">
        <v>389596.5</v>
      </c>
      <c r="F29" s="129">
        <v>58891</v>
      </c>
      <c r="G29" s="130">
        <v>519001</v>
      </c>
      <c r="H29" s="129">
        <v>8043</v>
      </c>
      <c r="I29" s="130">
        <v>561603.55000000005</v>
      </c>
      <c r="J29" s="129">
        <v>9018</v>
      </c>
      <c r="K29" s="130">
        <v>671706</v>
      </c>
      <c r="L29" s="129">
        <v>81345</v>
      </c>
      <c r="M29" s="130">
        <v>700210</v>
      </c>
      <c r="N29" s="129">
        <v>23741</v>
      </c>
      <c r="O29" s="130">
        <v>778426</v>
      </c>
      <c r="P29" s="129">
        <v>73490</v>
      </c>
      <c r="Q29" s="130">
        <v>692298</v>
      </c>
      <c r="R29" s="129">
        <v>0</v>
      </c>
      <c r="S29" s="130">
        <v>393431.5</v>
      </c>
      <c r="T29" s="129">
        <v>36000</v>
      </c>
      <c r="U29" s="130">
        <v>473812.5</v>
      </c>
      <c r="V29" s="129">
        <v>0</v>
      </c>
      <c r="W29" s="130">
        <v>34615</v>
      </c>
      <c r="X29" s="129">
        <v>0</v>
      </c>
      <c r="Y29" s="130">
        <v>0</v>
      </c>
      <c r="Z29" s="129">
        <v>0</v>
      </c>
      <c r="AA29" s="130">
        <v>0</v>
      </c>
      <c r="AC29" s="132"/>
      <c r="AE29" s="10">
        <v>1500000</v>
      </c>
      <c r="AF29" s="10">
        <v>75000</v>
      </c>
      <c r="AG29" s="10">
        <v>27605.129032258064</v>
      </c>
    </row>
    <row r="30" spans="2:33">
      <c r="B30" s="127">
        <v>45589</v>
      </c>
      <c r="C30" s="128">
        <v>24</v>
      </c>
      <c r="D30" s="129">
        <v>38770</v>
      </c>
      <c r="E30" s="130">
        <v>428366.5</v>
      </c>
      <c r="F30" s="129">
        <v>22150</v>
      </c>
      <c r="G30" s="130">
        <v>541151</v>
      </c>
      <c r="H30" s="129">
        <v>7930</v>
      </c>
      <c r="I30" s="130">
        <v>569533.55000000005</v>
      </c>
      <c r="J30" s="129">
        <v>25905</v>
      </c>
      <c r="K30" s="130">
        <v>697611</v>
      </c>
      <c r="L30" s="129">
        <v>0</v>
      </c>
      <c r="M30" s="130">
        <v>700210</v>
      </c>
      <c r="N30" s="129">
        <v>36426</v>
      </c>
      <c r="O30" s="130">
        <v>814852</v>
      </c>
      <c r="P30" s="129">
        <v>40929</v>
      </c>
      <c r="Q30" s="130">
        <v>733227</v>
      </c>
      <c r="R30" s="129">
        <v>43456</v>
      </c>
      <c r="S30" s="130">
        <v>436887.5</v>
      </c>
      <c r="T30" s="129">
        <v>25450</v>
      </c>
      <c r="U30" s="130">
        <v>499262.5</v>
      </c>
      <c r="V30" s="129">
        <v>0</v>
      </c>
      <c r="W30" s="130">
        <v>34615</v>
      </c>
      <c r="X30" s="129">
        <v>0</v>
      </c>
      <c r="Y30" s="130">
        <v>0</v>
      </c>
      <c r="Z30" s="129">
        <v>0</v>
      </c>
      <c r="AA30" s="130">
        <v>0</v>
      </c>
      <c r="AC30" s="10"/>
      <c r="AD30" s="10"/>
      <c r="AE30" s="10">
        <v>1500000</v>
      </c>
      <c r="AF30" s="10">
        <v>75000</v>
      </c>
      <c r="AG30" s="10">
        <v>27605.129032258064</v>
      </c>
    </row>
    <row r="31" spans="2:33">
      <c r="B31" s="127">
        <v>45590</v>
      </c>
      <c r="C31" s="128">
        <v>25</v>
      </c>
      <c r="D31" s="129">
        <v>950</v>
      </c>
      <c r="E31" s="130">
        <v>429316.5</v>
      </c>
      <c r="F31" s="129">
        <v>33560</v>
      </c>
      <c r="G31" s="130">
        <v>574711</v>
      </c>
      <c r="H31" s="129">
        <v>20405</v>
      </c>
      <c r="I31" s="130">
        <v>589938.55000000005</v>
      </c>
      <c r="J31" s="129">
        <v>35668</v>
      </c>
      <c r="K31" s="130">
        <v>733279</v>
      </c>
      <c r="L31" s="129">
        <v>53218</v>
      </c>
      <c r="M31" s="130">
        <v>753428</v>
      </c>
      <c r="N31" s="129">
        <v>6740</v>
      </c>
      <c r="O31" s="130">
        <v>821592</v>
      </c>
      <c r="P31" s="129">
        <v>38592</v>
      </c>
      <c r="Q31" s="130">
        <v>771819</v>
      </c>
      <c r="R31" s="129">
        <v>32015</v>
      </c>
      <c r="S31" s="130">
        <v>468902.5</v>
      </c>
      <c r="T31" s="129">
        <v>16041</v>
      </c>
      <c r="U31" s="130">
        <v>515303.5</v>
      </c>
      <c r="V31" s="129">
        <v>0</v>
      </c>
      <c r="W31" s="130">
        <v>34615</v>
      </c>
      <c r="X31" s="129">
        <v>0</v>
      </c>
      <c r="Y31" s="130">
        <v>0</v>
      </c>
      <c r="Z31" s="129">
        <v>0</v>
      </c>
      <c r="AA31" s="130">
        <v>0</v>
      </c>
      <c r="AC31" s="10"/>
      <c r="AD31" s="10"/>
      <c r="AE31" s="10">
        <v>1500000</v>
      </c>
      <c r="AF31" s="10">
        <v>75000</v>
      </c>
      <c r="AG31" s="10">
        <v>27605.129032258064</v>
      </c>
    </row>
    <row r="32" spans="2:33">
      <c r="B32" s="127">
        <v>45591</v>
      </c>
      <c r="C32" s="128">
        <v>26</v>
      </c>
      <c r="D32" s="129">
        <v>12109</v>
      </c>
      <c r="E32" s="130">
        <v>441425.5</v>
      </c>
      <c r="F32" s="129">
        <v>65676</v>
      </c>
      <c r="G32" s="130">
        <v>640387</v>
      </c>
      <c r="H32" s="129">
        <v>28069</v>
      </c>
      <c r="I32" s="130">
        <v>618007.55000000005</v>
      </c>
      <c r="J32" s="129">
        <v>0</v>
      </c>
      <c r="K32" s="130">
        <v>733279</v>
      </c>
      <c r="L32" s="129">
        <v>27451</v>
      </c>
      <c r="M32" s="130">
        <v>780879</v>
      </c>
      <c r="N32" s="129">
        <v>50795</v>
      </c>
      <c r="O32" s="130">
        <v>872387</v>
      </c>
      <c r="P32" s="129">
        <v>0</v>
      </c>
      <c r="Q32" s="130">
        <v>771819</v>
      </c>
      <c r="R32" s="129">
        <v>21500</v>
      </c>
      <c r="S32" s="130">
        <v>490402.5</v>
      </c>
      <c r="T32" s="129">
        <v>50837</v>
      </c>
      <c r="U32" s="130">
        <v>566140.5</v>
      </c>
      <c r="V32" s="129">
        <v>0</v>
      </c>
      <c r="W32" s="130">
        <v>34615</v>
      </c>
      <c r="X32" s="129">
        <v>0</v>
      </c>
      <c r="Y32" s="130">
        <v>0</v>
      </c>
      <c r="Z32" s="129">
        <v>0</v>
      </c>
      <c r="AA32" s="130">
        <v>0</v>
      </c>
      <c r="AC32" s="10"/>
      <c r="AE32" s="10">
        <v>1500000</v>
      </c>
      <c r="AF32" s="10">
        <v>75000</v>
      </c>
      <c r="AG32" s="10">
        <v>27605.129032258064</v>
      </c>
    </row>
    <row r="33" spans="2:33">
      <c r="B33" s="127">
        <v>45592</v>
      </c>
      <c r="C33" s="128">
        <v>27</v>
      </c>
      <c r="D33" s="129">
        <v>20950</v>
      </c>
      <c r="E33" s="130">
        <v>462375.5</v>
      </c>
      <c r="F33" s="129">
        <v>28532</v>
      </c>
      <c r="G33" s="130">
        <v>668919</v>
      </c>
      <c r="H33" s="129">
        <v>26276</v>
      </c>
      <c r="I33" s="130">
        <v>644283.55000000005</v>
      </c>
      <c r="J33" s="129">
        <v>15978</v>
      </c>
      <c r="K33" s="130">
        <v>749257</v>
      </c>
      <c r="L33" s="129">
        <v>34471</v>
      </c>
      <c r="M33" s="130">
        <v>815350</v>
      </c>
      <c r="N33" s="129">
        <v>58862</v>
      </c>
      <c r="O33" s="130">
        <v>931249</v>
      </c>
      <c r="P33" s="129">
        <v>15655</v>
      </c>
      <c r="Q33" s="130">
        <v>787474</v>
      </c>
      <c r="R33" s="129">
        <v>14463</v>
      </c>
      <c r="S33" s="130">
        <v>504865.5</v>
      </c>
      <c r="T33" s="129">
        <v>0</v>
      </c>
      <c r="U33" s="130">
        <v>566140.5</v>
      </c>
      <c r="V33" s="129">
        <v>0</v>
      </c>
      <c r="W33" s="130">
        <v>34615</v>
      </c>
      <c r="X33" s="129">
        <v>0</v>
      </c>
      <c r="Y33" s="130">
        <v>0</v>
      </c>
      <c r="Z33" s="129">
        <v>0</v>
      </c>
      <c r="AA33" s="130">
        <v>0</v>
      </c>
      <c r="AC33" s="10"/>
      <c r="AD33" s="10"/>
      <c r="AE33" s="10">
        <v>1500000</v>
      </c>
      <c r="AF33" s="10">
        <v>75000</v>
      </c>
      <c r="AG33" s="10">
        <v>27605.129032258064</v>
      </c>
    </row>
    <row r="34" spans="2:33">
      <c r="B34" s="127">
        <v>45593</v>
      </c>
      <c r="C34" s="128">
        <v>28</v>
      </c>
      <c r="D34" s="129">
        <v>27640</v>
      </c>
      <c r="E34" s="130">
        <v>490015.5</v>
      </c>
      <c r="F34" s="129">
        <v>27595</v>
      </c>
      <c r="G34" s="130">
        <v>696514</v>
      </c>
      <c r="H34" s="129">
        <v>27306</v>
      </c>
      <c r="I34" s="130">
        <v>671589.55</v>
      </c>
      <c r="J34" s="129">
        <v>51849</v>
      </c>
      <c r="K34" s="130">
        <v>801106</v>
      </c>
      <c r="L34" s="129">
        <v>74795</v>
      </c>
      <c r="M34" s="130">
        <v>890145</v>
      </c>
      <c r="N34" s="129">
        <v>0</v>
      </c>
      <c r="O34" s="130">
        <v>931249</v>
      </c>
      <c r="P34" s="129">
        <v>30252</v>
      </c>
      <c r="Q34" s="130">
        <v>817726</v>
      </c>
      <c r="R34" s="129">
        <v>22040</v>
      </c>
      <c r="S34" s="130">
        <v>526905.5</v>
      </c>
      <c r="T34" s="129">
        <v>13650</v>
      </c>
      <c r="U34" s="130">
        <v>579790.5</v>
      </c>
      <c r="V34" s="129">
        <v>0</v>
      </c>
      <c r="W34" s="130">
        <v>34615</v>
      </c>
      <c r="X34" s="129">
        <v>0</v>
      </c>
      <c r="Y34" s="130">
        <v>0</v>
      </c>
      <c r="Z34" s="129">
        <v>0</v>
      </c>
      <c r="AA34" s="130">
        <v>0</v>
      </c>
      <c r="AC34" s="133"/>
      <c r="AE34" s="10">
        <v>1500000</v>
      </c>
      <c r="AF34" s="10">
        <v>75000</v>
      </c>
      <c r="AG34" s="10">
        <v>27605.129032258064</v>
      </c>
    </row>
    <row r="35" spans="2:33">
      <c r="B35" s="127">
        <v>45594</v>
      </c>
      <c r="C35" s="128">
        <v>29</v>
      </c>
      <c r="D35" s="129">
        <v>41337</v>
      </c>
      <c r="E35" s="130">
        <v>531352.5</v>
      </c>
      <c r="F35" s="129">
        <v>0</v>
      </c>
      <c r="G35" s="130">
        <v>696514</v>
      </c>
      <c r="H35" s="129">
        <v>120</v>
      </c>
      <c r="I35" s="130">
        <v>671709.55</v>
      </c>
      <c r="J35" s="129">
        <v>34395</v>
      </c>
      <c r="K35" s="130">
        <v>835501</v>
      </c>
      <c r="L35" s="129">
        <v>41168</v>
      </c>
      <c r="M35" s="130">
        <v>931313</v>
      </c>
      <c r="N35" s="129">
        <v>72512</v>
      </c>
      <c r="O35" s="130">
        <v>1003761</v>
      </c>
      <c r="P35" s="129">
        <v>8268</v>
      </c>
      <c r="Q35" s="130">
        <v>825994</v>
      </c>
      <c r="R35" s="129">
        <v>9710</v>
      </c>
      <c r="S35" s="130">
        <v>536615.5</v>
      </c>
      <c r="T35" s="129">
        <v>21330</v>
      </c>
      <c r="U35" s="130">
        <v>601120.5</v>
      </c>
      <c r="V35" s="129">
        <v>0</v>
      </c>
      <c r="W35" s="130">
        <v>34615</v>
      </c>
      <c r="X35" s="129">
        <v>0</v>
      </c>
      <c r="Y35" s="130">
        <v>0</v>
      </c>
      <c r="Z35" s="129">
        <v>0</v>
      </c>
      <c r="AA35" s="130">
        <v>0</v>
      </c>
      <c r="AC35" s="133"/>
      <c r="AE35" s="10">
        <v>1500000</v>
      </c>
      <c r="AF35" s="10">
        <v>75000</v>
      </c>
      <c r="AG35" s="10">
        <v>27605.129032258064</v>
      </c>
    </row>
    <row r="36" spans="2:33">
      <c r="B36" s="127">
        <v>45595</v>
      </c>
      <c r="C36" s="128">
        <v>30</v>
      </c>
      <c r="D36" s="129">
        <v>5600</v>
      </c>
      <c r="E36" s="130">
        <v>536952.5</v>
      </c>
      <c r="F36" s="129">
        <v>0</v>
      </c>
      <c r="G36" s="130">
        <v>696514</v>
      </c>
      <c r="H36" s="129">
        <v>22055</v>
      </c>
      <c r="I36" s="130">
        <v>693764.55</v>
      </c>
      <c r="J36" s="129">
        <v>24626</v>
      </c>
      <c r="K36" s="130">
        <v>860127</v>
      </c>
      <c r="L36" s="129">
        <v>42620</v>
      </c>
      <c r="M36" s="130">
        <v>973933</v>
      </c>
      <c r="N36" s="129">
        <v>7904</v>
      </c>
      <c r="O36" s="130">
        <v>1011665</v>
      </c>
      <c r="P36" s="129">
        <v>8805</v>
      </c>
      <c r="Q36" s="130">
        <v>834799</v>
      </c>
      <c r="R36" s="129">
        <v>0</v>
      </c>
      <c r="S36" s="130">
        <v>536615.5</v>
      </c>
      <c r="T36" s="129">
        <v>49635</v>
      </c>
      <c r="U36" s="130">
        <v>650755.5</v>
      </c>
      <c r="V36" s="129">
        <v>0</v>
      </c>
      <c r="W36" s="130">
        <v>34615</v>
      </c>
      <c r="X36" s="129">
        <v>0</v>
      </c>
      <c r="Y36" s="130">
        <v>0</v>
      </c>
      <c r="Z36" s="129">
        <v>0</v>
      </c>
      <c r="AA36" s="130">
        <v>0</v>
      </c>
      <c r="AC36" s="133"/>
      <c r="AE36" s="10">
        <v>1500000</v>
      </c>
      <c r="AF36" s="10">
        <v>75000</v>
      </c>
      <c r="AG36" s="10">
        <v>27605.129032258064</v>
      </c>
    </row>
    <row r="37" spans="2:33">
      <c r="B37" s="127">
        <v>45596</v>
      </c>
      <c r="C37" s="128">
        <v>31</v>
      </c>
      <c r="D37" s="129">
        <v>17220</v>
      </c>
      <c r="E37" s="130">
        <v>554172.5</v>
      </c>
      <c r="F37" s="129">
        <v>0</v>
      </c>
      <c r="G37" s="130">
        <v>696514</v>
      </c>
      <c r="H37" s="129">
        <v>13120</v>
      </c>
      <c r="I37" s="130">
        <v>706884.55</v>
      </c>
      <c r="J37" s="129">
        <v>0</v>
      </c>
      <c r="K37" s="130">
        <v>860127</v>
      </c>
      <c r="L37" s="129">
        <v>0</v>
      </c>
      <c r="M37" s="130">
        <v>973933</v>
      </c>
      <c r="N37" s="129">
        <v>0</v>
      </c>
      <c r="O37" s="130">
        <v>1011665</v>
      </c>
      <c r="P37" s="129">
        <v>20960</v>
      </c>
      <c r="Q37" s="130">
        <v>855759</v>
      </c>
      <c r="R37" s="129">
        <v>18005</v>
      </c>
      <c r="S37" s="130">
        <v>554620.5</v>
      </c>
      <c r="T37" s="129">
        <v>0</v>
      </c>
      <c r="U37" s="130">
        <v>650755.5</v>
      </c>
      <c r="V37" s="129">
        <v>0</v>
      </c>
      <c r="W37" s="130">
        <v>34615</v>
      </c>
      <c r="X37" s="129">
        <v>0</v>
      </c>
      <c r="Y37" s="130">
        <v>0</v>
      </c>
      <c r="Z37" s="129">
        <v>0</v>
      </c>
      <c r="AA37" s="130">
        <v>0</v>
      </c>
      <c r="AC37" s="133"/>
      <c r="AD37" s="11"/>
      <c r="AE37" s="10">
        <v>1500000</v>
      </c>
      <c r="AF37" s="10">
        <v>75000</v>
      </c>
      <c r="AG37" s="10">
        <v>27605.129032258064</v>
      </c>
    </row>
    <row r="38" spans="2:33" ht="24.75" customHeight="1">
      <c r="B38" s="134">
        <v>0.03</v>
      </c>
      <c r="E38" s="10"/>
      <c r="G38" s="10"/>
      <c r="AD38" s="135"/>
    </row>
    <row r="39" spans="2:33" ht="15" customHeight="1">
      <c r="B39" s="111" t="s">
        <v>309</v>
      </c>
      <c r="C39" s="136" t="s">
        <v>310</v>
      </c>
      <c r="D39" s="245">
        <v>1</v>
      </c>
      <c r="E39" s="246"/>
      <c r="F39" s="245">
        <v>2</v>
      </c>
      <c r="G39" s="246"/>
      <c r="H39" s="245">
        <v>3</v>
      </c>
      <c r="I39" s="246"/>
      <c r="J39" s="245">
        <v>4</v>
      </c>
      <c r="K39" s="246"/>
      <c r="L39" s="245">
        <v>5</v>
      </c>
      <c r="M39" s="246"/>
      <c r="N39" s="245">
        <v>6</v>
      </c>
      <c r="O39" s="246"/>
      <c r="P39" s="245">
        <v>7</v>
      </c>
      <c r="Q39" s="246"/>
      <c r="R39" s="245">
        <v>8</v>
      </c>
      <c r="S39" s="246"/>
      <c r="T39" s="245">
        <v>9</v>
      </c>
      <c r="U39" s="246"/>
      <c r="V39" s="245">
        <v>10</v>
      </c>
      <c r="W39" s="246"/>
      <c r="X39" s="247">
        <v>46328</v>
      </c>
      <c r="Y39" s="247"/>
      <c r="Z39" s="248">
        <v>46358</v>
      </c>
      <c r="AA39" s="248"/>
    </row>
    <row r="40" spans="2:33" ht="15" customHeight="1">
      <c r="B40" s="113" t="s">
        <v>311</v>
      </c>
      <c r="C40" s="137">
        <v>6899046.0499999998</v>
      </c>
      <c r="D40" s="242">
        <v>554172.5</v>
      </c>
      <c r="E40" s="243"/>
      <c r="F40" s="242">
        <v>696514</v>
      </c>
      <c r="G40" s="243"/>
      <c r="H40" s="242">
        <v>706884.55</v>
      </c>
      <c r="I40" s="243"/>
      <c r="J40" s="242">
        <v>860127</v>
      </c>
      <c r="K40" s="243"/>
      <c r="L40" s="242">
        <v>973933</v>
      </c>
      <c r="M40" s="243"/>
      <c r="N40" s="242">
        <v>1011665</v>
      </c>
      <c r="O40" s="243"/>
      <c r="P40" s="242">
        <v>855759</v>
      </c>
      <c r="Q40" s="243"/>
      <c r="R40" s="242">
        <v>554620.5</v>
      </c>
      <c r="S40" s="243"/>
      <c r="T40" s="242">
        <v>650755.5</v>
      </c>
      <c r="U40" s="243"/>
      <c r="V40" s="242">
        <v>34615</v>
      </c>
      <c r="W40" s="243"/>
      <c r="X40" s="242">
        <v>0</v>
      </c>
      <c r="Y40" s="243"/>
      <c r="Z40" s="242">
        <v>0</v>
      </c>
      <c r="AA40" s="244"/>
    </row>
    <row r="41" spans="2:33" ht="15" customHeight="1">
      <c r="B41" s="46" t="s">
        <v>312</v>
      </c>
      <c r="C41" s="137">
        <v>4343169.9978999998</v>
      </c>
      <c r="D41" s="235">
        <v>372521.97130000003</v>
      </c>
      <c r="E41" s="236"/>
      <c r="F41" s="235">
        <v>519477.66690000036</v>
      </c>
      <c r="G41" s="236"/>
      <c r="H41" s="235">
        <v>490787.67710000038</v>
      </c>
      <c r="I41" s="236"/>
      <c r="J41" s="235">
        <v>477023.89359999972</v>
      </c>
      <c r="K41" s="236"/>
      <c r="L41" s="235">
        <v>423396.39909999998</v>
      </c>
      <c r="M41" s="236"/>
      <c r="N41" s="235">
        <v>564360.88839999959</v>
      </c>
      <c r="O41" s="236"/>
      <c r="P41" s="235">
        <v>619192.51369999954</v>
      </c>
      <c r="Q41" s="236"/>
      <c r="R41" s="235">
        <v>398804.10000000003</v>
      </c>
      <c r="S41" s="236"/>
      <c r="T41" s="235">
        <v>451575.39779999998</v>
      </c>
      <c r="U41" s="236"/>
      <c r="V41" s="235">
        <v>26029.49</v>
      </c>
      <c r="W41" s="236"/>
      <c r="X41" s="235">
        <v>0</v>
      </c>
      <c r="Y41" s="236"/>
      <c r="Z41" s="235">
        <v>0</v>
      </c>
      <c r="AA41" s="237"/>
    </row>
    <row r="42" spans="2:33" ht="15" customHeight="1">
      <c r="B42" s="46" t="s">
        <v>313</v>
      </c>
      <c r="C42" s="137">
        <v>4151287.65</v>
      </c>
      <c r="D42" s="235">
        <v>355356.11</v>
      </c>
      <c r="E42" s="236"/>
      <c r="F42" s="235">
        <v>496195.62999999995</v>
      </c>
      <c r="G42" s="236"/>
      <c r="H42" s="235">
        <v>468391.97000000009</v>
      </c>
      <c r="I42" s="236"/>
      <c r="J42" s="235">
        <v>455238.3600000001</v>
      </c>
      <c r="K42" s="236"/>
      <c r="L42" s="235">
        <v>405464.07000000012</v>
      </c>
      <c r="M42" s="236"/>
      <c r="N42" s="235">
        <v>540599.87999999977</v>
      </c>
      <c r="O42" s="236"/>
      <c r="P42" s="235">
        <v>591909.28999999957</v>
      </c>
      <c r="Q42" s="236"/>
      <c r="R42" s="235">
        <v>381300.7</v>
      </c>
      <c r="S42" s="236"/>
      <c r="T42" s="235">
        <v>431631.03999999986</v>
      </c>
      <c r="U42" s="236"/>
      <c r="V42" s="235">
        <v>25200.6</v>
      </c>
      <c r="W42" s="236"/>
      <c r="X42" s="235">
        <v>0</v>
      </c>
      <c r="Y42" s="236"/>
      <c r="Z42" s="235">
        <v>0</v>
      </c>
      <c r="AA42" s="237"/>
    </row>
    <row r="43" spans="2:33" ht="15" customHeight="1">
      <c r="B43" s="46" t="s">
        <v>314</v>
      </c>
      <c r="C43" s="137">
        <v>266326.26296999998</v>
      </c>
      <c r="D43" s="235">
        <v>21344.084999999988</v>
      </c>
      <c r="E43" s="236"/>
      <c r="F43" s="235">
        <v>19634.272499999995</v>
      </c>
      <c r="G43" s="236"/>
      <c r="H43" s="235">
        <v>18376.849469999986</v>
      </c>
      <c r="I43" s="236"/>
      <c r="J43" s="235">
        <v>39320.19911999999</v>
      </c>
      <c r="K43" s="236"/>
      <c r="L43" s="235">
        <v>54781.184399999984</v>
      </c>
      <c r="M43" s="236"/>
      <c r="N43" s="235">
        <v>47228.377800000017</v>
      </c>
      <c r="O43" s="236"/>
      <c r="P43" s="235">
        <v>26748.582239999982</v>
      </c>
      <c r="Q43" s="236"/>
      <c r="R43" s="235">
        <v>18690.387539999992</v>
      </c>
      <c r="S43" s="236"/>
      <c r="T43" s="235">
        <v>20009.424899999998</v>
      </c>
      <c r="U43" s="236"/>
      <c r="V43" s="235">
        <v>192.9</v>
      </c>
      <c r="W43" s="236"/>
      <c r="X43" s="235">
        <v>0</v>
      </c>
      <c r="Y43" s="236"/>
      <c r="Z43" s="235">
        <v>0</v>
      </c>
      <c r="AA43" s="237"/>
    </row>
    <row r="44" spans="2:33" ht="15" customHeight="1">
      <c r="B44" s="46" t="s">
        <v>315</v>
      </c>
      <c r="C44" s="137">
        <v>68990.460499999986</v>
      </c>
      <c r="D44" s="235">
        <v>5541.7250000000004</v>
      </c>
      <c r="E44" s="236"/>
      <c r="F44" s="235">
        <v>6965.14</v>
      </c>
      <c r="G44" s="236"/>
      <c r="H44" s="235">
        <v>7068.8455000000004</v>
      </c>
      <c r="I44" s="236"/>
      <c r="J44" s="235">
        <v>8601.27</v>
      </c>
      <c r="K44" s="236"/>
      <c r="L44" s="235">
        <v>9739.33</v>
      </c>
      <c r="M44" s="236"/>
      <c r="N44" s="235">
        <v>10116.65</v>
      </c>
      <c r="O44" s="236"/>
      <c r="P44" s="235">
        <v>8557.59</v>
      </c>
      <c r="Q44" s="236"/>
      <c r="R44" s="235">
        <v>5546.2049999999999</v>
      </c>
      <c r="S44" s="236"/>
      <c r="T44" s="235">
        <v>6507.5550000000003</v>
      </c>
      <c r="U44" s="236"/>
      <c r="V44" s="235">
        <v>346.15000000000003</v>
      </c>
      <c r="W44" s="236"/>
      <c r="X44" s="235">
        <v>0</v>
      </c>
      <c r="Y44" s="236"/>
      <c r="Z44" s="235">
        <v>0</v>
      </c>
      <c r="AA44" s="237"/>
      <c r="AC44" s="138"/>
    </row>
    <row r="45" spans="2:33" ht="15" customHeight="1">
      <c r="B45" s="46" t="s">
        <v>316</v>
      </c>
      <c r="C45" s="137">
        <v>34495.230249999993</v>
      </c>
      <c r="D45" s="235">
        <v>2770.8625000000002</v>
      </c>
      <c r="E45" s="236"/>
      <c r="F45" s="235">
        <v>3482.57</v>
      </c>
      <c r="G45" s="236"/>
      <c r="H45" s="235">
        <v>3534.4227500000002</v>
      </c>
      <c r="I45" s="236"/>
      <c r="J45" s="235">
        <v>4300.6350000000002</v>
      </c>
      <c r="K45" s="236"/>
      <c r="L45" s="235">
        <v>4869.665</v>
      </c>
      <c r="M45" s="236"/>
      <c r="N45" s="235">
        <v>5058.3249999999998</v>
      </c>
      <c r="O45" s="236"/>
      <c r="P45" s="235">
        <v>4278.7950000000001</v>
      </c>
      <c r="Q45" s="236"/>
      <c r="R45" s="238">
        <v>2773.1025</v>
      </c>
      <c r="S45" s="239"/>
      <c r="T45" s="235">
        <v>3253.7775000000001</v>
      </c>
      <c r="U45" s="236"/>
      <c r="V45" s="238">
        <v>173.07500000000002</v>
      </c>
      <c r="W45" s="239"/>
      <c r="X45" s="238">
        <v>0</v>
      </c>
      <c r="Y45" s="239"/>
      <c r="Z45" s="238">
        <v>0</v>
      </c>
      <c r="AA45" s="240"/>
    </row>
    <row r="46" spans="2:33" ht="15" customHeight="1">
      <c r="B46" s="46" t="s">
        <v>317</v>
      </c>
      <c r="C46" s="137">
        <v>8831.4699999999993</v>
      </c>
      <c r="D46" s="235">
        <v>1109.45</v>
      </c>
      <c r="E46" s="236"/>
      <c r="F46" s="235">
        <v>863.98</v>
      </c>
      <c r="G46" s="236"/>
      <c r="H46" s="235">
        <v>895.87</v>
      </c>
      <c r="I46" s="236"/>
      <c r="J46" s="235">
        <v>1100.1600000000001</v>
      </c>
      <c r="K46" s="236"/>
      <c r="L46" s="235">
        <v>1277.01</v>
      </c>
      <c r="M46" s="236"/>
      <c r="N46" s="235">
        <v>774.44</v>
      </c>
      <c r="O46" s="236"/>
      <c r="P46" s="235">
        <v>1127.2</v>
      </c>
      <c r="Q46" s="236"/>
      <c r="R46" s="235">
        <v>758.43000000000006</v>
      </c>
      <c r="S46" s="236"/>
      <c r="T46" s="235">
        <v>914.93000000000006</v>
      </c>
      <c r="U46" s="236"/>
      <c r="V46" s="238">
        <v>10</v>
      </c>
      <c r="W46" s="239"/>
      <c r="X46" s="238">
        <v>0</v>
      </c>
      <c r="Y46" s="239"/>
      <c r="Z46" s="238">
        <v>0</v>
      </c>
      <c r="AA46" s="240"/>
    </row>
    <row r="47" spans="2:33" ht="15" customHeight="1">
      <c r="B47" s="139" t="s">
        <v>318</v>
      </c>
      <c r="C47" s="140">
        <v>85405.050750000009</v>
      </c>
      <c r="D47" s="235">
        <v>8312.5874999999996</v>
      </c>
      <c r="E47" s="236"/>
      <c r="F47" s="235">
        <v>10447.709999999999</v>
      </c>
      <c r="G47" s="236"/>
      <c r="H47" s="235">
        <v>10603.268250000001</v>
      </c>
      <c r="I47" s="236"/>
      <c r="J47" s="235">
        <v>12901.904999999999</v>
      </c>
      <c r="K47" s="236"/>
      <c r="L47" s="235">
        <v>14608.994999999999</v>
      </c>
      <c r="M47" s="236"/>
      <c r="N47" s="235">
        <v>15174.974999999999</v>
      </c>
      <c r="O47" s="236"/>
      <c r="P47" s="235">
        <v>12836.385</v>
      </c>
      <c r="Q47" s="236"/>
      <c r="R47" s="235">
        <v>0</v>
      </c>
      <c r="S47" s="236"/>
      <c r="T47" s="235">
        <v>0</v>
      </c>
      <c r="U47" s="236"/>
      <c r="V47" s="238">
        <v>519.22500000000002</v>
      </c>
      <c r="W47" s="239"/>
      <c r="X47" s="241">
        <v>0</v>
      </c>
      <c r="Y47" s="237"/>
      <c r="Z47" s="241">
        <v>0</v>
      </c>
      <c r="AA47" s="237"/>
    </row>
    <row r="48" spans="2:33" ht="15" customHeight="1">
      <c r="B48" s="46" t="s">
        <v>319</v>
      </c>
      <c r="C48" s="137">
        <v>1381162.7300000002</v>
      </c>
      <c r="D48" s="235">
        <v>141564</v>
      </c>
      <c r="E48" s="236"/>
      <c r="F48" s="235">
        <v>168083.59999999998</v>
      </c>
      <c r="G48" s="236"/>
      <c r="H48" s="235">
        <v>149703.29999999999</v>
      </c>
      <c r="I48" s="236"/>
      <c r="J48" s="235">
        <v>160227.29999999999</v>
      </c>
      <c r="K48" s="236"/>
      <c r="L48" s="235">
        <v>150531.29999999999</v>
      </c>
      <c r="M48" s="236"/>
      <c r="N48" s="235">
        <v>157646.29999999999</v>
      </c>
      <c r="O48" s="236"/>
      <c r="P48" s="235">
        <v>152727.32999999999</v>
      </c>
      <c r="Q48" s="236"/>
      <c r="R48" s="235">
        <v>142974.29999999999</v>
      </c>
      <c r="S48" s="236"/>
      <c r="T48" s="235">
        <v>157705.29999999999</v>
      </c>
      <c r="U48" s="236"/>
      <c r="V48" s="235">
        <v>0</v>
      </c>
      <c r="W48" s="236"/>
      <c r="X48" s="235">
        <v>0</v>
      </c>
      <c r="Y48" s="236"/>
      <c r="Z48" s="235">
        <v>0</v>
      </c>
      <c r="AA48" s="237"/>
      <c r="AB48" s="10"/>
    </row>
    <row r="49" spans="2:31" ht="14.25">
      <c r="B49" s="46" t="s">
        <v>320</v>
      </c>
      <c r="C49" s="137">
        <v>2289549.7891300004</v>
      </c>
      <c r="D49" s="235">
        <v>160306.44369999997</v>
      </c>
      <c r="E49" s="236"/>
      <c r="F49" s="235">
        <v>157402.06059999965</v>
      </c>
      <c r="G49" s="236"/>
      <c r="H49" s="235">
        <v>197720.02342999968</v>
      </c>
      <c r="I49" s="236"/>
      <c r="J49" s="235">
        <v>343782.90728000028</v>
      </c>
      <c r="K49" s="236"/>
      <c r="L49" s="235">
        <v>495755.41649999999</v>
      </c>
      <c r="M49" s="236"/>
      <c r="N49" s="235">
        <v>400075.73380000039</v>
      </c>
      <c r="O49" s="236"/>
      <c r="P49" s="235">
        <v>209817.90406000047</v>
      </c>
      <c r="Q49" s="236"/>
      <c r="R49" s="235">
        <v>137126.01245999997</v>
      </c>
      <c r="S49" s="236"/>
      <c r="T49" s="235">
        <v>179170.67730000004</v>
      </c>
      <c r="U49" s="236"/>
      <c r="V49" s="235">
        <v>8392.6099999999988</v>
      </c>
      <c r="W49" s="236"/>
      <c r="X49" s="235">
        <v>0</v>
      </c>
      <c r="Y49" s="236"/>
      <c r="Z49" s="235">
        <v>0</v>
      </c>
      <c r="AA49" s="237"/>
      <c r="AB49" s="10"/>
      <c r="AC49" t="s">
        <v>321</v>
      </c>
      <c r="AD49" s="141" t="s">
        <v>322</v>
      </c>
    </row>
    <row r="50" spans="2:31" ht="18.75" customHeight="1">
      <c r="B50" s="46" t="s">
        <v>323</v>
      </c>
      <c r="C50" s="137">
        <v>804901.36838000047</v>
      </c>
      <c r="D50" s="235">
        <v>10429.856199999975</v>
      </c>
      <c r="E50" s="236"/>
      <c r="F50" s="235">
        <v>-21129.249400000328</v>
      </c>
      <c r="G50" s="236"/>
      <c r="H50" s="235">
        <v>37413.455179999692</v>
      </c>
      <c r="I50" s="236"/>
      <c r="J50" s="235">
        <v>170653.70228000029</v>
      </c>
      <c r="K50" s="236"/>
      <c r="L50" s="235">
        <v>330615.12150000001</v>
      </c>
      <c r="M50" s="236"/>
      <c r="N50" s="235">
        <v>227254.4588000004</v>
      </c>
      <c r="O50" s="236"/>
      <c r="P50" s="235">
        <v>44254.189060000484</v>
      </c>
      <c r="Q50" s="236"/>
      <c r="R50" s="235">
        <v>-14167.59504000002</v>
      </c>
      <c r="S50" s="236"/>
      <c r="T50" s="235">
        <v>11704.044800000051</v>
      </c>
      <c r="U50" s="236"/>
      <c r="V50" s="235">
        <v>7873.3849999999984</v>
      </c>
      <c r="W50" s="236"/>
      <c r="X50" s="235">
        <v>0</v>
      </c>
      <c r="Y50" s="236"/>
      <c r="Z50" s="235">
        <v>0</v>
      </c>
      <c r="AA50" s="237"/>
      <c r="AC50" s="203" t="s">
        <v>324</v>
      </c>
      <c r="AD50" s="141" t="s">
        <v>325</v>
      </c>
    </row>
    <row r="51" spans="2:31" ht="15" customHeight="1">
      <c r="B51" s="46" t="s">
        <v>326</v>
      </c>
      <c r="C51" s="137">
        <v>106477.29715000016</v>
      </c>
      <c r="D51" s="235">
        <v>8853.2738000000481</v>
      </c>
      <c r="E51" s="236"/>
      <c r="F51" s="235">
        <v>12834.326900000415</v>
      </c>
      <c r="G51" s="236"/>
      <c r="H51" s="235">
        <v>11792.43885000029</v>
      </c>
      <c r="I51" s="236"/>
      <c r="J51" s="235">
        <v>8883.628599999618</v>
      </c>
      <c r="K51" s="236"/>
      <c r="L51" s="235">
        <v>3323.3340999998582</v>
      </c>
      <c r="M51" s="236"/>
      <c r="N51" s="235">
        <v>8586.0333999998184</v>
      </c>
      <c r="O51" s="236"/>
      <c r="P51" s="235">
        <v>14446.838699999973</v>
      </c>
      <c r="Q51" s="236"/>
      <c r="R51" s="235">
        <v>17503.400000000023</v>
      </c>
      <c r="S51" s="236"/>
      <c r="T51" s="235">
        <v>19944.357800000114</v>
      </c>
      <c r="U51" s="236"/>
      <c r="V51" s="235">
        <v>309.66500000000303</v>
      </c>
      <c r="W51" s="236"/>
      <c r="X51" s="235">
        <v>0</v>
      </c>
      <c r="Y51" s="236"/>
      <c r="Z51" s="235">
        <v>0</v>
      </c>
      <c r="AA51" s="237"/>
      <c r="AD51" s="141"/>
    </row>
    <row r="52" spans="2:31" ht="19.5" collapsed="1">
      <c r="B52" s="46" t="s">
        <v>327</v>
      </c>
      <c r="C52" s="137">
        <v>911378.6655300007</v>
      </c>
      <c r="D52" s="220">
        <v>19283.130000000023</v>
      </c>
      <c r="E52" s="221"/>
      <c r="F52" s="220">
        <v>-8294.9224999999133</v>
      </c>
      <c r="G52" s="221"/>
      <c r="H52" s="220">
        <v>49205.894029999981</v>
      </c>
      <c r="I52" s="221"/>
      <c r="J52" s="220">
        <v>179537.33087999991</v>
      </c>
      <c r="K52" s="221"/>
      <c r="L52" s="220">
        <v>333938.45559999987</v>
      </c>
      <c r="M52" s="221"/>
      <c r="N52" s="220">
        <v>235840.49220000021</v>
      </c>
      <c r="O52" s="221"/>
      <c r="P52" s="220">
        <v>58701.027760000456</v>
      </c>
      <c r="Q52" s="221"/>
      <c r="R52" s="220">
        <v>3335.8049600000031</v>
      </c>
      <c r="S52" s="221"/>
      <c r="T52" s="220">
        <v>31648.402600000165</v>
      </c>
      <c r="U52" s="221"/>
      <c r="V52" s="220">
        <v>8183.0500000000011</v>
      </c>
      <c r="W52" s="221"/>
      <c r="X52" s="220">
        <v>0</v>
      </c>
      <c r="Y52" s="221"/>
      <c r="Z52" s="220">
        <v>0</v>
      </c>
      <c r="AA52" s="222"/>
      <c r="AC52" s="203" t="s">
        <v>328</v>
      </c>
      <c r="AD52" s="204" t="s">
        <v>329</v>
      </c>
    </row>
    <row r="53" spans="2:31" ht="15" hidden="1" customHeight="1" outlineLevel="2">
      <c r="M53" s="142"/>
      <c r="AD53" s="203" t="s">
        <v>330</v>
      </c>
      <c r="AE53" s="204" t="s">
        <v>331</v>
      </c>
    </row>
    <row r="54" spans="2:31" ht="15" hidden="1" customHeight="1" outlineLevel="2">
      <c r="B54" t="s">
        <v>332</v>
      </c>
      <c r="C54" s="143">
        <v>0.39828091885254191</v>
      </c>
      <c r="D54" s="104">
        <v>0.35876264159625387</v>
      </c>
      <c r="E54" s="144"/>
      <c r="F54" s="104">
        <v>0.28760135474663834</v>
      </c>
      <c r="G54" s="144"/>
      <c r="H54" s="104">
        <v>0.33738547546413333</v>
      </c>
      <c r="I54" s="144"/>
      <c r="J54" s="104">
        <v>0.47073122922545146</v>
      </c>
      <c r="K54" s="144"/>
      <c r="L54" s="104">
        <v>0.58368381603251962</v>
      </c>
      <c r="M54" s="144"/>
      <c r="N54" s="104">
        <v>0.46563350516228219</v>
      </c>
      <c r="O54" s="144"/>
      <c r="P54" s="104">
        <v>0.30832244825938193</v>
      </c>
      <c r="Q54" s="144"/>
      <c r="R54" s="144">
        <v>0.31250161146225208</v>
      </c>
      <c r="S54" s="104"/>
      <c r="T54" s="144">
        <v>0.3367231779062953</v>
      </c>
      <c r="U54" s="104"/>
      <c r="V54" s="144">
        <v>0.27197457749530557</v>
      </c>
      <c r="W54" s="104"/>
      <c r="X54" s="144">
        <v>0.27197457749530557</v>
      </c>
      <c r="Y54" s="104"/>
      <c r="Z54" s="104">
        <v>0.27197457749530557</v>
      </c>
      <c r="AB54" s="104"/>
      <c r="AD54" s="203" t="s">
        <v>333</v>
      </c>
      <c r="AE54" s="204" t="s">
        <v>334</v>
      </c>
    </row>
    <row r="55" spans="2:31" ht="15" hidden="1" customHeight="1" outlineLevel="2">
      <c r="B55" t="s">
        <v>335</v>
      </c>
      <c r="C55" s="8">
        <v>3467810.4438926359</v>
      </c>
      <c r="D55" s="8">
        <v>394589.57981281122</v>
      </c>
      <c r="E55" s="8"/>
      <c r="F55" s="8">
        <v>584432.57385930186</v>
      </c>
      <c r="G55" s="8"/>
      <c r="H55" s="145">
        <v>443715.90031863895</v>
      </c>
      <c r="I55" s="8"/>
      <c r="J55" s="8">
        <v>340379.58404340519</v>
      </c>
      <c r="K55" s="8"/>
      <c r="L55" s="8">
        <v>257898.70451301534</v>
      </c>
      <c r="M55" s="8"/>
      <c r="N55" s="8">
        <v>338563.05066590349</v>
      </c>
      <c r="O55" s="8"/>
      <c r="P55" s="8">
        <v>495349.3683713724</v>
      </c>
      <c r="Q55" s="8"/>
      <c r="R55" s="8">
        <v>488724.93580228573</v>
      </c>
      <c r="S55" s="8"/>
      <c r="T55" s="8">
        <v>453569.40068587015</v>
      </c>
      <c r="U55" s="8"/>
      <c r="V55" s="8">
        <v>561550.02208850253</v>
      </c>
      <c r="W55" s="8"/>
      <c r="X55" s="8">
        <v>561550.02208850253</v>
      </c>
      <c r="Y55" s="8"/>
      <c r="Z55" s="8">
        <v>561550.02208850253</v>
      </c>
      <c r="AB55" s="104"/>
      <c r="AE55" s="141"/>
    </row>
    <row r="56" spans="2:31" ht="15" hidden="1" customHeight="1" outlineLevel="2">
      <c r="B56" t="s">
        <v>336</v>
      </c>
      <c r="C56" s="8">
        <v>4417172.8856618889</v>
      </c>
      <c r="D56" s="8">
        <v>159582.92018718878</v>
      </c>
      <c r="E56" s="8"/>
      <c r="F56" s="8">
        <v>112081.42614069814</v>
      </c>
      <c r="G56" s="8"/>
      <c r="H56" s="145">
        <v>263168.6496813611</v>
      </c>
      <c r="I56" s="8"/>
      <c r="J56" s="8">
        <v>519747.41595659481</v>
      </c>
      <c r="K56" s="8"/>
      <c r="L56" s="8">
        <v>716034.29548698466</v>
      </c>
      <c r="M56" s="8"/>
      <c r="N56" s="8">
        <v>673101.94933409651</v>
      </c>
      <c r="O56" s="8"/>
      <c r="P56" s="8">
        <v>360409.6316286276</v>
      </c>
      <c r="Q56" s="8"/>
      <c r="R56" s="8">
        <v>65895.564197714266</v>
      </c>
      <c r="S56" s="8"/>
      <c r="T56" s="8">
        <v>197186.09931412985</v>
      </c>
      <c r="U56" s="8"/>
      <c r="V56" s="8">
        <v>-526935.02208850253</v>
      </c>
      <c r="W56" s="8"/>
      <c r="X56" s="8">
        <v>938449.97791149747</v>
      </c>
      <c r="Y56" s="8"/>
      <c r="Z56" s="8">
        <v>938449.97791149747</v>
      </c>
      <c r="AB56" s="104"/>
      <c r="AD56" t="s">
        <v>337</v>
      </c>
      <c r="AE56" s="141" t="s">
        <v>338</v>
      </c>
    </row>
    <row r="57" spans="2:31" ht="15" customHeight="1">
      <c r="D57" s="10"/>
      <c r="E57" s="10"/>
      <c r="F57" s="10"/>
      <c r="G57" s="10"/>
      <c r="H57" s="10"/>
      <c r="I57" s="10"/>
      <c r="J57" s="10"/>
      <c r="L57" s="10"/>
      <c r="N57" s="10"/>
      <c r="P57" s="10"/>
      <c r="R57" s="10"/>
      <c r="T57" s="10"/>
      <c r="V57" s="10"/>
      <c r="X57" s="10"/>
      <c r="Z57" s="10"/>
      <c r="AB57" s="104"/>
    </row>
    <row r="58" spans="2:31" ht="21.75" customHeight="1">
      <c r="B58" s="146" t="s">
        <v>339</v>
      </c>
      <c r="C58" s="147">
        <v>911378.6655300007</v>
      </c>
      <c r="D58" s="147">
        <v>19283.130000000023</v>
      </c>
      <c r="E58" s="147"/>
      <c r="F58" s="147">
        <v>-8294.9224999999133</v>
      </c>
      <c r="G58" s="147"/>
      <c r="H58" s="147">
        <v>49205.894029999981</v>
      </c>
      <c r="I58" s="147"/>
      <c r="J58" s="147">
        <v>179537.33087999991</v>
      </c>
      <c r="K58" s="147"/>
      <c r="L58" s="147">
        <v>333938.45559999987</v>
      </c>
      <c r="M58" s="147"/>
      <c r="N58" s="147">
        <v>235840.49220000021</v>
      </c>
      <c r="O58" s="147"/>
      <c r="P58" s="147">
        <v>58701.027760000456</v>
      </c>
      <c r="Q58" s="147"/>
      <c r="R58" s="147">
        <v>3335.8049600000031</v>
      </c>
      <c r="S58" s="147"/>
      <c r="T58" s="147">
        <v>31648.402600000165</v>
      </c>
      <c r="U58" s="147"/>
      <c r="V58" s="147">
        <v>8183.0500000000011</v>
      </c>
      <c r="W58" s="147"/>
      <c r="X58" s="147">
        <v>0</v>
      </c>
      <c r="Y58" s="147"/>
      <c r="Z58" s="147">
        <v>0</v>
      </c>
      <c r="AA58" s="146"/>
      <c r="AB58" s="104"/>
    </row>
    <row r="59" spans="2:31" ht="19.5" customHeight="1">
      <c r="C59" s="10"/>
      <c r="D59" s="9"/>
      <c r="E59" s="10"/>
      <c r="G59" s="1"/>
      <c r="H59" s="142"/>
      <c r="I59" s="1"/>
      <c r="K59" s="1"/>
      <c r="M59" s="1"/>
      <c r="O59" s="1"/>
      <c r="Q59" s="10"/>
      <c r="R59" s="106"/>
      <c r="U59" s="81"/>
      <c r="V59" s="81"/>
      <c r="W59" s="10"/>
      <c r="X59" s="10"/>
      <c r="Y59" s="142"/>
      <c r="AB59" t="s">
        <v>340</v>
      </c>
    </row>
    <row r="60" spans="2:31" ht="19.5" customHeight="1">
      <c r="C60" s="10"/>
      <c r="D60" s="112"/>
      <c r="E60" s="10"/>
      <c r="G60" s="142"/>
      <c r="H60" s="142"/>
      <c r="I60" s="1"/>
      <c r="K60" s="1"/>
      <c r="M60" s="1"/>
      <c r="O60" s="1"/>
      <c r="P60" s="5"/>
      <c r="Q60" s="10"/>
      <c r="R60" s="106"/>
      <c r="T60" s="81"/>
      <c r="U60" s="81"/>
      <c r="V60" s="81"/>
      <c r="W60" s="10"/>
      <c r="X60" s="10"/>
      <c r="Y60" s="142"/>
    </row>
    <row r="61" spans="2:31" ht="19.5" customHeight="1">
      <c r="C61" s="10"/>
      <c r="E61" s="10"/>
      <c r="G61" s="1"/>
      <c r="H61" s="142"/>
      <c r="I61" s="1"/>
      <c r="K61" s="1"/>
      <c r="M61" s="1"/>
      <c r="O61" s="1"/>
      <c r="Q61" s="10"/>
      <c r="R61" s="106"/>
      <c r="T61" s="106"/>
      <c r="U61" s="148"/>
      <c r="V61" s="81"/>
      <c r="W61" s="10"/>
      <c r="X61" s="10"/>
      <c r="Y61" s="142"/>
    </row>
    <row r="62" spans="2:31" ht="19.5" customHeight="1">
      <c r="C62" s="10"/>
      <c r="E62" s="10"/>
      <c r="G62" s="1"/>
      <c r="H62" s="142"/>
      <c r="I62" s="1"/>
      <c r="K62" s="1"/>
      <c r="M62" s="1"/>
      <c r="O62" s="149"/>
      <c r="Q62" s="10"/>
      <c r="R62" s="106"/>
      <c r="T62" s="106"/>
      <c r="W62" s="10"/>
      <c r="X62" s="10"/>
      <c r="Y62" s="142"/>
    </row>
    <row r="63" spans="2:31" ht="15" customHeight="1">
      <c r="C63" s="10"/>
      <c r="E63" s="10"/>
      <c r="G63" s="1"/>
      <c r="H63" s="142"/>
      <c r="I63" s="1"/>
      <c r="K63" s="1"/>
      <c r="N63" s="106"/>
      <c r="O63" s="10"/>
      <c r="P63" s="106"/>
      <c r="Q63" s="10"/>
      <c r="R63" s="106"/>
      <c r="T63" s="106"/>
      <c r="W63" s="10"/>
      <c r="X63" s="10"/>
      <c r="Y63" s="142"/>
    </row>
    <row r="64" spans="2:31" ht="15" customHeight="1">
      <c r="C64" s="10"/>
      <c r="G64" s="1"/>
      <c r="I64" s="1"/>
      <c r="K64" s="1"/>
      <c r="M64" s="150"/>
      <c r="N64" s="10"/>
      <c r="O64" s="150"/>
      <c r="P64" s="10"/>
      <c r="Q64" s="151" t="s">
        <v>79</v>
      </c>
      <c r="R64" s="152"/>
      <c r="S64" s="153"/>
      <c r="T64" s="153"/>
      <c r="U64" s="154"/>
      <c r="V64" s="10"/>
      <c r="W64" s="10"/>
      <c r="X64" s="10"/>
    </row>
    <row r="65" spans="2:26" ht="14.25">
      <c r="B65" t="s">
        <v>341</v>
      </c>
      <c r="C65" s="155">
        <v>46266</v>
      </c>
      <c r="E65" s="10"/>
      <c r="F65" s="10"/>
      <c r="G65" s="10"/>
      <c r="H65" s="10"/>
      <c r="I65" s="10"/>
      <c r="J65" s="10"/>
      <c r="K65" s="10"/>
      <c r="L65" s="10"/>
      <c r="M65" s="10"/>
      <c r="N65" s="10"/>
      <c r="O65" s="10"/>
      <c r="P65" s="10"/>
      <c r="Q65" s="10"/>
      <c r="R65" s="10"/>
      <c r="S65" s="10"/>
      <c r="T65" s="10"/>
      <c r="U65" s="10"/>
      <c r="V65" s="10"/>
      <c r="W65" s="10"/>
      <c r="X65" s="10"/>
      <c r="Y65" s="10"/>
      <c r="Z65" s="10"/>
    </row>
    <row r="66" spans="2:26" ht="14.25">
      <c r="B66" t="s">
        <v>342</v>
      </c>
      <c r="C66">
        <v>9</v>
      </c>
      <c r="E66" s="10"/>
      <c r="F66" s="10"/>
      <c r="G66" s="10"/>
      <c r="H66" s="10"/>
      <c r="I66" s="10"/>
      <c r="J66" s="10"/>
      <c r="K66" s="10"/>
      <c r="L66" s="10"/>
      <c r="M66" s="10"/>
      <c r="N66" s="10"/>
      <c r="O66" s="10"/>
      <c r="P66" s="10"/>
      <c r="Q66" s="10"/>
      <c r="R66" s="10"/>
      <c r="S66" s="10"/>
      <c r="T66" s="10"/>
      <c r="U66" s="10"/>
      <c r="V66" s="10"/>
      <c r="W66" s="10"/>
      <c r="X66" s="10"/>
      <c r="Y66" s="10"/>
      <c r="Z66" s="10"/>
    </row>
    <row r="67" spans="2:26" ht="15" customHeight="1">
      <c r="B67" t="s">
        <v>87</v>
      </c>
      <c r="C67" t="s">
        <v>343</v>
      </c>
    </row>
    <row r="68" spans="2:26" ht="21.75" customHeight="1">
      <c r="B68" t="s">
        <v>81</v>
      </c>
      <c r="C68" t="s">
        <v>343</v>
      </c>
      <c r="Y68" s="10"/>
      <c r="Z68" s="10"/>
    </row>
    <row r="69" spans="2:26" ht="15" customHeight="1">
      <c r="B69" s="216" t="s">
        <v>344</v>
      </c>
      <c r="C69" s="216"/>
      <c r="D69" s="216"/>
      <c r="H69" s="131"/>
      <c r="I69" s="10"/>
      <c r="K69" s="1"/>
      <c r="L69" s="142"/>
    </row>
    <row r="70" spans="2:26" ht="15" customHeight="1">
      <c r="B70" s="101" t="s">
        <v>345</v>
      </c>
      <c r="C70" s="101" t="s">
        <v>346</v>
      </c>
      <c r="D70" s="101" t="s">
        <v>347</v>
      </c>
      <c r="G70" s="142"/>
      <c r="H70" s="156"/>
      <c r="I70" s="10"/>
      <c r="K70" s="1"/>
      <c r="L70" s="142"/>
      <c r="M70" s="142"/>
      <c r="O70" s="10"/>
      <c r="P70" s="138"/>
      <c r="Q70" s="10"/>
      <c r="T70" s="10"/>
      <c r="Y70" s="10"/>
      <c r="Z70" s="10"/>
    </row>
    <row r="71" spans="2:26" ht="14.25">
      <c r="B71" s="48" t="s">
        <v>348</v>
      </c>
      <c r="C71" s="99">
        <v>20058</v>
      </c>
      <c r="D71" s="99">
        <v>1433.76</v>
      </c>
      <c r="E71" s="10"/>
      <c r="F71" s="10"/>
      <c r="G71" s="10"/>
      <c r="H71" s="156"/>
      <c r="I71" s="10"/>
      <c r="K71" s="1"/>
      <c r="L71" s="11"/>
      <c r="M71" s="10"/>
      <c r="S71" s="1"/>
      <c r="T71" s="10"/>
      <c r="Y71" s="142"/>
    </row>
    <row r="72" spans="2:26" ht="14.25">
      <c r="B72" s="52" t="s">
        <v>349</v>
      </c>
      <c r="C72" s="100">
        <v>0</v>
      </c>
      <c r="D72" s="100">
        <v>0</v>
      </c>
      <c r="H72" s="156"/>
      <c r="I72" s="10"/>
      <c r="M72" s="131"/>
      <c r="Q72" s="10"/>
      <c r="S72" s="1"/>
      <c r="U72" s="10"/>
      <c r="Y72" s="142"/>
    </row>
    <row r="73" spans="2:26" ht="14.25">
      <c r="B73" s="52" t="s">
        <v>350</v>
      </c>
      <c r="C73" s="100">
        <v>7700</v>
      </c>
      <c r="D73" s="100">
        <v>782.25</v>
      </c>
      <c r="H73" s="156"/>
      <c r="I73" s="10"/>
      <c r="M73" s="157"/>
      <c r="N73" s="157"/>
      <c r="Q73" s="10"/>
      <c r="S73" s="1"/>
      <c r="T73" s="10"/>
    </row>
    <row r="74" spans="2:26" ht="14.25">
      <c r="B74" s="52" t="s">
        <v>351</v>
      </c>
      <c r="C74" s="100">
        <v>0</v>
      </c>
      <c r="D74" s="100">
        <v>0</v>
      </c>
      <c r="H74" s="156"/>
      <c r="I74" s="10"/>
      <c r="J74" s="9"/>
      <c r="L74" s="10"/>
      <c r="M74" s="155"/>
      <c r="N74" s="112"/>
      <c r="Q74" s="10"/>
      <c r="S74" s="1"/>
      <c r="T74" s="10"/>
      <c r="Y74" s="142"/>
    </row>
    <row r="75" spans="2:26">
      <c r="B75" s="52" t="s">
        <v>352</v>
      </c>
      <c r="C75" s="100">
        <v>0</v>
      </c>
      <c r="D75" s="100">
        <v>0</v>
      </c>
      <c r="H75" s="156"/>
      <c r="I75" s="158"/>
      <c r="M75" s="155"/>
      <c r="N75" s="112"/>
      <c r="Q75" s="10"/>
      <c r="W75" s="106"/>
    </row>
    <row r="76" spans="2:26" ht="14.25">
      <c r="B76" s="52" t="s">
        <v>353</v>
      </c>
      <c r="C76" s="100">
        <v>91493</v>
      </c>
      <c r="D76" s="100">
        <v>7605.300000000002</v>
      </c>
      <c r="H76" s="156"/>
      <c r="I76" s="9"/>
      <c r="M76" s="155"/>
      <c r="N76" s="112"/>
      <c r="Q76" s="10"/>
      <c r="T76" s="10"/>
      <c r="Z76" t="s">
        <v>299</v>
      </c>
    </row>
    <row r="77" spans="2:26" s="116" customFormat="1" ht="14.25">
      <c r="B77" s="52" t="s">
        <v>354</v>
      </c>
      <c r="C77" s="100">
        <v>15694</v>
      </c>
      <c r="D77" s="100">
        <v>1384.95</v>
      </c>
      <c r="E77"/>
      <c r="F77"/>
      <c r="G77"/>
      <c r="H77" s="156"/>
      <c r="I77" s="9"/>
      <c r="L77"/>
      <c r="M77" s="155"/>
      <c r="N77" s="112"/>
      <c r="P77"/>
      <c r="Q77" s="10"/>
    </row>
    <row r="78" spans="2:26" ht="14.25">
      <c r="B78" s="52" t="s">
        <v>355</v>
      </c>
      <c r="C78" s="100">
        <v>0</v>
      </c>
      <c r="D78" s="100">
        <v>0</v>
      </c>
      <c r="H78" s="156"/>
      <c r="I78" s="9"/>
      <c r="M78" s="155"/>
      <c r="N78" s="112"/>
      <c r="Q78" s="10"/>
    </row>
    <row r="79" spans="2:26" ht="20.25" customHeight="1">
      <c r="B79" s="52" t="s">
        <v>356</v>
      </c>
      <c r="C79" s="100">
        <v>0</v>
      </c>
      <c r="D79" s="100">
        <v>0</v>
      </c>
      <c r="H79" s="156"/>
      <c r="I79" s="9"/>
      <c r="M79" s="155"/>
      <c r="N79" s="159"/>
      <c r="O79" s="160"/>
    </row>
    <row r="80" spans="2:26" ht="15" customHeight="1">
      <c r="B80" s="52" t="s">
        <v>357</v>
      </c>
      <c r="C80" s="100">
        <v>0</v>
      </c>
      <c r="D80" s="100">
        <v>0</v>
      </c>
      <c r="H80" s="156"/>
      <c r="I80" s="9"/>
      <c r="N80" s="81"/>
    </row>
    <row r="81" spans="2:17" ht="15" customHeight="1">
      <c r="B81" s="52" t="s">
        <v>358</v>
      </c>
      <c r="C81" s="100">
        <v>22070</v>
      </c>
      <c r="D81" s="100">
        <v>919.82999999999993</v>
      </c>
      <c r="H81" s="156"/>
      <c r="I81" s="158"/>
      <c r="N81" s="81"/>
    </row>
    <row r="82" spans="2:17" ht="15" customHeight="1">
      <c r="B82" s="52" t="s">
        <v>359</v>
      </c>
      <c r="C82" s="100">
        <v>10451</v>
      </c>
      <c r="D82" s="100">
        <v>1130.7449999999999</v>
      </c>
      <c r="H82" s="156"/>
      <c r="I82" s="158"/>
      <c r="N82" s="81"/>
    </row>
    <row r="83" spans="2:17" ht="15" customHeight="1">
      <c r="B83" s="52" t="s">
        <v>360</v>
      </c>
      <c r="C83" s="100">
        <v>0</v>
      </c>
      <c r="D83" s="100">
        <v>0</v>
      </c>
      <c r="H83" s="158"/>
      <c r="I83" s="158"/>
    </row>
    <row r="84" spans="2:17" ht="15" customHeight="1">
      <c r="B84" s="52" t="s">
        <v>361</v>
      </c>
      <c r="C84" s="100">
        <v>0</v>
      </c>
      <c r="D84" s="100">
        <v>0</v>
      </c>
      <c r="H84" s="158"/>
      <c r="I84" s="158"/>
    </row>
    <row r="85" spans="2:17" ht="15" customHeight="1">
      <c r="B85" s="52" t="s">
        <v>168</v>
      </c>
      <c r="C85" s="100">
        <v>408890.5</v>
      </c>
      <c r="D85" s="100">
        <v>0</v>
      </c>
      <c r="H85" s="158"/>
      <c r="I85" s="158"/>
    </row>
    <row r="86" spans="2:17" ht="15" customHeight="1">
      <c r="B86" s="55" t="s">
        <v>362</v>
      </c>
      <c r="C86" s="161">
        <v>576356.5</v>
      </c>
      <c r="D86" s="161">
        <v>13256.835000000003</v>
      </c>
      <c r="E86" s="105"/>
      <c r="H86" s="158"/>
      <c r="I86" s="158"/>
    </row>
    <row r="87" spans="2:17" ht="15" customHeight="1">
      <c r="E87" s="10"/>
      <c r="F87" s="10"/>
      <c r="G87" s="10"/>
      <c r="I87" s="10"/>
      <c r="J87" s="10"/>
    </row>
    <row r="88" spans="2:17" ht="15" customHeight="1" thickBot="1">
      <c r="B88" s="162">
        <v>0.5</v>
      </c>
      <c r="C88" s="163"/>
      <c r="D88" s="164"/>
      <c r="E88" s="10"/>
      <c r="F88" s="10"/>
      <c r="G88" s="10"/>
      <c r="H88" s="10"/>
      <c r="I88" s="10"/>
      <c r="J88" s="10"/>
    </row>
    <row r="89" spans="2:17" ht="20.25" customHeight="1">
      <c r="B89" s="225">
        <v>46266</v>
      </c>
      <c r="C89" s="165" t="s">
        <v>363</v>
      </c>
      <c r="D89" s="166">
        <v>46023</v>
      </c>
      <c r="E89" s="166">
        <v>46055</v>
      </c>
      <c r="F89" s="166">
        <v>46083</v>
      </c>
      <c r="G89" s="166">
        <v>46114</v>
      </c>
      <c r="H89" s="166">
        <v>46144</v>
      </c>
      <c r="I89" s="166">
        <v>46175</v>
      </c>
      <c r="J89" s="166">
        <v>46205</v>
      </c>
      <c r="K89" s="166">
        <v>46236</v>
      </c>
      <c r="L89" s="166">
        <v>46267</v>
      </c>
      <c r="M89" s="166">
        <v>46297</v>
      </c>
      <c r="N89" s="166">
        <v>46328</v>
      </c>
      <c r="O89" s="166">
        <v>46358</v>
      </c>
      <c r="Q89" s="167" t="s">
        <v>306</v>
      </c>
    </row>
    <row r="90" spans="2:17" ht="24.75" customHeight="1" thickBot="1">
      <c r="B90" s="226"/>
      <c r="C90" s="168" t="s">
        <v>3772</v>
      </c>
      <c r="D90" s="169">
        <v>46055</v>
      </c>
      <c r="E90" s="169">
        <v>46083</v>
      </c>
      <c r="F90" s="169">
        <v>46114</v>
      </c>
      <c r="G90" s="169">
        <v>46144</v>
      </c>
      <c r="H90" s="169">
        <v>46175</v>
      </c>
      <c r="I90" s="169">
        <v>46205</v>
      </c>
      <c r="J90" s="169">
        <v>46236</v>
      </c>
      <c r="K90" s="169">
        <v>46267</v>
      </c>
      <c r="L90" s="169">
        <v>46297</v>
      </c>
      <c r="M90" s="169">
        <v>45598</v>
      </c>
      <c r="N90" s="169">
        <v>46358</v>
      </c>
      <c r="O90" s="169">
        <v>0</v>
      </c>
      <c r="Q90" s="170" t="s">
        <v>364</v>
      </c>
    </row>
    <row r="91" spans="2:17" ht="15" customHeight="1" thickBot="1">
      <c r="B91" s="46" t="s">
        <v>348</v>
      </c>
      <c r="C91" s="171">
        <v>20058</v>
      </c>
      <c r="D91" s="172">
        <v>0</v>
      </c>
      <c r="E91" s="172">
        <v>70.650000000000006</v>
      </c>
      <c r="F91" s="172">
        <v>0</v>
      </c>
      <c r="G91" s="172">
        <v>1433.76</v>
      </c>
      <c r="H91" s="172">
        <v>1433.76</v>
      </c>
      <c r="I91" s="172">
        <v>1433.76</v>
      </c>
      <c r="J91" s="172">
        <v>1433.76</v>
      </c>
      <c r="K91" s="172">
        <v>1433.76</v>
      </c>
      <c r="L91" s="172">
        <v>1433.76</v>
      </c>
      <c r="M91" s="172">
        <v>1433.76</v>
      </c>
      <c r="N91" s="172">
        <v>1433.76</v>
      </c>
      <c r="O91" s="172">
        <v>1433.76</v>
      </c>
      <c r="Q91" s="173">
        <v>1433.76</v>
      </c>
    </row>
    <row r="92" spans="2:17" ht="15" customHeight="1" thickBot="1">
      <c r="B92" s="46" t="s">
        <v>349</v>
      </c>
      <c r="C92" s="171">
        <v>0</v>
      </c>
      <c r="D92" s="172">
        <v>0</v>
      </c>
      <c r="E92" s="172">
        <v>0</v>
      </c>
      <c r="F92" s="172">
        <v>0</v>
      </c>
      <c r="G92" s="172">
        <v>0</v>
      </c>
      <c r="H92" s="172">
        <v>0</v>
      </c>
      <c r="I92" s="172">
        <v>0</v>
      </c>
      <c r="J92" s="172">
        <v>0</v>
      </c>
      <c r="K92" s="172">
        <v>0</v>
      </c>
      <c r="L92" s="172">
        <v>0</v>
      </c>
      <c r="M92" s="172">
        <v>0</v>
      </c>
      <c r="N92" s="172">
        <v>0</v>
      </c>
      <c r="O92" s="172">
        <v>0</v>
      </c>
      <c r="Q92" s="174">
        <v>0</v>
      </c>
    </row>
    <row r="93" spans="2:17" ht="17.25" customHeight="1" thickBot="1">
      <c r="B93" s="46" t="s">
        <v>350</v>
      </c>
      <c r="C93" s="171">
        <v>7700</v>
      </c>
      <c r="D93" s="172">
        <v>162</v>
      </c>
      <c r="E93" s="172">
        <v>162</v>
      </c>
      <c r="F93" s="172">
        <v>248.25</v>
      </c>
      <c r="G93" s="172">
        <v>782.25</v>
      </c>
      <c r="H93" s="172">
        <v>782.25</v>
      </c>
      <c r="I93" s="172">
        <v>782.25</v>
      </c>
      <c r="J93" s="172">
        <v>782.25</v>
      </c>
      <c r="K93" s="172">
        <v>782.25</v>
      </c>
      <c r="L93" s="172">
        <v>782.25</v>
      </c>
      <c r="M93" s="172">
        <v>782.25</v>
      </c>
      <c r="N93" s="172">
        <v>782.25</v>
      </c>
      <c r="O93" s="172">
        <v>782.25</v>
      </c>
      <c r="Q93" s="174">
        <v>782.25</v>
      </c>
    </row>
    <row r="94" spans="2:17" ht="15" customHeight="1" thickBot="1">
      <c r="B94" s="46" t="s">
        <v>351</v>
      </c>
      <c r="C94" s="171">
        <v>0</v>
      </c>
      <c r="D94" s="172">
        <v>141.435</v>
      </c>
      <c r="E94" s="172">
        <v>141.435</v>
      </c>
      <c r="F94" s="172">
        <v>370.35</v>
      </c>
      <c r="G94" s="172">
        <v>0</v>
      </c>
      <c r="H94" s="172">
        <v>0</v>
      </c>
      <c r="I94" s="172">
        <v>0</v>
      </c>
      <c r="J94" s="172">
        <v>0</v>
      </c>
      <c r="K94" s="172">
        <v>0</v>
      </c>
      <c r="L94" s="172">
        <v>0</v>
      </c>
      <c r="M94" s="172">
        <v>0</v>
      </c>
      <c r="N94" s="172">
        <v>0</v>
      </c>
      <c r="O94" s="172">
        <v>0</v>
      </c>
      <c r="Q94" s="174">
        <v>0</v>
      </c>
    </row>
    <row r="95" spans="2:17" ht="15" customHeight="1" thickBot="1">
      <c r="B95" s="46" t="s">
        <v>352</v>
      </c>
      <c r="C95" s="171">
        <v>0</v>
      </c>
      <c r="D95" s="172">
        <v>0</v>
      </c>
      <c r="E95" s="172">
        <v>0</v>
      </c>
      <c r="F95" s="172">
        <v>0</v>
      </c>
      <c r="G95" s="172">
        <v>0</v>
      </c>
      <c r="H95" s="172">
        <v>0</v>
      </c>
      <c r="I95" s="172">
        <v>0</v>
      </c>
      <c r="J95" s="172">
        <v>0</v>
      </c>
      <c r="K95" s="172">
        <v>0</v>
      </c>
      <c r="L95" s="172">
        <v>0</v>
      </c>
      <c r="M95" s="172">
        <v>0</v>
      </c>
      <c r="N95" s="172">
        <v>0</v>
      </c>
      <c r="O95" s="172">
        <v>0</v>
      </c>
      <c r="Q95" s="174">
        <v>0</v>
      </c>
    </row>
    <row r="96" spans="2:17" ht="15" customHeight="1" thickBot="1">
      <c r="B96" s="46" t="s">
        <v>353</v>
      </c>
      <c r="C96" s="171">
        <v>91493</v>
      </c>
      <c r="D96" s="172">
        <v>11289.45</v>
      </c>
      <c r="E96" s="172">
        <v>11462.7</v>
      </c>
      <c r="F96" s="172">
        <v>8009.5950000000003</v>
      </c>
      <c r="G96" s="172">
        <v>7605.300000000002</v>
      </c>
      <c r="H96" s="172">
        <v>7605.300000000002</v>
      </c>
      <c r="I96" s="172">
        <v>7605.300000000002</v>
      </c>
      <c r="J96" s="172">
        <v>7605.300000000002</v>
      </c>
      <c r="K96" s="172">
        <v>7605.300000000002</v>
      </c>
      <c r="L96" s="172">
        <v>7605.300000000002</v>
      </c>
      <c r="M96" s="172">
        <v>7605.300000000002</v>
      </c>
      <c r="N96" s="172">
        <v>7605.300000000002</v>
      </c>
      <c r="O96" s="172">
        <v>7605.300000000002</v>
      </c>
      <c r="Q96" s="174">
        <v>7605.300000000002</v>
      </c>
    </row>
    <row r="97" spans="2:17" ht="15" customHeight="1" thickBot="1">
      <c r="B97" s="46" t="s">
        <v>354</v>
      </c>
      <c r="C97" s="171">
        <v>15694</v>
      </c>
      <c r="D97" s="172">
        <v>1315.35</v>
      </c>
      <c r="E97" s="172">
        <v>1315.35</v>
      </c>
      <c r="F97" s="172">
        <v>2171.9250000000002</v>
      </c>
      <c r="G97" s="172">
        <v>1384.95</v>
      </c>
      <c r="H97" s="172">
        <v>1384.95</v>
      </c>
      <c r="I97" s="172">
        <v>1384.95</v>
      </c>
      <c r="J97" s="172">
        <v>1384.95</v>
      </c>
      <c r="K97" s="172">
        <v>1384.95</v>
      </c>
      <c r="L97" s="172">
        <v>1384.95</v>
      </c>
      <c r="M97" s="172">
        <v>1384.95</v>
      </c>
      <c r="N97" s="172">
        <v>1384.95</v>
      </c>
      <c r="O97" s="172">
        <v>1384.95</v>
      </c>
      <c r="Q97" s="174">
        <v>1384.95</v>
      </c>
    </row>
    <row r="98" spans="2:17" ht="15" customHeight="1" thickBot="1">
      <c r="B98" s="46" t="s">
        <v>355</v>
      </c>
      <c r="C98" s="171">
        <v>0</v>
      </c>
      <c r="D98" s="172">
        <v>0</v>
      </c>
      <c r="E98" s="172">
        <v>0</v>
      </c>
      <c r="F98" s="172">
        <v>0</v>
      </c>
      <c r="G98" s="172">
        <v>0</v>
      </c>
      <c r="H98" s="172">
        <v>0</v>
      </c>
      <c r="I98" s="172">
        <v>0</v>
      </c>
      <c r="J98" s="172">
        <v>0</v>
      </c>
      <c r="K98" s="172">
        <v>0</v>
      </c>
      <c r="L98" s="172">
        <v>0</v>
      </c>
      <c r="M98" s="172">
        <v>0</v>
      </c>
      <c r="N98" s="172">
        <v>0</v>
      </c>
      <c r="O98" s="172">
        <v>0</v>
      </c>
      <c r="Q98" s="174">
        <v>0</v>
      </c>
    </row>
    <row r="99" spans="2:17" ht="15" customHeight="1" thickBot="1">
      <c r="B99" s="46" t="s">
        <v>356</v>
      </c>
      <c r="C99" s="171">
        <v>0</v>
      </c>
      <c r="D99" s="172">
        <v>1503</v>
      </c>
      <c r="E99" s="172">
        <v>1503</v>
      </c>
      <c r="F99" s="172">
        <v>0</v>
      </c>
      <c r="G99" s="172">
        <v>0</v>
      </c>
      <c r="H99" s="172">
        <v>0</v>
      </c>
      <c r="I99" s="172">
        <v>0</v>
      </c>
      <c r="J99" s="172">
        <v>0</v>
      </c>
      <c r="K99" s="172">
        <v>0</v>
      </c>
      <c r="L99" s="172">
        <v>0</v>
      </c>
      <c r="M99" s="172">
        <v>0</v>
      </c>
      <c r="N99" s="172">
        <v>0</v>
      </c>
      <c r="O99" s="172">
        <v>0</v>
      </c>
      <c r="Q99" s="174">
        <v>0</v>
      </c>
    </row>
    <row r="100" spans="2:17" ht="15" customHeight="1" thickBot="1">
      <c r="B100" s="46" t="s">
        <v>357</v>
      </c>
      <c r="C100" s="171">
        <v>0</v>
      </c>
      <c r="D100" s="172">
        <v>0</v>
      </c>
      <c r="E100" s="172">
        <v>0</v>
      </c>
      <c r="F100" s="172">
        <v>0</v>
      </c>
      <c r="G100" s="172">
        <v>0</v>
      </c>
      <c r="H100" s="172">
        <v>0</v>
      </c>
      <c r="I100" s="172">
        <v>0</v>
      </c>
      <c r="J100" s="172">
        <v>0</v>
      </c>
      <c r="K100" s="172">
        <v>0</v>
      </c>
      <c r="L100" s="172">
        <v>0</v>
      </c>
      <c r="M100" s="172">
        <v>0</v>
      </c>
      <c r="N100" s="172">
        <v>0</v>
      </c>
      <c r="O100" s="172">
        <v>0</v>
      </c>
      <c r="Q100" s="174">
        <v>0</v>
      </c>
    </row>
    <row r="101" spans="2:17" ht="15" customHeight="1" thickBot="1">
      <c r="B101" s="46" t="s">
        <v>358</v>
      </c>
      <c r="C101" s="171">
        <v>22070</v>
      </c>
      <c r="D101" s="172">
        <v>4715.28</v>
      </c>
      <c r="E101" s="172">
        <v>4715.28</v>
      </c>
      <c r="F101" s="172">
        <v>4527.7650000000003</v>
      </c>
      <c r="G101" s="172">
        <v>919.82999999999993</v>
      </c>
      <c r="H101" s="172">
        <v>919.82999999999993</v>
      </c>
      <c r="I101" s="172">
        <v>919.82999999999993</v>
      </c>
      <c r="J101" s="172">
        <v>919.82999999999993</v>
      </c>
      <c r="K101" s="172">
        <v>919.82999999999993</v>
      </c>
      <c r="L101" s="172">
        <v>919.82999999999993</v>
      </c>
      <c r="M101" s="172">
        <v>919.82999999999993</v>
      </c>
      <c r="N101" s="172">
        <v>919.82999999999993</v>
      </c>
      <c r="O101" s="172">
        <v>919.82999999999993</v>
      </c>
      <c r="Q101" s="174">
        <v>919.82999999999993</v>
      </c>
    </row>
    <row r="102" spans="2:17" ht="15" customHeight="1" thickBot="1">
      <c r="B102" s="46" t="s">
        <v>359</v>
      </c>
      <c r="C102" s="171">
        <v>10451</v>
      </c>
      <c r="D102" s="172">
        <v>1813.875</v>
      </c>
      <c r="E102" s="172">
        <v>1813.875</v>
      </c>
      <c r="F102" s="172">
        <v>2855.9250000000002</v>
      </c>
      <c r="G102" s="172">
        <v>1130.7449999999999</v>
      </c>
      <c r="H102" s="172">
        <v>1130.7449999999999</v>
      </c>
      <c r="I102" s="172">
        <v>1130.7449999999999</v>
      </c>
      <c r="J102" s="172">
        <v>1130.7449999999999</v>
      </c>
      <c r="K102" s="172">
        <v>1130.7449999999999</v>
      </c>
      <c r="L102" s="172">
        <v>1130.7449999999999</v>
      </c>
      <c r="M102" s="172">
        <v>1130.7449999999999</v>
      </c>
      <c r="N102" s="172">
        <v>1130.7449999999999</v>
      </c>
      <c r="O102" s="172">
        <v>1130.7449999999999</v>
      </c>
      <c r="Q102" s="174">
        <v>1130.7449999999999</v>
      </c>
    </row>
    <row r="103" spans="2:17" ht="15" customHeight="1" thickBot="1">
      <c r="B103" s="46" t="s">
        <v>360</v>
      </c>
      <c r="C103" s="171">
        <v>0</v>
      </c>
      <c r="D103" s="172">
        <v>0</v>
      </c>
      <c r="E103" s="172">
        <v>0</v>
      </c>
      <c r="F103" s="172">
        <v>0</v>
      </c>
      <c r="G103" s="172">
        <v>0</v>
      </c>
      <c r="H103" s="172">
        <v>0</v>
      </c>
      <c r="I103" s="172">
        <v>0</v>
      </c>
      <c r="J103" s="172">
        <v>0</v>
      </c>
      <c r="K103" s="172">
        <v>0</v>
      </c>
      <c r="L103" s="172">
        <v>0</v>
      </c>
      <c r="M103" s="172">
        <v>0</v>
      </c>
      <c r="N103" s="172">
        <v>0</v>
      </c>
      <c r="O103" s="172">
        <v>0</v>
      </c>
      <c r="Q103" s="174">
        <v>0</v>
      </c>
    </row>
    <row r="104" spans="2:17" ht="15" customHeight="1" thickBot="1">
      <c r="B104" s="46" t="s">
        <v>361</v>
      </c>
      <c r="C104" s="171">
        <v>0</v>
      </c>
      <c r="D104" s="172">
        <v>0</v>
      </c>
      <c r="E104" s="172">
        <v>0</v>
      </c>
      <c r="F104" s="172">
        <v>0</v>
      </c>
      <c r="G104" s="172">
        <v>0</v>
      </c>
      <c r="H104" s="172">
        <v>0</v>
      </c>
      <c r="I104" s="172">
        <v>0</v>
      </c>
      <c r="J104" s="172">
        <v>0</v>
      </c>
      <c r="K104" s="172">
        <v>0</v>
      </c>
      <c r="L104" s="172">
        <v>0</v>
      </c>
      <c r="M104" s="172">
        <v>0</v>
      </c>
      <c r="N104" s="172">
        <v>0</v>
      </c>
      <c r="O104" s="172">
        <v>0</v>
      </c>
      <c r="Q104" s="174">
        <v>0</v>
      </c>
    </row>
    <row r="105" spans="2:17" ht="15" customHeight="1" thickBot="1">
      <c r="B105" s="46" t="s">
        <v>168</v>
      </c>
      <c r="C105" s="171">
        <v>408890.5</v>
      </c>
      <c r="D105" s="172">
        <v>0</v>
      </c>
      <c r="E105" s="172">
        <v>0</v>
      </c>
      <c r="F105" s="172">
        <v>0</v>
      </c>
      <c r="G105" s="172">
        <v>0</v>
      </c>
      <c r="H105" s="172">
        <v>0</v>
      </c>
      <c r="I105" s="172">
        <v>0</v>
      </c>
      <c r="J105" s="172">
        <v>0</v>
      </c>
      <c r="K105" s="172">
        <v>0</v>
      </c>
      <c r="L105" s="172">
        <v>0</v>
      </c>
      <c r="M105" s="172">
        <v>0</v>
      </c>
      <c r="N105" s="172">
        <v>0</v>
      </c>
      <c r="O105" s="172">
        <v>0</v>
      </c>
      <c r="Q105" s="174">
        <v>0</v>
      </c>
    </row>
    <row r="106" spans="2:17" ht="21" customHeight="1" thickBot="1">
      <c r="B106" s="175" t="s">
        <v>365</v>
      </c>
      <c r="C106" s="176">
        <v>576356.5</v>
      </c>
      <c r="D106" s="177">
        <v>20940.39</v>
      </c>
      <c r="E106" s="177">
        <v>21184.29</v>
      </c>
      <c r="F106" s="177">
        <v>18183.809999999998</v>
      </c>
      <c r="G106" s="177">
        <v>13256.835000000003</v>
      </c>
      <c r="H106" s="177">
        <v>13256.835000000003</v>
      </c>
      <c r="I106" s="177">
        <v>13256.835000000003</v>
      </c>
      <c r="J106" s="177">
        <v>13256.835000000003</v>
      </c>
      <c r="K106" s="177">
        <v>13256.835000000003</v>
      </c>
      <c r="L106" s="177">
        <v>13256.835000000003</v>
      </c>
      <c r="M106" s="177">
        <v>13256.835000000003</v>
      </c>
      <c r="N106" s="177">
        <v>13256.835000000003</v>
      </c>
      <c r="O106" s="177">
        <v>13256.835000000003</v>
      </c>
      <c r="P106" s="177">
        <v>0</v>
      </c>
      <c r="Q106" s="178">
        <v>13256.835000000003</v>
      </c>
    </row>
    <row r="108" spans="2:17" ht="15" customHeight="1">
      <c r="L108" s="10"/>
      <c r="O108" s="10"/>
    </row>
    <row r="110" spans="2:17" ht="15" customHeight="1">
      <c r="B110" s="179"/>
      <c r="C110" s="229" t="s">
        <v>36</v>
      </c>
      <c r="D110" s="114">
        <v>46023</v>
      </c>
      <c r="E110" s="114">
        <v>46055</v>
      </c>
      <c r="F110" s="114">
        <v>46083</v>
      </c>
      <c r="G110" s="114">
        <v>46114</v>
      </c>
      <c r="H110" s="114">
        <v>46144</v>
      </c>
      <c r="I110" s="114">
        <v>46175</v>
      </c>
      <c r="J110" s="114">
        <v>46205</v>
      </c>
      <c r="K110" s="114">
        <v>46236</v>
      </c>
      <c r="L110" s="114">
        <v>46267</v>
      </c>
      <c r="M110" s="114">
        <v>46297</v>
      </c>
      <c r="N110" s="114">
        <v>46328</v>
      </c>
      <c r="O110" s="114">
        <v>46358</v>
      </c>
    </row>
    <row r="111" spans="2:17" s="117" customFormat="1" ht="15" customHeight="1">
      <c r="B111" s="180"/>
      <c r="C111" s="230"/>
      <c r="D111" s="181">
        <v>0</v>
      </c>
      <c r="E111" s="181">
        <v>0</v>
      </c>
      <c r="F111" s="181">
        <v>0</v>
      </c>
      <c r="G111" s="181">
        <v>0</v>
      </c>
      <c r="H111" s="181">
        <v>0</v>
      </c>
      <c r="I111" s="181">
        <v>0</v>
      </c>
      <c r="J111" s="181">
        <v>0</v>
      </c>
      <c r="K111" s="181">
        <v>0</v>
      </c>
      <c r="L111" s="181">
        <v>0</v>
      </c>
      <c r="M111" s="181">
        <v>0</v>
      </c>
      <c r="N111" s="181">
        <v>0</v>
      </c>
      <c r="O111" s="181">
        <v>0</v>
      </c>
      <c r="Q111" s="182"/>
    </row>
    <row r="112" spans="2:17" ht="15" customHeight="1">
      <c r="B112" s="46" t="s">
        <v>348</v>
      </c>
      <c r="C112" s="109"/>
      <c r="D112" s="183"/>
      <c r="E112" s="183"/>
      <c r="F112" s="183"/>
      <c r="G112" s="183"/>
      <c r="H112" s="183"/>
      <c r="I112" s="183"/>
      <c r="J112" s="183"/>
      <c r="K112" s="183"/>
      <c r="L112" s="183"/>
      <c r="M112" s="183"/>
      <c r="N112" s="183"/>
      <c r="O112" s="184"/>
      <c r="Q112" s="1"/>
    </row>
    <row r="113" spans="2:17" ht="15" customHeight="1">
      <c r="B113" s="107" t="s">
        <v>349</v>
      </c>
      <c r="C113" s="109"/>
      <c r="D113" s="185"/>
      <c r="E113" s="185"/>
      <c r="F113" s="185"/>
      <c r="G113" s="185"/>
      <c r="H113" s="185"/>
      <c r="I113" s="185"/>
      <c r="J113" s="185"/>
      <c r="K113" s="185"/>
      <c r="L113" s="185"/>
      <c r="M113" s="185"/>
      <c r="N113" s="185"/>
      <c r="O113" s="186"/>
      <c r="Q113" s="1"/>
    </row>
    <row r="114" spans="2:17" ht="15" customHeight="1">
      <c r="B114" s="107" t="s">
        <v>350</v>
      </c>
      <c r="C114" s="109"/>
      <c r="D114" s="185"/>
      <c r="E114" s="185"/>
      <c r="F114" s="185"/>
      <c r="G114" s="185"/>
      <c r="H114" s="185"/>
      <c r="I114" s="185"/>
      <c r="J114" s="185"/>
      <c r="K114" s="185"/>
      <c r="L114" s="185"/>
      <c r="M114" s="185"/>
      <c r="N114" s="185"/>
      <c r="O114" s="186"/>
      <c r="Q114" s="1"/>
    </row>
    <row r="115" spans="2:17" ht="15" customHeight="1">
      <c r="B115" s="107" t="s">
        <v>351</v>
      </c>
      <c r="C115" s="109"/>
      <c r="D115" s="185"/>
      <c r="E115" s="185"/>
      <c r="F115" s="185"/>
      <c r="G115" s="185"/>
      <c r="H115" s="185"/>
      <c r="I115" s="185"/>
      <c r="J115" s="185"/>
      <c r="K115" s="185"/>
      <c r="L115" s="185"/>
      <c r="M115" s="185"/>
      <c r="N115" s="185"/>
      <c r="O115" s="186"/>
      <c r="Q115" s="1"/>
    </row>
    <row r="116" spans="2:17" ht="15" customHeight="1">
      <c r="B116" s="107" t="s">
        <v>352</v>
      </c>
      <c r="C116" s="109"/>
      <c r="D116" s="185"/>
      <c r="E116" s="185"/>
      <c r="F116" s="185"/>
      <c r="G116" s="185"/>
      <c r="H116" s="185"/>
      <c r="I116" s="185"/>
      <c r="J116" s="185"/>
      <c r="K116" s="185"/>
      <c r="L116" s="185"/>
      <c r="M116" s="185"/>
      <c r="N116" s="185"/>
      <c r="O116" s="186"/>
      <c r="Q116" s="1"/>
    </row>
    <row r="117" spans="2:17" ht="15" customHeight="1">
      <c r="B117" s="107" t="s">
        <v>353</v>
      </c>
      <c r="C117" s="109"/>
      <c r="D117" s="185"/>
      <c r="E117" s="185"/>
      <c r="F117" s="185"/>
      <c r="G117" s="185"/>
      <c r="H117" s="185"/>
      <c r="I117" s="185"/>
      <c r="J117" s="185"/>
      <c r="K117" s="185"/>
      <c r="L117" s="185"/>
      <c r="M117" s="185"/>
      <c r="N117" s="185"/>
      <c r="O117" s="186"/>
      <c r="Q117" s="1"/>
    </row>
    <row r="118" spans="2:17" ht="15" customHeight="1">
      <c r="B118" s="107" t="s">
        <v>354</v>
      </c>
      <c r="C118" s="109"/>
      <c r="D118" s="185"/>
      <c r="E118" s="185"/>
      <c r="F118" s="185"/>
      <c r="G118" s="185"/>
      <c r="H118" s="185"/>
      <c r="I118" s="185"/>
      <c r="J118" s="185"/>
      <c r="K118" s="185"/>
      <c r="L118" s="185"/>
      <c r="M118" s="185"/>
      <c r="N118" s="185"/>
      <c r="O118" s="186"/>
      <c r="Q118" s="1"/>
    </row>
    <row r="119" spans="2:17" ht="15" customHeight="1">
      <c r="B119" s="107" t="s">
        <v>355</v>
      </c>
      <c r="C119" s="109"/>
      <c r="D119" s="185"/>
      <c r="E119" s="185"/>
      <c r="F119" s="185"/>
      <c r="G119" s="185"/>
      <c r="H119" s="185"/>
      <c r="I119" s="185"/>
      <c r="J119" s="185"/>
      <c r="K119" s="185"/>
      <c r="L119" s="185"/>
      <c r="M119" s="185"/>
      <c r="N119" s="185"/>
      <c r="O119" s="186"/>
      <c r="Q119" s="1"/>
    </row>
    <row r="120" spans="2:17" ht="15" customHeight="1">
      <c r="B120" s="107" t="s">
        <v>356</v>
      </c>
      <c r="C120" s="109"/>
      <c r="D120" s="185"/>
      <c r="E120" s="185"/>
      <c r="F120" s="185"/>
      <c r="G120" s="185"/>
      <c r="H120" s="185"/>
      <c r="I120" s="185"/>
      <c r="J120" s="185"/>
      <c r="K120" s="185"/>
      <c r="L120" s="185"/>
      <c r="M120" s="185"/>
      <c r="N120" s="185"/>
      <c r="O120" s="186"/>
      <c r="Q120" s="1"/>
    </row>
    <row r="121" spans="2:17" ht="15" customHeight="1">
      <c r="B121" s="107" t="s">
        <v>357</v>
      </c>
      <c r="C121" s="109"/>
      <c r="D121" s="185"/>
      <c r="E121" s="185"/>
      <c r="F121" s="185"/>
      <c r="G121" s="185"/>
      <c r="H121" s="185"/>
      <c r="I121" s="185"/>
      <c r="J121" s="185"/>
      <c r="K121" s="185"/>
      <c r="L121" s="185"/>
      <c r="M121" s="185"/>
      <c r="N121" s="185"/>
      <c r="O121" s="186"/>
    </row>
    <row r="122" spans="2:17" ht="15" customHeight="1">
      <c r="B122" s="107" t="s">
        <v>366</v>
      </c>
      <c r="C122" s="109"/>
      <c r="D122" s="185"/>
      <c r="E122" s="185"/>
      <c r="F122" s="185"/>
      <c r="G122" s="185"/>
      <c r="H122" s="185"/>
      <c r="I122" s="185"/>
      <c r="J122" s="185"/>
      <c r="K122" s="185"/>
      <c r="L122" s="185"/>
      <c r="M122" s="185"/>
      <c r="N122" s="185"/>
      <c r="O122" s="186"/>
    </row>
    <row r="123" spans="2:17" ht="15" customHeight="1">
      <c r="B123" s="107" t="s">
        <v>358</v>
      </c>
      <c r="C123" s="109"/>
      <c r="D123" s="185"/>
      <c r="E123" s="185"/>
      <c r="F123" s="185"/>
      <c r="G123" s="185"/>
      <c r="H123" s="185"/>
      <c r="I123" s="185"/>
      <c r="J123" s="185"/>
      <c r="K123" s="185"/>
      <c r="L123" s="185"/>
      <c r="M123" s="185"/>
      <c r="N123" s="185"/>
      <c r="O123" s="186"/>
    </row>
    <row r="124" spans="2:17" ht="15" customHeight="1">
      <c r="B124" s="187" t="s">
        <v>367</v>
      </c>
      <c r="C124" s="109"/>
      <c r="D124" s="185"/>
      <c r="E124" s="185"/>
      <c r="F124" s="185"/>
      <c r="G124" s="185"/>
      <c r="H124" s="185"/>
      <c r="I124" s="185"/>
      <c r="J124" s="185"/>
      <c r="K124" s="185"/>
      <c r="L124" s="185"/>
      <c r="M124" s="185"/>
      <c r="N124" s="185"/>
      <c r="O124" s="186"/>
    </row>
    <row r="125" spans="2:17" ht="15" customHeight="1">
      <c r="B125" s="187" t="s">
        <v>368</v>
      </c>
      <c r="C125" s="109"/>
      <c r="D125" s="185"/>
      <c r="E125" s="185"/>
      <c r="F125" s="185"/>
      <c r="G125" s="185"/>
      <c r="H125" s="185"/>
      <c r="I125" s="185"/>
      <c r="J125" s="185"/>
      <c r="K125" s="185"/>
      <c r="L125" s="185"/>
      <c r="M125" s="185"/>
      <c r="N125" s="185"/>
      <c r="O125" s="186"/>
    </row>
    <row r="126" spans="2:17" ht="15" customHeight="1">
      <c r="B126" s="187" t="s">
        <v>359</v>
      </c>
      <c r="C126" s="109"/>
      <c r="D126" s="185"/>
      <c r="E126" s="185"/>
      <c r="F126" s="185"/>
      <c r="G126" s="185"/>
      <c r="H126" s="185"/>
      <c r="I126" s="185"/>
      <c r="J126" s="185"/>
      <c r="K126" s="185"/>
      <c r="L126" s="185"/>
      <c r="M126" s="185"/>
      <c r="N126" s="185"/>
      <c r="O126" s="186"/>
    </row>
    <row r="127" spans="2:17" ht="15" customHeight="1">
      <c r="B127" s="187" t="s">
        <v>369</v>
      </c>
      <c r="C127" s="109"/>
      <c r="D127" s="185"/>
      <c r="E127" s="185"/>
      <c r="F127" s="185"/>
      <c r="G127" s="185"/>
      <c r="H127" s="185"/>
      <c r="I127" s="185"/>
      <c r="J127" s="185"/>
      <c r="K127" s="185"/>
      <c r="L127" s="185"/>
      <c r="M127" s="185"/>
      <c r="N127" s="185"/>
      <c r="O127" s="186"/>
    </row>
    <row r="128" spans="2:17" ht="15" customHeight="1">
      <c r="B128" s="187" t="s">
        <v>360</v>
      </c>
      <c r="C128" s="109"/>
      <c r="D128" s="185"/>
      <c r="E128" s="185"/>
      <c r="F128" s="185"/>
      <c r="G128" s="185"/>
      <c r="H128" s="185"/>
      <c r="I128" s="185"/>
      <c r="J128" s="185"/>
      <c r="K128" s="185"/>
      <c r="L128" s="185"/>
      <c r="M128" s="185"/>
      <c r="N128" s="185"/>
      <c r="O128" s="186"/>
    </row>
    <row r="129" spans="2:36" ht="15" customHeight="1">
      <c r="B129" s="187" t="s">
        <v>361</v>
      </c>
      <c r="C129" s="109"/>
      <c r="D129" s="185"/>
      <c r="E129" s="185"/>
      <c r="F129" s="185"/>
      <c r="G129" s="185"/>
      <c r="H129" s="185"/>
      <c r="I129" s="185"/>
      <c r="J129" s="185"/>
      <c r="K129" s="185"/>
      <c r="L129" s="185"/>
      <c r="M129" s="185"/>
      <c r="N129" s="185"/>
      <c r="O129" s="186"/>
    </row>
    <row r="130" spans="2:36" ht="15" customHeight="1" thickBot="1">
      <c r="B130" s="188" t="s">
        <v>168</v>
      </c>
      <c r="C130" s="109"/>
      <c r="D130" s="189"/>
      <c r="E130" s="189"/>
      <c r="F130" s="189"/>
      <c r="G130" s="189"/>
      <c r="H130" s="189"/>
      <c r="I130" s="189"/>
      <c r="J130" s="189"/>
      <c r="K130" s="189"/>
      <c r="L130" s="189"/>
      <c r="M130" s="189"/>
      <c r="N130" s="189"/>
      <c r="O130" s="190"/>
      <c r="AE130" t="s">
        <v>80</v>
      </c>
      <c r="AF130" t="s">
        <v>370</v>
      </c>
      <c r="AG130" t="s">
        <v>36</v>
      </c>
      <c r="AH130" t="s">
        <v>371</v>
      </c>
      <c r="AI130" t="s">
        <v>372</v>
      </c>
      <c r="AJ130" t="s">
        <v>373</v>
      </c>
    </row>
    <row r="131" spans="2:36" ht="15" customHeight="1">
      <c r="AE131" s="191">
        <v>46023</v>
      </c>
      <c r="AF131" s="8">
        <v>394589.57981281122</v>
      </c>
      <c r="AG131" s="8">
        <v>141564</v>
      </c>
      <c r="AH131" s="8">
        <v>10429.856199999975</v>
      </c>
      <c r="AI131" s="8">
        <v>1500000</v>
      </c>
      <c r="AJ131" s="8">
        <v>554172.5</v>
      </c>
    </row>
    <row r="132" spans="2:36" ht="15" customHeight="1">
      <c r="C132" t="s">
        <v>374</v>
      </c>
      <c r="AE132" s="191">
        <v>46054</v>
      </c>
      <c r="AF132" s="8">
        <v>584432.57385930186</v>
      </c>
      <c r="AG132" s="8">
        <v>168083.59999999998</v>
      </c>
      <c r="AH132" s="8">
        <v>-21129.249400000328</v>
      </c>
      <c r="AI132" s="8">
        <v>1500000</v>
      </c>
      <c r="AJ132" s="8">
        <v>696514</v>
      </c>
    </row>
    <row r="133" spans="2:36" ht="15" customHeight="1">
      <c r="B133" s="102">
        <v>44562</v>
      </c>
      <c r="C133" s="103">
        <v>554172.5</v>
      </c>
      <c r="D133" s="103">
        <v>10429.856199999975</v>
      </c>
      <c r="E133" s="108">
        <v>394589.57981281122</v>
      </c>
      <c r="F133" s="108">
        <v>-141564</v>
      </c>
      <c r="G133" s="1">
        <v>1500000</v>
      </c>
      <c r="H133" s="1"/>
      <c r="O133" s="81"/>
      <c r="AE133" s="191">
        <v>46082</v>
      </c>
      <c r="AF133" s="8">
        <v>443715.90031863895</v>
      </c>
      <c r="AG133" s="8">
        <v>149703.29999999999</v>
      </c>
      <c r="AH133" s="8">
        <v>37413.455179999692</v>
      </c>
      <c r="AI133" s="8">
        <v>1500000</v>
      </c>
      <c r="AJ133" s="8">
        <v>706884.55</v>
      </c>
    </row>
    <row r="134" spans="2:36" ht="15" customHeight="1">
      <c r="B134" s="102">
        <v>44594</v>
      </c>
      <c r="C134" s="103">
        <v>696514</v>
      </c>
      <c r="D134" s="103">
        <v>-21129.249400000328</v>
      </c>
      <c r="E134" s="108">
        <v>584432.57385930186</v>
      </c>
      <c r="F134" s="108">
        <v>-168083.59999999998</v>
      </c>
      <c r="G134" s="1">
        <v>1500000</v>
      </c>
      <c r="H134" s="1"/>
      <c r="O134" s="81"/>
      <c r="AE134" s="191">
        <v>46113</v>
      </c>
      <c r="AF134" s="8">
        <v>340379.58404340519</v>
      </c>
      <c r="AG134" s="8">
        <v>160227.29999999999</v>
      </c>
      <c r="AH134" s="8">
        <v>170653.70228000029</v>
      </c>
      <c r="AI134" s="8">
        <v>1500000</v>
      </c>
      <c r="AJ134" s="8">
        <v>860127</v>
      </c>
    </row>
    <row r="135" spans="2:36" ht="15" customHeight="1">
      <c r="B135" s="102">
        <v>44621</v>
      </c>
      <c r="C135" s="103">
        <v>46055</v>
      </c>
      <c r="D135" s="103">
        <v>12834.326900000415</v>
      </c>
      <c r="E135" s="108">
        <v>112081.42614069814</v>
      </c>
      <c r="F135" s="108">
        <v>-149703.29999999999</v>
      </c>
      <c r="G135" s="1">
        <v>1500000</v>
      </c>
      <c r="H135" s="1">
        <v>203187.245</v>
      </c>
      <c r="O135" s="81"/>
      <c r="AE135" s="191">
        <v>46143</v>
      </c>
      <c r="AF135" s="8">
        <v>257898.70451301534</v>
      </c>
      <c r="AG135" s="8">
        <v>150531.29999999999</v>
      </c>
      <c r="AH135" s="8">
        <v>330615.12150000001</v>
      </c>
      <c r="AI135" s="8">
        <v>1500000</v>
      </c>
      <c r="AJ135" s="8">
        <v>973933</v>
      </c>
    </row>
    <row r="136" spans="2:36" ht="15" customHeight="1">
      <c r="B136" s="102">
        <v>44653</v>
      </c>
      <c r="C136" s="103" t="s">
        <v>305</v>
      </c>
      <c r="D136" s="103">
        <v>-8294.9224999999133</v>
      </c>
      <c r="E136" s="108" t="e">
        <v>#REF!</v>
      </c>
      <c r="F136" s="108">
        <v>-160227.29999999999</v>
      </c>
      <c r="G136" s="1">
        <v>1500000</v>
      </c>
      <c r="H136" s="1">
        <v>306367</v>
      </c>
      <c r="O136" s="81"/>
      <c r="AE136" s="191">
        <v>46174</v>
      </c>
      <c r="AF136" s="8">
        <v>338563.05066590349</v>
      </c>
      <c r="AG136" s="8">
        <v>157646.29999999999</v>
      </c>
      <c r="AH136" s="8">
        <v>227254.4588000004</v>
      </c>
      <c r="AI136" s="8">
        <v>1500000</v>
      </c>
      <c r="AJ136" s="8">
        <v>1011665</v>
      </c>
    </row>
    <row r="137" spans="2:36" ht="15" customHeight="1">
      <c r="B137" s="102">
        <v>44683</v>
      </c>
      <c r="C137" s="103">
        <v>75000</v>
      </c>
      <c r="D137" s="103">
        <v>0</v>
      </c>
      <c r="E137" s="108" t="e">
        <v>#REF!</v>
      </c>
      <c r="F137" s="108">
        <v>-150531.29999999999</v>
      </c>
      <c r="G137" s="1">
        <v>1500000</v>
      </c>
      <c r="H137" s="1">
        <v>891933.5</v>
      </c>
      <c r="AE137" s="191">
        <v>46204</v>
      </c>
      <c r="AF137" s="8">
        <v>495349.3683713724</v>
      </c>
      <c r="AG137" s="8">
        <v>152727.32999999999</v>
      </c>
      <c r="AH137" s="8">
        <v>44254.189060000484</v>
      </c>
      <c r="AI137" s="8">
        <v>1500000</v>
      </c>
      <c r="AJ137" s="8">
        <v>855759</v>
      </c>
    </row>
    <row r="138" spans="2:36" ht="15" customHeight="1">
      <c r="B138" s="102">
        <v>44714</v>
      </c>
      <c r="C138" s="103">
        <v>1011665</v>
      </c>
      <c r="D138" s="103">
        <v>0.28760135474663834</v>
      </c>
      <c r="E138" s="108" t="e">
        <v>#REF!</v>
      </c>
      <c r="F138" s="108">
        <v>-157646.29999999999</v>
      </c>
      <c r="G138" s="1">
        <v>1500000</v>
      </c>
      <c r="H138" s="1">
        <v>854495.47058823495</v>
      </c>
      <c r="AE138" s="191">
        <v>46235</v>
      </c>
      <c r="AF138" s="8">
        <v>488724.93580228573</v>
      </c>
      <c r="AG138" s="8">
        <v>142974.29999999999</v>
      </c>
      <c r="AH138" s="8">
        <v>-14167.59504000002</v>
      </c>
      <c r="AI138" s="8">
        <v>1500000</v>
      </c>
      <c r="AJ138" s="8">
        <v>554620.5</v>
      </c>
    </row>
    <row r="139" spans="2:36" ht="15" customHeight="1">
      <c r="B139" s="102">
        <v>44744</v>
      </c>
      <c r="C139" s="103">
        <v>855759</v>
      </c>
      <c r="D139" s="103">
        <v>584432.57385930186</v>
      </c>
      <c r="E139" s="108" t="e">
        <v>#REF!</v>
      </c>
      <c r="F139" s="108">
        <v>-152727.32999999999</v>
      </c>
      <c r="G139" s="1">
        <v>1500000</v>
      </c>
      <c r="H139" s="1">
        <v>930910</v>
      </c>
      <c r="AE139" s="191">
        <v>46266</v>
      </c>
      <c r="AF139" s="8">
        <v>453569.40068587015</v>
      </c>
      <c r="AG139" s="8">
        <v>157705.29999999999</v>
      </c>
      <c r="AH139" s="8">
        <v>11704.044800000051</v>
      </c>
      <c r="AI139" s="8">
        <v>1500000</v>
      </c>
      <c r="AJ139" s="8">
        <v>650755.5</v>
      </c>
    </row>
    <row r="140" spans="2:36" ht="15" customHeight="1">
      <c r="B140" s="102">
        <v>44775</v>
      </c>
      <c r="C140" s="103">
        <v>554620.5</v>
      </c>
      <c r="D140" s="103">
        <v>112081.42614069814</v>
      </c>
      <c r="E140" s="108">
        <v>0</v>
      </c>
      <c r="F140" s="108">
        <v>-142974.29999999999</v>
      </c>
      <c r="G140" s="1">
        <v>1500000</v>
      </c>
      <c r="H140" s="1">
        <v>855021</v>
      </c>
      <c r="AE140" s="191">
        <v>46296</v>
      </c>
      <c r="AF140" s="8">
        <v>561550.02208850253</v>
      </c>
      <c r="AG140" s="8">
        <v>0</v>
      </c>
      <c r="AH140" s="8">
        <v>7873.3849999999984</v>
      </c>
      <c r="AI140" s="8">
        <v>1500000</v>
      </c>
      <c r="AJ140" s="8">
        <v>34615</v>
      </c>
    </row>
    <row r="141" spans="2:36" ht="15" customHeight="1">
      <c r="B141" s="102">
        <v>44806</v>
      </c>
      <c r="C141" s="103">
        <v>46236</v>
      </c>
      <c r="D141" s="103" t="e">
        <v>#REF!</v>
      </c>
      <c r="E141" s="108">
        <v>-8294.9224999999133</v>
      </c>
      <c r="F141" s="108">
        <v>-157705.29999999999</v>
      </c>
      <c r="G141" s="1">
        <v>1500000</v>
      </c>
      <c r="H141" s="1">
        <v>1117506</v>
      </c>
      <c r="AE141" s="191">
        <v>46327</v>
      </c>
      <c r="AF141" s="8">
        <v>561550.02208850253</v>
      </c>
      <c r="AG141" s="8">
        <v>0</v>
      </c>
      <c r="AH141" s="8">
        <v>0</v>
      </c>
      <c r="AI141" s="8">
        <v>1500000</v>
      </c>
      <c r="AJ141" s="8">
        <v>0</v>
      </c>
    </row>
    <row r="142" spans="2:36" ht="15" customHeight="1">
      <c r="B142" s="102">
        <v>44836</v>
      </c>
      <c r="C142" s="103" t="s">
        <v>305</v>
      </c>
      <c r="D142" s="103" t="e">
        <v>#REF!</v>
      </c>
      <c r="E142" s="108">
        <v>0</v>
      </c>
      <c r="F142" s="108">
        <v>0</v>
      </c>
      <c r="G142" s="1">
        <v>1500000</v>
      </c>
      <c r="H142" s="1">
        <v>1157835.58333333</v>
      </c>
      <c r="AE142" s="191">
        <v>46357</v>
      </c>
      <c r="AF142" s="8">
        <v>561550.02208850253</v>
      </c>
      <c r="AG142" s="8">
        <v>0</v>
      </c>
      <c r="AH142" s="8">
        <v>0</v>
      </c>
      <c r="AI142" s="8">
        <v>1500000</v>
      </c>
      <c r="AJ142" s="8">
        <v>0</v>
      </c>
    </row>
    <row r="143" spans="2:36" ht="15" customHeight="1">
      <c r="B143" s="102">
        <v>44867</v>
      </c>
      <c r="C143" s="103">
        <v>75000</v>
      </c>
      <c r="D143" s="103" t="e">
        <v>#REF!</v>
      </c>
      <c r="E143" s="108">
        <v>0</v>
      </c>
      <c r="F143" s="108">
        <v>0</v>
      </c>
      <c r="G143" s="1">
        <v>1500000</v>
      </c>
      <c r="H143" s="1">
        <v>2559618.94</v>
      </c>
    </row>
    <row r="144" spans="2:36" ht="15" customHeight="1">
      <c r="B144" s="102">
        <v>44897</v>
      </c>
      <c r="C144" s="103">
        <v>23680</v>
      </c>
      <c r="D144" s="103" t="e">
        <v>#REF!</v>
      </c>
      <c r="E144" s="108">
        <v>0</v>
      </c>
      <c r="F144" s="108">
        <v>0</v>
      </c>
      <c r="G144" s="1">
        <v>1500000</v>
      </c>
      <c r="H144" s="1">
        <v>795450</v>
      </c>
    </row>
    <row r="162" spans="2:8" ht="15" customHeight="1">
      <c r="B162" s="192">
        <v>2022</v>
      </c>
      <c r="C162" t="s">
        <v>374</v>
      </c>
    </row>
    <row r="163" spans="2:8" ht="15" customHeight="1">
      <c r="B163" s="102">
        <v>44562</v>
      </c>
      <c r="C163" s="103">
        <v>1727500</v>
      </c>
      <c r="D163" s="103">
        <v>71210.647232017305</v>
      </c>
      <c r="E163" s="108">
        <v>702283.265447882</v>
      </c>
      <c r="F163" s="108">
        <v>-89280</v>
      </c>
      <c r="G163" s="1">
        <v>1100000</v>
      </c>
    </row>
    <row r="164" spans="2:8" ht="15" customHeight="1">
      <c r="B164" s="102">
        <v>44594</v>
      </c>
      <c r="C164" s="103">
        <v>727733.33333333302</v>
      </c>
      <c r="D164" s="103">
        <v>21900.217917354399</v>
      </c>
      <c r="E164" s="108">
        <v>476175.613054335</v>
      </c>
      <c r="F164" s="108">
        <v>-87193</v>
      </c>
      <c r="G164" s="1">
        <v>1100000</v>
      </c>
    </row>
    <row r="165" spans="2:8" ht="15" customHeight="1">
      <c r="B165" s="102">
        <v>44621</v>
      </c>
      <c r="C165" s="103">
        <v>1882106.42857143</v>
      </c>
      <c r="D165" s="103">
        <v>127524.48018941699</v>
      </c>
      <c r="E165" s="108">
        <v>740814.44192414195</v>
      </c>
      <c r="F165" s="108">
        <v>-122746.46</v>
      </c>
      <c r="G165" s="1">
        <v>1100000</v>
      </c>
      <c r="H165">
        <v>203187.245</v>
      </c>
    </row>
    <row r="166" spans="2:8" ht="15" customHeight="1">
      <c r="B166" s="102">
        <v>44653</v>
      </c>
      <c r="C166" s="103">
        <v>1314482.8400000001</v>
      </c>
      <c r="D166" s="103">
        <v>53708.650636666702</v>
      </c>
      <c r="E166" s="108">
        <v>791130.90905670903</v>
      </c>
      <c r="F166" s="108">
        <v>-147394</v>
      </c>
      <c r="G166" s="1">
        <v>1100000</v>
      </c>
      <c r="H166">
        <v>306367</v>
      </c>
    </row>
    <row r="167" spans="2:8" ht="15" customHeight="1">
      <c r="B167" s="102">
        <v>44683</v>
      </c>
      <c r="C167" s="103">
        <v>1117224.5</v>
      </c>
      <c r="D167" s="103">
        <v>85185.920325500003</v>
      </c>
      <c r="E167" s="108">
        <v>525121.403287475</v>
      </c>
      <c r="F167" s="108">
        <v>-108781.47</v>
      </c>
      <c r="G167" s="1">
        <v>1100000</v>
      </c>
      <c r="H167">
        <v>891933.5</v>
      </c>
    </row>
    <row r="168" spans="2:8" ht="15" customHeight="1">
      <c r="B168" s="102">
        <v>44714</v>
      </c>
      <c r="C168" s="103">
        <v>1075652.5</v>
      </c>
      <c r="D168" s="103">
        <v>71462.381136416807</v>
      </c>
      <c r="E168" s="108">
        <v>562626.16887853004</v>
      </c>
      <c r="F168" s="108">
        <v>-117722.53</v>
      </c>
      <c r="G168" s="1">
        <v>1100000</v>
      </c>
      <c r="H168">
        <v>854495.47058823495</v>
      </c>
    </row>
    <row r="169" spans="2:8" ht="15" customHeight="1">
      <c r="B169" s="102">
        <v>44744</v>
      </c>
      <c r="C169" s="103">
        <v>823654.38</v>
      </c>
      <c r="D169" s="103">
        <v>28307.214515899999</v>
      </c>
      <c r="E169" s="108">
        <v>575077.79271697404</v>
      </c>
      <c r="F169" s="108">
        <v>-127748</v>
      </c>
      <c r="G169" s="1">
        <v>1100000</v>
      </c>
      <c r="H169">
        <v>930910</v>
      </c>
    </row>
    <row r="170" spans="2:8" ht="15" customHeight="1">
      <c r="B170" s="102">
        <v>44775</v>
      </c>
      <c r="C170" s="103">
        <v>1498543</v>
      </c>
      <c r="D170" s="103">
        <v>142606.56243250001</v>
      </c>
      <c r="E170" s="108">
        <v>697545.11269944999</v>
      </c>
      <c r="F170" s="108">
        <v>-144140.07</v>
      </c>
      <c r="G170" s="1">
        <v>1100000</v>
      </c>
      <c r="H170">
        <v>855021</v>
      </c>
    </row>
    <row r="171" spans="2:8" ht="15" customHeight="1">
      <c r="B171" s="102">
        <v>44806</v>
      </c>
      <c r="C171" s="103">
        <v>1062191.3</v>
      </c>
      <c r="D171" s="103">
        <v>107231.00878775</v>
      </c>
      <c r="E171" s="108">
        <v>557512.00488437095</v>
      </c>
      <c r="F171" s="108">
        <v>-137275</v>
      </c>
      <c r="G171" s="1">
        <v>1100000</v>
      </c>
      <c r="H171">
        <v>1117506</v>
      </c>
    </row>
    <row r="172" spans="2:8" ht="15" customHeight="1">
      <c r="B172" s="102">
        <v>44836</v>
      </c>
      <c r="C172" s="103">
        <v>1168910.1000000001</v>
      </c>
      <c r="D172" s="103">
        <v>80507.842796250101</v>
      </c>
      <c r="E172" s="108">
        <v>656819.58978346596</v>
      </c>
      <c r="F172" s="108">
        <v>-125565</v>
      </c>
      <c r="G172" s="1">
        <v>1100000</v>
      </c>
      <c r="H172">
        <v>1157835.58333333</v>
      </c>
    </row>
    <row r="173" spans="2:8" ht="15" customHeight="1">
      <c r="B173" s="102">
        <v>44867</v>
      </c>
      <c r="C173" s="103">
        <v>1147040.5</v>
      </c>
      <c r="D173" s="103">
        <v>47412.89771225</v>
      </c>
      <c r="E173" s="108">
        <v>762602.83490240294</v>
      </c>
      <c r="F173" s="108">
        <v>-128516.92</v>
      </c>
      <c r="G173" s="1">
        <v>1100000</v>
      </c>
      <c r="H173">
        <v>2559618.94</v>
      </c>
    </row>
    <row r="174" spans="2:8" ht="15" customHeight="1">
      <c r="B174" s="102">
        <v>44897</v>
      </c>
      <c r="C174" s="103">
        <v>980317</v>
      </c>
      <c r="D174" s="103">
        <v>38571.953214000001</v>
      </c>
      <c r="E174" s="108">
        <v>707164.02537737798</v>
      </c>
      <c r="F174" s="108">
        <v>-20282.402963999899</v>
      </c>
      <c r="G174" s="1">
        <v>1100000</v>
      </c>
      <c r="H174">
        <v>795450</v>
      </c>
    </row>
  </sheetData>
  <mergeCells count="217">
    <mergeCell ref="B69:D69"/>
    <mergeCell ref="B89:B90"/>
    <mergeCell ref="C110:C111"/>
    <mergeCell ref="P52:Q52"/>
    <mergeCell ref="R52:S52"/>
    <mergeCell ref="T52:U52"/>
    <mergeCell ref="V52:W52"/>
    <mergeCell ref="X52:Y52"/>
    <mergeCell ref="Z52:AA52"/>
    <mergeCell ref="D52:E52"/>
    <mergeCell ref="F52:G52"/>
    <mergeCell ref="H52:I52"/>
    <mergeCell ref="J52:K52"/>
    <mergeCell ref="L52:M52"/>
    <mergeCell ref="N52:O52"/>
    <mergeCell ref="P51:Q51"/>
    <mergeCell ref="R51:S51"/>
    <mergeCell ref="T51:U51"/>
    <mergeCell ref="V51:W51"/>
    <mergeCell ref="X51:Y51"/>
    <mergeCell ref="Z51:AA51"/>
    <mergeCell ref="D51:E51"/>
    <mergeCell ref="F51:G51"/>
    <mergeCell ref="H51:I51"/>
    <mergeCell ref="J51:K51"/>
    <mergeCell ref="L51:M51"/>
    <mergeCell ref="N51:O51"/>
    <mergeCell ref="P50:Q50"/>
    <mergeCell ref="R50:S50"/>
    <mergeCell ref="T50:U50"/>
    <mergeCell ref="V50:W50"/>
    <mergeCell ref="X50:Y50"/>
    <mergeCell ref="Z50:AA50"/>
    <mergeCell ref="D50:E50"/>
    <mergeCell ref="F50:G50"/>
    <mergeCell ref="H50:I50"/>
    <mergeCell ref="J50:K50"/>
    <mergeCell ref="L50:M50"/>
    <mergeCell ref="N50:O50"/>
    <mergeCell ref="P49:Q49"/>
    <mergeCell ref="R49:S49"/>
    <mergeCell ref="T49:U49"/>
    <mergeCell ref="V49:W49"/>
    <mergeCell ref="X49:Y49"/>
    <mergeCell ref="Z49:AA49"/>
    <mergeCell ref="D49:E49"/>
    <mergeCell ref="F49:G49"/>
    <mergeCell ref="H49:I49"/>
    <mergeCell ref="J49:K49"/>
    <mergeCell ref="L49:M49"/>
    <mergeCell ref="N49:O49"/>
    <mergeCell ref="P48:Q48"/>
    <mergeCell ref="R48:S48"/>
    <mergeCell ref="T48:U48"/>
    <mergeCell ref="V48:W48"/>
    <mergeCell ref="X48:Y48"/>
    <mergeCell ref="Z48:AA48"/>
    <mergeCell ref="D48:E48"/>
    <mergeCell ref="F48:G48"/>
    <mergeCell ref="H48:I48"/>
    <mergeCell ref="J48:K48"/>
    <mergeCell ref="L48:M48"/>
    <mergeCell ref="N48:O48"/>
    <mergeCell ref="P47:Q47"/>
    <mergeCell ref="R47:S47"/>
    <mergeCell ref="T47:U47"/>
    <mergeCell ref="V47:W47"/>
    <mergeCell ref="X47:Y47"/>
    <mergeCell ref="Z47:AA47"/>
    <mergeCell ref="D47:E47"/>
    <mergeCell ref="F47:G47"/>
    <mergeCell ref="H47:I47"/>
    <mergeCell ref="J47:K47"/>
    <mergeCell ref="L47:M47"/>
    <mergeCell ref="N47:O47"/>
    <mergeCell ref="P46:Q46"/>
    <mergeCell ref="R46:S46"/>
    <mergeCell ref="T46:U46"/>
    <mergeCell ref="V46:W46"/>
    <mergeCell ref="X46:Y46"/>
    <mergeCell ref="Z46:AA46"/>
    <mergeCell ref="D46:E46"/>
    <mergeCell ref="F46:G46"/>
    <mergeCell ref="H46:I46"/>
    <mergeCell ref="J46:K46"/>
    <mergeCell ref="L46:M46"/>
    <mergeCell ref="N46:O46"/>
    <mergeCell ref="P45:Q45"/>
    <mergeCell ref="R45:S45"/>
    <mergeCell ref="T45:U45"/>
    <mergeCell ref="V45:W45"/>
    <mergeCell ref="X45:Y45"/>
    <mergeCell ref="Z45:AA45"/>
    <mergeCell ref="D45:E45"/>
    <mergeCell ref="F45:G45"/>
    <mergeCell ref="H45:I45"/>
    <mergeCell ref="J45:K45"/>
    <mergeCell ref="L45:M45"/>
    <mergeCell ref="N45:O45"/>
    <mergeCell ref="P44:Q44"/>
    <mergeCell ref="R44:S44"/>
    <mergeCell ref="T44:U44"/>
    <mergeCell ref="V44:W44"/>
    <mergeCell ref="X44:Y44"/>
    <mergeCell ref="Z44:AA44"/>
    <mergeCell ref="D44:E44"/>
    <mergeCell ref="F44:G44"/>
    <mergeCell ref="H44:I44"/>
    <mergeCell ref="J44:K44"/>
    <mergeCell ref="L44:M44"/>
    <mergeCell ref="N44:O44"/>
    <mergeCell ref="P43:Q43"/>
    <mergeCell ref="R43:S43"/>
    <mergeCell ref="T43:U43"/>
    <mergeCell ref="V43:W43"/>
    <mergeCell ref="X43:Y43"/>
    <mergeCell ref="Z43:AA43"/>
    <mergeCell ref="D43:E43"/>
    <mergeCell ref="F43:G43"/>
    <mergeCell ref="H43:I43"/>
    <mergeCell ref="J43:K43"/>
    <mergeCell ref="L43:M43"/>
    <mergeCell ref="N43:O43"/>
    <mergeCell ref="P42:Q42"/>
    <mergeCell ref="R42:S42"/>
    <mergeCell ref="T42:U42"/>
    <mergeCell ref="V42:W42"/>
    <mergeCell ref="X42:Y42"/>
    <mergeCell ref="Z42:AA42"/>
    <mergeCell ref="D42:E42"/>
    <mergeCell ref="F42:G42"/>
    <mergeCell ref="H42:I42"/>
    <mergeCell ref="J42:K42"/>
    <mergeCell ref="L42:M42"/>
    <mergeCell ref="N42:O42"/>
    <mergeCell ref="P41:Q41"/>
    <mergeCell ref="R41:S41"/>
    <mergeCell ref="T41:U41"/>
    <mergeCell ref="V41:W41"/>
    <mergeCell ref="X41:Y41"/>
    <mergeCell ref="Z41:AA41"/>
    <mergeCell ref="D41:E41"/>
    <mergeCell ref="F41:G41"/>
    <mergeCell ref="H41:I41"/>
    <mergeCell ref="J41:K41"/>
    <mergeCell ref="L41:M41"/>
    <mergeCell ref="N41:O41"/>
    <mergeCell ref="P40:Q40"/>
    <mergeCell ref="R40:S40"/>
    <mergeCell ref="T40:U40"/>
    <mergeCell ref="V40:W40"/>
    <mergeCell ref="X40:Y40"/>
    <mergeCell ref="Z40:AA40"/>
    <mergeCell ref="T39:U39"/>
    <mergeCell ref="V39:W39"/>
    <mergeCell ref="X39:Y39"/>
    <mergeCell ref="Z39:AA39"/>
    <mergeCell ref="D40:E40"/>
    <mergeCell ref="F40:G40"/>
    <mergeCell ref="H40:I40"/>
    <mergeCell ref="J40:K40"/>
    <mergeCell ref="L40:M40"/>
    <mergeCell ref="N40:O40"/>
    <mergeCell ref="AB5:AB6"/>
    <mergeCell ref="B6:C6"/>
    <mergeCell ref="D39:E39"/>
    <mergeCell ref="F39:G39"/>
    <mergeCell ref="H39:I39"/>
    <mergeCell ref="J39:K39"/>
    <mergeCell ref="L39:M39"/>
    <mergeCell ref="N39:O39"/>
    <mergeCell ref="P39:Q39"/>
    <mergeCell ref="R39:S39"/>
    <mergeCell ref="P4:Q4"/>
    <mergeCell ref="R4:S4"/>
    <mergeCell ref="T4:U4"/>
    <mergeCell ref="V4:W4"/>
    <mergeCell ref="X4:Y4"/>
    <mergeCell ref="Z4:AA4"/>
    <mergeCell ref="AC3:AC6"/>
    <mergeCell ref="AD3:AD6"/>
    <mergeCell ref="B4:B5"/>
    <mergeCell ref="C4:C5"/>
    <mergeCell ref="D4:E4"/>
    <mergeCell ref="F4:G4"/>
    <mergeCell ref="H4:I4"/>
    <mergeCell ref="J4:K4"/>
    <mergeCell ref="L4:M4"/>
    <mergeCell ref="N4:O4"/>
    <mergeCell ref="R3:S3"/>
    <mergeCell ref="T3:U3"/>
    <mergeCell ref="V3:W3"/>
    <mergeCell ref="X3:Y3"/>
    <mergeCell ref="Z3:AA3"/>
    <mergeCell ref="AB3:AB4"/>
    <mergeCell ref="Z2:AA2"/>
    <mergeCell ref="AB2:AC2"/>
    <mergeCell ref="B3:C3"/>
    <mergeCell ref="D3:E3"/>
    <mergeCell ref="F3:G3"/>
    <mergeCell ref="H3:I3"/>
    <mergeCell ref="J3:K3"/>
    <mergeCell ref="L3:M3"/>
    <mergeCell ref="N3:O3"/>
    <mergeCell ref="P3:Q3"/>
    <mergeCell ref="N2:O2"/>
    <mergeCell ref="P2:Q2"/>
    <mergeCell ref="R2:S2"/>
    <mergeCell ref="T2:U2"/>
    <mergeCell ref="V2:W2"/>
    <mergeCell ref="X2:Y2"/>
    <mergeCell ref="B2:C2"/>
    <mergeCell ref="D2:E2"/>
    <mergeCell ref="F2:G2"/>
    <mergeCell ref="H2:I2"/>
    <mergeCell ref="J2:K2"/>
    <mergeCell ref="L2:M2"/>
  </mergeCells>
  <conditionalFormatting sqref="B7:B38">
    <cfRule type="expression" dxfId="35" priority="117">
      <formula>$C7=$C$1</formula>
    </cfRule>
  </conditionalFormatting>
  <conditionalFormatting sqref="B91:O105 Q91:Q105 B112:B129">
    <cfRule type="cellIs" dxfId="34" priority="108" operator="equal">
      <formula>0</formula>
    </cfRule>
  </conditionalFormatting>
  <conditionalFormatting sqref="C7:C37">
    <cfRule type="cellIs" dxfId="33" priority="118" operator="equal">
      <formula>$C$1</formula>
    </cfRule>
  </conditionalFormatting>
  <conditionalFormatting sqref="C91:C105">
    <cfRule type="dataBar" priority="131">
      <dataBar>
        <cfvo type="min"/>
        <cfvo type="max"/>
        <color rgb="FF638EC6"/>
      </dataBar>
      <extLst>
        <ext xmlns:x14="http://schemas.microsoft.com/office/spreadsheetml/2009/9/main" uri="{B025F937-C7B1-47D3-B67F-A62EFF666E3E}">
          <x14:id>{559350DF-F1FE-4F91-B9CD-BF21789030DA}</x14:id>
        </ext>
      </extLst>
    </cfRule>
  </conditionalFormatting>
  <conditionalFormatting sqref="D6">
    <cfRule type="dataBar" priority="114">
      <dataBar>
        <cfvo type="min"/>
        <cfvo type="max"/>
        <color rgb="FF638EC6"/>
      </dataBar>
      <extLst>
        <ext xmlns:x14="http://schemas.microsoft.com/office/spreadsheetml/2009/9/main" uri="{B025F937-C7B1-47D3-B67F-A62EFF666E3E}">
          <x14:id>{F77434C2-B704-4247-AE60-D7BAFB04A905}</x14:id>
        </ext>
      </extLst>
    </cfRule>
  </conditionalFormatting>
  <conditionalFormatting sqref="D6:D37">
    <cfRule type="dataBar" priority="16">
      <dataBar>
        <cfvo type="min"/>
        <cfvo type="max"/>
        <color rgb="FF638EC6"/>
      </dataBar>
      <extLst>
        <ext xmlns:x14="http://schemas.microsoft.com/office/spreadsheetml/2009/9/main" uri="{B025F937-C7B1-47D3-B67F-A62EFF666E3E}">
          <x14:id>{9D91A2F2-6B76-4A39-A3A6-A335186A7AFA}</x14:id>
        </ext>
      </extLst>
    </cfRule>
  </conditionalFormatting>
  <conditionalFormatting sqref="D8">
    <cfRule type="dataBar" priority="61">
      <dataBar>
        <cfvo type="min"/>
        <cfvo type="max"/>
        <color rgb="FF638EC6"/>
      </dataBar>
      <extLst>
        <ext xmlns:x14="http://schemas.microsoft.com/office/spreadsheetml/2009/9/main" uri="{B025F937-C7B1-47D3-B67F-A62EFF666E3E}">
          <x14:id>{6B2A26B3-4571-4E7B-A9D9-C44E40608933}</x14:id>
        </ext>
      </extLst>
    </cfRule>
    <cfRule type="dataBar" priority="62">
      <dataBar>
        <cfvo type="min"/>
        <cfvo type="max"/>
        <color theme="5" tint="0.59999389629810485"/>
      </dataBar>
      <extLst>
        <ext xmlns:x14="http://schemas.microsoft.com/office/spreadsheetml/2009/9/main" uri="{B025F937-C7B1-47D3-B67F-A62EFF666E3E}">
          <x14:id>{876E3B40-95B9-4259-8E61-3571325BDC46}</x14:id>
        </ext>
      </extLst>
    </cfRule>
  </conditionalFormatting>
  <conditionalFormatting sqref="D49:D52 P55:P57 L55:L58 N55:N58">
    <cfRule type="cellIs" dxfId="32" priority="3" operator="lessThan">
      <formula>0</formula>
    </cfRule>
  </conditionalFormatting>
  <conditionalFormatting sqref="D55:D56">
    <cfRule type="cellIs" dxfId="31" priority="127" operator="lessThan">
      <formula>0</formula>
    </cfRule>
  </conditionalFormatting>
  <conditionalFormatting sqref="D58 F58 H58 J58 Y58:Z58">
    <cfRule type="cellIs" dxfId="30" priority="130" operator="lessThan">
      <formula>0</formula>
    </cfRule>
  </conditionalFormatting>
  <conditionalFormatting sqref="D57:J57">
    <cfRule type="cellIs" dxfId="29" priority="129" operator="lessThan">
      <formula>0</formula>
    </cfRule>
  </conditionalFormatting>
  <conditionalFormatting sqref="E6:E37">
    <cfRule type="dataBar" priority="28">
      <dataBar>
        <cfvo type="min"/>
        <cfvo type="max"/>
        <color rgb="FF638EC6"/>
      </dataBar>
      <extLst>
        <ext xmlns:x14="http://schemas.microsoft.com/office/spreadsheetml/2009/9/main" uri="{B025F937-C7B1-47D3-B67F-A62EFF666E3E}">
          <x14:id>{9BAD2BEC-E81F-43B8-A766-ABDEEA4ACA62}</x14:id>
        </ext>
      </extLst>
    </cfRule>
  </conditionalFormatting>
  <conditionalFormatting sqref="E7:E37">
    <cfRule type="dataBar" priority="64">
      <dataBar>
        <cfvo type="min"/>
        <cfvo type="max"/>
        <color rgb="FF638EC6"/>
      </dataBar>
      <extLst>
        <ext xmlns:x14="http://schemas.microsoft.com/office/spreadsheetml/2009/9/main" uri="{B025F937-C7B1-47D3-B67F-A62EFF666E3E}">
          <x14:id>{ECD72229-E0C3-437C-9268-8993EFEE1F1C}</x14:id>
        </ext>
      </extLst>
    </cfRule>
  </conditionalFormatting>
  <conditionalFormatting sqref="E8">
    <cfRule type="dataBar" priority="65">
      <dataBar>
        <cfvo type="min"/>
        <cfvo type="max"/>
        <color rgb="FF638EC6"/>
      </dataBar>
      <extLst>
        <ext xmlns:x14="http://schemas.microsoft.com/office/spreadsheetml/2009/9/main" uri="{B025F937-C7B1-47D3-B67F-A62EFF666E3E}">
          <x14:id>{DFA4A2FD-8E2C-478B-9F38-2C164057988B}</x14:id>
        </ext>
      </extLst>
    </cfRule>
    <cfRule type="dataBar" priority="66">
      <dataBar>
        <cfvo type="min"/>
        <cfvo type="max"/>
        <color theme="5" tint="0.59999389629810485"/>
      </dataBar>
      <extLst>
        <ext xmlns:x14="http://schemas.microsoft.com/office/spreadsheetml/2009/9/main" uri="{B025F937-C7B1-47D3-B67F-A62EFF666E3E}">
          <x14:id>{41373F38-1257-4D38-A4A3-49B433C43106}</x14:id>
        </ext>
      </extLst>
    </cfRule>
  </conditionalFormatting>
  <conditionalFormatting sqref="E10:E37">
    <cfRule type="dataBar" priority="63">
      <dataBar>
        <cfvo type="min"/>
        <cfvo type="max"/>
        <color rgb="FF638EC6"/>
      </dataBar>
      <extLst>
        <ext xmlns:x14="http://schemas.microsoft.com/office/spreadsheetml/2009/9/main" uri="{B025F937-C7B1-47D3-B67F-A62EFF666E3E}">
          <x14:id>{49985378-6F13-48B6-B1E4-7B0ED65CB140}</x14:id>
        </ext>
      </extLst>
    </cfRule>
  </conditionalFormatting>
  <conditionalFormatting sqref="F6">
    <cfRule type="dataBar" priority="60">
      <dataBar>
        <cfvo type="min"/>
        <cfvo type="max"/>
        <color rgb="FF638EC6"/>
      </dataBar>
      <extLst>
        <ext xmlns:x14="http://schemas.microsoft.com/office/spreadsheetml/2009/9/main" uri="{B025F937-C7B1-47D3-B67F-A62EFF666E3E}">
          <x14:id>{D7FA138C-5FD4-4F3E-B655-60BDED907D33}</x14:id>
        </ext>
      </extLst>
    </cfRule>
  </conditionalFormatting>
  <conditionalFormatting sqref="F6:F37">
    <cfRule type="dataBar" priority="15">
      <dataBar>
        <cfvo type="min"/>
        <cfvo type="max"/>
        <color rgb="FF638EC6"/>
      </dataBar>
      <extLst>
        <ext xmlns:x14="http://schemas.microsoft.com/office/spreadsheetml/2009/9/main" uri="{B025F937-C7B1-47D3-B67F-A62EFF666E3E}">
          <x14:id>{17B459E2-C83A-4D80-8CF7-7FEA95277A90}</x14:id>
        </ext>
      </extLst>
    </cfRule>
  </conditionalFormatting>
  <conditionalFormatting sqref="F8">
    <cfRule type="dataBar" priority="49">
      <dataBar>
        <cfvo type="min"/>
        <cfvo type="max"/>
        <color rgb="FF638EC6"/>
      </dataBar>
      <extLst>
        <ext xmlns:x14="http://schemas.microsoft.com/office/spreadsheetml/2009/9/main" uri="{B025F937-C7B1-47D3-B67F-A62EFF666E3E}">
          <x14:id>{422CBEC1-BDBD-43F4-8FA5-632A73D2CFB9}</x14:id>
        </ext>
      </extLst>
    </cfRule>
    <cfRule type="dataBar" priority="50">
      <dataBar>
        <cfvo type="min"/>
        <cfvo type="max"/>
        <color theme="5" tint="0.59999389629810485"/>
      </dataBar>
      <extLst>
        <ext xmlns:x14="http://schemas.microsoft.com/office/spreadsheetml/2009/9/main" uri="{B025F937-C7B1-47D3-B67F-A62EFF666E3E}">
          <x14:id>{04096BB2-BB7E-40C8-85D1-A8AAE9CBCF79}</x14:id>
        </ext>
      </extLst>
    </cfRule>
  </conditionalFormatting>
  <conditionalFormatting sqref="F49:F52 L49:L52 N49:N52 P49:P52 R49:R52 T49:T52 V49:V52 X49:X52 Z49:Z52 J55:J56">
    <cfRule type="cellIs" dxfId="28" priority="115" operator="lessThan">
      <formula>0</formula>
    </cfRule>
  </conditionalFormatting>
  <conditionalFormatting sqref="F55:F56">
    <cfRule type="cellIs" dxfId="27" priority="112" operator="lessThan">
      <formula>0</formula>
    </cfRule>
  </conditionalFormatting>
  <conditionalFormatting sqref="G6:G37">
    <cfRule type="dataBar" priority="27">
      <dataBar>
        <cfvo type="min"/>
        <cfvo type="max"/>
        <color rgb="FF638EC6"/>
      </dataBar>
      <extLst>
        <ext xmlns:x14="http://schemas.microsoft.com/office/spreadsheetml/2009/9/main" uri="{B025F937-C7B1-47D3-B67F-A62EFF666E3E}">
          <x14:id>{1E66FA3F-A223-421F-AB1C-AB7D6AA1F005}</x14:id>
        </ext>
      </extLst>
    </cfRule>
  </conditionalFormatting>
  <conditionalFormatting sqref="G7:G37">
    <cfRule type="dataBar" priority="67">
      <dataBar>
        <cfvo type="min"/>
        <cfvo type="max"/>
        <color rgb="FF638EC6"/>
      </dataBar>
      <extLst>
        <ext xmlns:x14="http://schemas.microsoft.com/office/spreadsheetml/2009/9/main" uri="{B025F937-C7B1-47D3-B67F-A62EFF666E3E}">
          <x14:id>{578EE571-A5FE-4F0E-9545-8077182120E8}</x14:id>
        </ext>
      </extLst>
    </cfRule>
  </conditionalFormatting>
  <conditionalFormatting sqref="G8">
    <cfRule type="dataBar" priority="69">
      <dataBar>
        <cfvo type="min"/>
        <cfvo type="max"/>
        <color rgb="FF638EC6"/>
      </dataBar>
      <extLst>
        <ext xmlns:x14="http://schemas.microsoft.com/office/spreadsheetml/2009/9/main" uri="{B025F937-C7B1-47D3-B67F-A62EFF666E3E}">
          <x14:id>{8EC16D29-E61E-43FD-9CD4-674C82EBBF88}</x14:id>
        </ext>
      </extLst>
    </cfRule>
    <cfRule type="dataBar" priority="70">
      <dataBar>
        <cfvo type="min"/>
        <cfvo type="max"/>
        <color theme="5" tint="0.59999389629810485"/>
      </dataBar>
      <extLst>
        <ext xmlns:x14="http://schemas.microsoft.com/office/spreadsheetml/2009/9/main" uri="{B025F937-C7B1-47D3-B67F-A62EFF666E3E}">
          <x14:id>{D9EA7123-48B0-49AA-AD67-AB6D92313564}</x14:id>
        </ext>
      </extLst>
    </cfRule>
  </conditionalFormatting>
  <conditionalFormatting sqref="G10:G37">
    <cfRule type="dataBar" priority="68">
      <dataBar>
        <cfvo type="min"/>
        <cfvo type="max"/>
        <color rgb="FF638EC6"/>
      </dataBar>
      <extLst>
        <ext xmlns:x14="http://schemas.microsoft.com/office/spreadsheetml/2009/9/main" uri="{B025F937-C7B1-47D3-B67F-A62EFF666E3E}">
          <x14:id>{1426DBC0-B616-4F95-8D33-20C585D3E85F}</x14:id>
        </ext>
      </extLst>
    </cfRule>
  </conditionalFormatting>
  <conditionalFormatting sqref="H6">
    <cfRule type="dataBar" priority="59">
      <dataBar>
        <cfvo type="min"/>
        <cfvo type="max"/>
        <color rgb="FF638EC6"/>
      </dataBar>
      <extLst>
        <ext xmlns:x14="http://schemas.microsoft.com/office/spreadsheetml/2009/9/main" uri="{B025F937-C7B1-47D3-B67F-A62EFF666E3E}">
          <x14:id>{06D0DBDA-5D6D-4BB8-BEE4-65C6DC67BC12}</x14:id>
        </ext>
      </extLst>
    </cfRule>
  </conditionalFormatting>
  <conditionalFormatting sqref="H6:H37">
    <cfRule type="dataBar" priority="14">
      <dataBar>
        <cfvo type="min"/>
        <cfvo type="max"/>
        <color rgb="FF638EC6"/>
      </dataBar>
      <extLst>
        <ext xmlns:x14="http://schemas.microsoft.com/office/spreadsheetml/2009/9/main" uri="{B025F937-C7B1-47D3-B67F-A62EFF666E3E}">
          <x14:id>{EB880DCE-1D79-4FBA-858F-CE2ACDF05E9D}</x14:id>
        </ext>
      </extLst>
    </cfRule>
  </conditionalFormatting>
  <conditionalFormatting sqref="H8">
    <cfRule type="dataBar" priority="47">
      <dataBar>
        <cfvo type="min"/>
        <cfvo type="max"/>
        <color rgb="FF638EC6"/>
      </dataBar>
      <extLst>
        <ext xmlns:x14="http://schemas.microsoft.com/office/spreadsheetml/2009/9/main" uri="{B025F937-C7B1-47D3-B67F-A62EFF666E3E}">
          <x14:id>{A2B60E41-F48C-488E-8B5E-CAB24209F3D3}</x14:id>
        </ext>
      </extLst>
    </cfRule>
    <cfRule type="dataBar" priority="48">
      <dataBar>
        <cfvo type="min"/>
        <cfvo type="max"/>
        <color theme="5" tint="0.59999389629810485"/>
      </dataBar>
      <extLst>
        <ext xmlns:x14="http://schemas.microsoft.com/office/spreadsheetml/2009/9/main" uri="{B025F937-C7B1-47D3-B67F-A62EFF666E3E}">
          <x14:id>{42CE8F93-3340-4F30-AE27-E61F4F325911}</x14:id>
        </ext>
      </extLst>
    </cfRule>
  </conditionalFormatting>
  <conditionalFormatting sqref="H49:H52">
    <cfRule type="cellIs" dxfId="26" priority="4" operator="lessThan">
      <formula>0</formula>
    </cfRule>
  </conditionalFormatting>
  <conditionalFormatting sqref="I6:I37">
    <cfRule type="dataBar" priority="26">
      <dataBar>
        <cfvo type="min"/>
        <cfvo type="max"/>
        <color rgb="FF638EC6"/>
      </dataBar>
      <extLst>
        <ext xmlns:x14="http://schemas.microsoft.com/office/spreadsheetml/2009/9/main" uri="{B025F937-C7B1-47D3-B67F-A62EFF666E3E}">
          <x14:id>{794EBA31-88DD-4642-BF13-8CE294510F19}</x14:id>
        </ext>
      </extLst>
    </cfRule>
  </conditionalFormatting>
  <conditionalFormatting sqref="I7:I37">
    <cfRule type="dataBar" priority="74">
      <dataBar>
        <cfvo type="min"/>
        <cfvo type="max"/>
        <color rgb="FF638EC6"/>
      </dataBar>
      <extLst>
        <ext xmlns:x14="http://schemas.microsoft.com/office/spreadsheetml/2009/9/main" uri="{B025F937-C7B1-47D3-B67F-A62EFF666E3E}">
          <x14:id>{8073DE46-4077-419E-8730-E230D60D4D99}</x14:id>
        </ext>
      </extLst>
    </cfRule>
  </conditionalFormatting>
  <conditionalFormatting sqref="I8">
    <cfRule type="dataBar" priority="72">
      <dataBar>
        <cfvo type="min"/>
        <cfvo type="max"/>
        <color rgb="FF638EC6"/>
      </dataBar>
      <extLst>
        <ext xmlns:x14="http://schemas.microsoft.com/office/spreadsheetml/2009/9/main" uri="{B025F937-C7B1-47D3-B67F-A62EFF666E3E}">
          <x14:id>{69449C44-9F15-4F40-AE49-BF2D8506B076}</x14:id>
        </ext>
      </extLst>
    </cfRule>
    <cfRule type="dataBar" priority="73">
      <dataBar>
        <cfvo type="min"/>
        <cfvo type="max"/>
        <color theme="5" tint="0.59999389629810485"/>
      </dataBar>
      <extLst>
        <ext xmlns:x14="http://schemas.microsoft.com/office/spreadsheetml/2009/9/main" uri="{B025F937-C7B1-47D3-B67F-A62EFF666E3E}">
          <x14:id>{855CB03F-5C39-468B-98F2-47081F251BED}</x14:id>
        </ext>
      </extLst>
    </cfRule>
  </conditionalFormatting>
  <conditionalFormatting sqref="I10:I37">
    <cfRule type="dataBar" priority="71">
      <dataBar>
        <cfvo type="min"/>
        <cfvo type="max"/>
        <color rgb="FF638EC6"/>
      </dataBar>
      <extLst>
        <ext xmlns:x14="http://schemas.microsoft.com/office/spreadsheetml/2009/9/main" uri="{B025F937-C7B1-47D3-B67F-A62EFF666E3E}">
          <x14:id>{3841ADA7-5692-4BB9-BFDA-465967D2138A}</x14:id>
        </ext>
      </extLst>
    </cfRule>
  </conditionalFormatting>
  <conditionalFormatting sqref="J6">
    <cfRule type="dataBar" priority="58">
      <dataBar>
        <cfvo type="min"/>
        <cfvo type="max"/>
        <color rgb="FF638EC6"/>
      </dataBar>
      <extLst>
        <ext xmlns:x14="http://schemas.microsoft.com/office/spreadsheetml/2009/9/main" uri="{B025F937-C7B1-47D3-B67F-A62EFF666E3E}">
          <x14:id>{240D7FC2-0DC5-4225-B080-1F862A61C408}</x14:id>
        </ext>
      </extLst>
    </cfRule>
  </conditionalFormatting>
  <conditionalFormatting sqref="J6:J37">
    <cfRule type="dataBar" priority="13">
      <dataBar>
        <cfvo type="min"/>
        <cfvo type="max"/>
        <color rgb="FF638EC6"/>
      </dataBar>
      <extLst>
        <ext xmlns:x14="http://schemas.microsoft.com/office/spreadsheetml/2009/9/main" uri="{B025F937-C7B1-47D3-B67F-A62EFF666E3E}">
          <x14:id>{587461AF-2D2C-4E50-B3F8-4B1E99697034}</x14:id>
        </ext>
      </extLst>
    </cfRule>
  </conditionalFormatting>
  <conditionalFormatting sqref="J8">
    <cfRule type="dataBar" priority="45">
      <dataBar>
        <cfvo type="min"/>
        <cfvo type="max"/>
        <color rgb="FF638EC6"/>
      </dataBar>
      <extLst>
        <ext xmlns:x14="http://schemas.microsoft.com/office/spreadsheetml/2009/9/main" uri="{B025F937-C7B1-47D3-B67F-A62EFF666E3E}">
          <x14:id>{471B242A-C05C-455E-A6F8-64D09F0C7985}</x14:id>
        </ext>
      </extLst>
    </cfRule>
    <cfRule type="dataBar" priority="46">
      <dataBar>
        <cfvo type="min"/>
        <cfvo type="max"/>
        <color theme="5" tint="0.59999389629810485"/>
      </dataBar>
      <extLst>
        <ext xmlns:x14="http://schemas.microsoft.com/office/spreadsheetml/2009/9/main" uri="{B025F937-C7B1-47D3-B67F-A62EFF666E3E}">
          <x14:id>{C3E454AA-EF66-435D-A65E-BFA457E44F6E}</x14:id>
        </ext>
      </extLst>
    </cfRule>
  </conditionalFormatting>
  <conditionalFormatting sqref="J49:J52">
    <cfRule type="cellIs" dxfId="25" priority="1" operator="lessThan">
      <formula>0</formula>
    </cfRule>
  </conditionalFormatting>
  <conditionalFormatting sqref="K6:K37">
    <cfRule type="dataBar" priority="25">
      <dataBar>
        <cfvo type="min"/>
        <cfvo type="max"/>
        <color rgb="FF638EC6"/>
      </dataBar>
      <extLst>
        <ext xmlns:x14="http://schemas.microsoft.com/office/spreadsheetml/2009/9/main" uri="{B025F937-C7B1-47D3-B67F-A62EFF666E3E}">
          <x14:id>{944DB80A-1FF2-46E0-806F-A3C2DA0CB7AA}</x14:id>
        </ext>
      </extLst>
    </cfRule>
  </conditionalFormatting>
  <conditionalFormatting sqref="K7:K37">
    <cfRule type="dataBar" priority="75">
      <dataBar>
        <cfvo type="min"/>
        <cfvo type="max"/>
        <color rgb="FF638EC6"/>
      </dataBar>
      <extLst>
        <ext xmlns:x14="http://schemas.microsoft.com/office/spreadsheetml/2009/9/main" uri="{B025F937-C7B1-47D3-B67F-A62EFF666E3E}">
          <x14:id>{009E9041-9A6D-4CEF-9DA3-070C44BE3C62}</x14:id>
        </ext>
      </extLst>
    </cfRule>
  </conditionalFormatting>
  <conditionalFormatting sqref="K8">
    <cfRule type="dataBar" priority="77">
      <dataBar>
        <cfvo type="min"/>
        <cfvo type="max"/>
        <color rgb="FF638EC6"/>
      </dataBar>
      <extLst>
        <ext xmlns:x14="http://schemas.microsoft.com/office/spreadsheetml/2009/9/main" uri="{B025F937-C7B1-47D3-B67F-A62EFF666E3E}">
          <x14:id>{9F14CE3A-3F2C-44F7-9982-6D5EF728E901}</x14:id>
        </ext>
      </extLst>
    </cfRule>
    <cfRule type="dataBar" priority="78">
      <dataBar>
        <cfvo type="min"/>
        <cfvo type="max"/>
        <color theme="5" tint="0.59999389629810485"/>
      </dataBar>
      <extLst>
        <ext xmlns:x14="http://schemas.microsoft.com/office/spreadsheetml/2009/9/main" uri="{B025F937-C7B1-47D3-B67F-A62EFF666E3E}">
          <x14:id>{7C9EFF40-2CF2-4CAC-AFFE-3F6DE78819C3}</x14:id>
        </ext>
      </extLst>
    </cfRule>
  </conditionalFormatting>
  <conditionalFormatting sqref="K10:K37">
    <cfRule type="dataBar" priority="76">
      <dataBar>
        <cfvo type="min"/>
        <cfvo type="max"/>
        <color rgb="FF638EC6"/>
      </dataBar>
      <extLst>
        <ext xmlns:x14="http://schemas.microsoft.com/office/spreadsheetml/2009/9/main" uri="{B025F937-C7B1-47D3-B67F-A62EFF666E3E}">
          <x14:id>{0F3D7185-95D3-4CB5-A24C-BC3A7DEAEE9E}</x14:id>
        </ext>
      </extLst>
    </cfRule>
  </conditionalFormatting>
  <conditionalFormatting sqref="L6">
    <cfRule type="dataBar" priority="57">
      <dataBar>
        <cfvo type="min"/>
        <cfvo type="max"/>
        <color rgb="FF638EC6"/>
      </dataBar>
      <extLst>
        <ext xmlns:x14="http://schemas.microsoft.com/office/spreadsheetml/2009/9/main" uri="{B025F937-C7B1-47D3-B67F-A62EFF666E3E}">
          <x14:id>{A27421AF-15A2-4F09-AA4C-7D370A9A28F5}</x14:id>
        </ext>
      </extLst>
    </cfRule>
  </conditionalFormatting>
  <conditionalFormatting sqref="L6:L37">
    <cfRule type="dataBar" priority="12">
      <dataBar>
        <cfvo type="min"/>
        <cfvo type="max"/>
        <color rgb="FF638EC6"/>
      </dataBar>
      <extLst>
        <ext xmlns:x14="http://schemas.microsoft.com/office/spreadsheetml/2009/9/main" uri="{B025F937-C7B1-47D3-B67F-A62EFF666E3E}">
          <x14:id>{C13E0902-AAF4-4AED-A98F-88D615FB221E}</x14:id>
        </ext>
      </extLst>
    </cfRule>
  </conditionalFormatting>
  <conditionalFormatting sqref="L8">
    <cfRule type="dataBar" priority="43">
      <dataBar>
        <cfvo type="min"/>
        <cfvo type="max"/>
        <color rgb="FF638EC6"/>
      </dataBar>
      <extLst>
        <ext xmlns:x14="http://schemas.microsoft.com/office/spreadsheetml/2009/9/main" uri="{B025F937-C7B1-47D3-B67F-A62EFF666E3E}">
          <x14:id>{DB04A09C-FB94-48B9-99B9-6C290746E182}</x14:id>
        </ext>
      </extLst>
    </cfRule>
    <cfRule type="dataBar" priority="44">
      <dataBar>
        <cfvo type="min"/>
        <cfvo type="max"/>
        <color theme="5" tint="0.59999389629810485"/>
      </dataBar>
      <extLst>
        <ext xmlns:x14="http://schemas.microsoft.com/office/spreadsheetml/2009/9/main" uri="{B025F937-C7B1-47D3-B67F-A62EFF666E3E}">
          <x14:id>{1B9C56AE-086A-49E7-B2E8-963493EBBE33}</x14:id>
        </ext>
      </extLst>
    </cfRule>
  </conditionalFormatting>
  <conditionalFormatting sqref="M6:M37">
    <cfRule type="dataBar" priority="24">
      <dataBar>
        <cfvo type="min"/>
        <cfvo type="max"/>
        <color rgb="FF638EC6"/>
      </dataBar>
      <extLst>
        <ext xmlns:x14="http://schemas.microsoft.com/office/spreadsheetml/2009/9/main" uri="{B025F937-C7B1-47D3-B67F-A62EFF666E3E}">
          <x14:id>{2B8712A3-BCE9-4E40-A725-C9C4AB7BE294}</x14:id>
        </ext>
      </extLst>
    </cfRule>
  </conditionalFormatting>
  <conditionalFormatting sqref="M7:M37">
    <cfRule type="dataBar" priority="79">
      <dataBar>
        <cfvo type="min"/>
        <cfvo type="max"/>
        <color rgb="FF638EC6"/>
      </dataBar>
      <extLst>
        <ext xmlns:x14="http://schemas.microsoft.com/office/spreadsheetml/2009/9/main" uri="{B025F937-C7B1-47D3-B67F-A62EFF666E3E}">
          <x14:id>{B4CAFE11-E0E4-4150-8833-F2749648CA92}</x14:id>
        </ext>
      </extLst>
    </cfRule>
  </conditionalFormatting>
  <conditionalFormatting sqref="M8">
    <cfRule type="dataBar" priority="81">
      <dataBar>
        <cfvo type="min"/>
        <cfvo type="max"/>
        <color rgb="FF638EC6"/>
      </dataBar>
      <extLst>
        <ext xmlns:x14="http://schemas.microsoft.com/office/spreadsheetml/2009/9/main" uri="{B025F937-C7B1-47D3-B67F-A62EFF666E3E}">
          <x14:id>{59B3D704-C522-4AF3-9A4E-C3C7A75F5763}</x14:id>
        </ext>
      </extLst>
    </cfRule>
    <cfRule type="dataBar" priority="82">
      <dataBar>
        <cfvo type="min"/>
        <cfvo type="max"/>
        <color theme="5" tint="0.59999389629810485"/>
      </dataBar>
      <extLst>
        <ext xmlns:x14="http://schemas.microsoft.com/office/spreadsheetml/2009/9/main" uri="{B025F937-C7B1-47D3-B67F-A62EFF666E3E}">
          <x14:id>{B09D33EB-7929-40CC-8287-1615CA57BEB5}</x14:id>
        </ext>
      </extLst>
    </cfRule>
  </conditionalFormatting>
  <conditionalFormatting sqref="M10:M37">
    <cfRule type="dataBar" priority="80">
      <dataBar>
        <cfvo type="min"/>
        <cfvo type="max"/>
        <color rgb="FF638EC6"/>
      </dataBar>
      <extLst>
        <ext xmlns:x14="http://schemas.microsoft.com/office/spreadsheetml/2009/9/main" uri="{B025F937-C7B1-47D3-B67F-A62EFF666E3E}">
          <x14:id>{F88C0FD7-886E-45FD-96A6-C749D986D00F}</x14:id>
        </ext>
      </extLst>
    </cfRule>
  </conditionalFormatting>
  <conditionalFormatting sqref="N6">
    <cfRule type="dataBar" priority="56">
      <dataBar>
        <cfvo type="min"/>
        <cfvo type="max"/>
        <color rgb="FF638EC6"/>
      </dataBar>
      <extLst>
        <ext xmlns:x14="http://schemas.microsoft.com/office/spreadsheetml/2009/9/main" uri="{B025F937-C7B1-47D3-B67F-A62EFF666E3E}">
          <x14:id>{69679026-F0DA-4D7A-8750-7A91A0EAF6B0}</x14:id>
        </ext>
      </extLst>
    </cfRule>
  </conditionalFormatting>
  <conditionalFormatting sqref="N6:N37">
    <cfRule type="dataBar" priority="11">
      <dataBar>
        <cfvo type="min"/>
        <cfvo type="max"/>
        <color rgb="FF638EC6"/>
      </dataBar>
      <extLst>
        <ext xmlns:x14="http://schemas.microsoft.com/office/spreadsheetml/2009/9/main" uri="{B025F937-C7B1-47D3-B67F-A62EFF666E3E}">
          <x14:id>{8AB30F20-F210-4521-9BE1-07E0B9257C0D}</x14:id>
        </ext>
      </extLst>
    </cfRule>
  </conditionalFormatting>
  <conditionalFormatting sqref="N8">
    <cfRule type="dataBar" priority="41">
      <dataBar>
        <cfvo type="min"/>
        <cfvo type="max"/>
        <color rgb="FF638EC6"/>
      </dataBar>
      <extLst>
        <ext xmlns:x14="http://schemas.microsoft.com/office/spreadsheetml/2009/9/main" uri="{B025F937-C7B1-47D3-B67F-A62EFF666E3E}">
          <x14:id>{2E671AE8-83D1-4B3B-B6A4-83E5BE58FDF5}</x14:id>
        </ext>
      </extLst>
    </cfRule>
    <cfRule type="dataBar" priority="42">
      <dataBar>
        <cfvo type="min"/>
        <cfvo type="max"/>
        <color theme="5" tint="0.59999389629810485"/>
      </dataBar>
      <extLst>
        <ext xmlns:x14="http://schemas.microsoft.com/office/spreadsheetml/2009/9/main" uri="{B025F937-C7B1-47D3-B67F-A62EFF666E3E}">
          <x14:id>{AEDA84C7-6A19-4406-8A59-FE2FDD95C469}</x14:id>
        </ext>
      </extLst>
    </cfRule>
  </conditionalFormatting>
  <conditionalFormatting sqref="O6:O37">
    <cfRule type="dataBar" priority="23">
      <dataBar>
        <cfvo type="min"/>
        <cfvo type="max"/>
        <color rgb="FF638EC6"/>
      </dataBar>
      <extLst>
        <ext xmlns:x14="http://schemas.microsoft.com/office/spreadsheetml/2009/9/main" uri="{B025F937-C7B1-47D3-B67F-A62EFF666E3E}">
          <x14:id>{B0C8B276-FFA2-4C14-B876-40CCBA56CCE4}</x14:id>
        </ext>
      </extLst>
    </cfRule>
  </conditionalFormatting>
  <conditionalFormatting sqref="O7:O37">
    <cfRule type="dataBar" priority="83">
      <dataBar>
        <cfvo type="min"/>
        <cfvo type="max"/>
        <color rgb="FF638EC6"/>
      </dataBar>
      <extLst>
        <ext xmlns:x14="http://schemas.microsoft.com/office/spreadsheetml/2009/9/main" uri="{B025F937-C7B1-47D3-B67F-A62EFF666E3E}">
          <x14:id>{E2580AED-A277-44CA-9263-33FEA57D2510}</x14:id>
        </ext>
      </extLst>
    </cfRule>
  </conditionalFormatting>
  <conditionalFormatting sqref="O8">
    <cfRule type="dataBar" priority="85">
      <dataBar>
        <cfvo type="min"/>
        <cfvo type="max"/>
        <color rgb="FF638EC6"/>
      </dataBar>
      <extLst>
        <ext xmlns:x14="http://schemas.microsoft.com/office/spreadsheetml/2009/9/main" uri="{B025F937-C7B1-47D3-B67F-A62EFF666E3E}">
          <x14:id>{02ABFB10-8D28-4D50-B4E5-CED8A845ACBE}</x14:id>
        </ext>
      </extLst>
    </cfRule>
    <cfRule type="dataBar" priority="86">
      <dataBar>
        <cfvo type="min"/>
        <cfvo type="max"/>
        <color theme="5" tint="0.59999389629810485"/>
      </dataBar>
      <extLst>
        <ext xmlns:x14="http://schemas.microsoft.com/office/spreadsheetml/2009/9/main" uri="{B025F937-C7B1-47D3-B67F-A62EFF666E3E}">
          <x14:id>{A996A9DC-F20E-4465-B335-2A4293E9C2F0}</x14:id>
        </ext>
      </extLst>
    </cfRule>
  </conditionalFormatting>
  <conditionalFormatting sqref="O10:O37">
    <cfRule type="dataBar" priority="84">
      <dataBar>
        <cfvo type="min"/>
        <cfvo type="max"/>
        <color rgb="FF638EC6"/>
      </dataBar>
      <extLst>
        <ext xmlns:x14="http://schemas.microsoft.com/office/spreadsheetml/2009/9/main" uri="{B025F937-C7B1-47D3-B67F-A62EFF666E3E}">
          <x14:id>{0F27D1A0-BBCC-470F-93DD-F20846C4A933}</x14:id>
        </ext>
      </extLst>
    </cfRule>
  </conditionalFormatting>
  <conditionalFormatting sqref="P6">
    <cfRule type="dataBar" priority="55">
      <dataBar>
        <cfvo type="min"/>
        <cfvo type="max"/>
        <color rgb="FF638EC6"/>
      </dataBar>
      <extLst>
        <ext xmlns:x14="http://schemas.microsoft.com/office/spreadsheetml/2009/9/main" uri="{B025F937-C7B1-47D3-B67F-A62EFF666E3E}">
          <x14:id>{81B11CEB-0AC0-42FE-B00A-27CEDFB71646}</x14:id>
        </ext>
      </extLst>
    </cfRule>
  </conditionalFormatting>
  <conditionalFormatting sqref="P6:P37">
    <cfRule type="dataBar" priority="10">
      <dataBar>
        <cfvo type="min"/>
        <cfvo type="max"/>
        <color rgb="FF638EC6"/>
      </dataBar>
      <extLst>
        <ext xmlns:x14="http://schemas.microsoft.com/office/spreadsheetml/2009/9/main" uri="{B025F937-C7B1-47D3-B67F-A62EFF666E3E}">
          <x14:id>{FF7D85FE-8059-4F9C-A7B2-FEC55CB551D5}</x14:id>
        </ext>
      </extLst>
    </cfRule>
  </conditionalFormatting>
  <conditionalFormatting sqref="P8">
    <cfRule type="dataBar" priority="39">
      <dataBar>
        <cfvo type="min"/>
        <cfvo type="max"/>
        <color rgb="FF638EC6"/>
      </dataBar>
      <extLst>
        <ext xmlns:x14="http://schemas.microsoft.com/office/spreadsheetml/2009/9/main" uri="{B025F937-C7B1-47D3-B67F-A62EFF666E3E}">
          <x14:id>{00A056E7-AA1B-48B1-AD01-F24CEFF8A931}</x14:id>
        </ext>
      </extLst>
    </cfRule>
    <cfRule type="dataBar" priority="40">
      <dataBar>
        <cfvo type="min"/>
        <cfvo type="max"/>
        <color theme="5" tint="0.59999389629810485"/>
      </dataBar>
      <extLst>
        <ext xmlns:x14="http://schemas.microsoft.com/office/spreadsheetml/2009/9/main" uri="{B025F937-C7B1-47D3-B67F-A62EFF666E3E}">
          <x14:id>{CBB3D714-B0AE-4DBA-BE46-1D44E8356418}</x14:id>
        </ext>
      </extLst>
    </cfRule>
  </conditionalFormatting>
  <conditionalFormatting sqref="Q6:Q37">
    <cfRule type="dataBar" priority="22">
      <dataBar>
        <cfvo type="min"/>
        <cfvo type="max"/>
        <color rgb="FF638EC6"/>
      </dataBar>
      <extLst>
        <ext xmlns:x14="http://schemas.microsoft.com/office/spreadsheetml/2009/9/main" uri="{B025F937-C7B1-47D3-B67F-A62EFF666E3E}">
          <x14:id>{FA75E220-D0D7-4D5E-8A27-F449C8C5E431}</x14:id>
        </ext>
      </extLst>
    </cfRule>
  </conditionalFormatting>
  <conditionalFormatting sqref="Q7:Q37">
    <cfRule type="dataBar" priority="87">
      <dataBar>
        <cfvo type="min"/>
        <cfvo type="max"/>
        <color rgb="FF638EC6"/>
      </dataBar>
      <extLst>
        <ext xmlns:x14="http://schemas.microsoft.com/office/spreadsheetml/2009/9/main" uri="{B025F937-C7B1-47D3-B67F-A62EFF666E3E}">
          <x14:id>{577EA9DE-A4E8-49D6-9F58-E290800D68DB}</x14:id>
        </ext>
      </extLst>
    </cfRule>
  </conditionalFormatting>
  <conditionalFormatting sqref="Q8">
    <cfRule type="dataBar" priority="89">
      <dataBar>
        <cfvo type="min"/>
        <cfvo type="max"/>
        <color rgb="FF638EC6"/>
      </dataBar>
      <extLst>
        <ext xmlns:x14="http://schemas.microsoft.com/office/spreadsheetml/2009/9/main" uri="{B025F937-C7B1-47D3-B67F-A62EFF666E3E}">
          <x14:id>{F33ECFFE-DCC9-48AB-B7F0-DFC1A1148771}</x14:id>
        </ext>
      </extLst>
    </cfRule>
    <cfRule type="dataBar" priority="90">
      <dataBar>
        <cfvo type="min"/>
        <cfvo type="max"/>
        <color theme="5" tint="0.59999389629810485"/>
      </dataBar>
      <extLst>
        <ext xmlns:x14="http://schemas.microsoft.com/office/spreadsheetml/2009/9/main" uri="{B025F937-C7B1-47D3-B67F-A62EFF666E3E}">
          <x14:id>{BA1E7E8B-FBD3-4EF4-8361-7CF81E01EEBC}</x14:id>
        </ext>
      </extLst>
    </cfRule>
  </conditionalFormatting>
  <conditionalFormatting sqref="Q10:Q37">
    <cfRule type="dataBar" priority="88">
      <dataBar>
        <cfvo type="min"/>
        <cfvo type="max"/>
        <color rgb="FF638EC6"/>
      </dataBar>
      <extLst>
        <ext xmlns:x14="http://schemas.microsoft.com/office/spreadsheetml/2009/9/main" uri="{B025F937-C7B1-47D3-B67F-A62EFF666E3E}">
          <x14:id>{339CC83F-E740-4748-A987-5CC5076203C1}</x14:id>
        </ext>
      </extLst>
    </cfRule>
  </conditionalFormatting>
  <conditionalFormatting sqref="Q58">
    <cfRule type="cellIs" dxfId="24" priority="113" operator="lessThan">
      <formula>0</formula>
    </cfRule>
  </conditionalFormatting>
  <conditionalFormatting sqref="R6">
    <cfRule type="dataBar" priority="54">
      <dataBar>
        <cfvo type="min"/>
        <cfvo type="max"/>
        <color rgb="FF638EC6"/>
      </dataBar>
      <extLst>
        <ext xmlns:x14="http://schemas.microsoft.com/office/spreadsheetml/2009/9/main" uri="{B025F937-C7B1-47D3-B67F-A62EFF666E3E}">
          <x14:id>{5CE7D6EE-7EC3-4C11-A1A9-E17C0F63F4E1}</x14:id>
        </ext>
      </extLst>
    </cfRule>
  </conditionalFormatting>
  <conditionalFormatting sqref="R6:R37">
    <cfRule type="dataBar" priority="9">
      <dataBar>
        <cfvo type="min"/>
        <cfvo type="max"/>
        <color rgb="FF638EC6"/>
      </dataBar>
      <extLst>
        <ext xmlns:x14="http://schemas.microsoft.com/office/spreadsheetml/2009/9/main" uri="{B025F937-C7B1-47D3-B67F-A62EFF666E3E}">
          <x14:id>{C917B24D-A307-458A-9E51-856EB66B18A1}</x14:id>
        </ext>
      </extLst>
    </cfRule>
  </conditionalFormatting>
  <conditionalFormatting sqref="R8">
    <cfRule type="dataBar" priority="37">
      <dataBar>
        <cfvo type="min"/>
        <cfvo type="max"/>
        <color rgb="FF638EC6"/>
      </dataBar>
      <extLst>
        <ext xmlns:x14="http://schemas.microsoft.com/office/spreadsheetml/2009/9/main" uri="{B025F937-C7B1-47D3-B67F-A62EFF666E3E}">
          <x14:id>{087DB557-C1D1-40D3-B563-694601C00861}</x14:id>
        </ext>
      </extLst>
    </cfRule>
    <cfRule type="dataBar" priority="38">
      <dataBar>
        <cfvo type="min"/>
        <cfvo type="max"/>
        <color theme="5" tint="0.59999389629810485"/>
      </dataBar>
      <extLst>
        <ext xmlns:x14="http://schemas.microsoft.com/office/spreadsheetml/2009/9/main" uri="{B025F937-C7B1-47D3-B67F-A62EFF666E3E}">
          <x14:id>{5E51B747-8318-49D5-9322-9C7F7AAEC095}</x14:id>
        </ext>
      </extLst>
    </cfRule>
  </conditionalFormatting>
  <conditionalFormatting sqref="R57:R58">
    <cfRule type="cellIs" dxfId="23" priority="126" operator="lessThan">
      <formula>0</formula>
    </cfRule>
  </conditionalFormatting>
  <conditionalFormatting sqref="S6:S37">
    <cfRule type="dataBar" priority="21">
      <dataBar>
        <cfvo type="min"/>
        <cfvo type="max"/>
        <color rgb="FF638EC6"/>
      </dataBar>
      <extLst>
        <ext xmlns:x14="http://schemas.microsoft.com/office/spreadsheetml/2009/9/main" uri="{B025F937-C7B1-47D3-B67F-A62EFF666E3E}">
          <x14:id>{C15A4E4B-4F61-4457-9F1E-C19123C42E27}</x14:id>
        </ext>
      </extLst>
    </cfRule>
  </conditionalFormatting>
  <conditionalFormatting sqref="S7:S37">
    <cfRule type="dataBar" priority="94">
      <dataBar>
        <cfvo type="min"/>
        <cfvo type="max"/>
        <color rgb="FF638EC6"/>
      </dataBar>
      <extLst>
        <ext xmlns:x14="http://schemas.microsoft.com/office/spreadsheetml/2009/9/main" uri="{B025F937-C7B1-47D3-B67F-A62EFF666E3E}">
          <x14:id>{A9E5895E-BB4F-424C-800F-DD64B35F0457}</x14:id>
        </ext>
      </extLst>
    </cfRule>
  </conditionalFormatting>
  <conditionalFormatting sqref="S8">
    <cfRule type="dataBar" priority="92">
      <dataBar>
        <cfvo type="min"/>
        <cfvo type="max"/>
        <color rgb="FF638EC6"/>
      </dataBar>
      <extLst>
        <ext xmlns:x14="http://schemas.microsoft.com/office/spreadsheetml/2009/9/main" uri="{B025F937-C7B1-47D3-B67F-A62EFF666E3E}">
          <x14:id>{CCCBDA57-91F5-4E8B-999A-85957B3059FC}</x14:id>
        </ext>
      </extLst>
    </cfRule>
    <cfRule type="dataBar" priority="93">
      <dataBar>
        <cfvo type="min"/>
        <cfvo type="max"/>
        <color theme="5" tint="0.59999389629810485"/>
      </dataBar>
      <extLst>
        <ext xmlns:x14="http://schemas.microsoft.com/office/spreadsheetml/2009/9/main" uri="{B025F937-C7B1-47D3-B67F-A62EFF666E3E}">
          <x14:id>{3896D592-71F2-4427-A660-5E7FC18ECAF2}</x14:id>
        </ext>
      </extLst>
    </cfRule>
  </conditionalFormatting>
  <conditionalFormatting sqref="S10:S37">
    <cfRule type="dataBar" priority="91">
      <dataBar>
        <cfvo type="min"/>
        <cfvo type="max"/>
        <color rgb="FF638EC6"/>
      </dataBar>
      <extLst>
        <ext xmlns:x14="http://schemas.microsoft.com/office/spreadsheetml/2009/9/main" uri="{B025F937-C7B1-47D3-B67F-A62EFF666E3E}">
          <x14:id>{414DD9AE-6C20-4278-A844-73CF590708CC}</x14:id>
        </ext>
      </extLst>
    </cfRule>
  </conditionalFormatting>
  <conditionalFormatting sqref="S55:S56">
    <cfRule type="cellIs" dxfId="22" priority="111" operator="lessThan">
      <formula>0</formula>
    </cfRule>
  </conditionalFormatting>
  <conditionalFormatting sqref="T6">
    <cfRule type="dataBar" priority="53">
      <dataBar>
        <cfvo type="min"/>
        <cfvo type="max"/>
        <color rgb="FF638EC6"/>
      </dataBar>
      <extLst>
        <ext xmlns:x14="http://schemas.microsoft.com/office/spreadsheetml/2009/9/main" uri="{B025F937-C7B1-47D3-B67F-A62EFF666E3E}">
          <x14:id>{55C76765-DD59-46C5-864F-27ABA5D8F41F}</x14:id>
        </ext>
      </extLst>
    </cfRule>
  </conditionalFormatting>
  <conditionalFormatting sqref="T6:T37">
    <cfRule type="dataBar" priority="8">
      <dataBar>
        <cfvo type="min"/>
        <cfvo type="max"/>
        <color rgb="FF638EC6"/>
      </dataBar>
      <extLst>
        <ext xmlns:x14="http://schemas.microsoft.com/office/spreadsheetml/2009/9/main" uri="{B025F937-C7B1-47D3-B67F-A62EFF666E3E}">
          <x14:id>{D63F529C-376A-40B5-994D-EB47A687E32A}</x14:id>
        </ext>
      </extLst>
    </cfRule>
  </conditionalFormatting>
  <conditionalFormatting sqref="T8">
    <cfRule type="dataBar" priority="35">
      <dataBar>
        <cfvo type="min"/>
        <cfvo type="max"/>
        <color rgb="FF638EC6"/>
      </dataBar>
      <extLst>
        <ext xmlns:x14="http://schemas.microsoft.com/office/spreadsheetml/2009/9/main" uri="{B025F937-C7B1-47D3-B67F-A62EFF666E3E}">
          <x14:id>{D7E62928-E87A-49EA-85EA-BDE4A3172E02}</x14:id>
        </ext>
      </extLst>
    </cfRule>
    <cfRule type="dataBar" priority="36">
      <dataBar>
        <cfvo type="min"/>
        <cfvo type="max"/>
        <color theme="5" tint="0.59999389629810485"/>
      </dataBar>
      <extLst>
        <ext xmlns:x14="http://schemas.microsoft.com/office/spreadsheetml/2009/9/main" uri="{B025F937-C7B1-47D3-B67F-A62EFF666E3E}">
          <x14:id>{68474B6B-8C3E-401C-9A91-0624926179DB}</x14:id>
        </ext>
      </extLst>
    </cfRule>
  </conditionalFormatting>
  <conditionalFormatting sqref="T57:T58">
    <cfRule type="cellIs" dxfId="21" priority="120" operator="lessThan">
      <formula>0</formula>
    </cfRule>
  </conditionalFormatting>
  <conditionalFormatting sqref="U6:U37">
    <cfRule type="dataBar" priority="20">
      <dataBar>
        <cfvo type="min"/>
        <cfvo type="max"/>
        <color rgb="FF638EC6"/>
      </dataBar>
      <extLst>
        <ext xmlns:x14="http://schemas.microsoft.com/office/spreadsheetml/2009/9/main" uri="{B025F937-C7B1-47D3-B67F-A62EFF666E3E}">
          <x14:id>{DDE8ED5B-62CB-4979-B162-55C02AE78D2C}</x14:id>
        </ext>
      </extLst>
    </cfRule>
  </conditionalFormatting>
  <conditionalFormatting sqref="U7:U37">
    <cfRule type="dataBar" priority="96">
      <dataBar>
        <cfvo type="min"/>
        <cfvo type="max"/>
        <color rgb="FF638EC6"/>
      </dataBar>
      <extLst>
        <ext xmlns:x14="http://schemas.microsoft.com/office/spreadsheetml/2009/9/main" uri="{B025F937-C7B1-47D3-B67F-A62EFF666E3E}">
          <x14:id>{99E210EB-897D-4070-B64A-5B39E14BBFE3}</x14:id>
        </ext>
      </extLst>
    </cfRule>
  </conditionalFormatting>
  <conditionalFormatting sqref="U8">
    <cfRule type="dataBar" priority="97">
      <dataBar>
        <cfvo type="min"/>
        <cfvo type="max"/>
        <color rgb="FF638EC6"/>
      </dataBar>
      <extLst>
        <ext xmlns:x14="http://schemas.microsoft.com/office/spreadsheetml/2009/9/main" uri="{B025F937-C7B1-47D3-B67F-A62EFF666E3E}">
          <x14:id>{B2A64D61-255F-4203-B541-BF3E87744736}</x14:id>
        </ext>
      </extLst>
    </cfRule>
    <cfRule type="dataBar" priority="98">
      <dataBar>
        <cfvo type="min"/>
        <cfvo type="max"/>
        <color theme="5" tint="0.59999389629810485"/>
      </dataBar>
      <extLst>
        <ext xmlns:x14="http://schemas.microsoft.com/office/spreadsheetml/2009/9/main" uri="{B025F937-C7B1-47D3-B67F-A62EFF666E3E}">
          <x14:id>{BC01E511-946E-4FEF-AA43-9DED2F02441D}</x14:id>
        </ext>
      </extLst>
    </cfRule>
  </conditionalFormatting>
  <conditionalFormatting sqref="U10:U37">
    <cfRule type="dataBar" priority="95">
      <dataBar>
        <cfvo type="min"/>
        <cfvo type="max"/>
        <color rgb="FF638EC6"/>
      </dataBar>
      <extLst>
        <ext xmlns:x14="http://schemas.microsoft.com/office/spreadsheetml/2009/9/main" uri="{B025F937-C7B1-47D3-B67F-A62EFF666E3E}">
          <x14:id>{833C4855-DF8F-4F35-8C66-5DA71B812A1A}</x14:id>
        </ext>
      </extLst>
    </cfRule>
  </conditionalFormatting>
  <conditionalFormatting sqref="U55:U56">
    <cfRule type="cellIs" dxfId="20" priority="110" operator="lessThan">
      <formula>0</formula>
    </cfRule>
  </conditionalFormatting>
  <conditionalFormatting sqref="V6">
    <cfRule type="dataBar" priority="52">
      <dataBar>
        <cfvo type="min"/>
        <cfvo type="max"/>
        <color rgb="FF638EC6"/>
      </dataBar>
      <extLst>
        <ext xmlns:x14="http://schemas.microsoft.com/office/spreadsheetml/2009/9/main" uri="{B025F937-C7B1-47D3-B67F-A62EFF666E3E}">
          <x14:id>{C9B89277-CEBC-43C9-A433-793DCD5C9E7C}</x14:id>
        </ext>
      </extLst>
    </cfRule>
  </conditionalFormatting>
  <conditionalFormatting sqref="V6:V37">
    <cfRule type="dataBar" priority="7">
      <dataBar>
        <cfvo type="min"/>
        <cfvo type="max"/>
        <color rgb="FF638EC6"/>
      </dataBar>
      <extLst>
        <ext xmlns:x14="http://schemas.microsoft.com/office/spreadsheetml/2009/9/main" uri="{B025F937-C7B1-47D3-B67F-A62EFF666E3E}">
          <x14:id>{C73FA195-6FF9-45FD-9FD5-C2769539D4BB}</x14:id>
        </ext>
      </extLst>
    </cfRule>
  </conditionalFormatting>
  <conditionalFormatting sqref="V8">
    <cfRule type="dataBar" priority="33">
      <dataBar>
        <cfvo type="min"/>
        <cfvo type="max"/>
        <color rgb="FF638EC6"/>
      </dataBar>
      <extLst>
        <ext xmlns:x14="http://schemas.microsoft.com/office/spreadsheetml/2009/9/main" uri="{B025F937-C7B1-47D3-B67F-A62EFF666E3E}">
          <x14:id>{6AD2C70D-026C-4796-B660-82389A603558}</x14:id>
        </ext>
      </extLst>
    </cfRule>
    <cfRule type="dataBar" priority="34">
      <dataBar>
        <cfvo type="min"/>
        <cfvo type="max"/>
        <color theme="5" tint="0.59999389629810485"/>
      </dataBar>
      <extLst>
        <ext xmlns:x14="http://schemas.microsoft.com/office/spreadsheetml/2009/9/main" uri="{B025F937-C7B1-47D3-B67F-A62EFF666E3E}">
          <x14:id>{327C4ECB-F5E9-49CE-9945-92B675222792}</x14:id>
        </ext>
      </extLst>
    </cfRule>
  </conditionalFormatting>
  <conditionalFormatting sqref="V38">
    <cfRule type="dataBar" priority="116">
      <dataBar>
        <cfvo type="min"/>
        <cfvo type="max"/>
        <color rgb="FF638EC6"/>
      </dataBar>
      <extLst>
        <ext xmlns:x14="http://schemas.microsoft.com/office/spreadsheetml/2009/9/main" uri="{B025F937-C7B1-47D3-B67F-A62EFF666E3E}">
          <x14:id>{6F090AC0-D0C3-4F60-AFB8-32F66BD6154C}</x14:id>
        </ext>
      </extLst>
    </cfRule>
  </conditionalFormatting>
  <conditionalFormatting sqref="V57:V58">
    <cfRule type="cellIs" dxfId="19" priority="119" operator="lessThan">
      <formula>0</formula>
    </cfRule>
  </conditionalFormatting>
  <conditionalFormatting sqref="W6:W37">
    <cfRule type="dataBar" priority="19">
      <dataBar>
        <cfvo type="min"/>
        <cfvo type="max"/>
        <color rgb="FF638EC6"/>
      </dataBar>
      <extLst>
        <ext xmlns:x14="http://schemas.microsoft.com/office/spreadsheetml/2009/9/main" uri="{B025F937-C7B1-47D3-B67F-A62EFF666E3E}">
          <x14:id>{3E89BD63-E295-4DCC-8FA0-0B75DBF65B30}</x14:id>
        </ext>
      </extLst>
    </cfRule>
  </conditionalFormatting>
  <conditionalFormatting sqref="W7:W37">
    <cfRule type="dataBar" priority="99">
      <dataBar>
        <cfvo type="min"/>
        <cfvo type="max"/>
        <color rgb="FF638EC6"/>
      </dataBar>
      <extLst>
        <ext xmlns:x14="http://schemas.microsoft.com/office/spreadsheetml/2009/9/main" uri="{B025F937-C7B1-47D3-B67F-A62EFF666E3E}">
          <x14:id>{576D6401-C40F-4A0F-8DDF-7B45BC0F2BDA}</x14:id>
        </ext>
      </extLst>
    </cfRule>
  </conditionalFormatting>
  <conditionalFormatting sqref="W8">
    <cfRule type="dataBar" priority="101">
      <dataBar>
        <cfvo type="min"/>
        <cfvo type="max"/>
        <color rgb="FF638EC6"/>
      </dataBar>
      <extLst>
        <ext xmlns:x14="http://schemas.microsoft.com/office/spreadsheetml/2009/9/main" uri="{B025F937-C7B1-47D3-B67F-A62EFF666E3E}">
          <x14:id>{8D7F138F-3CB0-47E8-8428-7792443AC868}</x14:id>
        </ext>
      </extLst>
    </cfRule>
    <cfRule type="dataBar" priority="102">
      <dataBar>
        <cfvo type="min"/>
        <cfvo type="max"/>
        <color theme="5" tint="0.59999389629810485"/>
      </dataBar>
      <extLst>
        <ext xmlns:x14="http://schemas.microsoft.com/office/spreadsheetml/2009/9/main" uri="{B025F937-C7B1-47D3-B67F-A62EFF666E3E}">
          <x14:id>{BA157206-F5EC-4BC7-9445-B6B3CFBF1E0E}</x14:id>
        </ext>
      </extLst>
    </cfRule>
  </conditionalFormatting>
  <conditionalFormatting sqref="W10:W37">
    <cfRule type="dataBar" priority="100">
      <dataBar>
        <cfvo type="min"/>
        <cfvo type="max"/>
        <color rgb="FF638EC6"/>
      </dataBar>
      <extLst>
        <ext xmlns:x14="http://schemas.microsoft.com/office/spreadsheetml/2009/9/main" uri="{B025F937-C7B1-47D3-B67F-A62EFF666E3E}">
          <x14:id>{CC0B667C-DAE0-4390-84A4-313382DC6A07}</x14:id>
        </ext>
      </extLst>
    </cfRule>
  </conditionalFormatting>
  <conditionalFormatting sqref="W55:W56">
    <cfRule type="cellIs" dxfId="18" priority="2" operator="lessThan">
      <formula>0</formula>
    </cfRule>
  </conditionalFormatting>
  <conditionalFormatting sqref="X6">
    <cfRule type="dataBar" priority="51">
      <dataBar>
        <cfvo type="min"/>
        <cfvo type="max"/>
        <color rgb="FF638EC6"/>
      </dataBar>
      <extLst>
        <ext xmlns:x14="http://schemas.microsoft.com/office/spreadsheetml/2009/9/main" uri="{B025F937-C7B1-47D3-B67F-A62EFF666E3E}">
          <x14:id>{6EF3D006-5662-4ACF-BE74-0281F625829F}</x14:id>
        </ext>
      </extLst>
    </cfRule>
  </conditionalFormatting>
  <conditionalFormatting sqref="X6:X37">
    <cfRule type="dataBar" priority="6">
      <dataBar>
        <cfvo type="min"/>
        <cfvo type="max"/>
        <color rgb="FF638EC6"/>
      </dataBar>
      <extLst>
        <ext xmlns:x14="http://schemas.microsoft.com/office/spreadsheetml/2009/9/main" uri="{B025F937-C7B1-47D3-B67F-A62EFF666E3E}">
          <x14:id>{0B34DAC6-4B2B-4C5D-8405-65FA84F725D5}</x14:id>
        </ext>
      </extLst>
    </cfRule>
  </conditionalFormatting>
  <conditionalFormatting sqref="X8">
    <cfRule type="dataBar" priority="31">
      <dataBar>
        <cfvo type="min"/>
        <cfvo type="max"/>
        <color rgb="FF638EC6"/>
      </dataBar>
      <extLst>
        <ext xmlns:x14="http://schemas.microsoft.com/office/spreadsheetml/2009/9/main" uri="{B025F937-C7B1-47D3-B67F-A62EFF666E3E}">
          <x14:id>{8DC0605C-92C1-4289-B5BB-C2CA15DFA8D2}</x14:id>
        </ext>
      </extLst>
    </cfRule>
    <cfRule type="dataBar" priority="32">
      <dataBar>
        <cfvo type="min"/>
        <cfvo type="max"/>
        <color theme="5" tint="0.59999389629810485"/>
      </dataBar>
      <extLst>
        <ext xmlns:x14="http://schemas.microsoft.com/office/spreadsheetml/2009/9/main" uri="{B025F937-C7B1-47D3-B67F-A62EFF666E3E}">
          <x14:id>{86932245-3EE1-40CD-9EEA-28F387C2AF29}</x14:id>
        </ext>
      </extLst>
    </cfRule>
  </conditionalFormatting>
  <conditionalFormatting sqref="X57">
    <cfRule type="cellIs" dxfId="17" priority="125" operator="lessThan">
      <formula>0</formula>
    </cfRule>
  </conditionalFormatting>
  <conditionalFormatting sqref="Y6:Y37">
    <cfRule type="dataBar" priority="18">
      <dataBar>
        <cfvo type="min"/>
        <cfvo type="max"/>
        <color rgb="FF638EC6"/>
      </dataBar>
      <extLst>
        <ext xmlns:x14="http://schemas.microsoft.com/office/spreadsheetml/2009/9/main" uri="{B025F937-C7B1-47D3-B67F-A62EFF666E3E}">
          <x14:id>{6A6D1243-CA79-407F-9699-73EEDAF1F3D7}</x14:id>
        </ext>
      </extLst>
    </cfRule>
  </conditionalFormatting>
  <conditionalFormatting sqref="Y7:Y37">
    <cfRule type="dataBar" priority="104">
      <dataBar>
        <cfvo type="min"/>
        <cfvo type="max"/>
        <color rgb="FF638EC6"/>
      </dataBar>
      <extLst>
        <ext xmlns:x14="http://schemas.microsoft.com/office/spreadsheetml/2009/9/main" uri="{B025F937-C7B1-47D3-B67F-A62EFF666E3E}">
          <x14:id>{F63C6F21-63F2-47B0-9EE4-47BB879EA39B}</x14:id>
        </ext>
      </extLst>
    </cfRule>
  </conditionalFormatting>
  <conditionalFormatting sqref="Y8">
    <cfRule type="dataBar" priority="105">
      <dataBar>
        <cfvo type="min"/>
        <cfvo type="max"/>
        <color rgb="FF638EC6"/>
      </dataBar>
      <extLst>
        <ext xmlns:x14="http://schemas.microsoft.com/office/spreadsheetml/2009/9/main" uri="{B025F937-C7B1-47D3-B67F-A62EFF666E3E}">
          <x14:id>{841E6749-3F24-430E-80F0-14F45CE61B48}</x14:id>
        </ext>
      </extLst>
    </cfRule>
    <cfRule type="dataBar" priority="106">
      <dataBar>
        <cfvo type="min"/>
        <cfvo type="max"/>
        <color theme="5" tint="0.59999389629810485"/>
      </dataBar>
      <extLst>
        <ext xmlns:x14="http://schemas.microsoft.com/office/spreadsheetml/2009/9/main" uri="{B025F937-C7B1-47D3-B67F-A62EFF666E3E}">
          <x14:id>{A56557E3-E94A-41B7-84B6-13DDD05C2784}</x14:id>
        </ext>
      </extLst>
    </cfRule>
  </conditionalFormatting>
  <conditionalFormatting sqref="Y10:Y37">
    <cfRule type="dataBar" priority="103">
      <dataBar>
        <cfvo type="min"/>
        <cfvo type="max"/>
        <color rgb="FF638EC6"/>
      </dataBar>
      <extLst>
        <ext xmlns:x14="http://schemas.microsoft.com/office/spreadsheetml/2009/9/main" uri="{B025F937-C7B1-47D3-B67F-A62EFF666E3E}">
          <x14:id>{65E26875-EFF5-43B3-A6C7-DDE17F0FD54C}</x14:id>
        </ext>
      </extLst>
    </cfRule>
  </conditionalFormatting>
  <conditionalFormatting sqref="Y55:Y56">
    <cfRule type="cellIs" dxfId="16" priority="107" operator="lessThan">
      <formula>0</formula>
    </cfRule>
  </conditionalFormatting>
  <conditionalFormatting sqref="Z6">
    <cfRule type="dataBar" priority="128">
      <dataBar>
        <cfvo type="min"/>
        <cfvo type="max"/>
        <color rgb="FF638EC6"/>
      </dataBar>
      <extLst>
        <ext xmlns:x14="http://schemas.microsoft.com/office/spreadsheetml/2009/9/main" uri="{B025F937-C7B1-47D3-B67F-A62EFF666E3E}">
          <x14:id>{7EA14B42-DA11-42F8-889E-A30E26C39D62}</x14:id>
        </ext>
      </extLst>
    </cfRule>
  </conditionalFormatting>
  <conditionalFormatting sqref="Z6:Z37">
    <cfRule type="dataBar" priority="5">
      <dataBar>
        <cfvo type="min"/>
        <cfvo type="max"/>
        <color rgb="FF638EC6"/>
      </dataBar>
      <extLst>
        <ext xmlns:x14="http://schemas.microsoft.com/office/spreadsheetml/2009/9/main" uri="{B025F937-C7B1-47D3-B67F-A62EFF666E3E}">
          <x14:id>{76F9512C-73D6-422E-9626-C10DE54FC590}</x14:id>
        </ext>
      </extLst>
    </cfRule>
  </conditionalFormatting>
  <conditionalFormatting sqref="Z8">
    <cfRule type="dataBar" priority="29">
      <dataBar>
        <cfvo type="min"/>
        <cfvo type="max"/>
        <color rgb="FF638EC6"/>
      </dataBar>
      <extLst>
        <ext xmlns:x14="http://schemas.microsoft.com/office/spreadsheetml/2009/9/main" uri="{B025F937-C7B1-47D3-B67F-A62EFF666E3E}">
          <x14:id>{8AF9004E-EF3C-499C-95AF-96B45ADFA49C}</x14:id>
        </ext>
      </extLst>
    </cfRule>
    <cfRule type="dataBar" priority="30">
      <dataBar>
        <cfvo type="min"/>
        <cfvo type="max"/>
        <color theme="5" tint="0.59999389629810485"/>
      </dataBar>
      <extLst>
        <ext xmlns:x14="http://schemas.microsoft.com/office/spreadsheetml/2009/9/main" uri="{B025F937-C7B1-47D3-B67F-A62EFF666E3E}">
          <x14:id>{475F2ADE-BEB3-4263-B0BD-5B6A26F29FFF}</x14:id>
        </ext>
      </extLst>
    </cfRule>
  </conditionalFormatting>
  <conditionalFormatting sqref="Z55:Z57">
    <cfRule type="cellIs" dxfId="15" priority="109" operator="lessThan">
      <formula>0</formula>
    </cfRule>
  </conditionalFormatting>
  <conditionalFormatting sqref="AA6:AA37">
    <cfRule type="dataBar" priority="17">
      <dataBar>
        <cfvo type="min"/>
        <cfvo type="max"/>
        <color rgb="FF638EC6"/>
      </dataBar>
      <extLst>
        <ext xmlns:x14="http://schemas.microsoft.com/office/spreadsheetml/2009/9/main" uri="{B025F937-C7B1-47D3-B67F-A62EFF666E3E}">
          <x14:id>{ACD9D5B6-1EFA-41EF-908B-76A48A2E630D}</x14:id>
        </ext>
      </extLst>
    </cfRule>
  </conditionalFormatting>
  <conditionalFormatting sqref="AA7:AA37">
    <cfRule type="dataBar" priority="122">
      <dataBar>
        <cfvo type="min"/>
        <cfvo type="max"/>
        <color rgb="FF638EC6"/>
      </dataBar>
      <extLst>
        <ext xmlns:x14="http://schemas.microsoft.com/office/spreadsheetml/2009/9/main" uri="{B025F937-C7B1-47D3-B67F-A62EFF666E3E}">
          <x14:id>{80476543-C486-4DAD-8844-16709364979A}</x14:id>
        </ext>
      </extLst>
    </cfRule>
  </conditionalFormatting>
  <conditionalFormatting sqref="AA8">
    <cfRule type="dataBar" priority="123">
      <dataBar>
        <cfvo type="min"/>
        <cfvo type="max"/>
        <color rgb="FF638EC6"/>
      </dataBar>
      <extLst>
        <ext xmlns:x14="http://schemas.microsoft.com/office/spreadsheetml/2009/9/main" uri="{B025F937-C7B1-47D3-B67F-A62EFF666E3E}">
          <x14:id>{22A04437-DF53-4686-8E61-0AFB46B468BA}</x14:id>
        </ext>
      </extLst>
    </cfRule>
    <cfRule type="dataBar" priority="124">
      <dataBar>
        <cfvo type="min"/>
        <cfvo type="max"/>
        <color theme="5" tint="0.59999389629810485"/>
      </dataBar>
      <extLst>
        <ext xmlns:x14="http://schemas.microsoft.com/office/spreadsheetml/2009/9/main" uri="{B025F937-C7B1-47D3-B67F-A62EFF666E3E}">
          <x14:id>{3F25159D-2057-4CCF-9483-8CA5784AC9AA}</x14:id>
        </ext>
      </extLst>
    </cfRule>
  </conditionalFormatting>
  <conditionalFormatting sqref="AA10:AA37">
    <cfRule type="dataBar" priority="121">
      <dataBar>
        <cfvo type="min"/>
        <cfvo type="max"/>
        <color rgb="FF638EC6"/>
      </dataBar>
      <extLst>
        <ext xmlns:x14="http://schemas.microsoft.com/office/spreadsheetml/2009/9/main" uri="{B025F937-C7B1-47D3-B67F-A62EFF666E3E}">
          <x14:id>{4BE1D4FC-D9C2-423C-BED4-95F5B307C6CC}</x14:id>
        </ext>
      </extLst>
    </cfRule>
  </conditionalFormatting>
  <hyperlinks>
    <hyperlink ref="B1" location="INDEX!A1" display="INDEX" xr:uid="{380286E9-DDA8-42E0-9DA6-564B190ED1C3}"/>
  </hyperlinks>
  <pageMargins left="0.7" right="0.7" top="0.75" bottom="0.75" header="0.3" footer="0.3"/>
  <pageSetup orientation="portrait"/>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59350DF-F1FE-4F91-B9CD-BF21789030DA}">
            <x14:dataBar minLength="0" maxLength="100" gradient="0">
              <x14:cfvo type="autoMin"/>
              <x14:cfvo type="autoMax"/>
              <x14:negativeFillColor rgb="FFFF0000"/>
              <x14:axisColor rgb="FF000000"/>
            </x14:dataBar>
          </x14:cfRule>
          <xm:sqref>C91:C105</xm:sqref>
        </x14:conditionalFormatting>
        <x14:conditionalFormatting xmlns:xm="http://schemas.microsoft.com/office/excel/2006/main">
          <x14:cfRule type="dataBar" id="{F77434C2-B704-4247-AE60-D7BAFB04A905}">
            <x14:dataBar minLength="0" maxLength="100" gradient="0">
              <x14:cfvo type="autoMin"/>
              <x14:cfvo type="autoMax"/>
              <x14:negativeFillColor rgb="FFFF0000"/>
              <x14:axisColor rgb="FF000000"/>
            </x14:dataBar>
          </x14:cfRule>
          <xm:sqref>D6</xm:sqref>
        </x14:conditionalFormatting>
        <x14:conditionalFormatting xmlns:xm="http://schemas.microsoft.com/office/excel/2006/main">
          <x14:cfRule type="dataBar" id="{9D91A2F2-6B76-4A39-A3A6-A335186A7AFA}">
            <x14:dataBar minLength="0" maxLength="100" gradient="0">
              <x14:cfvo type="autoMin"/>
              <x14:cfvo type="autoMax"/>
              <x14:negativeFillColor rgb="FFFF0000"/>
              <x14:axisColor rgb="FF000000"/>
            </x14:dataBar>
          </x14:cfRule>
          <xm:sqref>D6:D37</xm:sqref>
        </x14:conditionalFormatting>
        <x14:conditionalFormatting xmlns:xm="http://schemas.microsoft.com/office/excel/2006/main">
          <x14:cfRule type="dataBar" id="{6B2A26B3-4571-4E7B-A9D9-C44E40608933}">
            <x14:dataBar minLength="0" maxLength="100" gradient="0">
              <x14:cfvo type="autoMin"/>
              <x14:cfvo type="autoMax"/>
              <x14:negativeFillColor rgb="FFFF0000"/>
              <x14:axisColor rgb="FF000000"/>
            </x14:dataBar>
          </x14:cfRule>
          <x14:cfRule type="dataBar" id="{876E3B40-95B9-4259-8E61-3571325BDC46}">
            <x14:dataBar minLength="0" maxLength="100" gradient="0">
              <x14:cfvo type="autoMin"/>
              <x14:cfvo type="autoMax"/>
              <x14:negativeFillColor rgb="FFFF0000"/>
              <x14:axisColor rgb="FF000000"/>
            </x14:dataBar>
          </x14:cfRule>
          <xm:sqref>D8</xm:sqref>
        </x14:conditionalFormatting>
        <x14:conditionalFormatting xmlns:xm="http://schemas.microsoft.com/office/excel/2006/main">
          <x14:cfRule type="dataBar" id="{9BAD2BEC-E81F-43B8-A766-ABDEEA4ACA62}">
            <x14:dataBar minLength="0" maxLength="100" gradient="0">
              <x14:cfvo type="autoMin"/>
              <x14:cfvo type="autoMax"/>
              <x14:negativeFillColor rgb="FFFF0000"/>
              <x14:axisColor rgb="FF000000"/>
            </x14:dataBar>
          </x14:cfRule>
          <xm:sqref>E6:E37</xm:sqref>
        </x14:conditionalFormatting>
        <x14:conditionalFormatting xmlns:xm="http://schemas.microsoft.com/office/excel/2006/main">
          <x14:cfRule type="dataBar" id="{ECD72229-E0C3-437C-9268-8993EFEE1F1C}">
            <x14:dataBar minLength="0" maxLength="100" gradient="0">
              <x14:cfvo type="autoMin"/>
              <x14:cfvo type="autoMax"/>
              <x14:negativeFillColor rgb="FFFF0000"/>
              <x14:axisColor rgb="FF000000"/>
            </x14:dataBar>
          </x14:cfRule>
          <xm:sqref>E7:E37</xm:sqref>
        </x14:conditionalFormatting>
        <x14:conditionalFormatting xmlns:xm="http://schemas.microsoft.com/office/excel/2006/main">
          <x14:cfRule type="dataBar" id="{DFA4A2FD-8E2C-478B-9F38-2C164057988B}">
            <x14:dataBar minLength="0" maxLength="100" gradient="0">
              <x14:cfvo type="autoMin"/>
              <x14:cfvo type="autoMax"/>
              <x14:negativeFillColor rgb="FFFF0000"/>
              <x14:axisColor rgb="FF000000"/>
            </x14:dataBar>
          </x14:cfRule>
          <x14:cfRule type="dataBar" id="{41373F38-1257-4D38-A4A3-49B433C43106}">
            <x14:dataBar minLength="0" maxLength="100" gradient="0">
              <x14:cfvo type="autoMin"/>
              <x14:cfvo type="autoMax"/>
              <x14:negativeFillColor rgb="FFFF0000"/>
              <x14:axisColor rgb="FF000000"/>
            </x14:dataBar>
          </x14:cfRule>
          <xm:sqref>E8</xm:sqref>
        </x14:conditionalFormatting>
        <x14:conditionalFormatting xmlns:xm="http://schemas.microsoft.com/office/excel/2006/main">
          <x14:cfRule type="dataBar" id="{49985378-6F13-48B6-B1E4-7B0ED65CB140}">
            <x14:dataBar minLength="0" maxLength="100" gradient="0">
              <x14:cfvo type="autoMin"/>
              <x14:cfvo type="autoMax"/>
              <x14:negativeFillColor rgb="FFFF0000"/>
              <x14:axisColor rgb="FF000000"/>
            </x14:dataBar>
          </x14:cfRule>
          <xm:sqref>E10:E37</xm:sqref>
        </x14:conditionalFormatting>
        <x14:conditionalFormatting xmlns:xm="http://schemas.microsoft.com/office/excel/2006/main">
          <x14:cfRule type="dataBar" id="{D7FA138C-5FD4-4F3E-B655-60BDED907D33}">
            <x14:dataBar minLength="0" maxLength="100" gradient="0">
              <x14:cfvo type="autoMin"/>
              <x14:cfvo type="autoMax"/>
              <x14:negativeFillColor rgb="FFFF0000"/>
              <x14:axisColor rgb="FF000000"/>
            </x14:dataBar>
          </x14:cfRule>
          <xm:sqref>F6</xm:sqref>
        </x14:conditionalFormatting>
        <x14:conditionalFormatting xmlns:xm="http://schemas.microsoft.com/office/excel/2006/main">
          <x14:cfRule type="dataBar" id="{17B459E2-C83A-4D80-8CF7-7FEA95277A90}">
            <x14:dataBar minLength="0" maxLength="100" gradient="0">
              <x14:cfvo type="autoMin"/>
              <x14:cfvo type="autoMax"/>
              <x14:negativeFillColor rgb="FFFF0000"/>
              <x14:axisColor rgb="FF000000"/>
            </x14:dataBar>
          </x14:cfRule>
          <xm:sqref>F6:F37</xm:sqref>
        </x14:conditionalFormatting>
        <x14:conditionalFormatting xmlns:xm="http://schemas.microsoft.com/office/excel/2006/main">
          <x14:cfRule type="dataBar" id="{422CBEC1-BDBD-43F4-8FA5-632A73D2CFB9}">
            <x14:dataBar minLength="0" maxLength="100" gradient="0">
              <x14:cfvo type="autoMin"/>
              <x14:cfvo type="autoMax"/>
              <x14:negativeFillColor rgb="FFFF0000"/>
              <x14:axisColor rgb="FF000000"/>
            </x14:dataBar>
          </x14:cfRule>
          <x14:cfRule type="dataBar" id="{04096BB2-BB7E-40C8-85D1-A8AAE9CBCF79}">
            <x14:dataBar minLength="0" maxLength="100" gradient="0">
              <x14:cfvo type="autoMin"/>
              <x14:cfvo type="autoMax"/>
              <x14:negativeFillColor rgb="FFFF0000"/>
              <x14:axisColor rgb="FF000000"/>
            </x14:dataBar>
          </x14:cfRule>
          <xm:sqref>F8</xm:sqref>
        </x14:conditionalFormatting>
        <x14:conditionalFormatting xmlns:xm="http://schemas.microsoft.com/office/excel/2006/main">
          <x14:cfRule type="dataBar" id="{1E66FA3F-A223-421F-AB1C-AB7D6AA1F005}">
            <x14:dataBar minLength="0" maxLength="100" gradient="0">
              <x14:cfvo type="autoMin"/>
              <x14:cfvo type="autoMax"/>
              <x14:negativeFillColor rgb="FFFF0000"/>
              <x14:axisColor rgb="FF000000"/>
            </x14:dataBar>
          </x14:cfRule>
          <xm:sqref>G6:G37</xm:sqref>
        </x14:conditionalFormatting>
        <x14:conditionalFormatting xmlns:xm="http://schemas.microsoft.com/office/excel/2006/main">
          <x14:cfRule type="dataBar" id="{578EE571-A5FE-4F0E-9545-8077182120E8}">
            <x14:dataBar minLength="0" maxLength="100" gradient="0">
              <x14:cfvo type="autoMin"/>
              <x14:cfvo type="autoMax"/>
              <x14:negativeFillColor rgb="FFFF0000"/>
              <x14:axisColor rgb="FF000000"/>
            </x14:dataBar>
          </x14:cfRule>
          <xm:sqref>G7:G37</xm:sqref>
        </x14:conditionalFormatting>
        <x14:conditionalFormatting xmlns:xm="http://schemas.microsoft.com/office/excel/2006/main">
          <x14:cfRule type="dataBar" id="{8EC16D29-E61E-43FD-9CD4-674C82EBBF88}">
            <x14:dataBar minLength="0" maxLength="100" gradient="0">
              <x14:cfvo type="autoMin"/>
              <x14:cfvo type="autoMax"/>
              <x14:negativeFillColor rgb="FFFF0000"/>
              <x14:axisColor rgb="FF000000"/>
            </x14:dataBar>
          </x14:cfRule>
          <x14:cfRule type="dataBar" id="{D9EA7123-48B0-49AA-AD67-AB6D92313564}">
            <x14:dataBar minLength="0" maxLength="100" gradient="0">
              <x14:cfvo type="autoMin"/>
              <x14:cfvo type="autoMax"/>
              <x14:negativeFillColor rgb="FFFF0000"/>
              <x14:axisColor rgb="FF000000"/>
            </x14:dataBar>
          </x14:cfRule>
          <xm:sqref>G8</xm:sqref>
        </x14:conditionalFormatting>
        <x14:conditionalFormatting xmlns:xm="http://schemas.microsoft.com/office/excel/2006/main">
          <x14:cfRule type="dataBar" id="{1426DBC0-B616-4F95-8D33-20C585D3E85F}">
            <x14:dataBar minLength="0" maxLength="100" gradient="0">
              <x14:cfvo type="autoMin"/>
              <x14:cfvo type="autoMax"/>
              <x14:negativeFillColor rgb="FFFF0000"/>
              <x14:axisColor rgb="FF000000"/>
            </x14:dataBar>
          </x14:cfRule>
          <xm:sqref>G10:G37</xm:sqref>
        </x14:conditionalFormatting>
        <x14:conditionalFormatting xmlns:xm="http://schemas.microsoft.com/office/excel/2006/main">
          <x14:cfRule type="dataBar" id="{06D0DBDA-5D6D-4BB8-BEE4-65C6DC67BC12}">
            <x14:dataBar minLength="0" maxLength="100" gradient="0">
              <x14:cfvo type="autoMin"/>
              <x14:cfvo type="autoMax"/>
              <x14:negativeFillColor rgb="FFFF0000"/>
              <x14:axisColor rgb="FF000000"/>
            </x14:dataBar>
          </x14:cfRule>
          <xm:sqref>H6</xm:sqref>
        </x14:conditionalFormatting>
        <x14:conditionalFormatting xmlns:xm="http://schemas.microsoft.com/office/excel/2006/main">
          <x14:cfRule type="dataBar" id="{EB880DCE-1D79-4FBA-858F-CE2ACDF05E9D}">
            <x14:dataBar minLength="0" maxLength="100" gradient="0">
              <x14:cfvo type="autoMin"/>
              <x14:cfvo type="autoMax"/>
              <x14:negativeFillColor rgb="FFFF0000"/>
              <x14:axisColor rgb="FF000000"/>
            </x14:dataBar>
          </x14:cfRule>
          <xm:sqref>H6:H37</xm:sqref>
        </x14:conditionalFormatting>
        <x14:conditionalFormatting xmlns:xm="http://schemas.microsoft.com/office/excel/2006/main">
          <x14:cfRule type="dataBar" id="{A2B60E41-F48C-488E-8B5E-CAB24209F3D3}">
            <x14:dataBar minLength="0" maxLength="100" gradient="0">
              <x14:cfvo type="autoMin"/>
              <x14:cfvo type="autoMax"/>
              <x14:negativeFillColor rgb="FFFF0000"/>
              <x14:axisColor rgb="FF000000"/>
            </x14:dataBar>
          </x14:cfRule>
          <x14:cfRule type="dataBar" id="{42CE8F93-3340-4F30-AE27-E61F4F325911}">
            <x14:dataBar minLength="0" maxLength="100" gradient="0">
              <x14:cfvo type="autoMin"/>
              <x14:cfvo type="autoMax"/>
              <x14:negativeFillColor rgb="FFFF0000"/>
              <x14:axisColor rgb="FF000000"/>
            </x14:dataBar>
          </x14:cfRule>
          <xm:sqref>H8</xm:sqref>
        </x14:conditionalFormatting>
        <x14:conditionalFormatting xmlns:xm="http://schemas.microsoft.com/office/excel/2006/main">
          <x14:cfRule type="dataBar" id="{794EBA31-88DD-4642-BF13-8CE294510F19}">
            <x14:dataBar minLength="0" maxLength="100" gradient="0">
              <x14:cfvo type="autoMin"/>
              <x14:cfvo type="autoMax"/>
              <x14:negativeFillColor rgb="FFFF0000"/>
              <x14:axisColor rgb="FF000000"/>
            </x14:dataBar>
          </x14:cfRule>
          <xm:sqref>I6:I37</xm:sqref>
        </x14:conditionalFormatting>
        <x14:conditionalFormatting xmlns:xm="http://schemas.microsoft.com/office/excel/2006/main">
          <x14:cfRule type="dataBar" id="{8073DE46-4077-419E-8730-E230D60D4D99}">
            <x14:dataBar minLength="0" maxLength="100" gradient="0">
              <x14:cfvo type="autoMin"/>
              <x14:cfvo type="autoMax"/>
              <x14:negativeFillColor rgb="FFFF0000"/>
              <x14:axisColor rgb="FF000000"/>
            </x14:dataBar>
          </x14:cfRule>
          <xm:sqref>I7:I37</xm:sqref>
        </x14:conditionalFormatting>
        <x14:conditionalFormatting xmlns:xm="http://schemas.microsoft.com/office/excel/2006/main">
          <x14:cfRule type="dataBar" id="{69449C44-9F15-4F40-AE49-BF2D8506B076}">
            <x14:dataBar minLength="0" maxLength="100" gradient="0">
              <x14:cfvo type="autoMin"/>
              <x14:cfvo type="autoMax"/>
              <x14:negativeFillColor rgb="FFFF0000"/>
              <x14:axisColor rgb="FF000000"/>
            </x14:dataBar>
          </x14:cfRule>
          <x14:cfRule type="dataBar" id="{855CB03F-5C39-468B-98F2-47081F251BED}">
            <x14:dataBar minLength="0" maxLength="100" gradient="0">
              <x14:cfvo type="autoMin"/>
              <x14:cfvo type="autoMax"/>
              <x14:negativeFillColor rgb="FFFF0000"/>
              <x14:axisColor rgb="FF000000"/>
            </x14:dataBar>
          </x14:cfRule>
          <xm:sqref>I8</xm:sqref>
        </x14:conditionalFormatting>
        <x14:conditionalFormatting xmlns:xm="http://schemas.microsoft.com/office/excel/2006/main">
          <x14:cfRule type="dataBar" id="{3841ADA7-5692-4BB9-BFDA-465967D2138A}">
            <x14:dataBar minLength="0" maxLength="100" gradient="0">
              <x14:cfvo type="autoMin"/>
              <x14:cfvo type="autoMax"/>
              <x14:negativeFillColor rgb="FFFF0000"/>
              <x14:axisColor rgb="FF000000"/>
            </x14:dataBar>
          </x14:cfRule>
          <xm:sqref>I10:I37</xm:sqref>
        </x14:conditionalFormatting>
        <x14:conditionalFormatting xmlns:xm="http://schemas.microsoft.com/office/excel/2006/main">
          <x14:cfRule type="dataBar" id="{240D7FC2-0DC5-4225-B080-1F862A61C408}">
            <x14:dataBar minLength="0" maxLength="100" gradient="0">
              <x14:cfvo type="autoMin"/>
              <x14:cfvo type="autoMax"/>
              <x14:negativeFillColor rgb="FFFF0000"/>
              <x14:axisColor rgb="FF000000"/>
            </x14:dataBar>
          </x14:cfRule>
          <xm:sqref>J6</xm:sqref>
        </x14:conditionalFormatting>
        <x14:conditionalFormatting xmlns:xm="http://schemas.microsoft.com/office/excel/2006/main">
          <x14:cfRule type="dataBar" id="{587461AF-2D2C-4E50-B3F8-4B1E99697034}">
            <x14:dataBar minLength="0" maxLength="100" gradient="0">
              <x14:cfvo type="autoMin"/>
              <x14:cfvo type="autoMax"/>
              <x14:negativeFillColor rgb="FFFF0000"/>
              <x14:axisColor rgb="FF000000"/>
            </x14:dataBar>
          </x14:cfRule>
          <xm:sqref>J6:J37</xm:sqref>
        </x14:conditionalFormatting>
        <x14:conditionalFormatting xmlns:xm="http://schemas.microsoft.com/office/excel/2006/main">
          <x14:cfRule type="dataBar" id="{471B242A-C05C-455E-A6F8-64D09F0C7985}">
            <x14:dataBar minLength="0" maxLength="100" gradient="0">
              <x14:cfvo type="autoMin"/>
              <x14:cfvo type="autoMax"/>
              <x14:negativeFillColor rgb="FFFF0000"/>
              <x14:axisColor rgb="FF000000"/>
            </x14:dataBar>
          </x14:cfRule>
          <x14:cfRule type="dataBar" id="{C3E454AA-EF66-435D-A65E-BFA457E44F6E}">
            <x14:dataBar minLength="0" maxLength="100" gradient="0">
              <x14:cfvo type="autoMin"/>
              <x14:cfvo type="autoMax"/>
              <x14:negativeFillColor rgb="FFFF0000"/>
              <x14:axisColor rgb="FF000000"/>
            </x14:dataBar>
          </x14:cfRule>
          <xm:sqref>J8</xm:sqref>
        </x14:conditionalFormatting>
        <x14:conditionalFormatting xmlns:xm="http://schemas.microsoft.com/office/excel/2006/main">
          <x14:cfRule type="dataBar" id="{944DB80A-1FF2-46E0-806F-A3C2DA0CB7AA}">
            <x14:dataBar minLength="0" maxLength="100" gradient="0">
              <x14:cfvo type="autoMin"/>
              <x14:cfvo type="autoMax"/>
              <x14:negativeFillColor rgb="FFFF0000"/>
              <x14:axisColor rgb="FF000000"/>
            </x14:dataBar>
          </x14:cfRule>
          <xm:sqref>K6:K37</xm:sqref>
        </x14:conditionalFormatting>
        <x14:conditionalFormatting xmlns:xm="http://schemas.microsoft.com/office/excel/2006/main">
          <x14:cfRule type="dataBar" id="{009E9041-9A6D-4CEF-9DA3-070C44BE3C62}">
            <x14:dataBar minLength="0" maxLength="100" gradient="0">
              <x14:cfvo type="autoMin"/>
              <x14:cfvo type="autoMax"/>
              <x14:negativeFillColor rgb="FFFF0000"/>
              <x14:axisColor rgb="FF000000"/>
            </x14:dataBar>
          </x14:cfRule>
          <xm:sqref>K7:K37</xm:sqref>
        </x14:conditionalFormatting>
        <x14:conditionalFormatting xmlns:xm="http://schemas.microsoft.com/office/excel/2006/main">
          <x14:cfRule type="dataBar" id="{9F14CE3A-3F2C-44F7-9982-6D5EF728E901}">
            <x14:dataBar minLength="0" maxLength="100" gradient="0">
              <x14:cfvo type="autoMin"/>
              <x14:cfvo type="autoMax"/>
              <x14:negativeFillColor rgb="FFFF0000"/>
              <x14:axisColor rgb="FF000000"/>
            </x14:dataBar>
          </x14:cfRule>
          <x14:cfRule type="dataBar" id="{7C9EFF40-2CF2-4CAC-AFFE-3F6DE78819C3}">
            <x14:dataBar minLength="0" maxLength="100" gradient="0">
              <x14:cfvo type="autoMin"/>
              <x14:cfvo type="autoMax"/>
              <x14:negativeFillColor rgb="FFFF0000"/>
              <x14:axisColor rgb="FF000000"/>
            </x14:dataBar>
          </x14:cfRule>
          <xm:sqref>K8</xm:sqref>
        </x14:conditionalFormatting>
        <x14:conditionalFormatting xmlns:xm="http://schemas.microsoft.com/office/excel/2006/main">
          <x14:cfRule type="dataBar" id="{0F3D7185-95D3-4CB5-A24C-BC3A7DEAEE9E}">
            <x14:dataBar minLength="0" maxLength="100" gradient="0">
              <x14:cfvo type="autoMin"/>
              <x14:cfvo type="autoMax"/>
              <x14:negativeFillColor rgb="FFFF0000"/>
              <x14:axisColor rgb="FF000000"/>
            </x14:dataBar>
          </x14:cfRule>
          <xm:sqref>K10:K37</xm:sqref>
        </x14:conditionalFormatting>
        <x14:conditionalFormatting xmlns:xm="http://schemas.microsoft.com/office/excel/2006/main">
          <x14:cfRule type="dataBar" id="{A27421AF-15A2-4F09-AA4C-7D370A9A28F5}">
            <x14:dataBar minLength="0" maxLength="100" gradient="0">
              <x14:cfvo type="autoMin"/>
              <x14:cfvo type="autoMax"/>
              <x14:negativeFillColor rgb="FFFF0000"/>
              <x14:axisColor rgb="FF000000"/>
            </x14:dataBar>
          </x14:cfRule>
          <xm:sqref>L6</xm:sqref>
        </x14:conditionalFormatting>
        <x14:conditionalFormatting xmlns:xm="http://schemas.microsoft.com/office/excel/2006/main">
          <x14:cfRule type="dataBar" id="{C13E0902-AAF4-4AED-A98F-88D615FB221E}">
            <x14:dataBar minLength="0" maxLength="100" gradient="0">
              <x14:cfvo type="autoMin"/>
              <x14:cfvo type="autoMax"/>
              <x14:negativeFillColor rgb="FFFF0000"/>
              <x14:axisColor rgb="FF000000"/>
            </x14:dataBar>
          </x14:cfRule>
          <xm:sqref>L6:L37</xm:sqref>
        </x14:conditionalFormatting>
        <x14:conditionalFormatting xmlns:xm="http://schemas.microsoft.com/office/excel/2006/main">
          <x14:cfRule type="dataBar" id="{DB04A09C-FB94-48B9-99B9-6C290746E182}">
            <x14:dataBar minLength="0" maxLength="100" gradient="0">
              <x14:cfvo type="autoMin"/>
              <x14:cfvo type="autoMax"/>
              <x14:negativeFillColor rgb="FFFF0000"/>
              <x14:axisColor rgb="FF000000"/>
            </x14:dataBar>
          </x14:cfRule>
          <x14:cfRule type="dataBar" id="{1B9C56AE-086A-49E7-B2E8-963493EBBE33}">
            <x14:dataBar minLength="0" maxLength="100" gradient="0">
              <x14:cfvo type="autoMin"/>
              <x14:cfvo type="autoMax"/>
              <x14:negativeFillColor rgb="FFFF0000"/>
              <x14:axisColor rgb="FF000000"/>
            </x14:dataBar>
          </x14:cfRule>
          <xm:sqref>L8</xm:sqref>
        </x14:conditionalFormatting>
        <x14:conditionalFormatting xmlns:xm="http://schemas.microsoft.com/office/excel/2006/main">
          <x14:cfRule type="dataBar" id="{2B8712A3-BCE9-4E40-A725-C9C4AB7BE294}">
            <x14:dataBar minLength="0" maxLength="100" gradient="0">
              <x14:cfvo type="autoMin"/>
              <x14:cfvo type="autoMax"/>
              <x14:negativeFillColor rgb="FFFF0000"/>
              <x14:axisColor rgb="FF000000"/>
            </x14:dataBar>
          </x14:cfRule>
          <xm:sqref>M6:M37</xm:sqref>
        </x14:conditionalFormatting>
        <x14:conditionalFormatting xmlns:xm="http://schemas.microsoft.com/office/excel/2006/main">
          <x14:cfRule type="dataBar" id="{B4CAFE11-E0E4-4150-8833-F2749648CA92}">
            <x14:dataBar minLength="0" maxLength="100" gradient="0">
              <x14:cfvo type="autoMin"/>
              <x14:cfvo type="autoMax"/>
              <x14:negativeFillColor rgb="FFFF0000"/>
              <x14:axisColor rgb="FF000000"/>
            </x14:dataBar>
          </x14:cfRule>
          <xm:sqref>M7:M37</xm:sqref>
        </x14:conditionalFormatting>
        <x14:conditionalFormatting xmlns:xm="http://schemas.microsoft.com/office/excel/2006/main">
          <x14:cfRule type="dataBar" id="{59B3D704-C522-4AF3-9A4E-C3C7A75F5763}">
            <x14:dataBar minLength="0" maxLength="100" gradient="0">
              <x14:cfvo type="autoMin"/>
              <x14:cfvo type="autoMax"/>
              <x14:negativeFillColor rgb="FFFF0000"/>
              <x14:axisColor rgb="FF000000"/>
            </x14:dataBar>
          </x14:cfRule>
          <x14:cfRule type="dataBar" id="{B09D33EB-7929-40CC-8287-1615CA57BEB5}">
            <x14:dataBar minLength="0" maxLength="100" gradient="0">
              <x14:cfvo type="autoMin"/>
              <x14:cfvo type="autoMax"/>
              <x14:negativeFillColor rgb="FFFF0000"/>
              <x14:axisColor rgb="FF000000"/>
            </x14:dataBar>
          </x14:cfRule>
          <xm:sqref>M8</xm:sqref>
        </x14:conditionalFormatting>
        <x14:conditionalFormatting xmlns:xm="http://schemas.microsoft.com/office/excel/2006/main">
          <x14:cfRule type="dataBar" id="{F88C0FD7-886E-45FD-96A6-C749D986D00F}">
            <x14:dataBar minLength="0" maxLength="100" gradient="0">
              <x14:cfvo type="autoMin"/>
              <x14:cfvo type="autoMax"/>
              <x14:negativeFillColor rgb="FFFF0000"/>
              <x14:axisColor rgb="FF000000"/>
            </x14:dataBar>
          </x14:cfRule>
          <xm:sqref>M10:M37</xm:sqref>
        </x14:conditionalFormatting>
        <x14:conditionalFormatting xmlns:xm="http://schemas.microsoft.com/office/excel/2006/main">
          <x14:cfRule type="dataBar" id="{69679026-F0DA-4D7A-8750-7A91A0EAF6B0}">
            <x14:dataBar minLength="0" maxLength="100" gradient="0">
              <x14:cfvo type="autoMin"/>
              <x14:cfvo type="autoMax"/>
              <x14:negativeFillColor rgb="FFFF0000"/>
              <x14:axisColor rgb="FF000000"/>
            </x14:dataBar>
          </x14:cfRule>
          <xm:sqref>N6</xm:sqref>
        </x14:conditionalFormatting>
        <x14:conditionalFormatting xmlns:xm="http://schemas.microsoft.com/office/excel/2006/main">
          <x14:cfRule type="dataBar" id="{8AB30F20-F210-4521-9BE1-07E0B9257C0D}">
            <x14:dataBar minLength="0" maxLength="100" gradient="0">
              <x14:cfvo type="autoMin"/>
              <x14:cfvo type="autoMax"/>
              <x14:negativeFillColor rgb="FFFF0000"/>
              <x14:axisColor rgb="FF000000"/>
            </x14:dataBar>
          </x14:cfRule>
          <xm:sqref>N6:N37</xm:sqref>
        </x14:conditionalFormatting>
        <x14:conditionalFormatting xmlns:xm="http://schemas.microsoft.com/office/excel/2006/main">
          <x14:cfRule type="dataBar" id="{2E671AE8-83D1-4B3B-B6A4-83E5BE58FDF5}">
            <x14:dataBar minLength="0" maxLength="100" gradient="0">
              <x14:cfvo type="autoMin"/>
              <x14:cfvo type="autoMax"/>
              <x14:negativeFillColor rgb="FFFF0000"/>
              <x14:axisColor rgb="FF000000"/>
            </x14:dataBar>
          </x14:cfRule>
          <x14:cfRule type="dataBar" id="{AEDA84C7-6A19-4406-8A59-FE2FDD95C469}">
            <x14:dataBar minLength="0" maxLength="100" gradient="0">
              <x14:cfvo type="autoMin"/>
              <x14:cfvo type="autoMax"/>
              <x14:negativeFillColor rgb="FFFF0000"/>
              <x14:axisColor rgb="FF000000"/>
            </x14:dataBar>
          </x14:cfRule>
          <xm:sqref>N8</xm:sqref>
        </x14:conditionalFormatting>
        <x14:conditionalFormatting xmlns:xm="http://schemas.microsoft.com/office/excel/2006/main">
          <x14:cfRule type="dataBar" id="{B0C8B276-FFA2-4C14-B876-40CCBA56CCE4}">
            <x14:dataBar minLength="0" maxLength="100" gradient="0">
              <x14:cfvo type="autoMin"/>
              <x14:cfvo type="autoMax"/>
              <x14:negativeFillColor rgb="FFFF0000"/>
              <x14:axisColor rgb="FF000000"/>
            </x14:dataBar>
          </x14:cfRule>
          <xm:sqref>O6:O37</xm:sqref>
        </x14:conditionalFormatting>
        <x14:conditionalFormatting xmlns:xm="http://schemas.microsoft.com/office/excel/2006/main">
          <x14:cfRule type="dataBar" id="{E2580AED-A277-44CA-9263-33FEA57D2510}">
            <x14:dataBar minLength="0" maxLength="100" gradient="0">
              <x14:cfvo type="autoMin"/>
              <x14:cfvo type="autoMax"/>
              <x14:negativeFillColor rgb="FFFF0000"/>
              <x14:axisColor rgb="FF000000"/>
            </x14:dataBar>
          </x14:cfRule>
          <xm:sqref>O7:O37</xm:sqref>
        </x14:conditionalFormatting>
        <x14:conditionalFormatting xmlns:xm="http://schemas.microsoft.com/office/excel/2006/main">
          <x14:cfRule type="dataBar" id="{02ABFB10-8D28-4D50-B4E5-CED8A845ACBE}">
            <x14:dataBar minLength="0" maxLength="100" gradient="0">
              <x14:cfvo type="autoMin"/>
              <x14:cfvo type="autoMax"/>
              <x14:negativeFillColor rgb="FFFF0000"/>
              <x14:axisColor rgb="FF000000"/>
            </x14:dataBar>
          </x14:cfRule>
          <x14:cfRule type="dataBar" id="{A996A9DC-F20E-4465-B335-2A4293E9C2F0}">
            <x14:dataBar minLength="0" maxLength="100" gradient="0">
              <x14:cfvo type="autoMin"/>
              <x14:cfvo type="autoMax"/>
              <x14:negativeFillColor rgb="FFFF0000"/>
              <x14:axisColor rgb="FF000000"/>
            </x14:dataBar>
          </x14:cfRule>
          <xm:sqref>O8</xm:sqref>
        </x14:conditionalFormatting>
        <x14:conditionalFormatting xmlns:xm="http://schemas.microsoft.com/office/excel/2006/main">
          <x14:cfRule type="dataBar" id="{0F27D1A0-BBCC-470F-93DD-F20846C4A933}">
            <x14:dataBar minLength="0" maxLength="100" gradient="0">
              <x14:cfvo type="autoMin"/>
              <x14:cfvo type="autoMax"/>
              <x14:negativeFillColor rgb="FFFF0000"/>
              <x14:axisColor rgb="FF000000"/>
            </x14:dataBar>
          </x14:cfRule>
          <xm:sqref>O10:O37</xm:sqref>
        </x14:conditionalFormatting>
        <x14:conditionalFormatting xmlns:xm="http://schemas.microsoft.com/office/excel/2006/main">
          <x14:cfRule type="dataBar" id="{81B11CEB-0AC0-42FE-B00A-27CEDFB71646}">
            <x14:dataBar minLength="0" maxLength="100" gradient="0">
              <x14:cfvo type="autoMin"/>
              <x14:cfvo type="autoMax"/>
              <x14:negativeFillColor rgb="FFFF0000"/>
              <x14:axisColor rgb="FF000000"/>
            </x14:dataBar>
          </x14:cfRule>
          <xm:sqref>P6</xm:sqref>
        </x14:conditionalFormatting>
        <x14:conditionalFormatting xmlns:xm="http://schemas.microsoft.com/office/excel/2006/main">
          <x14:cfRule type="dataBar" id="{FF7D85FE-8059-4F9C-A7B2-FEC55CB551D5}">
            <x14:dataBar minLength="0" maxLength="100" gradient="0">
              <x14:cfvo type="autoMin"/>
              <x14:cfvo type="autoMax"/>
              <x14:negativeFillColor rgb="FFFF0000"/>
              <x14:axisColor rgb="FF000000"/>
            </x14:dataBar>
          </x14:cfRule>
          <xm:sqref>P6:P37</xm:sqref>
        </x14:conditionalFormatting>
        <x14:conditionalFormatting xmlns:xm="http://schemas.microsoft.com/office/excel/2006/main">
          <x14:cfRule type="dataBar" id="{00A056E7-AA1B-48B1-AD01-F24CEFF8A931}">
            <x14:dataBar minLength="0" maxLength="100" gradient="0">
              <x14:cfvo type="autoMin"/>
              <x14:cfvo type="autoMax"/>
              <x14:negativeFillColor rgb="FFFF0000"/>
              <x14:axisColor rgb="FF000000"/>
            </x14:dataBar>
          </x14:cfRule>
          <x14:cfRule type="dataBar" id="{CBB3D714-B0AE-4DBA-BE46-1D44E8356418}">
            <x14:dataBar minLength="0" maxLength="100" gradient="0">
              <x14:cfvo type="autoMin"/>
              <x14:cfvo type="autoMax"/>
              <x14:negativeFillColor rgb="FFFF0000"/>
              <x14:axisColor rgb="FF000000"/>
            </x14:dataBar>
          </x14:cfRule>
          <xm:sqref>P8</xm:sqref>
        </x14:conditionalFormatting>
        <x14:conditionalFormatting xmlns:xm="http://schemas.microsoft.com/office/excel/2006/main">
          <x14:cfRule type="dataBar" id="{FA75E220-D0D7-4D5E-8A27-F449C8C5E431}">
            <x14:dataBar minLength="0" maxLength="100" gradient="0">
              <x14:cfvo type="autoMin"/>
              <x14:cfvo type="autoMax"/>
              <x14:negativeFillColor rgb="FFFF0000"/>
              <x14:axisColor rgb="FF000000"/>
            </x14:dataBar>
          </x14:cfRule>
          <xm:sqref>Q6:Q37</xm:sqref>
        </x14:conditionalFormatting>
        <x14:conditionalFormatting xmlns:xm="http://schemas.microsoft.com/office/excel/2006/main">
          <x14:cfRule type="dataBar" id="{577EA9DE-A4E8-49D6-9F58-E290800D68DB}">
            <x14:dataBar minLength="0" maxLength="100" gradient="0">
              <x14:cfvo type="autoMin"/>
              <x14:cfvo type="autoMax"/>
              <x14:negativeFillColor rgb="FFFF0000"/>
              <x14:axisColor rgb="FF000000"/>
            </x14:dataBar>
          </x14:cfRule>
          <xm:sqref>Q7:Q37</xm:sqref>
        </x14:conditionalFormatting>
        <x14:conditionalFormatting xmlns:xm="http://schemas.microsoft.com/office/excel/2006/main">
          <x14:cfRule type="dataBar" id="{F33ECFFE-DCC9-48AB-B7F0-DFC1A1148771}">
            <x14:dataBar minLength="0" maxLength="100" gradient="0">
              <x14:cfvo type="autoMin"/>
              <x14:cfvo type="autoMax"/>
              <x14:negativeFillColor rgb="FFFF0000"/>
              <x14:axisColor rgb="FF000000"/>
            </x14:dataBar>
          </x14:cfRule>
          <x14:cfRule type="dataBar" id="{BA1E7E8B-FBD3-4EF4-8361-7CF81E01EEBC}">
            <x14:dataBar minLength="0" maxLength="100" gradient="0">
              <x14:cfvo type="autoMin"/>
              <x14:cfvo type="autoMax"/>
              <x14:negativeFillColor rgb="FFFF0000"/>
              <x14:axisColor rgb="FF000000"/>
            </x14:dataBar>
          </x14:cfRule>
          <xm:sqref>Q8</xm:sqref>
        </x14:conditionalFormatting>
        <x14:conditionalFormatting xmlns:xm="http://schemas.microsoft.com/office/excel/2006/main">
          <x14:cfRule type="dataBar" id="{339CC83F-E740-4748-A987-5CC5076203C1}">
            <x14:dataBar minLength="0" maxLength="100" gradient="0">
              <x14:cfvo type="autoMin"/>
              <x14:cfvo type="autoMax"/>
              <x14:negativeFillColor rgb="FFFF0000"/>
              <x14:axisColor rgb="FF000000"/>
            </x14:dataBar>
          </x14:cfRule>
          <xm:sqref>Q10:Q37</xm:sqref>
        </x14:conditionalFormatting>
        <x14:conditionalFormatting xmlns:xm="http://schemas.microsoft.com/office/excel/2006/main">
          <x14:cfRule type="dataBar" id="{5CE7D6EE-7EC3-4C11-A1A9-E17C0F63F4E1}">
            <x14:dataBar minLength="0" maxLength="100" gradient="0">
              <x14:cfvo type="autoMin"/>
              <x14:cfvo type="autoMax"/>
              <x14:negativeFillColor rgb="FFFF0000"/>
              <x14:axisColor rgb="FF000000"/>
            </x14:dataBar>
          </x14:cfRule>
          <xm:sqref>R6</xm:sqref>
        </x14:conditionalFormatting>
        <x14:conditionalFormatting xmlns:xm="http://schemas.microsoft.com/office/excel/2006/main">
          <x14:cfRule type="dataBar" id="{C917B24D-A307-458A-9E51-856EB66B18A1}">
            <x14:dataBar minLength="0" maxLength="100" gradient="0">
              <x14:cfvo type="autoMin"/>
              <x14:cfvo type="autoMax"/>
              <x14:negativeFillColor rgb="FFFF0000"/>
              <x14:axisColor rgb="FF000000"/>
            </x14:dataBar>
          </x14:cfRule>
          <xm:sqref>R6:R37</xm:sqref>
        </x14:conditionalFormatting>
        <x14:conditionalFormatting xmlns:xm="http://schemas.microsoft.com/office/excel/2006/main">
          <x14:cfRule type="dataBar" id="{087DB557-C1D1-40D3-B563-694601C00861}">
            <x14:dataBar minLength="0" maxLength="100" gradient="0">
              <x14:cfvo type="autoMin"/>
              <x14:cfvo type="autoMax"/>
              <x14:negativeFillColor rgb="FFFF0000"/>
              <x14:axisColor rgb="FF000000"/>
            </x14:dataBar>
          </x14:cfRule>
          <x14:cfRule type="dataBar" id="{5E51B747-8318-49D5-9322-9C7F7AAEC095}">
            <x14:dataBar minLength="0" maxLength="100" gradient="0">
              <x14:cfvo type="autoMin"/>
              <x14:cfvo type="autoMax"/>
              <x14:negativeFillColor rgb="FFFF0000"/>
              <x14:axisColor rgb="FF000000"/>
            </x14:dataBar>
          </x14:cfRule>
          <xm:sqref>R8</xm:sqref>
        </x14:conditionalFormatting>
        <x14:conditionalFormatting xmlns:xm="http://schemas.microsoft.com/office/excel/2006/main">
          <x14:cfRule type="dataBar" id="{C15A4E4B-4F61-4457-9F1E-C19123C42E27}">
            <x14:dataBar minLength="0" maxLength="100" gradient="0">
              <x14:cfvo type="autoMin"/>
              <x14:cfvo type="autoMax"/>
              <x14:negativeFillColor rgb="FFFF0000"/>
              <x14:axisColor rgb="FF000000"/>
            </x14:dataBar>
          </x14:cfRule>
          <xm:sqref>S6:S37</xm:sqref>
        </x14:conditionalFormatting>
        <x14:conditionalFormatting xmlns:xm="http://schemas.microsoft.com/office/excel/2006/main">
          <x14:cfRule type="dataBar" id="{A9E5895E-BB4F-424C-800F-DD64B35F0457}">
            <x14:dataBar minLength="0" maxLength="100" gradient="0">
              <x14:cfvo type="autoMin"/>
              <x14:cfvo type="autoMax"/>
              <x14:negativeFillColor rgb="FFFF0000"/>
              <x14:axisColor rgb="FF000000"/>
            </x14:dataBar>
          </x14:cfRule>
          <xm:sqref>S7:S37</xm:sqref>
        </x14:conditionalFormatting>
        <x14:conditionalFormatting xmlns:xm="http://schemas.microsoft.com/office/excel/2006/main">
          <x14:cfRule type="dataBar" id="{CCCBDA57-91F5-4E8B-999A-85957B3059FC}">
            <x14:dataBar minLength="0" maxLength="100" gradient="0">
              <x14:cfvo type="autoMin"/>
              <x14:cfvo type="autoMax"/>
              <x14:negativeFillColor rgb="FFFF0000"/>
              <x14:axisColor rgb="FF000000"/>
            </x14:dataBar>
          </x14:cfRule>
          <x14:cfRule type="dataBar" id="{3896D592-71F2-4427-A660-5E7FC18ECAF2}">
            <x14:dataBar minLength="0" maxLength="100" gradient="0">
              <x14:cfvo type="autoMin"/>
              <x14:cfvo type="autoMax"/>
              <x14:negativeFillColor rgb="FFFF0000"/>
              <x14:axisColor rgb="FF000000"/>
            </x14:dataBar>
          </x14:cfRule>
          <xm:sqref>S8</xm:sqref>
        </x14:conditionalFormatting>
        <x14:conditionalFormatting xmlns:xm="http://schemas.microsoft.com/office/excel/2006/main">
          <x14:cfRule type="dataBar" id="{414DD9AE-6C20-4278-A844-73CF590708CC}">
            <x14:dataBar minLength="0" maxLength="100" gradient="0">
              <x14:cfvo type="autoMin"/>
              <x14:cfvo type="autoMax"/>
              <x14:negativeFillColor rgb="FFFF0000"/>
              <x14:axisColor rgb="FF000000"/>
            </x14:dataBar>
          </x14:cfRule>
          <xm:sqref>S10:S37</xm:sqref>
        </x14:conditionalFormatting>
        <x14:conditionalFormatting xmlns:xm="http://schemas.microsoft.com/office/excel/2006/main">
          <x14:cfRule type="dataBar" id="{55C76765-DD59-46C5-864F-27ABA5D8F41F}">
            <x14:dataBar minLength="0" maxLength="100" gradient="0">
              <x14:cfvo type="autoMin"/>
              <x14:cfvo type="autoMax"/>
              <x14:negativeFillColor rgb="FFFF0000"/>
              <x14:axisColor rgb="FF000000"/>
            </x14:dataBar>
          </x14:cfRule>
          <xm:sqref>T6</xm:sqref>
        </x14:conditionalFormatting>
        <x14:conditionalFormatting xmlns:xm="http://schemas.microsoft.com/office/excel/2006/main">
          <x14:cfRule type="dataBar" id="{D63F529C-376A-40B5-994D-EB47A687E32A}">
            <x14:dataBar minLength="0" maxLength="100" gradient="0">
              <x14:cfvo type="autoMin"/>
              <x14:cfvo type="autoMax"/>
              <x14:negativeFillColor rgb="FFFF0000"/>
              <x14:axisColor rgb="FF000000"/>
            </x14:dataBar>
          </x14:cfRule>
          <xm:sqref>T6:T37</xm:sqref>
        </x14:conditionalFormatting>
        <x14:conditionalFormatting xmlns:xm="http://schemas.microsoft.com/office/excel/2006/main">
          <x14:cfRule type="dataBar" id="{D7E62928-E87A-49EA-85EA-BDE4A3172E02}">
            <x14:dataBar minLength="0" maxLength="100" gradient="0">
              <x14:cfvo type="autoMin"/>
              <x14:cfvo type="autoMax"/>
              <x14:negativeFillColor rgb="FFFF0000"/>
              <x14:axisColor rgb="FF000000"/>
            </x14:dataBar>
          </x14:cfRule>
          <x14:cfRule type="dataBar" id="{68474B6B-8C3E-401C-9A91-0624926179DB}">
            <x14:dataBar minLength="0" maxLength="100" gradient="0">
              <x14:cfvo type="autoMin"/>
              <x14:cfvo type="autoMax"/>
              <x14:negativeFillColor rgb="FFFF0000"/>
              <x14:axisColor rgb="FF000000"/>
            </x14:dataBar>
          </x14:cfRule>
          <xm:sqref>T8</xm:sqref>
        </x14:conditionalFormatting>
        <x14:conditionalFormatting xmlns:xm="http://schemas.microsoft.com/office/excel/2006/main">
          <x14:cfRule type="dataBar" id="{DDE8ED5B-62CB-4979-B162-55C02AE78D2C}">
            <x14:dataBar minLength="0" maxLength="100" gradient="0">
              <x14:cfvo type="autoMin"/>
              <x14:cfvo type="autoMax"/>
              <x14:negativeFillColor rgb="FFFF0000"/>
              <x14:axisColor rgb="FF000000"/>
            </x14:dataBar>
          </x14:cfRule>
          <xm:sqref>U6:U37</xm:sqref>
        </x14:conditionalFormatting>
        <x14:conditionalFormatting xmlns:xm="http://schemas.microsoft.com/office/excel/2006/main">
          <x14:cfRule type="dataBar" id="{99E210EB-897D-4070-B64A-5B39E14BBFE3}">
            <x14:dataBar minLength="0" maxLength="100" gradient="0">
              <x14:cfvo type="autoMin"/>
              <x14:cfvo type="autoMax"/>
              <x14:negativeFillColor rgb="FFFF0000"/>
              <x14:axisColor rgb="FF000000"/>
            </x14:dataBar>
          </x14:cfRule>
          <xm:sqref>U7:U37</xm:sqref>
        </x14:conditionalFormatting>
        <x14:conditionalFormatting xmlns:xm="http://schemas.microsoft.com/office/excel/2006/main">
          <x14:cfRule type="dataBar" id="{B2A64D61-255F-4203-B541-BF3E87744736}">
            <x14:dataBar minLength="0" maxLength="100" gradient="0">
              <x14:cfvo type="autoMin"/>
              <x14:cfvo type="autoMax"/>
              <x14:negativeFillColor rgb="FFFF0000"/>
              <x14:axisColor rgb="FF000000"/>
            </x14:dataBar>
          </x14:cfRule>
          <x14:cfRule type="dataBar" id="{BC01E511-946E-4FEF-AA43-9DED2F02441D}">
            <x14:dataBar minLength="0" maxLength="100" gradient="0">
              <x14:cfvo type="autoMin"/>
              <x14:cfvo type="autoMax"/>
              <x14:negativeFillColor rgb="FFFF0000"/>
              <x14:axisColor rgb="FF000000"/>
            </x14:dataBar>
          </x14:cfRule>
          <xm:sqref>U8</xm:sqref>
        </x14:conditionalFormatting>
        <x14:conditionalFormatting xmlns:xm="http://schemas.microsoft.com/office/excel/2006/main">
          <x14:cfRule type="dataBar" id="{833C4855-DF8F-4F35-8C66-5DA71B812A1A}">
            <x14:dataBar minLength="0" maxLength="100" gradient="0">
              <x14:cfvo type="autoMin"/>
              <x14:cfvo type="autoMax"/>
              <x14:negativeFillColor rgb="FFFF0000"/>
              <x14:axisColor rgb="FF000000"/>
            </x14:dataBar>
          </x14:cfRule>
          <xm:sqref>U10:U37</xm:sqref>
        </x14:conditionalFormatting>
        <x14:conditionalFormatting xmlns:xm="http://schemas.microsoft.com/office/excel/2006/main">
          <x14:cfRule type="dataBar" id="{C9B89277-CEBC-43C9-A433-793DCD5C9E7C}">
            <x14:dataBar minLength="0" maxLength="100" gradient="0">
              <x14:cfvo type="autoMin"/>
              <x14:cfvo type="autoMax"/>
              <x14:negativeFillColor rgb="FFFF0000"/>
              <x14:axisColor rgb="FF000000"/>
            </x14:dataBar>
          </x14:cfRule>
          <xm:sqref>V6</xm:sqref>
        </x14:conditionalFormatting>
        <x14:conditionalFormatting xmlns:xm="http://schemas.microsoft.com/office/excel/2006/main">
          <x14:cfRule type="dataBar" id="{C73FA195-6FF9-45FD-9FD5-C2769539D4BB}">
            <x14:dataBar minLength="0" maxLength="100" gradient="0">
              <x14:cfvo type="autoMin"/>
              <x14:cfvo type="autoMax"/>
              <x14:negativeFillColor rgb="FFFF0000"/>
              <x14:axisColor rgb="FF000000"/>
            </x14:dataBar>
          </x14:cfRule>
          <xm:sqref>V6:V37</xm:sqref>
        </x14:conditionalFormatting>
        <x14:conditionalFormatting xmlns:xm="http://schemas.microsoft.com/office/excel/2006/main">
          <x14:cfRule type="dataBar" id="{6AD2C70D-026C-4796-B660-82389A603558}">
            <x14:dataBar minLength="0" maxLength="100" gradient="0">
              <x14:cfvo type="autoMin"/>
              <x14:cfvo type="autoMax"/>
              <x14:negativeFillColor rgb="FFFF0000"/>
              <x14:axisColor rgb="FF000000"/>
            </x14:dataBar>
          </x14:cfRule>
          <x14:cfRule type="dataBar" id="{327C4ECB-F5E9-49CE-9945-92B675222792}">
            <x14:dataBar minLength="0" maxLength="100" gradient="0">
              <x14:cfvo type="autoMin"/>
              <x14:cfvo type="autoMax"/>
              <x14:negativeFillColor rgb="FFFF0000"/>
              <x14:axisColor rgb="FF000000"/>
            </x14:dataBar>
          </x14:cfRule>
          <xm:sqref>V8</xm:sqref>
        </x14:conditionalFormatting>
        <x14:conditionalFormatting xmlns:xm="http://schemas.microsoft.com/office/excel/2006/main">
          <x14:cfRule type="dataBar" id="{6F090AC0-D0C3-4F60-AFB8-32F66BD6154C}">
            <x14:dataBar minLength="0" maxLength="100" gradient="0">
              <x14:cfvo type="autoMin"/>
              <x14:cfvo type="autoMax"/>
              <x14:negativeFillColor rgb="FFFF0000"/>
              <x14:axisColor rgb="FF000000"/>
            </x14:dataBar>
          </x14:cfRule>
          <xm:sqref>V38</xm:sqref>
        </x14:conditionalFormatting>
        <x14:conditionalFormatting xmlns:xm="http://schemas.microsoft.com/office/excel/2006/main">
          <x14:cfRule type="dataBar" id="{3E89BD63-E295-4DCC-8FA0-0B75DBF65B30}">
            <x14:dataBar minLength="0" maxLength="100" gradient="0">
              <x14:cfvo type="autoMin"/>
              <x14:cfvo type="autoMax"/>
              <x14:negativeFillColor rgb="FFFF0000"/>
              <x14:axisColor rgb="FF000000"/>
            </x14:dataBar>
          </x14:cfRule>
          <xm:sqref>W6:W37</xm:sqref>
        </x14:conditionalFormatting>
        <x14:conditionalFormatting xmlns:xm="http://schemas.microsoft.com/office/excel/2006/main">
          <x14:cfRule type="dataBar" id="{576D6401-C40F-4A0F-8DDF-7B45BC0F2BDA}">
            <x14:dataBar minLength="0" maxLength="100" gradient="0">
              <x14:cfvo type="autoMin"/>
              <x14:cfvo type="autoMax"/>
              <x14:negativeFillColor rgb="FFFF0000"/>
              <x14:axisColor rgb="FF000000"/>
            </x14:dataBar>
          </x14:cfRule>
          <xm:sqref>W7:W37</xm:sqref>
        </x14:conditionalFormatting>
        <x14:conditionalFormatting xmlns:xm="http://schemas.microsoft.com/office/excel/2006/main">
          <x14:cfRule type="dataBar" id="{8D7F138F-3CB0-47E8-8428-7792443AC868}">
            <x14:dataBar minLength="0" maxLength="100" gradient="0">
              <x14:cfvo type="autoMin"/>
              <x14:cfvo type="autoMax"/>
              <x14:negativeFillColor rgb="FFFF0000"/>
              <x14:axisColor rgb="FF000000"/>
            </x14:dataBar>
          </x14:cfRule>
          <x14:cfRule type="dataBar" id="{BA157206-F5EC-4BC7-9445-B6B3CFBF1E0E}">
            <x14:dataBar minLength="0" maxLength="100" gradient="0">
              <x14:cfvo type="autoMin"/>
              <x14:cfvo type="autoMax"/>
              <x14:negativeFillColor rgb="FFFF0000"/>
              <x14:axisColor rgb="FF000000"/>
            </x14:dataBar>
          </x14:cfRule>
          <xm:sqref>W8</xm:sqref>
        </x14:conditionalFormatting>
        <x14:conditionalFormatting xmlns:xm="http://schemas.microsoft.com/office/excel/2006/main">
          <x14:cfRule type="dataBar" id="{CC0B667C-DAE0-4390-84A4-313382DC6A07}">
            <x14:dataBar minLength="0" maxLength="100" gradient="0">
              <x14:cfvo type="autoMin"/>
              <x14:cfvo type="autoMax"/>
              <x14:negativeFillColor rgb="FFFF0000"/>
              <x14:axisColor rgb="FF000000"/>
            </x14:dataBar>
          </x14:cfRule>
          <xm:sqref>W10:W37</xm:sqref>
        </x14:conditionalFormatting>
        <x14:conditionalFormatting xmlns:xm="http://schemas.microsoft.com/office/excel/2006/main">
          <x14:cfRule type="dataBar" id="{6EF3D006-5662-4ACF-BE74-0281F625829F}">
            <x14:dataBar minLength="0" maxLength="100" gradient="0">
              <x14:cfvo type="autoMin"/>
              <x14:cfvo type="autoMax"/>
              <x14:negativeFillColor rgb="FFFF0000"/>
              <x14:axisColor rgb="FF000000"/>
            </x14:dataBar>
          </x14:cfRule>
          <xm:sqref>X6</xm:sqref>
        </x14:conditionalFormatting>
        <x14:conditionalFormatting xmlns:xm="http://schemas.microsoft.com/office/excel/2006/main">
          <x14:cfRule type="dataBar" id="{0B34DAC6-4B2B-4C5D-8405-65FA84F725D5}">
            <x14:dataBar minLength="0" maxLength="100" gradient="0">
              <x14:cfvo type="autoMin"/>
              <x14:cfvo type="autoMax"/>
              <x14:negativeFillColor rgb="FFFF0000"/>
              <x14:axisColor rgb="FF000000"/>
            </x14:dataBar>
          </x14:cfRule>
          <xm:sqref>X6:X37</xm:sqref>
        </x14:conditionalFormatting>
        <x14:conditionalFormatting xmlns:xm="http://schemas.microsoft.com/office/excel/2006/main">
          <x14:cfRule type="dataBar" id="{8DC0605C-92C1-4289-B5BB-C2CA15DFA8D2}">
            <x14:dataBar minLength="0" maxLength="100" gradient="0">
              <x14:cfvo type="autoMin"/>
              <x14:cfvo type="autoMax"/>
              <x14:negativeFillColor rgb="FFFF0000"/>
              <x14:axisColor rgb="FF000000"/>
            </x14:dataBar>
          </x14:cfRule>
          <x14:cfRule type="dataBar" id="{86932245-3EE1-40CD-9EEA-28F387C2AF29}">
            <x14:dataBar minLength="0" maxLength="100" gradient="0">
              <x14:cfvo type="autoMin"/>
              <x14:cfvo type="autoMax"/>
              <x14:negativeFillColor rgb="FFFF0000"/>
              <x14:axisColor rgb="FF000000"/>
            </x14:dataBar>
          </x14:cfRule>
          <xm:sqref>X8</xm:sqref>
        </x14:conditionalFormatting>
        <x14:conditionalFormatting xmlns:xm="http://schemas.microsoft.com/office/excel/2006/main">
          <x14:cfRule type="dataBar" id="{6A6D1243-CA79-407F-9699-73EEDAF1F3D7}">
            <x14:dataBar minLength="0" maxLength="100" gradient="0">
              <x14:cfvo type="autoMin"/>
              <x14:cfvo type="autoMax"/>
              <x14:negativeFillColor rgb="FFFF0000"/>
              <x14:axisColor rgb="FF000000"/>
            </x14:dataBar>
          </x14:cfRule>
          <xm:sqref>Y6:Y37</xm:sqref>
        </x14:conditionalFormatting>
        <x14:conditionalFormatting xmlns:xm="http://schemas.microsoft.com/office/excel/2006/main">
          <x14:cfRule type="dataBar" id="{F63C6F21-63F2-47B0-9EE4-47BB879EA39B}">
            <x14:dataBar minLength="0" maxLength="100" gradient="0">
              <x14:cfvo type="autoMin"/>
              <x14:cfvo type="autoMax"/>
              <x14:negativeFillColor rgb="FFFF0000"/>
              <x14:axisColor rgb="FF000000"/>
            </x14:dataBar>
          </x14:cfRule>
          <xm:sqref>Y7:Y37</xm:sqref>
        </x14:conditionalFormatting>
        <x14:conditionalFormatting xmlns:xm="http://schemas.microsoft.com/office/excel/2006/main">
          <x14:cfRule type="dataBar" id="{841E6749-3F24-430E-80F0-14F45CE61B48}">
            <x14:dataBar minLength="0" maxLength="100" gradient="0">
              <x14:cfvo type="autoMin"/>
              <x14:cfvo type="autoMax"/>
              <x14:negativeFillColor rgb="FFFF0000"/>
              <x14:axisColor rgb="FF000000"/>
            </x14:dataBar>
          </x14:cfRule>
          <x14:cfRule type="dataBar" id="{A56557E3-E94A-41B7-84B6-13DDD05C2784}">
            <x14:dataBar minLength="0" maxLength="100" gradient="0">
              <x14:cfvo type="autoMin"/>
              <x14:cfvo type="autoMax"/>
              <x14:negativeFillColor rgb="FFFF0000"/>
              <x14:axisColor rgb="FF000000"/>
            </x14:dataBar>
          </x14:cfRule>
          <xm:sqref>Y8</xm:sqref>
        </x14:conditionalFormatting>
        <x14:conditionalFormatting xmlns:xm="http://schemas.microsoft.com/office/excel/2006/main">
          <x14:cfRule type="dataBar" id="{65E26875-EFF5-43B3-A6C7-DDE17F0FD54C}">
            <x14:dataBar minLength="0" maxLength="100" gradient="0">
              <x14:cfvo type="autoMin"/>
              <x14:cfvo type="autoMax"/>
              <x14:negativeFillColor rgb="FFFF0000"/>
              <x14:axisColor rgb="FF000000"/>
            </x14:dataBar>
          </x14:cfRule>
          <xm:sqref>Y10:Y37</xm:sqref>
        </x14:conditionalFormatting>
        <x14:conditionalFormatting xmlns:xm="http://schemas.microsoft.com/office/excel/2006/main">
          <x14:cfRule type="dataBar" id="{7EA14B42-DA11-42F8-889E-A30E26C39D62}">
            <x14:dataBar minLength="0" maxLength="100" gradient="0">
              <x14:cfvo type="autoMin"/>
              <x14:cfvo type="autoMax"/>
              <x14:negativeFillColor rgb="FFFF0000"/>
              <x14:axisColor rgb="FF000000"/>
            </x14:dataBar>
          </x14:cfRule>
          <xm:sqref>Z6</xm:sqref>
        </x14:conditionalFormatting>
        <x14:conditionalFormatting xmlns:xm="http://schemas.microsoft.com/office/excel/2006/main">
          <x14:cfRule type="dataBar" id="{76F9512C-73D6-422E-9626-C10DE54FC590}">
            <x14:dataBar minLength="0" maxLength="100" gradient="0">
              <x14:cfvo type="autoMin"/>
              <x14:cfvo type="autoMax"/>
              <x14:negativeFillColor rgb="FFFF0000"/>
              <x14:axisColor rgb="FF000000"/>
            </x14:dataBar>
          </x14:cfRule>
          <xm:sqref>Z6:Z37</xm:sqref>
        </x14:conditionalFormatting>
        <x14:conditionalFormatting xmlns:xm="http://schemas.microsoft.com/office/excel/2006/main">
          <x14:cfRule type="dataBar" id="{8AF9004E-EF3C-499C-95AF-96B45ADFA49C}">
            <x14:dataBar minLength="0" maxLength="100" gradient="0">
              <x14:cfvo type="autoMin"/>
              <x14:cfvo type="autoMax"/>
              <x14:negativeFillColor rgb="FFFF0000"/>
              <x14:axisColor rgb="FF000000"/>
            </x14:dataBar>
          </x14:cfRule>
          <x14:cfRule type="dataBar" id="{475F2ADE-BEB3-4263-B0BD-5B6A26F29FFF}">
            <x14:dataBar minLength="0" maxLength="100" gradient="0">
              <x14:cfvo type="autoMin"/>
              <x14:cfvo type="autoMax"/>
              <x14:negativeFillColor rgb="FFFF0000"/>
              <x14:axisColor rgb="FF000000"/>
            </x14:dataBar>
          </x14:cfRule>
          <xm:sqref>Z8</xm:sqref>
        </x14:conditionalFormatting>
        <x14:conditionalFormatting xmlns:xm="http://schemas.microsoft.com/office/excel/2006/main">
          <x14:cfRule type="dataBar" id="{ACD9D5B6-1EFA-41EF-908B-76A48A2E630D}">
            <x14:dataBar minLength="0" maxLength="100" gradient="0">
              <x14:cfvo type="autoMin"/>
              <x14:cfvo type="autoMax"/>
              <x14:negativeFillColor rgb="FFFF0000"/>
              <x14:axisColor rgb="FF000000"/>
            </x14:dataBar>
          </x14:cfRule>
          <xm:sqref>AA6:AA37</xm:sqref>
        </x14:conditionalFormatting>
        <x14:conditionalFormatting xmlns:xm="http://schemas.microsoft.com/office/excel/2006/main">
          <x14:cfRule type="dataBar" id="{80476543-C486-4DAD-8844-16709364979A}">
            <x14:dataBar minLength="0" maxLength="100" gradient="0">
              <x14:cfvo type="autoMin"/>
              <x14:cfvo type="autoMax"/>
              <x14:negativeFillColor rgb="FFFF0000"/>
              <x14:axisColor rgb="FF000000"/>
            </x14:dataBar>
          </x14:cfRule>
          <xm:sqref>AA7:AA37</xm:sqref>
        </x14:conditionalFormatting>
        <x14:conditionalFormatting xmlns:xm="http://schemas.microsoft.com/office/excel/2006/main">
          <x14:cfRule type="dataBar" id="{22A04437-DF53-4686-8E61-0AFB46B468BA}">
            <x14:dataBar minLength="0" maxLength="100" gradient="0">
              <x14:cfvo type="autoMin"/>
              <x14:cfvo type="autoMax"/>
              <x14:negativeFillColor rgb="FFFF0000"/>
              <x14:axisColor rgb="FF000000"/>
            </x14:dataBar>
          </x14:cfRule>
          <x14:cfRule type="dataBar" id="{3F25159D-2057-4CCF-9483-8CA5784AC9AA}">
            <x14:dataBar minLength="0" maxLength="100" gradient="0">
              <x14:cfvo type="autoMin"/>
              <x14:cfvo type="autoMax"/>
              <x14:negativeFillColor rgb="FFFF0000"/>
              <x14:axisColor rgb="FF000000"/>
            </x14:dataBar>
          </x14:cfRule>
          <xm:sqref>AA8</xm:sqref>
        </x14:conditionalFormatting>
        <x14:conditionalFormatting xmlns:xm="http://schemas.microsoft.com/office/excel/2006/main">
          <x14:cfRule type="dataBar" id="{4BE1D4FC-D9C2-423C-BED4-95F5B307C6CC}">
            <x14:dataBar minLength="0" maxLength="100" gradient="0">
              <x14:cfvo type="autoMin"/>
              <x14:cfvo type="autoMax"/>
              <x14:negativeFillColor rgb="FFFF0000"/>
              <x14:axisColor rgb="FF000000"/>
            </x14:dataBar>
          </x14:cfRule>
          <xm:sqref>AA10:AA37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EF625-BF26-4440-8FC2-70CE5796A093}">
  <dimension ref="A1:N2200"/>
  <sheetViews>
    <sheetView topLeftCell="A4" workbookViewId="0">
      <selection activeCell="A11" sqref="A11"/>
    </sheetView>
  </sheetViews>
  <sheetFormatPr defaultRowHeight="14.25"/>
  <cols>
    <col min="1" max="1" width="13" customWidth="1"/>
    <col min="2" max="2" width="10" bestFit="1" customWidth="1"/>
    <col min="3" max="3" width="16.625" customWidth="1"/>
    <col min="4" max="4" width="30" customWidth="1"/>
    <col min="5" max="5" width="10.375" bestFit="1" customWidth="1"/>
    <col min="6" max="6" width="14.375" bestFit="1" customWidth="1"/>
    <col min="7" max="7" width="12.125" bestFit="1" customWidth="1"/>
    <col min="8" max="8" width="14.375" bestFit="1" customWidth="1"/>
    <col min="9" max="9" width="11.875" bestFit="1" customWidth="1"/>
    <col min="10" max="10" width="12.5" bestFit="1" customWidth="1"/>
    <col min="11" max="11" width="11.125" bestFit="1" customWidth="1"/>
    <col min="12" max="12" width="15.125" bestFit="1" customWidth="1"/>
    <col min="13" max="13" width="9.625" bestFit="1" customWidth="1"/>
    <col min="14" max="14" width="10.75" bestFit="1" customWidth="1"/>
  </cols>
  <sheetData>
    <row r="1" spans="1:14" ht="33.950000000000003" customHeight="1">
      <c r="A1" s="287" t="s">
        <v>3762</v>
      </c>
      <c r="B1" s="287"/>
      <c r="C1" s="287"/>
      <c r="D1" s="287"/>
      <c r="E1" s="287"/>
      <c r="F1" s="287"/>
      <c r="G1" s="287"/>
      <c r="H1" s="287"/>
      <c r="I1" s="287"/>
      <c r="J1" s="287"/>
      <c r="K1" s="287"/>
      <c r="L1" s="287"/>
      <c r="M1" s="287"/>
      <c r="N1" s="287"/>
    </row>
    <row r="2" spans="1:14" ht="21.95" customHeight="1">
      <c r="A2" s="288" t="s">
        <v>3763</v>
      </c>
      <c r="B2" s="288"/>
      <c r="C2" s="288"/>
      <c r="D2" s="288"/>
      <c r="E2" s="288"/>
      <c r="F2" s="288"/>
      <c r="G2" s="288"/>
      <c r="H2" s="288"/>
      <c r="I2" s="288"/>
      <c r="J2" s="288"/>
      <c r="K2" s="288"/>
      <c r="L2" s="288"/>
      <c r="M2" s="288"/>
      <c r="N2" s="288"/>
    </row>
    <row r="3" spans="1:14">
      <c r="A3" s="286"/>
      <c r="B3" s="286"/>
      <c r="C3" s="286"/>
      <c r="D3" s="286"/>
      <c r="E3" s="286"/>
      <c r="F3" s="286"/>
      <c r="G3" s="286"/>
      <c r="H3" s="286"/>
      <c r="I3" s="286"/>
      <c r="J3" s="286"/>
      <c r="K3" s="286"/>
      <c r="L3" s="286"/>
      <c r="M3" s="286"/>
      <c r="N3" s="286"/>
    </row>
    <row r="4" spans="1:14" ht="27.95" customHeight="1">
      <c r="A4" s="289" t="s">
        <v>3764</v>
      </c>
      <c r="B4" s="291">
        <v>2153</v>
      </c>
      <c r="C4" s="289" t="s">
        <v>412</v>
      </c>
      <c r="D4" s="292">
        <v>6899046.0499999998</v>
      </c>
      <c r="E4" s="289" t="s">
        <v>430</v>
      </c>
      <c r="F4" s="292">
        <v>4151287.6500000027</v>
      </c>
      <c r="G4" s="289" t="s">
        <v>431</v>
      </c>
      <c r="H4" s="292">
        <v>2747758.3999999994</v>
      </c>
      <c r="I4" s="289" t="s">
        <v>3765</v>
      </c>
      <c r="J4" s="292">
        <v>266326.26297000021</v>
      </c>
      <c r="K4" s="289" t="s">
        <v>3766</v>
      </c>
      <c r="L4" s="292">
        <v>3204.3873896888063</v>
      </c>
      <c r="M4" s="286"/>
      <c r="N4" s="286"/>
    </row>
    <row r="5" spans="1:14">
      <c r="A5" s="286"/>
      <c r="B5" s="286"/>
      <c r="C5" s="286"/>
      <c r="D5" s="286"/>
      <c r="E5" s="286"/>
      <c r="F5" s="286"/>
      <c r="G5" s="286"/>
      <c r="H5" s="286"/>
      <c r="I5" s="286"/>
      <c r="J5" s="286"/>
      <c r="K5" s="286"/>
      <c r="L5" s="286"/>
      <c r="M5" s="286"/>
      <c r="N5" s="286"/>
    </row>
    <row r="6" spans="1:14" ht="24.95" customHeight="1">
      <c r="A6" s="290" t="s">
        <v>3767</v>
      </c>
      <c r="B6" s="290" t="s">
        <v>81</v>
      </c>
      <c r="C6" s="290" t="s">
        <v>82</v>
      </c>
      <c r="D6" s="290" t="s">
        <v>83</v>
      </c>
      <c r="E6" s="290" t="s">
        <v>3768</v>
      </c>
      <c r="F6" s="290" t="s">
        <v>3769</v>
      </c>
      <c r="G6" s="290" t="s">
        <v>85</v>
      </c>
      <c r="H6" s="290" t="s">
        <v>86</v>
      </c>
      <c r="I6" s="290" t="s">
        <v>89</v>
      </c>
      <c r="J6" s="290" t="s">
        <v>90</v>
      </c>
      <c r="K6" s="290" t="s">
        <v>3770</v>
      </c>
      <c r="L6" s="290" t="s">
        <v>413</v>
      </c>
      <c r="M6" s="290" t="s">
        <v>432</v>
      </c>
      <c r="N6" s="290" t="s">
        <v>415</v>
      </c>
    </row>
    <row r="7" spans="1:14" ht="18" customHeight="1">
      <c r="A7" s="293" t="s">
        <v>1609</v>
      </c>
      <c r="B7" s="294">
        <v>46024</v>
      </c>
      <c r="C7" s="286" t="s">
        <v>168</v>
      </c>
      <c r="D7" s="286" t="s">
        <v>92</v>
      </c>
      <c r="E7" s="295">
        <v>1</v>
      </c>
      <c r="F7" s="295">
        <v>1</v>
      </c>
      <c r="G7" s="296">
        <v>0</v>
      </c>
      <c r="H7" s="296">
        <v>1800</v>
      </c>
      <c r="I7" s="296">
        <v>1150</v>
      </c>
      <c r="J7" s="296">
        <v>1207.5</v>
      </c>
      <c r="K7" s="296">
        <v>592.5</v>
      </c>
      <c r="L7" s="296">
        <v>0</v>
      </c>
      <c r="M7" s="296">
        <v>650</v>
      </c>
      <c r="N7" s="297">
        <v>0.3611111111111111</v>
      </c>
    </row>
    <row r="8" spans="1:14" ht="18" customHeight="1">
      <c r="A8" s="293" t="s">
        <v>1610</v>
      </c>
      <c r="B8" s="294">
        <v>46024</v>
      </c>
      <c r="C8" s="286" t="s">
        <v>168</v>
      </c>
      <c r="D8" s="286" t="s">
        <v>93</v>
      </c>
      <c r="E8" s="295">
        <v>5</v>
      </c>
      <c r="F8" s="295">
        <v>55</v>
      </c>
      <c r="G8" s="296">
        <v>0</v>
      </c>
      <c r="H8" s="296">
        <v>1667</v>
      </c>
      <c r="I8" s="296">
        <v>865.6</v>
      </c>
      <c r="J8" s="296">
        <v>896.01800000000003</v>
      </c>
      <c r="K8" s="296">
        <v>770.98199999999997</v>
      </c>
      <c r="L8" s="296">
        <v>0</v>
      </c>
      <c r="M8" s="296">
        <v>801.4</v>
      </c>
      <c r="N8" s="297">
        <v>0.48074385122975405</v>
      </c>
    </row>
    <row r="9" spans="1:14" ht="18" customHeight="1">
      <c r="A9" s="293" t="s">
        <v>1611</v>
      </c>
      <c r="B9" s="294">
        <v>46024</v>
      </c>
      <c r="C9" s="286" t="s">
        <v>353</v>
      </c>
      <c r="D9" s="286" t="s">
        <v>94</v>
      </c>
      <c r="E9" s="295">
        <v>1</v>
      </c>
      <c r="F9" s="295">
        <v>1</v>
      </c>
      <c r="G9" s="296">
        <v>0</v>
      </c>
      <c r="H9" s="296">
        <v>1625</v>
      </c>
      <c r="I9" s="296">
        <v>800</v>
      </c>
      <c r="J9" s="296">
        <v>840</v>
      </c>
      <c r="K9" s="296">
        <v>785</v>
      </c>
      <c r="L9" s="296">
        <v>235.5</v>
      </c>
      <c r="M9" s="296">
        <v>825</v>
      </c>
      <c r="N9" s="297">
        <v>0.50769230769230766</v>
      </c>
    </row>
    <row r="10" spans="1:14" ht="18" customHeight="1">
      <c r="A10" s="293" t="s">
        <v>1612</v>
      </c>
      <c r="B10" s="294">
        <v>46024</v>
      </c>
      <c r="C10" s="286" t="s">
        <v>168</v>
      </c>
      <c r="D10" s="286" t="s">
        <v>95</v>
      </c>
      <c r="E10" s="295">
        <v>1</v>
      </c>
      <c r="F10" s="295">
        <v>1</v>
      </c>
      <c r="G10" s="296">
        <v>0</v>
      </c>
      <c r="H10" s="296">
        <v>7800</v>
      </c>
      <c r="I10" s="296">
        <v>6732</v>
      </c>
      <c r="J10" s="296">
        <v>7068.6</v>
      </c>
      <c r="K10" s="296">
        <v>731.39999999999964</v>
      </c>
      <c r="L10" s="296">
        <v>0</v>
      </c>
      <c r="M10" s="296">
        <v>1068</v>
      </c>
      <c r="N10" s="297">
        <v>0.13692307692307693</v>
      </c>
    </row>
    <row r="11" spans="1:14" ht="18" customHeight="1">
      <c r="A11" s="293" t="s">
        <v>1613</v>
      </c>
      <c r="B11" s="294">
        <v>46024</v>
      </c>
      <c r="C11" s="286" t="s">
        <v>168</v>
      </c>
      <c r="D11" s="286" t="s">
        <v>96</v>
      </c>
      <c r="E11" s="295">
        <v>1</v>
      </c>
      <c r="F11" s="295">
        <v>1</v>
      </c>
      <c r="G11" s="296">
        <v>0</v>
      </c>
      <c r="H11" s="296">
        <v>300</v>
      </c>
      <c r="I11" s="296">
        <v>100</v>
      </c>
      <c r="J11" s="296">
        <v>105</v>
      </c>
      <c r="K11" s="296">
        <v>195</v>
      </c>
      <c r="L11" s="296">
        <v>0</v>
      </c>
      <c r="M11" s="296">
        <v>200</v>
      </c>
      <c r="N11" s="297">
        <v>0.66666666666666663</v>
      </c>
    </row>
    <row r="12" spans="1:14" ht="18" customHeight="1">
      <c r="A12" s="293" t="s">
        <v>1614</v>
      </c>
      <c r="B12" s="294">
        <v>46024</v>
      </c>
      <c r="C12" s="286" t="s">
        <v>168</v>
      </c>
      <c r="D12" s="286" t="s">
        <v>97</v>
      </c>
      <c r="E12" s="295">
        <v>1</v>
      </c>
      <c r="F12" s="295">
        <v>1</v>
      </c>
      <c r="G12" s="296">
        <v>0</v>
      </c>
      <c r="H12" s="296">
        <v>2100</v>
      </c>
      <c r="I12" s="296">
        <v>1100</v>
      </c>
      <c r="J12" s="296">
        <v>1155</v>
      </c>
      <c r="K12" s="296">
        <v>945</v>
      </c>
      <c r="L12" s="296">
        <v>0</v>
      </c>
      <c r="M12" s="296">
        <v>1000</v>
      </c>
      <c r="N12" s="297">
        <v>0.47619047619047616</v>
      </c>
    </row>
    <row r="13" spans="1:14" ht="18" customHeight="1">
      <c r="A13" s="293" t="s">
        <v>1615</v>
      </c>
      <c r="B13" s="294">
        <v>46024</v>
      </c>
      <c r="C13" s="286" t="s">
        <v>358</v>
      </c>
      <c r="D13" s="286" t="s">
        <v>98</v>
      </c>
      <c r="E13" s="295">
        <v>1</v>
      </c>
      <c r="F13" s="295">
        <v>2</v>
      </c>
      <c r="G13" s="296">
        <v>0</v>
      </c>
      <c r="H13" s="296">
        <v>900</v>
      </c>
      <c r="I13" s="296">
        <v>360</v>
      </c>
      <c r="J13" s="296">
        <v>378</v>
      </c>
      <c r="K13" s="296">
        <v>522</v>
      </c>
      <c r="L13" s="296">
        <v>156.6</v>
      </c>
      <c r="M13" s="296">
        <v>540</v>
      </c>
      <c r="N13" s="297">
        <v>0.6</v>
      </c>
    </row>
    <row r="14" spans="1:14" ht="18" customHeight="1">
      <c r="A14" s="293" t="s">
        <v>1616</v>
      </c>
      <c r="B14" s="294">
        <v>46024</v>
      </c>
      <c r="C14" s="286" t="s">
        <v>168</v>
      </c>
      <c r="D14" s="286" t="s">
        <v>99</v>
      </c>
      <c r="E14" s="295">
        <v>2</v>
      </c>
      <c r="F14" s="295">
        <v>2</v>
      </c>
      <c r="G14" s="296">
        <v>0</v>
      </c>
      <c r="H14" s="296">
        <v>1870</v>
      </c>
      <c r="I14" s="296">
        <v>990</v>
      </c>
      <c r="J14" s="296">
        <v>1039.5</v>
      </c>
      <c r="K14" s="296">
        <v>830.5</v>
      </c>
      <c r="L14" s="296">
        <v>0</v>
      </c>
      <c r="M14" s="296">
        <v>880</v>
      </c>
      <c r="N14" s="297">
        <v>0.47058823529411764</v>
      </c>
    </row>
    <row r="15" spans="1:14" ht="18" customHeight="1">
      <c r="A15" s="293" t="s">
        <v>1617</v>
      </c>
      <c r="B15" s="294">
        <v>46025</v>
      </c>
      <c r="C15" s="286" t="s">
        <v>3773</v>
      </c>
      <c r="D15" s="286" t="s">
        <v>100</v>
      </c>
      <c r="E15" s="295">
        <v>2</v>
      </c>
      <c r="F15" s="295">
        <v>2</v>
      </c>
      <c r="G15" s="296">
        <v>0</v>
      </c>
      <c r="H15" s="296">
        <v>175</v>
      </c>
      <c r="I15" s="296">
        <v>105</v>
      </c>
      <c r="J15" s="296">
        <v>108.75</v>
      </c>
      <c r="K15" s="296">
        <v>66.25</v>
      </c>
      <c r="L15" s="296">
        <v>19.875</v>
      </c>
      <c r="M15" s="296">
        <v>70</v>
      </c>
      <c r="N15" s="297">
        <v>0.4</v>
      </c>
    </row>
    <row r="16" spans="1:14" ht="18" customHeight="1">
      <c r="A16" s="293" t="s">
        <v>1618</v>
      </c>
      <c r="B16" s="294">
        <v>46025</v>
      </c>
      <c r="C16" s="286" t="s">
        <v>348</v>
      </c>
      <c r="D16" s="286" t="s">
        <v>101</v>
      </c>
      <c r="E16" s="295">
        <v>1</v>
      </c>
      <c r="F16" s="295">
        <v>30</v>
      </c>
      <c r="G16" s="296">
        <v>0</v>
      </c>
      <c r="H16" s="296">
        <v>1338</v>
      </c>
      <c r="I16" s="296">
        <v>1050</v>
      </c>
      <c r="J16" s="296">
        <v>1102.5</v>
      </c>
      <c r="K16" s="296">
        <v>235.5</v>
      </c>
      <c r="L16" s="296">
        <v>70.649999999999991</v>
      </c>
      <c r="M16" s="296">
        <v>288</v>
      </c>
      <c r="N16" s="297">
        <v>0.21524663677130046</v>
      </c>
    </row>
    <row r="17" spans="1:14" ht="18" customHeight="1">
      <c r="A17" s="293" t="s">
        <v>1619</v>
      </c>
      <c r="B17" s="294">
        <v>46025</v>
      </c>
      <c r="C17" s="286" t="s">
        <v>3773</v>
      </c>
      <c r="D17" s="286" t="s">
        <v>102</v>
      </c>
      <c r="E17" s="295">
        <v>2</v>
      </c>
      <c r="F17" s="295">
        <v>3</v>
      </c>
      <c r="G17" s="296">
        <v>0</v>
      </c>
      <c r="H17" s="296">
        <v>860</v>
      </c>
      <c r="I17" s="296">
        <v>452</v>
      </c>
      <c r="J17" s="296">
        <v>474.6</v>
      </c>
      <c r="K17" s="296">
        <v>385.4</v>
      </c>
      <c r="L17" s="296">
        <v>115.62</v>
      </c>
      <c r="M17" s="296">
        <v>408</v>
      </c>
      <c r="N17" s="297">
        <v>0.47441860465116281</v>
      </c>
    </row>
    <row r="18" spans="1:14" ht="18" customHeight="1">
      <c r="A18" s="293" t="s">
        <v>1620</v>
      </c>
      <c r="B18" s="294">
        <v>46025</v>
      </c>
      <c r="C18" s="286" t="s">
        <v>353</v>
      </c>
      <c r="D18" s="286" t="s">
        <v>103</v>
      </c>
      <c r="E18" s="295">
        <v>2</v>
      </c>
      <c r="F18" s="295">
        <v>2</v>
      </c>
      <c r="G18" s="296">
        <v>0</v>
      </c>
      <c r="H18" s="296">
        <v>3975</v>
      </c>
      <c r="I18" s="296">
        <v>2550</v>
      </c>
      <c r="J18" s="296">
        <v>2677.5</v>
      </c>
      <c r="K18" s="296">
        <v>1297.5</v>
      </c>
      <c r="L18" s="296">
        <v>389.25</v>
      </c>
      <c r="M18" s="296">
        <v>1425</v>
      </c>
      <c r="N18" s="297">
        <v>0.35849056603773582</v>
      </c>
    </row>
    <row r="19" spans="1:14" ht="18" customHeight="1">
      <c r="A19" s="293" t="s">
        <v>1621</v>
      </c>
      <c r="B19" s="294">
        <v>46025</v>
      </c>
      <c r="C19" s="286" t="s">
        <v>168</v>
      </c>
      <c r="D19" s="286" t="s">
        <v>93</v>
      </c>
      <c r="E19" s="295">
        <v>4</v>
      </c>
      <c r="F19" s="295">
        <v>5.8</v>
      </c>
      <c r="G19" s="296">
        <v>0</v>
      </c>
      <c r="H19" s="296">
        <v>3410</v>
      </c>
      <c r="I19" s="296">
        <v>1488.6</v>
      </c>
      <c r="J19" s="296">
        <v>1533.2580000000003</v>
      </c>
      <c r="K19" s="296">
        <v>1876.7420000000002</v>
      </c>
      <c r="L19" s="296">
        <v>0</v>
      </c>
      <c r="M19" s="296">
        <v>1921.4</v>
      </c>
      <c r="N19" s="297">
        <v>0.56346041055718477</v>
      </c>
    </row>
    <row r="20" spans="1:14" ht="18" customHeight="1">
      <c r="A20" s="293" t="s">
        <v>1622</v>
      </c>
      <c r="B20" s="294">
        <v>46025</v>
      </c>
      <c r="C20" s="286" t="s">
        <v>353</v>
      </c>
      <c r="D20" s="286" t="s">
        <v>94</v>
      </c>
      <c r="E20" s="295">
        <v>16</v>
      </c>
      <c r="F20" s="295">
        <v>22</v>
      </c>
      <c r="G20" s="296">
        <v>0</v>
      </c>
      <c r="H20" s="296">
        <v>8205</v>
      </c>
      <c r="I20" s="296">
        <v>5005</v>
      </c>
      <c r="J20" s="296">
        <v>5248.65</v>
      </c>
      <c r="K20" s="296">
        <v>2956.35</v>
      </c>
      <c r="L20" s="296">
        <v>886.90499999999997</v>
      </c>
      <c r="M20" s="296">
        <v>3200</v>
      </c>
      <c r="N20" s="297">
        <v>0.39000609384521634</v>
      </c>
    </row>
    <row r="21" spans="1:14" ht="18" customHeight="1">
      <c r="A21" s="293" t="s">
        <v>1623</v>
      </c>
      <c r="B21" s="294">
        <v>46025</v>
      </c>
      <c r="C21" s="286" t="s">
        <v>168</v>
      </c>
      <c r="D21" s="286" t="s">
        <v>104</v>
      </c>
      <c r="E21" s="295">
        <v>5</v>
      </c>
      <c r="F21" s="295">
        <v>11</v>
      </c>
      <c r="G21" s="296">
        <v>0</v>
      </c>
      <c r="H21" s="296">
        <v>855</v>
      </c>
      <c r="I21" s="296">
        <v>515</v>
      </c>
      <c r="J21" s="296">
        <v>534.2299999999999</v>
      </c>
      <c r="K21" s="296">
        <v>320.77</v>
      </c>
      <c r="L21" s="296">
        <v>0</v>
      </c>
      <c r="M21" s="296">
        <v>340</v>
      </c>
      <c r="N21" s="297">
        <v>0.39766081871345027</v>
      </c>
    </row>
    <row r="22" spans="1:14" ht="18" customHeight="1">
      <c r="A22" s="293" t="s">
        <v>1624</v>
      </c>
      <c r="B22" s="294">
        <v>46025</v>
      </c>
      <c r="C22" s="286" t="s">
        <v>168</v>
      </c>
      <c r="D22" s="286" t="s">
        <v>105</v>
      </c>
      <c r="E22" s="295">
        <v>1</v>
      </c>
      <c r="F22" s="295">
        <v>1</v>
      </c>
      <c r="G22" s="296">
        <v>0</v>
      </c>
      <c r="H22" s="296">
        <v>2100</v>
      </c>
      <c r="I22" s="296">
        <v>1075</v>
      </c>
      <c r="J22" s="296">
        <v>1128.75</v>
      </c>
      <c r="K22" s="296">
        <v>971.25</v>
      </c>
      <c r="L22" s="296">
        <v>0</v>
      </c>
      <c r="M22" s="296">
        <v>1025</v>
      </c>
      <c r="N22" s="297">
        <v>0.48809523809523808</v>
      </c>
    </row>
    <row r="23" spans="1:14" ht="18" customHeight="1">
      <c r="A23" s="293" t="s">
        <v>1625</v>
      </c>
      <c r="B23" s="294">
        <v>46025</v>
      </c>
      <c r="C23" s="286" t="s">
        <v>351</v>
      </c>
      <c r="D23" s="286" t="s">
        <v>106</v>
      </c>
      <c r="E23" s="295">
        <v>2</v>
      </c>
      <c r="F23" s="295">
        <v>12</v>
      </c>
      <c r="G23" s="296">
        <v>0</v>
      </c>
      <c r="H23" s="296">
        <v>1050</v>
      </c>
      <c r="I23" s="296">
        <v>551</v>
      </c>
      <c r="J23" s="296">
        <v>578.54999999999995</v>
      </c>
      <c r="K23" s="296">
        <v>471.45</v>
      </c>
      <c r="L23" s="296">
        <v>141.435</v>
      </c>
      <c r="M23" s="296">
        <v>499</v>
      </c>
      <c r="N23" s="297">
        <v>0.47523809523809524</v>
      </c>
    </row>
    <row r="24" spans="1:14" ht="18" customHeight="1">
      <c r="A24" s="293" t="s">
        <v>1626</v>
      </c>
      <c r="B24" s="294">
        <v>46025</v>
      </c>
      <c r="C24" s="286" t="s">
        <v>168</v>
      </c>
      <c r="D24" s="286" t="s">
        <v>99</v>
      </c>
      <c r="E24" s="295">
        <v>3</v>
      </c>
      <c r="F24" s="295">
        <v>3</v>
      </c>
      <c r="G24" s="296">
        <v>0</v>
      </c>
      <c r="H24" s="296">
        <v>1380</v>
      </c>
      <c r="I24" s="296">
        <v>410</v>
      </c>
      <c r="J24" s="296">
        <v>430.5</v>
      </c>
      <c r="K24" s="296">
        <v>949.5</v>
      </c>
      <c r="L24" s="296">
        <v>0</v>
      </c>
      <c r="M24" s="296">
        <v>970</v>
      </c>
      <c r="N24" s="297">
        <v>0.70289855072463769</v>
      </c>
    </row>
    <row r="25" spans="1:14" ht="18" customHeight="1">
      <c r="A25" s="293" t="s">
        <v>1627</v>
      </c>
      <c r="B25" s="294">
        <v>46027</v>
      </c>
      <c r="C25" s="286" t="s">
        <v>168</v>
      </c>
      <c r="D25" s="286" t="s">
        <v>107</v>
      </c>
      <c r="E25" s="295">
        <v>1</v>
      </c>
      <c r="F25" s="295">
        <v>2</v>
      </c>
      <c r="G25" s="296">
        <v>0</v>
      </c>
      <c r="H25" s="296">
        <v>900</v>
      </c>
      <c r="I25" s="296">
        <v>360</v>
      </c>
      <c r="J25" s="296">
        <v>378</v>
      </c>
      <c r="K25" s="296">
        <v>522</v>
      </c>
      <c r="L25" s="296">
        <v>0</v>
      </c>
      <c r="M25" s="296">
        <v>540</v>
      </c>
      <c r="N25" s="297">
        <v>0.6</v>
      </c>
    </row>
    <row r="26" spans="1:14" ht="18" customHeight="1">
      <c r="A26" s="293" t="s">
        <v>1628</v>
      </c>
      <c r="B26" s="294">
        <v>46027</v>
      </c>
      <c r="C26" s="286" t="s">
        <v>353</v>
      </c>
      <c r="D26" s="286" t="s">
        <v>108</v>
      </c>
      <c r="E26" s="295">
        <v>2</v>
      </c>
      <c r="F26" s="295">
        <v>2</v>
      </c>
      <c r="G26" s="296">
        <v>0</v>
      </c>
      <c r="H26" s="296">
        <v>2475</v>
      </c>
      <c r="I26" s="296">
        <v>1210</v>
      </c>
      <c r="J26" s="296">
        <v>1270.5</v>
      </c>
      <c r="K26" s="296">
        <v>1204.5</v>
      </c>
      <c r="L26" s="296">
        <v>361.35</v>
      </c>
      <c r="M26" s="296">
        <v>1265</v>
      </c>
      <c r="N26" s="297">
        <v>0.51111111111111107</v>
      </c>
    </row>
    <row r="27" spans="1:14" ht="18" customHeight="1">
      <c r="A27" s="293" t="s">
        <v>1629</v>
      </c>
      <c r="B27" s="294">
        <v>46027</v>
      </c>
      <c r="C27" s="286" t="s">
        <v>168</v>
      </c>
      <c r="D27" s="286" t="s">
        <v>92</v>
      </c>
      <c r="E27" s="295">
        <v>7</v>
      </c>
      <c r="F27" s="295">
        <v>67</v>
      </c>
      <c r="G27" s="296">
        <v>0</v>
      </c>
      <c r="H27" s="296">
        <v>4940</v>
      </c>
      <c r="I27" s="296">
        <v>2482</v>
      </c>
      <c r="J27" s="296">
        <v>2606.1</v>
      </c>
      <c r="K27" s="296">
        <v>2333.9</v>
      </c>
      <c r="L27" s="296">
        <v>0</v>
      </c>
      <c r="M27" s="296">
        <v>2458</v>
      </c>
      <c r="N27" s="297">
        <v>0.49757085020242914</v>
      </c>
    </row>
    <row r="28" spans="1:14" ht="18" customHeight="1">
      <c r="A28" s="293" t="s">
        <v>1630</v>
      </c>
      <c r="B28" s="294">
        <v>46027</v>
      </c>
      <c r="C28" s="286" t="s">
        <v>354</v>
      </c>
      <c r="D28" s="286" t="s">
        <v>109</v>
      </c>
      <c r="E28" s="295">
        <v>1</v>
      </c>
      <c r="F28" s="295">
        <v>1</v>
      </c>
      <c r="G28" s="296">
        <v>0</v>
      </c>
      <c r="H28" s="296">
        <v>2300</v>
      </c>
      <c r="I28" s="296">
        <v>1500</v>
      </c>
      <c r="J28" s="296">
        <v>1575</v>
      </c>
      <c r="K28" s="296">
        <v>725</v>
      </c>
      <c r="L28" s="296">
        <v>217.5</v>
      </c>
      <c r="M28" s="296">
        <v>800</v>
      </c>
      <c r="N28" s="297">
        <v>0.34782608695652173</v>
      </c>
    </row>
    <row r="29" spans="1:14" ht="18" customHeight="1">
      <c r="A29" s="293" t="s">
        <v>1631</v>
      </c>
      <c r="B29" s="294">
        <v>46027</v>
      </c>
      <c r="C29" s="286" t="s">
        <v>353</v>
      </c>
      <c r="D29" s="286" t="s">
        <v>94</v>
      </c>
      <c r="E29" s="295">
        <v>1</v>
      </c>
      <c r="F29" s="295">
        <v>1</v>
      </c>
      <c r="G29" s="296">
        <v>0</v>
      </c>
      <c r="H29" s="296">
        <v>1700</v>
      </c>
      <c r="I29" s="296">
        <v>1200</v>
      </c>
      <c r="J29" s="296">
        <v>1260</v>
      </c>
      <c r="K29" s="296">
        <v>440</v>
      </c>
      <c r="L29" s="296">
        <v>132</v>
      </c>
      <c r="M29" s="296">
        <v>500</v>
      </c>
      <c r="N29" s="297">
        <v>0.29411764705882354</v>
      </c>
    </row>
    <row r="30" spans="1:14" ht="18" customHeight="1">
      <c r="A30" s="293" t="s">
        <v>1632</v>
      </c>
      <c r="B30" s="294">
        <v>46027</v>
      </c>
      <c r="C30" s="286" t="s">
        <v>168</v>
      </c>
      <c r="D30" s="286" t="s">
        <v>110</v>
      </c>
      <c r="E30" s="295">
        <v>4</v>
      </c>
      <c r="F30" s="295">
        <v>4</v>
      </c>
      <c r="G30" s="296">
        <v>0</v>
      </c>
      <c r="H30" s="296">
        <v>410</v>
      </c>
      <c r="I30" s="296">
        <v>184</v>
      </c>
      <c r="J30" s="296">
        <v>193.20000000000002</v>
      </c>
      <c r="K30" s="296">
        <v>216.79999999999998</v>
      </c>
      <c r="L30" s="296">
        <v>0</v>
      </c>
      <c r="M30" s="296">
        <v>226</v>
      </c>
      <c r="N30" s="297">
        <v>0.551219512195122</v>
      </c>
    </row>
    <row r="31" spans="1:14" ht="18" customHeight="1">
      <c r="A31" s="293" t="s">
        <v>1633</v>
      </c>
      <c r="B31" s="294">
        <v>46027</v>
      </c>
      <c r="C31" s="286" t="s">
        <v>168</v>
      </c>
      <c r="D31" s="286" t="s">
        <v>104</v>
      </c>
      <c r="E31" s="295">
        <v>1</v>
      </c>
      <c r="F31" s="295">
        <v>1</v>
      </c>
      <c r="G31" s="296">
        <v>0</v>
      </c>
      <c r="H31" s="296">
        <v>650</v>
      </c>
      <c r="I31" s="296">
        <v>300</v>
      </c>
      <c r="J31" s="296">
        <v>315</v>
      </c>
      <c r="K31" s="296">
        <v>335</v>
      </c>
      <c r="L31" s="296">
        <v>0</v>
      </c>
      <c r="M31" s="296">
        <v>350</v>
      </c>
      <c r="N31" s="297">
        <v>0.53846153846153844</v>
      </c>
    </row>
    <row r="32" spans="1:14" ht="18" customHeight="1">
      <c r="A32" s="293" t="s">
        <v>1634</v>
      </c>
      <c r="B32" s="294">
        <v>46027</v>
      </c>
      <c r="C32" s="286" t="s">
        <v>356</v>
      </c>
      <c r="D32" s="286" t="s">
        <v>111</v>
      </c>
      <c r="E32" s="295">
        <v>1</v>
      </c>
      <c r="F32" s="295">
        <v>1</v>
      </c>
      <c r="G32" s="296">
        <v>0</v>
      </c>
      <c r="H32" s="296">
        <v>13200</v>
      </c>
      <c r="I32" s="296">
        <v>7800</v>
      </c>
      <c r="J32" s="296">
        <v>8190</v>
      </c>
      <c r="K32" s="296">
        <v>5010</v>
      </c>
      <c r="L32" s="296">
        <v>1503</v>
      </c>
      <c r="M32" s="296">
        <v>5400</v>
      </c>
      <c r="N32" s="297">
        <v>0.40909090909090912</v>
      </c>
    </row>
    <row r="33" spans="1:14" ht="18" customHeight="1">
      <c r="A33" s="293" t="s">
        <v>1635</v>
      </c>
      <c r="B33" s="294">
        <v>46027</v>
      </c>
      <c r="C33" s="286" t="s">
        <v>168</v>
      </c>
      <c r="D33" s="286" t="s">
        <v>99</v>
      </c>
      <c r="E33" s="295">
        <v>1</v>
      </c>
      <c r="F33" s="295">
        <v>1</v>
      </c>
      <c r="G33" s="296">
        <v>0</v>
      </c>
      <c r="H33" s="296">
        <v>585</v>
      </c>
      <c r="I33" s="296">
        <v>480</v>
      </c>
      <c r="J33" s="296">
        <v>504</v>
      </c>
      <c r="K33" s="296">
        <v>81</v>
      </c>
      <c r="L33" s="296">
        <v>0</v>
      </c>
      <c r="M33" s="296">
        <v>105</v>
      </c>
      <c r="N33" s="297">
        <v>0.17948717948717949</v>
      </c>
    </row>
    <row r="34" spans="1:14" ht="18" customHeight="1">
      <c r="A34" s="293" t="s">
        <v>1636</v>
      </c>
      <c r="B34" s="294">
        <v>46028</v>
      </c>
      <c r="C34" s="286" t="s">
        <v>3773</v>
      </c>
      <c r="D34" s="286" t="s">
        <v>102</v>
      </c>
      <c r="E34" s="295">
        <v>2</v>
      </c>
      <c r="F34" s="295">
        <v>2</v>
      </c>
      <c r="G34" s="296">
        <v>0</v>
      </c>
      <c r="H34" s="296">
        <v>3400</v>
      </c>
      <c r="I34" s="296">
        <v>2250</v>
      </c>
      <c r="J34" s="296">
        <v>2362.5</v>
      </c>
      <c r="K34" s="296">
        <v>1037.5</v>
      </c>
      <c r="L34" s="296">
        <v>311.25</v>
      </c>
      <c r="M34" s="296">
        <v>1150</v>
      </c>
      <c r="N34" s="297">
        <v>0.33823529411764708</v>
      </c>
    </row>
    <row r="35" spans="1:14" ht="18" customHeight="1">
      <c r="A35" s="293" t="s">
        <v>1637</v>
      </c>
      <c r="B35" s="294">
        <v>46028</v>
      </c>
      <c r="C35" s="286" t="s">
        <v>168</v>
      </c>
      <c r="D35" s="286" t="s">
        <v>112</v>
      </c>
      <c r="E35" s="295">
        <v>2</v>
      </c>
      <c r="F35" s="295">
        <v>4</v>
      </c>
      <c r="G35" s="296">
        <v>0</v>
      </c>
      <c r="H35" s="296">
        <v>2055</v>
      </c>
      <c r="I35" s="296">
        <v>1565</v>
      </c>
      <c r="J35" s="296">
        <v>1643.25</v>
      </c>
      <c r="K35" s="296">
        <v>411.75</v>
      </c>
      <c r="L35" s="296">
        <v>0</v>
      </c>
      <c r="M35" s="296">
        <v>490</v>
      </c>
      <c r="N35" s="297">
        <v>0.23844282238442821</v>
      </c>
    </row>
    <row r="36" spans="1:14" ht="18" customHeight="1">
      <c r="A36" s="293" t="s">
        <v>1638</v>
      </c>
      <c r="B36" s="294">
        <v>46028</v>
      </c>
      <c r="C36" s="286" t="s">
        <v>168</v>
      </c>
      <c r="D36" s="286" t="s">
        <v>113</v>
      </c>
      <c r="E36" s="295">
        <v>1</v>
      </c>
      <c r="F36" s="295">
        <v>1</v>
      </c>
      <c r="G36" s="296">
        <v>0</v>
      </c>
      <c r="H36" s="296">
        <v>2000</v>
      </c>
      <c r="I36" s="296">
        <v>1100</v>
      </c>
      <c r="J36" s="296">
        <v>1155</v>
      </c>
      <c r="K36" s="296">
        <v>845</v>
      </c>
      <c r="L36" s="296">
        <v>0</v>
      </c>
      <c r="M36" s="296">
        <v>900</v>
      </c>
      <c r="N36" s="297">
        <v>0.45</v>
      </c>
    </row>
    <row r="37" spans="1:14" ht="18" customHeight="1">
      <c r="A37" s="293" t="s">
        <v>1639</v>
      </c>
      <c r="B37" s="294">
        <v>46028</v>
      </c>
      <c r="C37" s="286" t="s">
        <v>354</v>
      </c>
      <c r="D37" s="286" t="s">
        <v>109</v>
      </c>
      <c r="E37" s="295">
        <v>1</v>
      </c>
      <c r="F37" s="295">
        <v>1</v>
      </c>
      <c r="G37" s="296">
        <v>0</v>
      </c>
      <c r="H37" s="296">
        <v>2000</v>
      </c>
      <c r="I37" s="296">
        <v>1300</v>
      </c>
      <c r="J37" s="296">
        <v>1365</v>
      </c>
      <c r="K37" s="296">
        <v>635</v>
      </c>
      <c r="L37" s="296">
        <v>190.5</v>
      </c>
      <c r="M37" s="296">
        <v>700</v>
      </c>
      <c r="N37" s="297">
        <v>0.35</v>
      </c>
    </row>
    <row r="38" spans="1:14" ht="18" customHeight="1">
      <c r="A38" s="293" t="s">
        <v>1640</v>
      </c>
      <c r="B38" s="294">
        <v>46028</v>
      </c>
      <c r="C38" s="286" t="s">
        <v>359</v>
      </c>
      <c r="D38" s="286" t="s">
        <v>114</v>
      </c>
      <c r="E38" s="295">
        <v>2</v>
      </c>
      <c r="F38" s="295">
        <v>2</v>
      </c>
      <c r="G38" s="296">
        <v>0</v>
      </c>
      <c r="H38" s="296">
        <v>3800</v>
      </c>
      <c r="I38" s="296">
        <v>2200</v>
      </c>
      <c r="J38" s="296">
        <v>2310</v>
      </c>
      <c r="K38" s="296">
        <v>1490</v>
      </c>
      <c r="L38" s="296">
        <v>447</v>
      </c>
      <c r="M38" s="296">
        <v>1600</v>
      </c>
      <c r="N38" s="297">
        <v>0.42105263157894735</v>
      </c>
    </row>
    <row r="39" spans="1:14" ht="18" customHeight="1">
      <c r="A39" s="293" t="s">
        <v>1641</v>
      </c>
      <c r="B39" s="294">
        <v>46028</v>
      </c>
      <c r="C39" s="286" t="s">
        <v>168</v>
      </c>
      <c r="D39" s="286" t="s">
        <v>115</v>
      </c>
      <c r="E39" s="295">
        <v>2</v>
      </c>
      <c r="F39" s="295">
        <v>2</v>
      </c>
      <c r="G39" s="296">
        <v>0</v>
      </c>
      <c r="H39" s="296">
        <v>9700</v>
      </c>
      <c r="I39" s="296">
        <v>7632</v>
      </c>
      <c r="J39" s="296">
        <v>8013.6</v>
      </c>
      <c r="K39" s="296">
        <v>1686.3999999999996</v>
      </c>
      <c r="L39" s="296">
        <v>0</v>
      </c>
      <c r="M39" s="296">
        <v>2068</v>
      </c>
      <c r="N39" s="297">
        <v>0.2131958762886598</v>
      </c>
    </row>
    <row r="40" spans="1:14" ht="18" customHeight="1">
      <c r="A40" s="293" t="s">
        <v>1642</v>
      </c>
      <c r="B40" s="294">
        <v>46028</v>
      </c>
      <c r="C40" s="286" t="s">
        <v>168</v>
      </c>
      <c r="D40" s="286" t="s">
        <v>99</v>
      </c>
      <c r="E40" s="295">
        <v>14</v>
      </c>
      <c r="F40" s="295">
        <v>48.8</v>
      </c>
      <c r="G40" s="296">
        <v>0</v>
      </c>
      <c r="H40" s="296">
        <v>4516</v>
      </c>
      <c r="I40" s="296">
        <v>2825.8</v>
      </c>
      <c r="J40" s="296">
        <v>2941.2139999999999</v>
      </c>
      <c r="K40" s="296">
        <v>1574.7860000000001</v>
      </c>
      <c r="L40" s="296">
        <v>0</v>
      </c>
      <c r="M40" s="296">
        <v>1690.1999999999998</v>
      </c>
      <c r="N40" s="297">
        <v>0.37426926483613815</v>
      </c>
    </row>
    <row r="41" spans="1:14" ht="18" customHeight="1">
      <c r="A41" s="293" t="s">
        <v>1643</v>
      </c>
      <c r="B41" s="294">
        <v>46029</v>
      </c>
      <c r="C41" s="286" t="s">
        <v>353</v>
      </c>
      <c r="D41" s="286" t="s">
        <v>108</v>
      </c>
      <c r="E41" s="295">
        <v>2</v>
      </c>
      <c r="F41" s="295">
        <v>2</v>
      </c>
      <c r="G41" s="296">
        <v>0</v>
      </c>
      <c r="H41" s="296">
        <v>9900</v>
      </c>
      <c r="I41" s="296">
        <v>8132</v>
      </c>
      <c r="J41" s="296">
        <v>8538.6</v>
      </c>
      <c r="K41" s="296">
        <v>1361.3999999999996</v>
      </c>
      <c r="L41" s="296">
        <v>408.41999999999985</v>
      </c>
      <c r="M41" s="296">
        <v>1768</v>
      </c>
      <c r="N41" s="297">
        <v>0.1785858585858586</v>
      </c>
    </row>
    <row r="42" spans="1:14" ht="18" customHeight="1">
      <c r="A42" s="293" t="s">
        <v>1644</v>
      </c>
      <c r="B42" s="294">
        <v>46029</v>
      </c>
      <c r="C42" s="286" t="s">
        <v>168</v>
      </c>
      <c r="D42" s="286" t="s">
        <v>92</v>
      </c>
      <c r="E42" s="295">
        <v>2</v>
      </c>
      <c r="F42" s="295">
        <v>3</v>
      </c>
      <c r="G42" s="296">
        <v>0</v>
      </c>
      <c r="H42" s="296">
        <v>17700</v>
      </c>
      <c r="I42" s="296">
        <v>14964</v>
      </c>
      <c r="J42" s="296">
        <v>15712.2</v>
      </c>
      <c r="K42" s="296">
        <v>1987.7999999999993</v>
      </c>
      <c r="L42" s="296">
        <v>0</v>
      </c>
      <c r="M42" s="296">
        <v>2736</v>
      </c>
      <c r="N42" s="297">
        <v>0.15457627118644068</v>
      </c>
    </row>
    <row r="43" spans="1:14" ht="18" customHeight="1">
      <c r="A43" s="293" t="s">
        <v>1645</v>
      </c>
      <c r="B43" s="294">
        <v>46029</v>
      </c>
      <c r="C43" s="286" t="s">
        <v>3773</v>
      </c>
      <c r="D43" s="286" t="s">
        <v>116</v>
      </c>
      <c r="E43" s="295">
        <v>2</v>
      </c>
      <c r="F43" s="295">
        <v>2</v>
      </c>
      <c r="G43" s="296">
        <v>0</v>
      </c>
      <c r="H43" s="296">
        <v>2230</v>
      </c>
      <c r="I43" s="296">
        <v>1230</v>
      </c>
      <c r="J43" s="296">
        <v>1291.5</v>
      </c>
      <c r="K43" s="296">
        <v>938.5</v>
      </c>
      <c r="L43" s="296">
        <v>281.55</v>
      </c>
      <c r="M43" s="296">
        <v>1000</v>
      </c>
      <c r="N43" s="297">
        <v>0.44843049327354262</v>
      </c>
    </row>
    <row r="44" spans="1:14" ht="18" customHeight="1">
      <c r="A44" s="293" t="s">
        <v>1646</v>
      </c>
      <c r="B44" s="294">
        <v>46029</v>
      </c>
      <c r="C44" s="286" t="s">
        <v>168</v>
      </c>
      <c r="D44" s="286" t="s">
        <v>96</v>
      </c>
      <c r="E44" s="295">
        <v>5</v>
      </c>
      <c r="F44" s="295">
        <v>5</v>
      </c>
      <c r="G44" s="296">
        <v>0</v>
      </c>
      <c r="H44" s="296">
        <v>5390</v>
      </c>
      <c r="I44" s="296">
        <v>3200</v>
      </c>
      <c r="J44" s="296">
        <v>3360</v>
      </c>
      <c r="K44" s="296">
        <v>2030</v>
      </c>
      <c r="L44" s="296">
        <v>0</v>
      </c>
      <c r="M44" s="296">
        <v>2190</v>
      </c>
      <c r="N44" s="297">
        <v>0.40630797773654914</v>
      </c>
    </row>
    <row r="45" spans="1:14" ht="18" customHeight="1">
      <c r="A45" s="293" t="s">
        <v>1647</v>
      </c>
      <c r="B45" s="294">
        <v>46029</v>
      </c>
      <c r="C45" s="286" t="s">
        <v>168</v>
      </c>
      <c r="D45" s="286" t="s">
        <v>115</v>
      </c>
      <c r="E45" s="295">
        <v>1</v>
      </c>
      <c r="F45" s="295">
        <v>1</v>
      </c>
      <c r="G45" s="296">
        <v>0</v>
      </c>
      <c r="H45" s="296">
        <v>2000</v>
      </c>
      <c r="I45" s="296">
        <v>1400</v>
      </c>
      <c r="J45" s="296">
        <v>1470</v>
      </c>
      <c r="K45" s="296">
        <v>530</v>
      </c>
      <c r="L45" s="296">
        <v>0</v>
      </c>
      <c r="M45" s="296">
        <v>600</v>
      </c>
      <c r="N45" s="297">
        <v>0.3</v>
      </c>
    </row>
    <row r="46" spans="1:14" ht="18" customHeight="1">
      <c r="A46" s="293" t="s">
        <v>1648</v>
      </c>
      <c r="B46" s="294">
        <v>46029</v>
      </c>
      <c r="C46" s="286" t="s">
        <v>168</v>
      </c>
      <c r="D46" s="286" t="s">
        <v>117</v>
      </c>
      <c r="E46" s="295">
        <v>11</v>
      </c>
      <c r="F46" s="295">
        <v>34</v>
      </c>
      <c r="G46" s="296">
        <v>0</v>
      </c>
      <c r="H46" s="296">
        <v>5930</v>
      </c>
      <c r="I46" s="296">
        <v>1059.1500000000001</v>
      </c>
      <c r="J46" s="296">
        <v>1093.5445</v>
      </c>
      <c r="K46" s="296">
        <v>4836.4555000000009</v>
      </c>
      <c r="L46" s="296">
        <v>0</v>
      </c>
      <c r="M46" s="296">
        <v>4870.8500000000004</v>
      </c>
      <c r="N46" s="297">
        <v>0.82139123102866785</v>
      </c>
    </row>
    <row r="47" spans="1:14" ht="18" customHeight="1">
      <c r="A47" s="293" t="s">
        <v>1649</v>
      </c>
      <c r="B47" s="294">
        <v>46029</v>
      </c>
      <c r="C47" s="286" t="s">
        <v>168</v>
      </c>
      <c r="D47" s="286" t="s">
        <v>99</v>
      </c>
      <c r="E47" s="295">
        <v>5</v>
      </c>
      <c r="F47" s="295">
        <v>7</v>
      </c>
      <c r="G47" s="296">
        <v>0</v>
      </c>
      <c r="H47" s="296">
        <v>3130</v>
      </c>
      <c r="I47" s="296">
        <v>2165</v>
      </c>
      <c r="J47" s="296">
        <v>2268.5499999999997</v>
      </c>
      <c r="K47" s="296">
        <v>861.44999999999993</v>
      </c>
      <c r="L47" s="296">
        <v>0</v>
      </c>
      <c r="M47" s="296">
        <v>965</v>
      </c>
      <c r="N47" s="297">
        <v>0.30830670926517573</v>
      </c>
    </row>
    <row r="48" spans="1:14" ht="18" customHeight="1">
      <c r="A48" s="293" t="s">
        <v>1650</v>
      </c>
      <c r="B48" s="294">
        <v>46030</v>
      </c>
      <c r="C48" s="286" t="s">
        <v>3773</v>
      </c>
      <c r="D48" s="286" t="s">
        <v>102</v>
      </c>
      <c r="E48" s="295">
        <v>1</v>
      </c>
      <c r="F48" s="295">
        <v>1</v>
      </c>
      <c r="G48" s="296">
        <v>0</v>
      </c>
      <c r="H48" s="296">
        <v>2100</v>
      </c>
      <c r="I48" s="296">
        <v>1100</v>
      </c>
      <c r="J48" s="296">
        <v>1155</v>
      </c>
      <c r="K48" s="296">
        <v>945</v>
      </c>
      <c r="L48" s="296">
        <v>283.5</v>
      </c>
      <c r="M48" s="296">
        <v>1000</v>
      </c>
      <c r="N48" s="297">
        <v>0.47619047619047616</v>
      </c>
    </row>
    <row r="49" spans="1:14" ht="18" customHeight="1">
      <c r="A49" s="293" t="s">
        <v>1651</v>
      </c>
      <c r="B49" s="294">
        <v>46030</v>
      </c>
      <c r="C49" s="286" t="s">
        <v>353</v>
      </c>
      <c r="D49" s="286" t="s">
        <v>103</v>
      </c>
      <c r="E49" s="295">
        <v>1</v>
      </c>
      <c r="F49" s="295">
        <v>1</v>
      </c>
      <c r="G49" s="296">
        <v>0</v>
      </c>
      <c r="H49" s="296">
        <v>1780</v>
      </c>
      <c r="I49" s="296">
        <v>1380</v>
      </c>
      <c r="J49" s="296">
        <v>1449</v>
      </c>
      <c r="K49" s="296">
        <v>331</v>
      </c>
      <c r="L49" s="296">
        <v>99.3</v>
      </c>
      <c r="M49" s="296">
        <v>400</v>
      </c>
      <c r="N49" s="297">
        <v>0.2247191011235955</v>
      </c>
    </row>
    <row r="50" spans="1:14" ht="18" customHeight="1">
      <c r="A50" s="293" t="s">
        <v>1652</v>
      </c>
      <c r="B50" s="294">
        <v>46030</v>
      </c>
      <c r="C50" s="286" t="s">
        <v>168</v>
      </c>
      <c r="D50" s="286" t="s">
        <v>110</v>
      </c>
      <c r="E50" s="295">
        <v>3</v>
      </c>
      <c r="F50" s="295">
        <v>6</v>
      </c>
      <c r="G50" s="296">
        <v>0</v>
      </c>
      <c r="H50" s="296">
        <v>540</v>
      </c>
      <c r="I50" s="296">
        <v>354</v>
      </c>
      <c r="J50" s="296">
        <v>365.17999999999995</v>
      </c>
      <c r="K50" s="296">
        <v>174.82</v>
      </c>
      <c r="L50" s="296">
        <v>0</v>
      </c>
      <c r="M50" s="296">
        <v>186</v>
      </c>
      <c r="N50" s="297">
        <v>0.34444444444444444</v>
      </c>
    </row>
    <row r="51" spans="1:14" ht="18" customHeight="1">
      <c r="A51" s="293" t="s">
        <v>1653</v>
      </c>
      <c r="B51" s="294">
        <v>46030</v>
      </c>
      <c r="C51" s="286" t="s">
        <v>168</v>
      </c>
      <c r="D51" s="286" t="s">
        <v>118</v>
      </c>
      <c r="E51" s="295">
        <v>1</v>
      </c>
      <c r="F51" s="295">
        <v>1</v>
      </c>
      <c r="G51" s="296">
        <v>0</v>
      </c>
      <c r="H51" s="296">
        <v>2000</v>
      </c>
      <c r="I51" s="296">
        <v>780</v>
      </c>
      <c r="J51" s="296">
        <v>819</v>
      </c>
      <c r="K51" s="296">
        <v>1181</v>
      </c>
      <c r="L51" s="296">
        <v>0</v>
      </c>
      <c r="M51" s="296">
        <v>1220</v>
      </c>
      <c r="N51" s="297">
        <v>0.61</v>
      </c>
    </row>
    <row r="52" spans="1:14" ht="18" customHeight="1">
      <c r="A52" s="293" t="s">
        <v>1654</v>
      </c>
      <c r="B52" s="294">
        <v>46030</v>
      </c>
      <c r="C52" s="286" t="s">
        <v>350</v>
      </c>
      <c r="D52" s="286" t="s">
        <v>119</v>
      </c>
      <c r="E52" s="295">
        <v>1</v>
      </c>
      <c r="F52" s="295">
        <v>1</v>
      </c>
      <c r="G52" s="296">
        <v>0</v>
      </c>
      <c r="H52" s="296">
        <v>1800</v>
      </c>
      <c r="I52" s="296">
        <v>1200</v>
      </c>
      <c r="J52" s="296">
        <v>1260</v>
      </c>
      <c r="K52" s="296">
        <v>540</v>
      </c>
      <c r="L52" s="296">
        <v>162</v>
      </c>
      <c r="M52" s="296">
        <v>600</v>
      </c>
      <c r="N52" s="297">
        <v>0.33333333333333331</v>
      </c>
    </row>
    <row r="53" spans="1:14" ht="18" customHeight="1">
      <c r="A53" s="293" t="s">
        <v>1655</v>
      </c>
      <c r="B53" s="294">
        <v>46030</v>
      </c>
      <c r="C53" s="286" t="s">
        <v>168</v>
      </c>
      <c r="D53" s="286" t="s">
        <v>99</v>
      </c>
      <c r="E53" s="295">
        <v>2</v>
      </c>
      <c r="F53" s="295">
        <v>2</v>
      </c>
      <c r="G53" s="296">
        <v>0</v>
      </c>
      <c r="H53" s="296">
        <v>230</v>
      </c>
      <c r="I53" s="296">
        <v>91</v>
      </c>
      <c r="J53" s="296">
        <v>95.55</v>
      </c>
      <c r="K53" s="296">
        <v>134.44999999999999</v>
      </c>
      <c r="L53" s="296">
        <v>0</v>
      </c>
      <c r="M53" s="296">
        <v>139</v>
      </c>
      <c r="N53" s="297">
        <v>0.60434782608695647</v>
      </c>
    </row>
    <row r="54" spans="1:14" ht="18" customHeight="1">
      <c r="A54" s="293" t="s">
        <v>1656</v>
      </c>
      <c r="B54" s="294">
        <v>46031</v>
      </c>
      <c r="C54" s="286" t="s">
        <v>168</v>
      </c>
      <c r="D54" s="286" t="s">
        <v>92</v>
      </c>
      <c r="E54" s="295">
        <v>6</v>
      </c>
      <c r="F54" s="295">
        <v>6</v>
      </c>
      <c r="G54" s="296">
        <v>0</v>
      </c>
      <c r="H54" s="296">
        <v>7650</v>
      </c>
      <c r="I54" s="296">
        <v>3720</v>
      </c>
      <c r="J54" s="296">
        <v>3906</v>
      </c>
      <c r="K54" s="296">
        <v>3744</v>
      </c>
      <c r="L54" s="296">
        <v>0</v>
      </c>
      <c r="M54" s="296">
        <v>3930</v>
      </c>
      <c r="N54" s="297">
        <v>0.51372549019607838</v>
      </c>
    </row>
    <row r="55" spans="1:14" ht="18" customHeight="1">
      <c r="A55" s="293" t="s">
        <v>1657</v>
      </c>
      <c r="B55" s="294">
        <v>46031</v>
      </c>
      <c r="C55" s="286" t="s">
        <v>353</v>
      </c>
      <c r="D55" s="286" t="s">
        <v>103</v>
      </c>
      <c r="E55" s="295">
        <v>2</v>
      </c>
      <c r="F55" s="295">
        <v>2</v>
      </c>
      <c r="G55" s="296">
        <v>0</v>
      </c>
      <c r="H55" s="296">
        <v>3675</v>
      </c>
      <c r="I55" s="296">
        <v>2250</v>
      </c>
      <c r="J55" s="296">
        <v>2362.5</v>
      </c>
      <c r="K55" s="296">
        <v>1312.5</v>
      </c>
      <c r="L55" s="296">
        <v>393.75</v>
      </c>
      <c r="M55" s="296">
        <v>1425</v>
      </c>
      <c r="N55" s="297">
        <v>0.38775510204081631</v>
      </c>
    </row>
    <row r="56" spans="1:14" ht="18" customHeight="1">
      <c r="A56" s="293" t="s">
        <v>1658</v>
      </c>
      <c r="B56" s="294">
        <v>46031</v>
      </c>
      <c r="C56" s="286" t="s">
        <v>353</v>
      </c>
      <c r="D56" s="286" t="s">
        <v>94</v>
      </c>
      <c r="E56" s="295">
        <v>3</v>
      </c>
      <c r="F56" s="295">
        <v>46</v>
      </c>
      <c r="G56" s="296">
        <v>0</v>
      </c>
      <c r="H56" s="296">
        <v>1600</v>
      </c>
      <c r="I56" s="296">
        <v>746</v>
      </c>
      <c r="J56" s="296">
        <v>783.3</v>
      </c>
      <c r="K56" s="296">
        <v>816.7</v>
      </c>
      <c r="L56" s="296">
        <v>245.01</v>
      </c>
      <c r="M56" s="296">
        <v>854</v>
      </c>
      <c r="N56" s="297">
        <v>0.53374999999999995</v>
      </c>
    </row>
    <row r="57" spans="1:14" ht="18" customHeight="1">
      <c r="A57" s="293" t="s">
        <v>1659</v>
      </c>
      <c r="B57" s="294">
        <v>46031</v>
      </c>
      <c r="C57" s="286" t="s">
        <v>168</v>
      </c>
      <c r="D57" s="286" t="s">
        <v>99</v>
      </c>
      <c r="E57" s="295">
        <v>10</v>
      </c>
      <c r="F57" s="295">
        <v>37.799999999999997</v>
      </c>
      <c r="G57" s="296">
        <v>0</v>
      </c>
      <c r="H57" s="296">
        <v>6006</v>
      </c>
      <c r="I57" s="296">
        <v>2979.2</v>
      </c>
      <c r="J57" s="296">
        <v>3089.6000000000004</v>
      </c>
      <c r="K57" s="296">
        <v>2916.3999999999996</v>
      </c>
      <c r="L57" s="296">
        <v>0</v>
      </c>
      <c r="M57" s="296">
        <v>3026.8</v>
      </c>
      <c r="N57" s="297">
        <v>0.50396270396270404</v>
      </c>
    </row>
    <row r="58" spans="1:14" ht="18" customHeight="1">
      <c r="A58" s="293" t="s">
        <v>1660</v>
      </c>
      <c r="B58" s="294">
        <v>46032</v>
      </c>
      <c r="C58" s="286" t="s">
        <v>3773</v>
      </c>
      <c r="D58" s="286" t="s">
        <v>102</v>
      </c>
      <c r="E58" s="295">
        <v>2</v>
      </c>
      <c r="F58" s="295">
        <v>2</v>
      </c>
      <c r="G58" s="296">
        <v>0</v>
      </c>
      <c r="H58" s="296">
        <v>2350</v>
      </c>
      <c r="I58" s="296">
        <v>1385</v>
      </c>
      <c r="J58" s="296">
        <v>1454.25</v>
      </c>
      <c r="K58" s="296">
        <v>895.75</v>
      </c>
      <c r="L58" s="296">
        <v>268.72500000000002</v>
      </c>
      <c r="M58" s="296">
        <v>965</v>
      </c>
      <c r="N58" s="297">
        <v>0.41063829787234041</v>
      </c>
    </row>
    <row r="59" spans="1:14" ht="18" customHeight="1">
      <c r="A59" s="293" t="s">
        <v>1661</v>
      </c>
      <c r="B59" s="294">
        <v>46032</v>
      </c>
      <c r="C59" s="286" t="s">
        <v>168</v>
      </c>
      <c r="D59" s="286" t="s">
        <v>120</v>
      </c>
      <c r="E59" s="295">
        <v>3</v>
      </c>
      <c r="F59" s="295">
        <v>3</v>
      </c>
      <c r="G59" s="296">
        <v>0</v>
      </c>
      <c r="H59" s="296">
        <v>10115</v>
      </c>
      <c r="I59" s="296">
        <v>8302</v>
      </c>
      <c r="J59" s="296">
        <v>8717.1</v>
      </c>
      <c r="K59" s="296">
        <v>1397.8999999999996</v>
      </c>
      <c r="L59" s="296">
        <v>0</v>
      </c>
      <c r="M59" s="296">
        <v>1813</v>
      </c>
      <c r="N59" s="297">
        <v>0.17923875432525951</v>
      </c>
    </row>
    <row r="60" spans="1:14" ht="18" customHeight="1">
      <c r="A60" s="293" t="s">
        <v>1662</v>
      </c>
      <c r="B60" s="294">
        <v>46032</v>
      </c>
      <c r="C60" s="286" t="s">
        <v>353</v>
      </c>
      <c r="D60" s="286" t="s">
        <v>108</v>
      </c>
      <c r="E60" s="295">
        <v>2</v>
      </c>
      <c r="F60" s="295">
        <v>2</v>
      </c>
      <c r="G60" s="296">
        <v>0</v>
      </c>
      <c r="H60" s="296">
        <v>990</v>
      </c>
      <c r="I60" s="296">
        <v>500</v>
      </c>
      <c r="J60" s="296">
        <v>525</v>
      </c>
      <c r="K60" s="296">
        <v>465</v>
      </c>
      <c r="L60" s="296">
        <v>139.5</v>
      </c>
      <c r="M60" s="296">
        <v>490</v>
      </c>
      <c r="N60" s="297">
        <v>0.49494949494949497</v>
      </c>
    </row>
    <row r="61" spans="1:14" ht="18" customHeight="1">
      <c r="A61" s="293" t="s">
        <v>1663</v>
      </c>
      <c r="B61" s="294">
        <v>46032</v>
      </c>
      <c r="C61" s="286" t="s">
        <v>168</v>
      </c>
      <c r="D61" s="286" t="s">
        <v>121</v>
      </c>
      <c r="E61" s="295">
        <v>1</v>
      </c>
      <c r="F61" s="295">
        <v>1</v>
      </c>
      <c r="G61" s="296">
        <v>0</v>
      </c>
      <c r="H61" s="296">
        <v>450</v>
      </c>
      <c r="I61" s="296">
        <v>180</v>
      </c>
      <c r="J61" s="296">
        <v>189</v>
      </c>
      <c r="K61" s="296">
        <v>261</v>
      </c>
      <c r="L61" s="296">
        <v>0</v>
      </c>
      <c r="M61" s="296">
        <v>270</v>
      </c>
      <c r="N61" s="297">
        <v>0.6</v>
      </c>
    </row>
    <row r="62" spans="1:14" ht="18" customHeight="1">
      <c r="A62" s="293" t="s">
        <v>1664</v>
      </c>
      <c r="B62" s="294">
        <v>46032</v>
      </c>
      <c r="C62" s="286" t="s">
        <v>353</v>
      </c>
      <c r="D62" s="286" t="s">
        <v>94</v>
      </c>
      <c r="E62" s="295">
        <v>5</v>
      </c>
      <c r="F62" s="295">
        <v>9</v>
      </c>
      <c r="G62" s="296">
        <v>0</v>
      </c>
      <c r="H62" s="296">
        <v>3805</v>
      </c>
      <c r="I62" s="296">
        <v>2120</v>
      </c>
      <c r="J62" s="296">
        <v>2226</v>
      </c>
      <c r="K62" s="296">
        <v>1579</v>
      </c>
      <c r="L62" s="296">
        <v>473.70000000000005</v>
      </c>
      <c r="M62" s="296">
        <v>1685</v>
      </c>
      <c r="N62" s="297">
        <v>0.44283837056504599</v>
      </c>
    </row>
    <row r="63" spans="1:14" ht="18" customHeight="1">
      <c r="A63" s="293" t="s">
        <v>1665</v>
      </c>
      <c r="B63" s="294">
        <v>46032</v>
      </c>
      <c r="C63" s="286" t="s">
        <v>168</v>
      </c>
      <c r="D63" s="286" t="s">
        <v>96</v>
      </c>
      <c r="E63" s="295">
        <v>4</v>
      </c>
      <c r="F63" s="295">
        <v>4</v>
      </c>
      <c r="G63" s="296">
        <v>0</v>
      </c>
      <c r="H63" s="296">
        <v>2650</v>
      </c>
      <c r="I63" s="296">
        <v>1410</v>
      </c>
      <c r="J63" s="296">
        <v>1480.5</v>
      </c>
      <c r="K63" s="296">
        <v>1169.5</v>
      </c>
      <c r="L63" s="296">
        <v>0</v>
      </c>
      <c r="M63" s="296">
        <v>1240</v>
      </c>
      <c r="N63" s="297">
        <v>0.4679245283018868</v>
      </c>
    </row>
    <row r="64" spans="1:14" ht="18" customHeight="1">
      <c r="A64" s="293" t="s">
        <v>1666</v>
      </c>
      <c r="B64" s="294">
        <v>46032</v>
      </c>
      <c r="C64" s="286" t="s">
        <v>168</v>
      </c>
      <c r="D64" s="286" t="s">
        <v>115</v>
      </c>
      <c r="E64" s="295">
        <v>1</v>
      </c>
      <c r="F64" s="295">
        <v>1</v>
      </c>
      <c r="G64" s="296">
        <v>0</v>
      </c>
      <c r="H64" s="296">
        <v>2100</v>
      </c>
      <c r="I64" s="296">
        <v>1100</v>
      </c>
      <c r="J64" s="296">
        <v>1155</v>
      </c>
      <c r="K64" s="296">
        <v>945</v>
      </c>
      <c r="L64" s="296">
        <v>0</v>
      </c>
      <c r="M64" s="296">
        <v>1000</v>
      </c>
      <c r="N64" s="297">
        <v>0.47619047619047616</v>
      </c>
    </row>
    <row r="65" spans="1:14" ht="18" customHeight="1">
      <c r="A65" s="293" t="s">
        <v>1667</v>
      </c>
      <c r="B65" s="294">
        <v>46032</v>
      </c>
      <c r="C65" s="286" t="s">
        <v>168</v>
      </c>
      <c r="D65" s="286" t="s">
        <v>117</v>
      </c>
      <c r="E65" s="295">
        <v>4</v>
      </c>
      <c r="F65" s="295">
        <v>4.8</v>
      </c>
      <c r="G65" s="296">
        <v>0</v>
      </c>
      <c r="H65" s="296">
        <v>2490</v>
      </c>
      <c r="I65" s="296">
        <v>247.8</v>
      </c>
      <c r="J65" s="296">
        <v>255.23400000000004</v>
      </c>
      <c r="K65" s="296">
        <v>2234.7660000000001</v>
      </c>
      <c r="L65" s="296">
        <v>0</v>
      </c>
      <c r="M65" s="296">
        <v>2242.1999999999998</v>
      </c>
      <c r="N65" s="297">
        <v>0.90048192771084334</v>
      </c>
    </row>
    <row r="66" spans="1:14" ht="18" customHeight="1">
      <c r="A66" s="293" t="s">
        <v>1668</v>
      </c>
      <c r="B66" s="294">
        <v>46032</v>
      </c>
      <c r="C66" s="286" t="s">
        <v>168</v>
      </c>
      <c r="D66" s="286" t="s">
        <v>122</v>
      </c>
      <c r="E66" s="295">
        <v>1</v>
      </c>
      <c r="F66" s="295">
        <v>20</v>
      </c>
      <c r="G66" s="296">
        <v>0</v>
      </c>
      <c r="H66" s="296">
        <v>500</v>
      </c>
      <c r="I66" s="296">
        <v>380</v>
      </c>
      <c r="J66" s="296">
        <v>391.40000000000003</v>
      </c>
      <c r="K66" s="296">
        <v>108.59999999999997</v>
      </c>
      <c r="L66" s="296">
        <v>0</v>
      </c>
      <c r="M66" s="296">
        <v>120</v>
      </c>
      <c r="N66" s="297">
        <v>0.24</v>
      </c>
    </row>
    <row r="67" spans="1:14" ht="18" customHeight="1">
      <c r="A67" s="293" t="s">
        <v>1669</v>
      </c>
      <c r="B67" s="294">
        <v>46032</v>
      </c>
      <c r="C67" s="286" t="s">
        <v>168</v>
      </c>
      <c r="D67" s="286" t="s">
        <v>97</v>
      </c>
      <c r="E67" s="295">
        <v>2</v>
      </c>
      <c r="F67" s="295">
        <v>2</v>
      </c>
      <c r="G67" s="296">
        <v>0</v>
      </c>
      <c r="H67" s="296">
        <v>1100</v>
      </c>
      <c r="I67" s="296">
        <v>420</v>
      </c>
      <c r="J67" s="296">
        <v>441</v>
      </c>
      <c r="K67" s="296">
        <v>659</v>
      </c>
      <c r="L67" s="296">
        <v>0</v>
      </c>
      <c r="M67" s="296">
        <v>680</v>
      </c>
      <c r="N67" s="297">
        <v>0.61818181818181817</v>
      </c>
    </row>
    <row r="68" spans="1:14" ht="18" customHeight="1">
      <c r="A68" s="293" t="s">
        <v>1670</v>
      </c>
      <c r="B68" s="294">
        <v>46032</v>
      </c>
      <c r="C68" s="286" t="s">
        <v>358</v>
      </c>
      <c r="D68" s="286" t="s">
        <v>98</v>
      </c>
      <c r="E68" s="295">
        <v>2</v>
      </c>
      <c r="F68" s="295">
        <v>2</v>
      </c>
      <c r="G68" s="296">
        <v>0</v>
      </c>
      <c r="H68" s="296">
        <v>8250</v>
      </c>
      <c r="I68" s="296">
        <v>6912</v>
      </c>
      <c r="J68" s="296">
        <v>7257.6</v>
      </c>
      <c r="K68" s="296">
        <v>992.39999999999964</v>
      </c>
      <c r="L68" s="296">
        <v>297.71999999999986</v>
      </c>
      <c r="M68" s="296">
        <v>1338</v>
      </c>
      <c r="N68" s="297">
        <v>0.16218181818181818</v>
      </c>
    </row>
    <row r="69" spans="1:14" ht="18" customHeight="1">
      <c r="A69" s="293" t="s">
        <v>1671</v>
      </c>
      <c r="B69" s="294">
        <v>46032</v>
      </c>
      <c r="C69" s="286" t="s">
        <v>168</v>
      </c>
      <c r="D69" s="286" t="s">
        <v>99</v>
      </c>
      <c r="E69" s="295">
        <v>5</v>
      </c>
      <c r="F69" s="295">
        <v>5.4</v>
      </c>
      <c r="G69" s="296">
        <v>0</v>
      </c>
      <c r="H69" s="296">
        <v>1375</v>
      </c>
      <c r="I69" s="296">
        <v>212.7</v>
      </c>
      <c r="J69" s="296">
        <v>219.08100000000002</v>
      </c>
      <c r="K69" s="296">
        <v>1155.9189999999999</v>
      </c>
      <c r="L69" s="296">
        <v>0</v>
      </c>
      <c r="M69" s="296">
        <v>1162.3</v>
      </c>
      <c r="N69" s="297">
        <v>0.8453090909090909</v>
      </c>
    </row>
    <row r="70" spans="1:14" ht="18" customHeight="1">
      <c r="A70" s="293" t="s">
        <v>1672</v>
      </c>
      <c r="B70" s="294">
        <v>46034</v>
      </c>
      <c r="C70" s="286" t="s">
        <v>3773</v>
      </c>
      <c r="D70" s="286" t="s">
        <v>102</v>
      </c>
      <c r="E70" s="295">
        <v>2</v>
      </c>
      <c r="F70" s="295">
        <v>2</v>
      </c>
      <c r="G70" s="296">
        <v>0</v>
      </c>
      <c r="H70" s="296">
        <v>9800</v>
      </c>
      <c r="I70" s="296">
        <v>7582</v>
      </c>
      <c r="J70" s="296">
        <v>7961.1</v>
      </c>
      <c r="K70" s="296">
        <v>1838.8999999999996</v>
      </c>
      <c r="L70" s="296">
        <v>551.66999999999985</v>
      </c>
      <c r="M70" s="296">
        <v>2218</v>
      </c>
      <c r="N70" s="297">
        <v>0.22632653061224489</v>
      </c>
    </row>
    <row r="71" spans="1:14" ht="18" customHeight="1">
      <c r="A71" s="293" t="s">
        <v>1673</v>
      </c>
      <c r="B71" s="294">
        <v>46034</v>
      </c>
      <c r="C71" s="286" t="s">
        <v>168</v>
      </c>
      <c r="D71" s="286" t="s">
        <v>96</v>
      </c>
      <c r="E71" s="295">
        <v>1</v>
      </c>
      <c r="F71" s="295">
        <v>1</v>
      </c>
      <c r="G71" s="296">
        <v>0</v>
      </c>
      <c r="H71" s="296">
        <v>2000</v>
      </c>
      <c r="I71" s="296">
        <v>1350</v>
      </c>
      <c r="J71" s="296">
        <v>1417.5</v>
      </c>
      <c r="K71" s="296">
        <v>582.5</v>
      </c>
      <c r="L71" s="296">
        <v>0</v>
      </c>
      <c r="M71" s="296">
        <v>650</v>
      </c>
      <c r="N71" s="297">
        <v>0.32500000000000001</v>
      </c>
    </row>
    <row r="72" spans="1:14" ht="18" customHeight="1">
      <c r="A72" s="293" t="s">
        <v>1674</v>
      </c>
      <c r="B72" s="294">
        <v>46034</v>
      </c>
      <c r="C72" s="286" t="s">
        <v>168</v>
      </c>
      <c r="D72" s="286" t="s">
        <v>123</v>
      </c>
      <c r="E72" s="295">
        <v>3</v>
      </c>
      <c r="F72" s="295">
        <v>4</v>
      </c>
      <c r="G72" s="296">
        <v>0</v>
      </c>
      <c r="H72" s="296">
        <v>970</v>
      </c>
      <c r="I72" s="296">
        <v>460</v>
      </c>
      <c r="J72" s="296">
        <v>483</v>
      </c>
      <c r="K72" s="296">
        <v>487</v>
      </c>
      <c r="L72" s="296">
        <v>0</v>
      </c>
      <c r="M72" s="296">
        <v>510</v>
      </c>
      <c r="N72" s="297">
        <v>0.52577319587628868</v>
      </c>
    </row>
    <row r="73" spans="1:14" ht="18" customHeight="1">
      <c r="A73" s="293" t="s">
        <v>1675</v>
      </c>
      <c r="B73" s="294">
        <v>46034</v>
      </c>
      <c r="C73" s="286" t="s">
        <v>168</v>
      </c>
      <c r="D73" s="286" t="s">
        <v>99</v>
      </c>
      <c r="E73" s="295">
        <v>12</v>
      </c>
      <c r="F73" s="295">
        <v>51</v>
      </c>
      <c r="G73" s="296">
        <v>0</v>
      </c>
      <c r="H73" s="296">
        <v>7455</v>
      </c>
      <c r="I73" s="296">
        <v>4476.0200000000004</v>
      </c>
      <c r="J73" s="296">
        <v>4636.664600000001</v>
      </c>
      <c r="K73" s="296">
        <v>2818.3353999999999</v>
      </c>
      <c r="L73" s="296">
        <v>0</v>
      </c>
      <c r="M73" s="296">
        <v>2978.9799999999996</v>
      </c>
      <c r="N73" s="297">
        <v>0.39959490274983228</v>
      </c>
    </row>
    <row r="74" spans="1:14" ht="18" customHeight="1">
      <c r="A74" s="293" t="s">
        <v>1676</v>
      </c>
      <c r="B74" s="294">
        <v>46035</v>
      </c>
      <c r="C74" s="286" t="s">
        <v>353</v>
      </c>
      <c r="D74" s="286" t="s">
        <v>103</v>
      </c>
      <c r="E74" s="295">
        <v>5</v>
      </c>
      <c r="F74" s="295">
        <v>61</v>
      </c>
      <c r="G74" s="296">
        <v>0</v>
      </c>
      <c r="H74" s="296">
        <v>4300</v>
      </c>
      <c r="I74" s="296">
        <v>2260</v>
      </c>
      <c r="J74" s="296">
        <v>2373</v>
      </c>
      <c r="K74" s="296">
        <v>1927</v>
      </c>
      <c r="L74" s="296">
        <v>578.09999999999991</v>
      </c>
      <c r="M74" s="296">
        <v>2040</v>
      </c>
      <c r="N74" s="297">
        <v>0.47441860465116281</v>
      </c>
    </row>
    <row r="75" spans="1:14" ht="18" customHeight="1">
      <c r="A75" s="293" t="s">
        <v>1677</v>
      </c>
      <c r="B75" s="294">
        <v>46035</v>
      </c>
      <c r="C75" s="286" t="s">
        <v>359</v>
      </c>
      <c r="D75" s="286" t="s">
        <v>114</v>
      </c>
      <c r="E75" s="295">
        <v>3</v>
      </c>
      <c r="F75" s="295">
        <v>4</v>
      </c>
      <c r="G75" s="296">
        <v>0</v>
      </c>
      <c r="H75" s="296">
        <v>2655</v>
      </c>
      <c r="I75" s="296">
        <v>1550</v>
      </c>
      <c r="J75" s="296">
        <v>1627.5</v>
      </c>
      <c r="K75" s="296">
        <v>1027.5</v>
      </c>
      <c r="L75" s="296">
        <v>308.25</v>
      </c>
      <c r="M75" s="296">
        <v>1105</v>
      </c>
      <c r="N75" s="297">
        <v>0.41619585687382299</v>
      </c>
    </row>
    <row r="76" spans="1:14" ht="18" customHeight="1">
      <c r="A76" s="293" t="s">
        <v>1678</v>
      </c>
      <c r="B76" s="294">
        <v>46035</v>
      </c>
      <c r="C76" s="286" t="s">
        <v>353</v>
      </c>
      <c r="D76" s="286" t="s">
        <v>94</v>
      </c>
      <c r="E76" s="295">
        <v>1</v>
      </c>
      <c r="F76" s="295">
        <v>1</v>
      </c>
      <c r="G76" s="296">
        <v>0</v>
      </c>
      <c r="H76" s="296">
        <v>1800</v>
      </c>
      <c r="I76" s="296">
        <v>1000</v>
      </c>
      <c r="J76" s="296">
        <v>1050</v>
      </c>
      <c r="K76" s="296">
        <v>750</v>
      </c>
      <c r="L76" s="296">
        <v>225</v>
      </c>
      <c r="M76" s="296">
        <v>800</v>
      </c>
      <c r="N76" s="297">
        <v>0.44444444444444442</v>
      </c>
    </row>
    <row r="77" spans="1:14" ht="18" customHeight="1">
      <c r="A77" s="293" t="s">
        <v>1679</v>
      </c>
      <c r="B77" s="294">
        <v>46035</v>
      </c>
      <c r="C77" s="286" t="s">
        <v>168</v>
      </c>
      <c r="D77" s="286" t="s">
        <v>124</v>
      </c>
      <c r="E77" s="295">
        <v>1</v>
      </c>
      <c r="F77" s="295">
        <v>1</v>
      </c>
      <c r="G77" s="296">
        <v>0</v>
      </c>
      <c r="H77" s="296">
        <v>2200</v>
      </c>
      <c r="I77" s="296">
        <v>1450</v>
      </c>
      <c r="J77" s="296">
        <v>1522.5</v>
      </c>
      <c r="K77" s="296">
        <v>677.5</v>
      </c>
      <c r="L77" s="296">
        <v>0</v>
      </c>
      <c r="M77" s="296">
        <v>750</v>
      </c>
      <c r="N77" s="297">
        <v>0.34090909090909088</v>
      </c>
    </row>
    <row r="78" spans="1:14" ht="18" customHeight="1">
      <c r="A78" s="293" t="s">
        <v>1680</v>
      </c>
      <c r="B78" s="294">
        <v>46035</v>
      </c>
      <c r="C78" s="286" t="s">
        <v>168</v>
      </c>
      <c r="D78" s="286" t="s">
        <v>99</v>
      </c>
      <c r="E78" s="295">
        <v>1</v>
      </c>
      <c r="F78" s="295">
        <v>1</v>
      </c>
      <c r="G78" s="296">
        <v>0</v>
      </c>
      <c r="H78" s="296">
        <v>585</v>
      </c>
      <c r="I78" s="296">
        <v>480</v>
      </c>
      <c r="J78" s="296">
        <v>504</v>
      </c>
      <c r="K78" s="296">
        <v>81</v>
      </c>
      <c r="L78" s="296">
        <v>0</v>
      </c>
      <c r="M78" s="296">
        <v>105</v>
      </c>
      <c r="N78" s="297">
        <v>0.17948717948717949</v>
      </c>
    </row>
    <row r="79" spans="1:14" ht="18" customHeight="1">
      <c r="A79" s="293" t="s">
        <v>1681</v>
      </c>
      <c r="B79" s="294">
        <v>46036</v>
      </c>
      <c r="C79" s="286" t="s">
        <v>168</v>
      </c>
      <c r="D79" s="286" t="s">
        <v>125</v>
      </c>
      <c r="E79" s="295">
        <v>1</v>
      </c>
      <c r="F79" s="295">
        <v>1</v>
      </c>
      <c r="G79" s="296">
        <v>0</v>
      </c>
      <c r="H79" s="296">
        <v>900</v>
      </c>
      <c r="I79" s="296">
        <v>350</v>
      </c>
      <c r="J79" s="296">
        <v>367.5</v>
      </c>
      <c r="K79" s="296">
        <v>532.5</v>
      </c>
      <c r="L79" s="296">
        <v>0</v>
      </c>
      <c r="M79" s="296">
        <v>550</v>
      </c>
      <c r="N79" s="297">
        <v>0.61111111111111116</v>
      </c>
    </row>
    <row r="80" spans="1:14" ht="18" customHeight="1">
      <c r="A80" s="293" t="s">
        <v>1682</v>
      </c>
      <c r="B80" s="294">
        <v>46036</v>
      </c>
      <c r="C80" s="286" t="s">
        <v>3773</v>
      </c>
      <c r="D80" s="286" t="s">
        <v>102</v>
      </c>
      <c r="E80" s="295">
        <v>3</v>
      </c>
      <c r="F80" s="295">
        <v>3</v>
      </c>
      <c r="G80" s="296">
        <v>0</v>
      </c>
      <c r="H80" s="296">
        <v>4550</v>
      </c>
      <c r="I80" s="296">
        <v>1940</v>
      </c>
      <c r="J80" s="296">
        <v>2037</v>
      </c>
      <c r="K80" s="296">
        <v>2513</v>
      </c>
      <c r="L80" s="296">
        <v>753.9</v>
      </c>
      <c r="M80" s="296">
        <v>2610</v>
      </c>
      <c r="N80" s="297">
        <v>0.57362637362637359</v>
      </c>
    </row>
    <row r="81" spans="1:14" ht="18" customHeight="1">
      <c r="A81" s="293" t="s">
        <v>1683</v>
      </c>
      <c r="B81" s="294">
        <v>46036</v>
      </c>
      <c r="C81" s="286" t="s">
        <v>3773</v>
      </c>
      <c r="D81" s="286" t="s">
        <v>126</v>
      </c>
      <c r="E81" s="295">
        <v>3</v>
      </c>
      <c r="F81" s="295">
        <v>3</v>
      </c>
      <c r="G81" s="296">
        <v>0</v>
      </c>
      <c r="H81" s="296">
        <v>4150</v>
      </c>
      <c r="I81" s="296">
        <v>2390</v>
      </c>
      <c r="J81" s="296">
        <v>2509.5</v>
      </c>
      <c r="K81" s="296">
        <v>1640.5</v>
      </c>
      <c r="L81" s="296">
        <v>492.15</v>
      </c>
      <c r="M81" s="296">
        <v>1760</v>
      </c>
      <c r="N81" s="297">
        <v>0.42409638554216866</v>
      </c>
    </row>
    <row r="82" spans="1:14" ht="18" customHeight="1">
      <c r="A82" s="293" t="s">
        <v>1684</v>
      </c>
      <c r="B82" s="294">
        <v>46036</v>
      </c>
      <c r="C82" s="286" t="s">
        <v>168</v>
      </c>
      <c r="D82" s="286" t="s">
        <v>113</v>
      </c>
      <c r="E82" s="295">
        <v>1</v>
      </c>
      <c r="F82" s="295">
        <v>1</v>
      </c>
      <c r="G82" s="296">
        <v>0</v>
      </c>
      <c r="H82" s="296">
        <v>4200</v>
      </c>
      <c r="I82" s="296">
        <v>2400</v>
      </c>
      <c r="J82" s="296">
        <v>2520</v>
      </c>
      <c r="K82" s="296">
        <v>1680</v>
      </c>
      <c r="L82" s="296">
        <v>0</v>
      </c>
      <c r="M82" s="296">
        <v>1800</v>
      </c>
      <c r="N82" s="297">
        <v>0.42857142857142855</v>
      </c>
    </row>
    <row r="83" spans="1:14" ht="18" customHeight="1">
      <c r="A83" s="293" t="s">
        <v>1685</v>
      </c>
      <c r="B83" s="294">
        <v>46036</v>
      </c>
      <c r="C83" s="286" t="s">
        <v>354</v>
      </c>
      <c r="D83" s="286" t="s">
        <v>109</v>
      </c>
      <c r="E83" s="295">
        <v>1</v>
      </c>
      <c r="F83" s="295">
        <v>1</v>
      </c>
      <c r="G83" s="296">
        <v>0</v>
      </c>
      <c r="H83" s="296">
        <v>1700</v>
      </c>
      <c r="I83" s="296">
        <v>1100</v>
      </c>
      <c r="J83" s="296">
        <v>1155</v>
      </c>
      <c r="K83" s="296">
        <v>545</v>
      </c>
      <c r="L83" s="296">
        <v>163.5</v>
      </c>
      <c r="M83" s="296">
        <v>600</v>
      </c>
      <c r="N83" s="297">
        <v>0.35294117647058826</v>
      </c>
    </row>
    <row r="84" spans="1:14" ht="18" customHeight="1">
      <c r="A84" s="293" t="s">
        <v>1686</v>
      </c>
      <c r="B84" s="294">
        <v>46036</v>
      </c>
      <c r="C84" s="286" t="s">
        <v>168</v>
      </c>
      <c r="D84" s="286" t="s">
        <v>110</v>
      </c>
      <c r="E84" s="295">
        <v>8</v>
      </c>
      <c r="F84" s="295">
        <v>17</v>
      </c>
      <c r="G84" s="296">
        <v>0</v>
      </c>
      <c r="H84" s="296">
        <v>1856</v>
      </c>
      <c r="I84" s="296">
        <v>1152.42</v>
      </c>
      <c r="J84" s="296">
        <v>1201.2525999999998</v>
      </c>
      <c r="K84" s="296">
        <v>654.74740000000008</v>
      </c>
      <c r="L84" s="296">
        <v>0</v>
      </c>
      <c r="M84" s="296">
        <v>703.57999999999993</v>
      </c>
      <c r="N84" s="297">
        <v>0.37908405172413789</v>
      </c>
    </row>
    <row r="85" spans="1:14" ht="18" customHeight="1">
      <c r="A85" s="293" t="s">
        <v>1687</v>
      </c>
      <c r="B85" s="294">
        <v>46036</v>
      </c>
      <c r="C85" s="286" t="s">
        <v>168</v>
      </c>
      <c r="D85" s="286" t="s">
        <v>105</v>
      </c>
      <c r="E85" s="295">
        <v>1</v>
      </c>
      <c r="F85" s="295">
        <v>1</v>
      </c>
      <c r="G85" s="296">
        <v>0</v>
      </c>
      <c r="H85" s="296">
        <v>600</v>
      </c>
      <c r="I85" s="296">
        <v>340</v>
      </c>
      <c r="J85" s="296">
        <v>357</v>
      </c>
      <c r="K85" s="296">
        <v>243</v>
      </c>
      <c r="L85" s="296">
        <v>0</v>
      </c>
      <c r="M85" s="296">
        <v>260</v>
      </c>
      <c r="N85" s="297">
        <v>0.43333333333333335</v>
      </c>
    </row>
    <row r="86" spans="1:14" ht="18" customHeight="1">
      <c r="A86" s="293" t="s">
        <v>1688</v>
      </c>
      <c r="B86" s="294">
        <v>46036</v>
      </c>
      <c r="C86" s="286" t="s">
        <v>168</v>
      </c>
      <c r="D86" s="286" t="s">
        <v>115</v>
      </c>
      <c r="E86" s="295">
        <v>1</v>
      </c>
      <c r="F86" s="295">
        <v>1</v>
      </c>
      <c r="G86" s="296">
        <v>0</v>
      </c>
      <c r="H86" s="296">
        <v>7800</v>
      </c>
      <c r="I86" s="296">
        <v>6732</v>
      </c>
      <c r="J86" s="296">
        <v>7068.6</v>
      </c>
      <c r="K86" s="296">
        <v>731.39999999999964</v>
      </c>
      <c r="L86" s="296">
        <v>0</v>
      </c>
      <c r="M86" s="296">
        <v>1068</v>
      </c>
      <c r="N86" s="297">
        <v>0.13692307692307693</v>
      </c>
    </row>
    <row r="87" spans="1:14" ht="18" customHeight="1">
      <c r="A87" s="293" t="s">
        <v>1689</v>
      </c>
      <c r="B87" s="294">
        <v>46036</v>
      </c>
      <c r="C87" s="286" t="s">
        <v>168</v>
      </c>
      <c r="D87" s="286" t="s">
        <v>127</v>
      </c>
      <c r="E87" s="295">
        <v>1</v>
      </c>
      <c r="F87" s="295">
        <v>1</v>
      </c>
      <c r="G87" s="296">
        <v>0</v>
      </c>
      <c r="H87" s="296">
        <v>415</v>
      </c>
      <c r="I87" s="296">
        <v>170</v>
      </c>
      <c r="J87" s="296">
        <v>178.5</v>
      </c>
      <c r="K87" s="296">
        <v>236.5</v>
      </c>
      <c r="L87" s="296">
        <v>0</v>
      </c>
      <c r="M87" s="296">
        <v>245</v>
      </c>
      <c r="N87" s="297">
        <v>0.59036144578313254</v>
      </c>
    </row>
    <row r="88" spans="1:14" ht="18" customHeight="1">
      <c r="A88" s="293" t="s">
        <v>1690</v>
      </c>
      <c r="B88" s="294">
        <v>46036</v>
      </c>
      <c r="C88" s="286" t="s">
        <v>168</v>
      </c>
      <c r="D88" s="286" t="s">
        <v>97</v>
      </c>
      <c r="E88" s="295">
        <v>1</v>
      </c>
      <c r="F88" s="295">
        <v>1</v>
      </c>
      <c r="G88" s="296">
        <v>0</v>
      </c>
      <c r="H88" s="296">
        <v>1900</v>
      </c>
      <c r="I88" s="296">
        <v>800</v>
      </c>
      <c r="J88" s="296">
        <v>840</v>
      </c>
      <c r="K88" s="296">
        <v>1060</v>
      </c>
      <c r="L88" s="296">
        <v>0</v>
      </c>
      <c r="M88" s="296">
        <v>1100</v>
      </c>
      <c r="N88" s="297">
        <v>0.57894736842105265</v>
      </c>
    </row>
    <row r="89" spans="1:14" ht="18" customHeight="1">
      <c r="A89" s="293" t="s">
        <v>1691</v>
      </c>
      <c r="B89" s="294">
        <v>46036</v>
      </c>
      <c r="C89" s="286" t="s">
        <v>168</v>
      </c>
      <c r="D89" s="286" t="s">
        <v>123</v>
      </c>
      <c r="E89" s="295">
        <v>1</v>
      </c>
      <c r="F89" s="295">
        <v>1</v>
      </c>
      <c r="G89" s="296">
        <v>0</v>
      </c>
      <c r="H89" s="296">
        <v>550</v>
      </c>
      <c r="I89" s="296">
        <v>255</v>
      </c>
      <c r="J89" s="296">
        <v>267.75</v>
      </c>
      <c r="K89" s="296">
        <v>282.25</v>
      </c>
      <c r="L89" s="296">
        <v>0</v>
      </c>
      <c r="M89" s="296">
        <v>295</v>
      </c>
      <c r="N89" s="297">
        <v>0.53636363636363638</v>
      </c>
    </row>
    <row r="90" spans="1:14" ht="18" customHeight="1">
      <c r="A90" s="293" t="s">
        <v>1692</v>
      </c>
      <c r="B90" s="294">
        <v>46037</v>
      </c>
      <c r="C90" s="286" t="s">
        <v>3773</v>
      </c>
      <c r="D90" s="286" t="s">
        <v>100</v>
      </c>
      <c r="E90" s="295">
        <v>2</v>
      </c>
      <c r="F90" s="295">
        <v>2</v>
      </c>
      <c r="G90" s="296">
        <v>0</v>
      </c>
      <c r="H90" s="296">
        <v>340</v>
      </c>
      <c r="I90" s="296">
        <v>159</v>
      </c>
      <c r="J90" s="296">
        <v>164.45</v>
      </c>
      <c r="K90" s="296">
        <v>175.55</v>
      </c>
      <c r="L90" s="296">
        <v>52.664999999999999</v>
      </c>
      <c r="M90" s="296">
        <v>181</v>
      </c>
      <c r="N90" s="297">
        <v>0.53235294117647058</v>
      </c>
    </row>
    <row r="91" spans="1:14" ht="18" customHeight="1">
      <c r="A91" s="293" t="s">
        <v>1693</v>
      </c>
      <c r="B91" s="294">
        <v>46037</v>
      </c>
      <c r="C91" s="286" t="s">
        <v>353</v>
      </c>
      <c r="D91" s="286" t="s">
        <v>103</v>
      </c>
      <c r="E91" s="295">
        <v>2</v>
      </c>
      <c r="F91" s="295">
        <v>2</v>
      </c>
      <c r="G91" s="296">
        <v>0</v>
      </c>
      <c r="H91" s="296">
        <v>2650</v>
      </c>
      <c r="I91" s="296">
        <v>1660</v>
      </c>
      <c r="J91" s="296">
        <v>1743</v>
      </c>
      <c r="K91" s="296">
        <v>907</v>
      </c>
      <c r="L91" s="296">
        <v>272.10000000000002</v>
      </c>
      <c r="M91" s="296">
        <v>990</v>
      </c>
      <c r="N91" s="297">
        <v>0.37358490566037733</v>
      </c>
    </row>
    <row r="92" spans="1:14" ht="18" customHeight="1">
      <c r="A92" s="293" t="s">
        <v>1694</v>
      </c>
      <c r="B92" s="294">
        <v>46037</v>
      </c>
      <c r="C92" s="286" t="s">
        <v>168</v>
      </c>
      <c r="D92" s="286" t="s">
        <v>121</v>
      </c>
      <c r="E92" s="295">
        <v>1</v>
      </c>
      <c r="F92" s="295">
        <v>1</v>
      </c>
      <c r="G92" s="296">
        <v>0</v>
      </c>
      <c r="H92" s="296">
        <v>2000</v>
      </c>
      <c r="I92" s="296">
        <v>1400</v>
      </c>
      <c r="J92" s="296">
        <v>1470</v>
      </c>
      <c r="K92" s="296">
        <v>530</v>
      </c>
      <c r="L92" s="296">
        <v>0</v>
      </c>
      <c r="M92" s="296">
        <v>600</v>
      </c>
      <c r="N92" s="297">
        <v>0.3</v>
      </c>
    </row>
    <row r="93" spans="1:14" ht="18" customHeight="1">
      <c r="A93" s="293" t="s">
        <v>1695</v>
      </c>
      <c r="B93" s="294">
        <v>46037</v>
      </c>
      <c r="C93" s="286" t="s">
        <v>353</v>
      </c>
      <c r="D93" s="286" t="s">
        <v>94</v>
      </c>
      <c r="E93" s="295">
        <v>1</v>
      </c>
      <c r="F93" s="295">
        <v>1</v>
      </c>
      <c r="G93" s="296">
        <v>0</v>
      </c>
      <c r="H93" s="296">
        <v>2100</v>
      </c>
      <c r="I93" s="296">
        <v>1650</v>
      </c>
      <c r="J93" s="296">
        <v>1732.5</v>
      </c>
      <c r="K93" s="296">
        <v>367.5</v>
      </c>
      <c r="L93" s="296">
        <v>110.25</v>
      </c>
      <c r="M93" s="296">
        <v>450</v>
      </c>
      <c r="N93" s="297">
        <v>0.21428571428571427</v>
      </c>
    </row>
    <row r="94" spans="1:14" ht="18" customHeight="1">
      <c r="A94" s="293" t="s">
        <v>1696</v>
      </c>
      <c r="B94" s="294">
        <v>46037</v>
      </c>
      <c r="C94" s="286" t="s">
        <v>168</v>
      </c>
      <c r="D94" s="286" t="s">
        <v>96</v>
      </c>
      <c r="E94" s="295">
        <v>4</v>
      </c>
      <c r="F94" s="295">
        <v>4</v>
      </c>
      <c r="G94" s="296">
        <v>0</v>
      </c>
      <c r="H94" s="296">
        <v>4140</v>
      </c>
      <c r="I94" s="296">
        <v>2560</v>
      </c>
      <c r="J94" s="296">
        <v>2688</v>
      </c>
      <c r="K94" s="296">
        <v>1452</v>
      </c>
      <c r="L94" s="296">
        <v>0</v>
      </c>
      <c r="M94" s="296">
        <v>1580</v>
      </c>
      <c r="N94" s="297">
        <v>0.38164251207729466</v>
      </c>
    </row>
    <row r="95" spans="1:14" ht="18" customHeight="1">
      <c r="A95" s="293" t="s">
        <v>1697</v>
      </c>
      <c r="B95" s="294">
        <v>46037</v>
      </c>
      <c r="C95" s="286" t="s">
        <v>168</v>
      </c>
      <c r="D95" s="286" t="s">
        <v>115</v>
      </c>
      <c r="E95" s="295">
        <v>1</v>
      </c>
      <c r="F95" s="295">
        <v>1</v>
      </c>
      <c r="G95" s="296">
        <v>0</v>
      </c>
      <c r="H95" s="296">
        <v>1700</v>
      </c>
      <c r="I95" s="296">
        <v>1100</v>
      </c>
      <c r="J95" s="296">
        <v>1155</v>
      </c>
      <c r="K95" s="296">
        <v>545</v>
      </c>
      <c r="L95" s="296">
        <v>0</v>
      </c>
      <c r="M95" s="296">
        <v>600</v>
      </c>
      <c r="N95" s="297">
        <v>0.35294117647058826</v>
      </c>
    </row>
    <row r="96" spans="1:14" ht="18" customHeight="1">
      <c r="A96" s="293" t="s">
        <v>1698</v>
      </c>
      <c r="B96" s="294">
        <v>46037</v>
      </c>
      <c r="C96" s="286" t="s">
        <v>168</v>
      </c>
      <c r="D96" s="286" t="s">
        <v>99</v>
      </c>
      <c r="E96" s="295">
        <v>2</v>
      </c>
      <c r="F96" s="295">
        <v>5</v>
      </c>
      <c r="G96" s="296">
        <v>0</v>
      </c>
      <c r="H96" s="296">
        <v>406</v>
      </c>
      <c r="I96" s="296">
        <v>226.72</v>
      </c>
      <c r="J96" s="296">
        <v>233.52160000000001</v>
      </c>
      <c r="K96" s="296">
        <v>172.47839999999999</v>
      </c>
      <c r="L96" s="296">
        <v>0</v>
      </c>
      <c r="M96" s="296">
        <v>179.28</v>
      </c>
      <c r="N96" s="297">
        <v>0.44157635467980294</v>
      </c>
    </row>
    <row r="97" spans="1:14" ht="18" customHeight="1">
      <c r="A97" s="293" t="s">
        <v>1699</v>
      </c>
      <c r="B97" s="294">
        <v>46038</v>
      </c>
      <c r="C97" s="286" t="s">
        <v>3773</v>
      </c>
      <c r="D97" s="286" t="s">
        <v>102</v>
      </c>
      <c r="E97" s="295">
        <v>1</v>
      </c>
      <c r="F97" s="295">
        <v>1</v>
      </c>
      <c r="G97" s="296">
        <v>0</v>
      </c>
      <c r="H97" s="296">
        <v>600</v>
      </c>
      <c r="I97" s="296">
        <v>340</v>
      </c>
      <c r="J97" s="296">
        <v>357</v>
      </c>
      <c r="K97" s="296">
        <v>243</v>
      </c>
      <c r="L97" s="296">
        <v>72.899999999999991</v>
      </c>
      <c r="M97" s="296">
        <v>260</v>
      </c>
      <c r="N97" s="297">
        <v>0.43333333333333335</v>
      </c>
    </row>
    <row r="98" spans="1:14" ht="18" customHeight="1">
      <c r="A98" s="293" t="s">
        <v>1700</v>
      </c>
      <c r="B98" s="294">
        <v>46038</v>
      </c>
      <c r="C98" s="286" t="s">
        <v>168</v>
      </c>
      <c r="D98" s="286" t="s">
        <v>96</v>
      </c>
      <c r="E98" s="295">
        <v>1</v>
      </c>
      <c r="F98" s="295">
        <v>1</v>
      </c>
      <c r="G98" s="296">
        <v>0</v>
      </c>
      <c r="H98" s="296">
        <v>7800</v>
      </c>
      <c r="I98" s="296">
        <v>6732</v>
      </c>
      <c r="J98" s="296">
        <v>7068.6</v>
      </c>
      <c r="K98" s="296">
        <v>731.39999999999964</v>
      </c>
      <c r="L98" s="296">
        <v>0</v>
      </c>
      <c r="M98" s="296">
        <v>1068</v>
      </c>
      <c r="N98" s="297">
        <v>0.13692307692307693</v>
      </c>
    </row>
    <row r="99" spans="1:14" ht="18" customHeight="1">
      <c r="A99" s="293" t="s">
        <v>1701</v>
      </c>
      <c r="B99" s="294">
        <v>46038</v>
      </c>
      <c r="C99" s="286" t="s">
        <v>168</v>
      </c>
      <c r="D99" s="286" t="s">
        <v>128</v>
      </c>
      <c r="E99" s="295">
        <v>1</v>
      </c>
      <c r="F99" s="295">
        <v>1</v>
      </c>
      <c r="G99" s="296">
        <v>0</v>
      </c>
      <c r="H99" s="296">
        <v>260</v>
      </c>
      <c r="I99" s="296">
        <v>130</v>
      </c>
      <c r="J99" s="296">
        <v>136.5</v>
      </c>
      <c r="K99" s="296">
        <v>123.5</v>
      </c>
      <c r="L99" s="296">
        <v>0</v>
      </c>
      <c r="M99" s="296">
        <v>130</v>
      </c>
      <c r="N99" s="297">
        <v>0.5</v>
      </c>
    </row>
    <row r="100" spans="1:14" ht="18" customHeight="1">
      <c r="A100" s="293" t="s">
        <v>1702</v>
      </c>
      <c r="B100" s="294">
        <v>46038</v>
      </c>
      <c r="C100" s="286" t="s">
        <v>168</v>
      </c>
      <c r="D100" s="286" t="s">
        <v>129</v>
      </c>
      <c r="E100" s="295">
        <v>4</v>
      </c>
      <c r="F100" s="295">
        <v>6</v>
      </c>
      <c r="G100" s="296">
        <v>0</v>
      </c>
      <c r="H100" s="296">
        <v>695</v>
      </c>
      <c r="I100" s="296">
        <v>542.70000000000005</v>
      </c>
      <c r="J100" s="296">
        <v>558.98099999999999</v>
      </c>
      <c r="K100" s="296">
        <v>136.01899999999995</v>
      </c>
      <c r="L100" s="296">
        <v>0</v>
      </c>
      <c r="M100" s="296">
        <v>152.29999999999995</v>
      </c>
      <c r="N100" s="297">
        <v>0.21913669064748195</v>
      </c>
    </row>
    <row r="101" spans="1:14" ht="18" customHeight="1">
      <c r="A101" s="293" t="s">
        <v>1703</v>
      </c>
      <c r="B101" s="294">
        <v>46038</v>
      </c>
      <c r="C101" s="286" t="s">
        <v>358</v>
      </c>
      <c r="D101" s="286" t="s">
        <v>130</v>
      </c>
      <c r="E101" s="295">
        <v>1</v>
      </c>
      <c r="F101" s="295">
        <v>1</v>
      </c>
      <c r="G101" s="296">
        <v>0</v>
      </c>
      <c r="H101" s="296">
        <v>7800</v>
      </c>
      <c r="I101" s="296">
        <v>6732</v>
      </c>
      <c r="J101" s="296">
        <v>7068.6</v>
      </c>
      <c r="K101" s="296">
        <v>731.39999999999964</v>
      </c>
      <c r="L101" s="296">
        <v>219.41999999999987</v>
      </c>
      <c r="M101" s="296">
        <v>1068</v>
      </c>
      <c r="N101" s="297">
        <v>0.13692307692307693</v>
      </c>
    </row>
    <row r="102" spans="1:14" ht="18" customHeight="1">
      <c r="A102" s="293" t="s">
        <v>1704</v>
      </c>
      <c r="B102" s="294">
        <v>46038</v>
      </c>
      <c r="C102" s="286" t="s">
        <v>168</v>
      </c>
      <c r="D102" s="286" t="s">
        <v>131</v>
      </c>
      <c r="E102" s="295">
        <v>2</v>
      </c>
      <c r="F102" s="295">
        <v>2</v>
      </c>
      <c r="G102" s="296">
        <v>0</v>
      </c>
      <c r="H102" s="296">
        <v>630</v>
      </c>
      <c r="I102" s="296">
        <v>455</v>
      </c>
      <c r="J102" s="296">
        <v>468.65000000000003</v>
      </c>
      <c r="K102" s="296">
        <v>161.34999999999997</v>
      </c>
      <c r="L102" s="296">
        <v>0</v>
      </c>
      <c r="M102" s="296">
        <v>175</v>
      </c>
      <c r="N102" s="297">
        <v>0.27777777777777779</v>
      </c>
    </row>
    <row r="103" spans="1:14" ht="18" customHeight="1">
      <c r="A103" s="293" t="s">
        <v>1705</v>
      </c>
      <c r="B103" s="294">
        <v>46038</v>
      </c>
      <c r="C103" s="286" t="s">
        <v>168</v>
      </c>
      <c r="D103" s="286" t="s">
        <v>99</v>
      </c>
      <c r="E103" s="295">
        <v>4</v>
      </c>
      <c r="F103" s="295">
        <v>6</v>
      </c>
      <c r="G103" s="296">
        <v>0</v>
      </c>
      <c r="H103" s="296">
        <v>400</v>
      </c>
      <c r="I103" s="296">
        <v>253</v>
      </c>
      <c r="J103" s="296">
        <v>262.45</v>
      </c>
      <c r="K103" s="296">
        <v>137.54999999999998</v>
      </c>
      <c r="L103" s="296">
        <v>0</v>
      </c>
      <c r="M103" s="296">
        <v>147</v>
      </c>
      <c r="N103" s="297">
        <v>0.36749999999999999</v>
      </c>
    </row>
    <row r="104" spans="1:14" ht="18" customHeight="1">
      <c r="A104" s="293" t="s">
        <v>1706</v>
      </c>
      <c r="B104" s="294">
        <v>46039</v>
      </c>
      <c r="C104" s="286" t="s">
        <v>3773</v>
      </c>
      <c r="D104" s="286" t="s">
        <v>102</v>
      </c>
      <c r="E104" s="295">
        <v>1</v>
      </c>
      <c r="F104" s="295">
        <v>1</v>
      </c>
      <c r="G104" s="296">
        <v>0</v>
      </c>
      <c r="H104" s="296">
        <v>550</v>
      </c>
      <c r="I104" s="296">
        <v>260</v>
      </c>
      <c r="J104" s="296">
        <v>273</v>
      </c>
      <c r="K104" s="296">
        <v>277</v>
      </c>
      <c r="L104" s="296">
        <v>83.1</v>
      </c>
      <c r="M104" s="296">
        <v>290</v>
      </c>
      <c r="N104" s="297">
        <v>0.52727272727272723</v>
      </c>
    </row>
    <row r="105" spans="1:14" ht="18" customHeight="1">
      <c r="A105" s="293" t="s">
        <v>1707</v>
      </c>
      <c r="B105" s="294">
        <v>46039</v>
      </c>
      <c r="C105" s="286" t="s">
        <v>353</v>
      </c>
      <c r="D105" s="286" t="s">
        <v>94</v>
      </c>
      <c r="E105" s="295">
        <v>13</v>
      </c>
      <c r="F105" s="295">
        <v>74</v>
      </c>
      <c r="G105" s="296">
        <v>0</v>
      </c>
      <c r="H105" s="296">
        <v>9700</v>
      </c>
      <c r="I105" s="296">
        <v>4810</v>
      </c>
      <c r="J105" s="296">
        <v>5050.5</v>
      </c>
      <c r="K105" s="296">
        <v>4649.5</v>
      </c>
      <c r="L105" s="296">
        <v>1394.8500000000001</v>
      </c>
      <c r="M105" s="296">
        <v>4890</v>
      </c>
      <c r="N105" s="297">
        <v>0.50412371134020617</v>
      </c>
    </row>
    <row r="106" spans="1:14" ht="18" customHeight="1">
      <c r="A106" s="293" t="s">
        <v>1708</v>
      </c>
      <c r="B106" s="294">
        <v>46039</v>
      </c>
      <c r="C106" s="286" t="s">
        <v>168</v>
      </c>
      <c r="D106" s="286" t="s">
        <v>96</v>
      </c>
      <c r="E106" s="295">
        <v>2</v>
      </c>
      <c r="F106" s="295">
        <v>2</v>
      </c>
      <c r="G106" s="296">
        <v>0</v>
      </c>
      <c r="H106" s="296">
        <v>585</v>
      </c>
      <c r="I106" s="296">
        <v>202</v>
      </c>
      <c r="J106" s="296">
        <v>212.1</v>
      </c>
      <c r="K106" s="296">
        <v>372.9</v>
      </c>
      <c r="L106" s="296">
        <v>0</v>
      </c>
      <c r="M106" s="296">
        <v>383</v>
      </c>
      <c r="N106" s="297">
        <v>0.65470085470085471</v>
      </c>
    </row>
    <row r="107" spans="1:14" ht="18" customHeight="1">
      <c r="A107" s="293" t="s">
        <v>1709</v>
      </c>
      <c r="B107" s="294">
        <v>46039</v>
      </c>
      <c r="C107" s="286" t="s">
        <v>168</v>
      </c>
      <c r="D107" s="286" t="s">
        <v>115</v>
      </c>
      <c r="E107" s="295">
        <v>7</v>
      </c>
      <c r="F107" s="295">
        <v>25</v>
      </c>
      <c r="G107" s="296">
        <v>0</v>
      </c>
      <c r="H107" s="296">
        <v>5280</v>
      </c>
      <c r="I107" s="296">
        <v>3118</v>
      </c>
      <c r="J107" s="296">
        <v>3273.2000000000003</v>
      </c>
      <c r="K107" s="296">
        <v>2006.8000000000002</v>
      </c>
      <c r="L107" s="296">
        <v>0</v>
      </c>
      <c r="M107" s="296">
        <v>2162</v>
      </c>
      <c r="N107" s="297">
        <v>0.40946969696969698</v>
      </c>
    </row>
    <row r="108" spans="1:14" ht="18" customHeight="1">
      <c r="A108" s="293" t="s">
        <v>1710</v>
      </c>
      <c r="B108" s="294">
        <v>46039</v>
      </c>
      <c r="C108" s="286" t="s">
        <v>168</v>
      </c>
      <c r="D108" s="286" t="s">
        <v>117</v>
      </c>
      <c r="E108" s="295">
        <v>4</v>
      </c>
      <c r="F108" s="295">
        <v>3.4</v>
      </c>
      <c r="G108" s="296">
        <v>0</v>
      </c>
      <c r="H108" s="296">
        <v>1415</v>
      </c>
      <c r="I108" s="296">
        <v>646.20000000000005</v>
      </c>
      <c r="J108" s="296">
        <v>665.58600000000001</v>
      </c>
      <c r="K108" s="296">
        <v>749.41399999999999</v>
      </c>
      <c r="L108" s="296">
        <v>0</v>
      </c>
      <c r="M108" s="296">
        <v>768.8</v>
      </c>
      <c r="N108" s="297">
        <v>0.54332155477031796</v>
      </c>
    </row>
    <row r="109" spans="1:14" ht="18" customHeight="1">
      <c r="A109" s="293" t="s">
        <v>1711</v>
      </c>
      <c r="B109" s="294">
        <v>46039</v>
      </c>
      <c r="C109" s="286" t="s">
        <v>168</v>
      </c>
      <c r="D109" s="286" t="s">
        <v>99</v>
      </c>
      <c r="E109" s="295">
        <v>3</v>
      </c>
      <c r="F109" s="295">
        <v>4</v>
      </c>
      <c r="G109" s="296">
        <v>0</v>
      </c>
      <c r="H109" s="296">
        <v>890</v>
      </c>
      <c r="I109" s="296">
        <v>375</v>
      </c>
      <c r="J109" s="296">
        <v>393.75</v>
      </c>
      <c r="K109" s="296">
        <v>496.25</v>
      </c>
      <c r="L109" s="296">
        <v>0</v>
      </c>
      <c r="M109" s="296">
        <v>515</v>
      </c>
      <c r="N109" s="297">
        <v>0.5786516853932584</v>
      </c>
    </row>
    <row r="110" spans="1:14" ht="18" customHeight="1">
      <c r="A110" s="293" t="s">
        <v>1712</v>
      </c>
      <c r="B110" s="294">
        <v>46041</v>
      </c>
      <c r="C110" s="286" t="s">
        <v>3773</v>
      </c>
      <c r="D110" s="286" t="s">
        <v>102</v>
      </c>
      <c r="E110" s="295">
        <v>1</v>
      </c>
      <c r="F110" s="295">
        <v>1</v>
      </c>
      <c r="G110" s="296">
        <v>0</v>
      </c>
      <c r="H110" s="296">
        <v>600</v>
      </c>
      <c r="I110" s="296">
        <v>290</v>
      </c>
      <c r="J110" s="296">
        <v>304.5</v>
      </c>
      <c r="K110" s="296">
        <v>295.5</v>
      </c>
      <c r="L110" s="296">
        <v>88.649999999999991</v>
      </c>
      <c r="M110" s="296">
        <v>310</v>
      </c>
      <c r="N110" s="297">
        <v>0.51666666666666672</v>
      </c>
    </row>
    <row r="111" spans="1:14" ht="18" customHeight="1">
      <c r="A111" s="293" t="s">
        <v>1713</v>
      </c>
      <c r="B111" s="294">
        <v>46041</v>
      </c>
      <c r="C111" s="286" t="s">
        <v>354</v>
      </c>
      <c r="D111" s="286" t="s">
        <v>109</v>
      </c>
      <c r="E111" s="295">
        <v>1</v>
      </c>
      <c r="F111" s="295">
        <v>1</v>
      </c>
      <c r="G111" s="296">
        <v>0</v>
      </c>
      <c r="H111" s="296">
        <v>1700</v>
      </c>
      <c r="I111" s="296">
        <v>1150</v>
      </c>
      <c r="J111" s="296">
        <v>1207.5</v>
      </c>
      <c r="K111" s="296">
        <v>492.5</v>
      </c>
      <c r="L111" s="296">
        <v>147.75</v>
      </c>
      <c r="M111" s="296">
        <v>550</v>
      </c>
      <c r="N111" s="297">
        <v>0.3235294117647059</v>
      </c>
    </row>
    <row r="112" spans="1:14" ht="18" customHeight="1">
      <c r="A112" s="293" t="s">
        <v>1714</v>
      </c>
      <c r="B112" s="294">
        <v>46041</v>
      </c>
      <c r="C112" s="286" t="s">
        <v>359</v>
      </c>
      <c r="D112" s="286" t="s">
        <v>114</v>
      </c>
      <c r="E112" s="295">
        <v>2</v>
      </c>
      <c r="F112" s="295">
        <v>2</v>
      </c>
      <c r="G112" s="296">
        <v>0</v>
      </c>
      <c r="H112" s="296">
        <v>2055</v>
      </c>
      <c r="I112" s="296">
        <v>1285</v>
      </c>
      <c r="J112" s="296">
        <v>1349.25</v>
      </c>
      <c r="K112" s="296">
        <v>705.75</v>
      </c>
      <c r="L112" s="296">
        <v>211.72499999999999</v>
      </c>
      <c r="M112" s="296">
        <v>770</v>
      </c>
      <c r="N112" s="297">
        <v>0.37469586374695862</v>
      </c>
    </row>
    <row r="113" spans="1:14" ht="18" customHeight="1">
      <c r="A113" s="293" t="s">
        <v>1715</v>
      </c>
      <c r="B113" s="294">
        <v>46041</v>
      </c>
      <c r="C113" s="286" t="s">
        <v>168</v>
      </c>
      <c r="D113" s="286" t="s">
        <v>96</v>
      </c>
      <c r="E113" s="295">
        <v>2</v>
      </c>
      <c r="F113" s="295">
        <v>2</v>
      </c>
      <c r="G113" s="296">
        <v>0</v>
      </c>
      <c r="H113" s="296">
        <v>450</v>
      </c>
      <c r="I113" s="296">
        <v>165</v>
      </c>
      <c r="J113" s="296">
        <v>173.25</v>
      </c>
      <c r="K113" s="296">
        <v>276.75</v>
      </c>
      <c r="L113" s="296">
        <v>0</v>
      </c>
      <c r="M113" s="296">
        <v>285</v>
      </c>
      <c r="N113" s="297">
        <v>0.6333333333333333</v>
      </c>
    </row>
    <row r="114" spans="1:14" ht="18" customHeight="1">
      <c r="A114" s="293" t="s">
        <v>1716</v>
      </c>
      <c r="B114" s="294">
        <v>46041</v>
      </c>
      <c r="C114" s="286" t="s">
        <v>168</v>
      </c>
      <c r="D114" s="286" t="s">
        <v>128</v>
      </c>
      <c r="E114" s="295">
        <v>3</v>
      </c>
      <c r="F114" s="295">
        <v>18</v>
      </c>
      <c r="G114" s="296">
        <v>0</v>
      </c>
      <c r="H114" s="296">
        <v>4470</v>
      </c>
      <c r="I114" s="296">
        <v>3830</v>
      </c>
      <c r="J114" s="296">
        <v>3973.9</v>
      </c>
      <c r="K114" s="296">
        <v>496.0999999999998</v>
      </c>
      <c r="L114" s="296">
        <v>0</v>
      </c>
      <c r="M114" s="296">
        <v>640</v>
      </c>
      <c r="N114" s="297">
        <v>0.14317673378076062</v>
      </c>
    </row>
    <row r="115" spans="1:14" ht="18" customHeight="1">
      <c r="A115" s="293" t="s">
        <v>1717</v>
      </c>
      <c r="B115" s="294">
        <v>46041</v>
      </c>
      <c r="C115" s="286" t="s">
        <v>168</v>
      </c>
      <c r="D115" s="286" t="s">
        <v>99</v>
      </c>
      <c r="E115" s="295">
        <v>1</v>
      </c>
      <c r="F115" s="295">
        <v>1</v>
      </c>
      <c r="G115" s="296">
        <v>0</v>
      </c>
      <c r="H115" s="296">
        <v>350</v>
      </c>
      <c r="I115" s="296">
        <v>205</v>
      </c>
      <c r="J115" s="296">
        <v>211.15</v>
      </c>
      <c r="K115" s="296">
        <v>138.85</v>
      </c>
      <c r="L115" s="296">
        <v>0</v>
      </c>
      <c r="M115" s="296">
        <v>145</v>
      </c>
      <c r="N115" s="297">
        <v>0.41428571428571431</v>
      </c>
    </row>
    <row r="116" spans="1:14" ht="18" customHeight="1">
      <c r="A116" s="293" t="s">
        <v>1718</v>
      </c>
      <c r="B116" s="294">
        <v>46042</v>
      </c>
      <c r="C116" s="286" t="s">
        <v>168</v>
      </c>
      <c r="D116" s="286" t="s">
        <v>113</v>
      </c>
      <c r="E116" s="295">
        <v>2</v>
      </c>
      <c r="F116" s="295">
        <v>8</v>
      </c>
      <c r="G116" s="296">
        <v>0</v>
      </c>
      <c r="H116" s="296">
        <v>740</v>
      </c>
      <c r="I116" s="296">
        <v>352</v>
      </c>
      <c r="J116" s="296">
        <v>369.6</v>
      </c>
      <c r="K116" s="296">
        <v>370.4</v>
      </c>
      <c r="L116" s="296">
        <v>0</v>
      </c>
      <c r="M116" s="296">
        <v>388</v>
      </c>
      <c r="N116" s="297">
        <v>0.5243243243243243</v>
      </c>
    </row>
    <row r="117" spans="1:14" ht="18" customHeight="1">
      <c r="A117" s="293" t="s">
        <v>1719</v>
      </c>
      <c r="B117" s="294">
        <v>46042</v>
      </c>
      <c r="C117" s="286" t="s">
        <v>168</v>
      </c>
      <c r="D117" s="286" t="s">
        <v>92</v>
      </c>
      <c r="E117" s="295">
        <v>1</v>
      </c>
      <c r="F117" s="295">
        <v>1</v>
      </c>
      <c r="G117" s="296">
        <v>0</v>
      </c>
      <c r="H117" s="296">
        <v>2100</v>
      </c>
      <c r="I117" s="296">
        <v>780</v>
      </c>
      <c r="J117" s="296">
        <v>819</v>
      </c>
      <c r="K117" s="296">
        <v>1281</v>
      </c>
      <c r="L117" s="296">
        <v>0</v>
      </c>
      <c r="M117" s="296">
        <v>1320</v>
      </c>
      <c r="N117" s="297">
        <v>0.62857142857142856</v>
      </c>
    </row>
    <row r="118" spans="1:14" ht="18" customHeight="1">
      <c r="A118" s="293" t="s">
        <v>1720</v>
      </c>
      <c r="B118" s="294">
        <v>46042</v>
      </c>
      <c r="C118" s="286" t="s">
        <v>354</v>
      </c>
      <c r="D118" s="286" t="s">
        <v>109</v>
      </c>
      <c r="E118" s="295">
        <v>1</v>
      </c>
      <c r="F118" s="295">
        <v>1</v>
      </c>
      <c r="G118" s="296">
        <v>0</v>
      </c>
      <c r="H118" s="296">
        <v>1600</v>
      </c>
      <c r="I118" s="296">
        <v>1050</v>
      </c>
      <c r="J118" s="296">
        <v>1102.5</v>
      </c>
      <c r="K118" s="296">
        <v>497.5</v>
      </c>
      <c r="L118" s="296">
        <v>149.25</v>
      </c>
      <c r="M118" s="296">
        <v>550</v>
      </c>
      <c r="N118" s="297">
        <v>0.34375</v>
      </c>
    </row>
    <row r="119" spans="1:14" ht="18" customHeight="1">
      <c r="A119" s="293" t="s">
        <v>1721</v>
      </c>
      <c r="B119" s="294">
        <v>46042</v>
      </c>
      <c r="C119" s="286" t="s">
        <v>168</v>
      </c>
      <c r="D119" s="286" t="s">
        <v>121</v>
      </c>
      <c r="E119" s="295">
        <v>1</v>
      </c>
      <c r="F119" s="295">
        <v>1</v>
      </c>
      <c r="G119" s="296">
        <v>0</v>
      </c>
      <c r="H119" s="296">
        <v>2000</v>
      </c>
      <c r="I119" s="296">
        <v>1050</v>
      </c>
      <c r="J119" s="296">
        <v>1102.5</v>
      </c>
      <c r="K119" s="296">
        <v>897.5</v>
      </c>
      <c r="L119" s="296">
        <v>0</v>
      </c>
      <c r="M119" s="296">
        <v>950</v>
      </c>
      <c r="N119" s="297">
        <v>0.47499999999999998</v>
      </c>
    </row>
    <row r="120" spans="1:14" ht="18" customHeight="1">
      <c r="A120" s="293" t="s">
        <v>1722</v>
      </c>
      <c r="B120" s="294">
        <v>46042</v>
      </c>
      <c r="C120" s="286" t="s">
        <v>3773</v>
      </c>
      <c r="D120" s="286" t="s">
        <v>116</v>
      </c>
      <c r="E120" s="295">
        <v>1</v>
      </c>
      <c r="F120" s="295">
        <v>1</v>
      </c>
      <c r="G120" s="296">
        <v>0</v>
      </c>
      <c r="H120" s="296">
        <v>495</v>
      </c>
      <c r="I120" s="296">
        <v>260</v>
      </c>
      <c r="J120" s="296">
        <v>273</v>
      </c>
      <c r="K120" s="296">
        <v>222</v>
      </c>
      <c r="L120" s="296">
        <v>66.599999999999994</v>
      </c>
      <c r="M120" s="296">
        <v>235</v>
      </c>
      <c r="N120" s="297">
        <v>0.47474747474747475</v>
      </c>
    </row>
    <row r="121" spans="1:14" ht="18" customHeight="1">
      <c r="A121" s="293" t="s">
        <v>1723</v>
      </c>
      <c r="B121" s="294">
        <v>46042</v>
      </c>
      <c r="C121" s="286" t="s">
        <v>168</v>
      </c>
      <c r="D121" s="286" t="s">
        <v>96</v>
      </c>
      <c r="E121" s="295">
        <v>3</v>
      </c>
      <c r="F121" s="295">
        <v>3</v>
      </c>
      <c r="G121" s="296">
        <v>0</v>
      </c>
      <c r="H121" s="296">
        <v>2605</v>
      </c>
      <c r="I121" s="296">
        <v>1152</v>
      </c>
      <c r="J121" s="296">
        <v>1209.5999999999999</v>
      </c>
      <c r="K121" s="296">
        <v>1395.4</v>
      </c>
      <c r="L121" s="296">
        <v>0</v>
      </c>
      <c r="M121" s="296">
        <v>1453</v>
      </c>
      <c r="N121" s="297">
        <v>0.5577735124760077</v>
      </c>
    </row>
    <row r="122" spans="1:14" ht="18" customHeight="1">
      <c r="A122" s="293" t="s">
        <v>1724</v>
      </c>
      <c r="B122" s="294">
        <v>46042</v>
      </c>
      <c r="C122" s="286" t="s">
        <v>168</v>
      </c>
      <c r="D122" s="286" t="s">
        <v>132</v>
      </c>
      <c r="E122" s="295">
        <v>1</v>
      </c>
      <c r="F122" s="295">
        <v>1</v>
      </c>
      <c r="G122" s="296">
        <v>0</v>
      </c>
      <c r="H122" s="296">
        <v>450</v>
      </c>
      <c r="I122" s="296">
        <v>0</v>
      </c>
      <c r="J122" s="296">
        <v>0</v>
      </c>
      <c r="K122" s="296">
        <v>450</v>
      </c>
      <c r="L122" s="296">
        <v>0</v>
      </c>
      <c r="M122" s="296">
        <v>450</v>
      </c>
      <c r="N122" s="297">
        <v>1</v>
      </c>
    </row>
    <row r="123" spans="1:14" ht="18" customHeight="1">
      <c r="A123" s="293" t="s">
        <v>1725</v>
      </c>
      <c r="B123" s="294">
        <v>46042</v>
      </c>
      <c r="C123" s="286" t="s">
        <v>168</v>
      </c>
      <c r="D123" s="286" t="s">
        <v>97</v>
      </c>
      <c r="E123" s="295">
        <v>3</v>
      </c>
      <c r="F123" s="295">
        <v>3</v>
      </c>
      <c r="G123" s="296">
        <v>0</v>
      </c>
      <c r="H123" s="296">
        <v>2500</v>
      </c>
      <c r="I123" s="296">
        <v>1520</v>
      </c>
      <c r="J123" s="296">
        <v>1596</v>
      </c>
      <c r="K123" s="296">
        <v>904</v>
      </c>
      <c r="L123" s="296">
        <v>0</v>
      </c>
      <c r="M123" s="296">
        <v>980</v>
      </c>
      <c r="N123" s="297">
        <v>0.39200000000000002</v>
      </c>
    </row>
    <row r="124" spans="1:14" ht="18" customHeight="1">
      <c r="A124" s="293" t="s">
        <v>1726</v>
      </c>
      <c r="B124" s="294">
        <v>46042</v>
      </c>
      <c r="C124" s="286" t="s">
        <v>168</v>
      </c>
      <c r="D124" s="286" t="s">
        <v>99</v>
      </c>
      <c r="E124" s="295">
        <v>1</v>
      </c>
      <c r="F124" s="295">
        <v>1</v>
      </c>
      <c r="G124" s="296">
        <v>0</v>
      </c>
      <c r="H124" s="296">
        <v>1900</v>
      </c>
      <c r="I124" s="296">
        <v>1100</v>
      </c>
      <c r="J124" s="296">
        <v>1155</v>
      </c>
      <c r="K124" s="296">
        <v>745</v>
      </c>
      <c r="L124" s="296">
        <v>0</v>
      </c>
      <c r="M124" s="296">
        <v>800</v>
      </c>
      <c r="N124" s="297">
        <v>0.42105263157894735</v>
      </c>
    </row>
    <row r="125" spans="1:14" ht="18" customHeight="1">
      <c r="A125" s="293" t="s">
        <v>1727</v>
      </c>
      <c r="B125" s="294">
        <v>46043</v>
      </c>
      <c r="C125" s="286" t="s">
        <v>3773</v>
      </c>
      <c r="D125" s="286" t="s">
        <v>102</v>
      </c>
      <c r="E125" s="295">
        <v>2</v>
      </c>
      <c r="F125" s="295">
        <v>2</v>
      </c>
      <c r="G125" s="296">
        <v>0</v>
      </c>
      <c r="H125" s="296">
        <v>660</v>
      </c>
      <c r="I125" s="296">
        <v>281</v>
      </c>
      <c r="J125" s="296">
        <v>295.05</v>
      </c>
      <c r="K125" s="296">
        <v>364.95</v>
      </c>
      <c r="L125" s="296">
        <v>109.485</v>
      </c>
      <c r="M125" s="296">
        <v>379</v>
      </c>
      <c r="N125" s="297">
        <v>0.57424242424242422</v>
      </c>
    </row>
    <row r="126" spans="1:14" ht="18" customHeight="1">
      <c r="A126" s="293" t="s">
        <v>1728</v>
      </c>
      <c r="B126" s="294">
        <v>46043</v>
      </c>
      <c r="C126" s="286" t="s">
        <v>168</v>
      </c>
      <c r="D126" s="286" t="s">
        <v>96</v>
      </c>
      <c r="E126" s="295">
        <v>2</v>
      </c>
      <c r="F126" s="295">
        <v>2</v>
      </c>
      <c r="G126" s="296">
        <v>0</v>
      </c>
      <c r="H126" s="296">
        <v>3775</v>
      </c>
      <c r="I126" s="296">
        <v>2400</v>
      </c>
      <c r="J126" s="296">
        <v>2520</v>
      </c>
      <c r="K126" s="296">
        <v>1255</v>
      </c>
      <c r="L126" s="296">
        <v>0</v>
      </c>
      <c r="M126" s="296">
        <v>1375</v>
      </c>
      <c r="N126" s="297">
        <v>0.36423841059602646</v>
      </c>
    </row>
    <row r="127" spans="1:14" ht="18" customHeight="1">
      <c r="A127" s="293" t="s">
        <v>1729</v>
      </c>
      <c r="B127" s="294">
        <v>46043</v>
      </c>
      <c r="C127" s="286" t="s">
        <v>168</v>
      </c>
      <c r="D127" s="286" t="s">
        <v>128</v>
      </c>
      <c r="E127" s="295">
        <v>1</v>
      </c>
      <c r="F127" s="295">
        <v>5</v>
      </c>
      <c r="G127" s="296">
        <v>0</v>
      </c>
      <c r="H127" s="296">
        <v>937.5</v>
      </c>
      <c r="I127" s="296">
        <v>450</v>
      </c>
      <c r="J127" s="296">
        <v>472.5</v>
      </c>
      <c r="K127" s="296">
        <v>465</v>
      </c>
      <c r="L127" s="296">
        <v>0</v>
      </c>
      <c r="M127" s="296">
        <v>487.5</v>
      </c>
      <c r="N127" s="297">
        <v>0.52</v>
      </c>
    </row>
    <row r="128" spans="1:14" ht="18" customHeight="1">
      <c r="A128" s="293" t="s">
        <v>1730</v>
      </c>
      <c r="B128" s="294">
        <v>46043</v>
      </c>
      <c r="C128" s="286" t="s">
        <v>168</v>
      </c>
      <c r="D128" s="286" t="s">
        <v>99</v>
      </c>
      <c r="E128" s="295">
        <v>13</v>
      </c>
      <c r="F128" s="295">
        <v>32.599999999999994</v>
      </c>
      <c r="G128" s="296">
        <v>0</v>
      </c>
      <c r="H128" s="296">
        <v>7500</v>
      </c>
      <c r="I128" s="296">
        <v>5027.8</v>
      </c>
      <c r="J128" s="296">
        <v>5247.9340000000002</v>
      </c>
      <c r="K128" s="296">
        <v>2252.0660000000003</v>
      </c>
      <c r="L128" s="296">
        <v>0</v>
      </c>
      <c r="M128" s="296">
        <v>2472.1999999999998</v>
      </c>
      <c r="N128" s="297">
        <v>0.32962666666666662</v>
      </c>
    </row>
    <row r="129" spans="1:14" ht="18" customHeight="1">
      <c r="A129" s="293" t="s">
        <v>1731</v>
      </c>
      <c r="B129" s="294">
        <v>46044</v>
      </c>
      <c r="C129" s="286" t="s">
        <v>3773</v>
      </c>
      <c r="D129" s="286" t="s">
        <v>102</v>
      </c>
      <c r="E129" s="295">
        <v>5</v>
      </c>
      <c r="F129" s="295">
        <v>6</v>
      </c>
      <c r="G129" s="296">
        <v>0</v>
      </c>
      <c r="H129" s="296">
        <v>7450</v>
      </c>
      <c r="I129" s="296">
        <v>4775</v>
      </c>
      <c r="J129" s="296">
        <v>5013.75</v>
      </c>
      <c r="K129" s="296">
        <v>2436.25</v>
      </c>
      <c r="L129" s="296">
        <v>730.875</v>
      </c>
      <c r="M129" s="296">
        <v>2675</v>
      </c>
      <c r="N129" s="297">
        <v>0.35906040268456374</v>
      </c>
    </row>
    <row r="130" spans="1:14" ht="18" customHeight="1">
      <c r="A130" s="293" t="s">
        <v>1732</v>
      </c>
      <c r="B130" s="294">
        <v>46044</v>
      </c>
      <c r="C130" s="286" t="s">
        <v>353</v>
      </c>
      <c r="D130" s="286" t="s">
        <v>133</v>
      </c>
      <c r="E130" s="295">
        <v>1</v>
      </c>
      <c r="F130" s="295">
        <v>1</v>
      </c>
      <c r="G130" s="296">
        <v>0</v>
      </c>
      <c r="H130" s="296">
        <v>1875</v>
      </c>
      <c r="I130" s="296">
        <v>1250</v>
      </c>
      <c r="J130" s="296">
        <v>1312.5</v>
      </c>
      <c r="K130" s="296">
        <v>562.5</v>
      </c>
      <c r="L130" s="296">
        <v>168.75</v>
      </c>
      <c r="M130" s="296">
        <v>625</v>
      </c>
      <c r="N130" s="297">
        <v>0.33333333333333331</v>
      </c>
    </row>
    <row r="131" spans="1:14" ht="18" customHeight="1">
      <c r="A131" s="293" t="s">
        <v>1733</v>
      </c>
      <c r="B131" s="294">
        <v>46044</v>
      </c>
      <c r="C131" s="286" t="s">
        <v>168</v>
      </c>
      <c r="D131" s="286" t="s">
        <v>92</v>
      </c>
      <c r="E131" s="295">
        <v>1</v>
      </c>
      <c r="F131" s="295">
        <v>1</v>
      </c>
      <c r="G131" s="296">
        <v>0</v>
      </c>
      <c r="H131" s="296">
        <v>2100</v>
      </c>
      <c r="I131" s="296">
        <v>1100</v>
      </c>
      <c r="J131" s="296">
        <v>1155</v>
      </c>
      <c r="K131" s="296">
        <v>945</v>
      </c>
      <c r="L131" s="296">
        <v>0</v>
      </c>
      <c r="M131" s="296">
        <v>1000</v>
      </c>
      <c r="N131" s="297">
        <v>0.47619047619047616</v>
      </c>
    </row>
    <row r="132" spans="1:14" ht="18" customHeight="1">
      <c r="A132" s="293" t="s">
        <v>1734</v>
      </c>
      <c r="B132" s="294">
        <v>46044</v>
      </c>
      <c r="C132" s="286" t="s">
        <v>353</v>
      </c>
      <c r="D132" s="286" t="s">
        <v>103</v>
      </c>
      <c r="E132" s="295">
        <v>1</v>
      </c>
      <c r="F132" s="295">
        <v>1</v>
      </c>
      <c r="G132" s="296">
        <v>0</v>
      </c>
      <c r="H132" s="296">
        <v>2100</v>
      </c>
      <c r="I132" s="296">
        <v>1400</v>
      </c>
      <c r="J132" s="296">
        <v>1470</v>
      </c>
      <c r="K132" s="296">
        <v>630</v>
      </c>
      <c r="L132" s="296">
        <v>189</v>
      </c>
      <c r="M132" s="296">
        <v>700</v>
      </c>
      <c r="N132" s="297">
        <v>0.33333333333333331</v>
      </c>
    </row>
    <row r="133" spans="1:14" ht="18" customHeight="1">
      <c r="A133" s="293" t="s">
        <v>1735</v>
      </c>
      <c r="B133" s="294">
        <v>46044</v>
      </c>
      <c r="C133" s="286" t="s">
        <v>353</v>
      </c>
      <c r="D133" s="286" t="s">
        <v>94</v>
      </c>
      <c r="E133" s="295">
        <v>1</v>
      </c>
      <c r="F133" s="295">
        <v>1</v>
      </c>
      <c r="G133" s="296">
        <v>0</v>
      </c>
      <c r="H133" s="296">
        <v>1400</v>
      </c>
      <c r="I133" s="296">
        <v>1000</v>
      </c>
      <c r="J133" s="296">
        <v>1050</v>
      </c>
      <c r="K133" s="296">
        <v>350</v>
      </c>
      <c r="L133" s="296">
        <v>105</v>
      </c>
      <c r="M133" s="296">
        <v>400</v>
      </c>
      <c r="N133" s="297">
        <v>0.2857142857142857</v>
      </c>
    </row>
    <row r="134" spans="1:14" ht="18" customHeight="1">
      <c r="A134" s="293" t="s">
        <v>1736</v>
      </c>
      <c r="B134" s="294">
        <v>46044</v>
      </c>
      <c r="C134" s="286" t="s">
        <v>168</v>
      </c>
      <c r="D134" s="286" t="s">
        <v>96</v>
      </c>
      <c r="E134" s="295">
        <v>1</v>
      </c>
      <c r="F134" s="295">
        <v>1</v>
      </c>
      <c r="G134" s="296">
        <v>0</v>
      </c>
      <c r="H134" s="296">
        <v>360</v>
      </c>
      <c r="I134" s="296">
        <v>180</v>
      </c>
      <c r="J134" s="296">
        <v>189</v>
      </c>
      <c r="K134" s="296">
        <v>171</v>
      </c>
      <c r="L134" s="296">
        <v>0</v>
      </c>
      <c r="M134" s="296">
        <v>180</v>
      </c>
      <c r="N134" s="297">
        <v>0.5</v>
      </c>
    </row>
    <row r="135" spans="1:14" ht="18" customHeight="1">
      <c r="A135" s="293" t="s">
        <v>1737</v>
      </c>
      <c r="B135" s="294">
        <v>46044</v>
      </c>
      <c r="C135" s="286" t="s">
        <v>168</v>
      </c>
      <c r="D135" s="286" t="s">
        <v>124</v>
      </c>
      <c r="E135" s="295">
        <v>1</v>
      </c>
      <c r="F135" s="295">
        <v>1</v>
      </c>
      <c r="G135" s="296">
        <v>0</v>
      </c>
      <c r="H135" s="296">
        <v>1900</v>
      </c>
      <c r="I135" s="296">
        <v>1200</v>
      </c>
      <c r="J135" s="296">
        <v>1260</v>
      </c>
      <c r="K135" s="296">
        <v>640</v>
      </c>
      <c r="L135" s="296">
        <v>0</v>
      </c>
      <c r="M135" s="296">
        <v>700</v>
      </c>
      <c r="N135" s="297">
        <v>0.36842105263157893</v>
      </c>
    </row>
    <row r="136" spans="1:14" ht="18" customHeight="1">
      <c r="A136" s="293" t="s">
        <v>1738</v>
      </c>
      <c r="B136" s="294">
        <v>46044</v>
      </c>
      <c r="C136" s="286" t="s">
        <v>168</v>
      </c>
      <c r="D136" s="286" t="s">
        <v>97</v>
      </c>
      <c r="E136" s="295">
        <v>1</v>
      </c>
      <c r="F136" s="295">
        <v>1</v>
      </c>
      <c r="G136" s="296">
        <v>0</v>
      </c>
      <c r="H136" s="296">
        <v>1900</v>
      </c>
      <c r="I136" s="296">
        <v>1050</v>
      </c>
      <c r="J136" s="296">
        <v>1102.5</v>
      </c>
      <c r="K136" s="296">
        <v>797.5</v>
      </c>
      <c r="L136" s="296">
        <v>0</v>
      </c>
      <c r="M136" s="296">
        <v>850</v>
      </c>
      <c r="N136" s="297">
        <v>0.44736842105263158</v>
      </c>
    </row>
    <row r="137" spans="1:14" ht="18" customHeight="1">
      <c r="A137" s="293" t="s">
        <v>1739</v>
      </c>
      <c r="B137" s="294">
        <v>46044</v>
      </c>
      <c r="C137" s="286" t="s">
        <v>168</v>
      </c>
      <c r="D137" s="286" t="s">
        <v>99</v>
      </c>
      <c r="E137" s="295">
        <v>2</v>
      </c>
      <c r="F137" s="295">
        <v>2</v>
      </c>
      <c r="G137" s="296">
        <v>0</v>
      </c>
      <c r="H137" s="296">
        <v>1335</v>
      </c>
      <c r="I137" s="296">
        <v>900</v>
      </c>
      <c r="J137" s="296">
        <v>945</v>
      </c>
      <c r="K137" s="296">
        <v>390</v>
      </c>
      <c r="L137" s="296">
        <v>0</v>
      </c>
      <c r="M137" s="296">
        <v>435</v>
      </c>
      <c r="N137" s="297">
        <v>0.3258426966292135</v>
      </c>
    </row>
    <row r="138" spans="1:14" ht="18" customHeight="1">
      <c r="A138" s="293" t="s">
        <v>1740</v>
      </c>
      <c r="B138" s="294">
        <v>46045</v>
      </c>
      <c r="C138" s="286" t="s">
        <v>3773</v>
      </c>
      <c r="D138" s="286" t="s">
        <v>102</v>
      </c>
      <c r="E138" s="295">
        <v>1</v>
      </c>
      <c r="F138" s="295">
        <v>1</v>
      </c>
      <c r="G138" s="296">
        <v>0</v>
      </c>
      <c r="H138" s="296">
        <v>1900</v>
      </c>
      <c r="I138" s="296">
        <v>1300</v>
      </c>
      <c r="J138" s="296">
        <v>1365</v>
      </c>
      <c r="K138" s="296">
        <v>535</v>
      </c>
      <c r="L138" s="296">
        <v>160.5</v>
      </c>
      <c r="M138" s="296">
        <v>600</v>
      </c>
      <c r="N138" s="297">
        <v>0.31578947368421051</v>
      </c>
    </row>
    <row r="139" spans="1:14" ht="18" customHeight="1">
      <c r="A139" s="293" t="s">
        <v>1741</v>
      </c>
      <c r="B139" s="294">
        <v>46045</v>
      </c>
      <c r="C139" s="286" t="s">
        <v>353</v>
      </c>
      <c r="D139" s="286" t="s">
        <v>133</v>
      </c>
      <c r="E139" s="295">
        <v>1</v>
      </c>
      <c r="F139" s="295">
        <v>1</v>
      </c>
      <c r="G139" s="296">
        <v>0</v>
      </c>
      <c r="H139" s="296">
        <v>2000</v>
      </c>
      <c r="I139" s="296">
        <v>1300</v>
      </c>
      <c r="J139" s="296">
        <v>1365</v>
      </c>
      <c r="K139" s="296">
        <v>635</v>
      </c>
      <c r="L139" s="296">
        <v>190.5</v>
      </c>
      <c r="M139" s="296">
        <v>700</v>
      </c>
      <c r="N139" s="297">
        <v>0.35</v>
      </c>
    </row>
    <row r="140" spans="1:14" ht="18" customHeight="1">
      <c r="A140" s="293" t="s">
        <v>1742</v>
      </c>
      <c r="B140" s="294">
        <v>46045</v>
      </c>
      <c r="C140" s="286" t="s">
        <v>354</v>
      </c>
      <c r="D140" s="286" t="s">
        <v>109</v>
      </c>
      <c r="E140" s="295">
        <v>1</v>
      </c>
      <c r="F140" s="295">
        <v>1</v>
      </c>
      <c r="G140" s="296">
        <v>0</v>
      </c>
      <c r="H140" s="296">
        <v>2200</v>
      </c>
      <c r="I140" s="296">
        <v>1450</v>
      </c>
      <c r="J140" s="296">
        <v>1522.5</v>
      </c>
      <c r="K140" s="296">
        <v>677.5</v>
      </c>
      <c r="L140" s="296">
        <v>203.25</v>
      </c>
      <c r="M140" s="296">
        <v>750</v>
      </c>
      <c r="N140" s="297">
        <v>0.34090909090909088</v>
      </c>
    </row>
    <row r="141" spans="1:14" ht="18" customHeight="1">
      <c r="A141" s="293" t="s">
        <v>1743</v>
      </c>
      <c r="B141" s="294">
        <v>46045</v>
      </c>
      <c r="C141" s="286" t="s">
        <v>168</v>
      </c>
      <c r="D141" s="286" t="s">
        <v>96</v>
      </c>
      <c r="E141" s="295">
        <v>2</v>
      </c>
      <c r="F141" s="295">
        <v>3</v>
      </c>
      <c r="G141" s="296">
        <v>0</v>
      </c>
      <c r="H141" s="296">
        <v>790</v>
      </c>
      <c r="I141" s="296">
        <v>325</v>
      </c>
      <c r="J141" s="296">
        <v>341.25</v>
      </c>
      <c r="K141" s="296">
        <v>448.75</v>
      </c>
      <c r="L141" s="296">
        <v>0</v>
      </c>
      <c r="M141" s="296">
        <v>465</v>
      </c>
      <c r="N141" s="297">
        <v>0.58860759493670889</v>
      </c>
    </row>
    <row r="142" spans="1:14" ht="18" customHeight="1">
      <c r="A142" s="293" t="s">
        <v>1744</v>
      </c>
      <c r="B142" s="294">
        <v>46045</v>
      </c>
      <c r="C142" s="286" t="s">
        <v>168</v>
      </c>
      <c r="D142" s="286" t="s">
        <v>115</v>
      </c>
      <c r="E142" s="295">
        <v>2</v>
      </c>
      <c r="F142" s="295">
        <v>2</v>
      </c>
      <c r="G142" s="296">
        <v>0</v>
      </c>
      <c r="H142" s="296">
        <v>2500</v>
      </c>
      <c r="I142" s="296">
        <v>1485</v>
      </c>
      <c r="J142" s="296">
        <v>1559.25</v>
      </c>
      <c r="K142" s="296">
        <v>940.75</v>
      </c>
      <c r="L142" s="296">
        <v>0</v>
      </c>
      <c r="M142" s="296">
        <v>1015</v>
      </c>
      <c r="N142" s="297">
        <v>0.40600000000000003</v>
      </c>
    </row>
    <row r="143" spans="1:14" ht="18" customHeight="1">
      <c r="A143" s="293" t="s">
        <v>1745</v>
      </c>
      <c r="B143" s="294">
        <v>46045</v>
      </c>
      <c r="C143" s="286" t="s">
        <v>168</v>
      </c>
      <c r="D143" s="286" t="s">
        <v>124</v>
      </c>
      <c r="E143" s="295">
        <v>1</v>
      </c>
      <c r="F143" s="295">
        <v>1</v>
      </c>
      <c r="G143" s="296">
        <v>0</v>
      </c>
      <c r="H143" s="296">
        <v>1300</v>
      </c>
      <c r="I143" s="296">
        <v>750</v>
      </c>
      <c r="J143" s="296">
        <v>787.5</v>
      </c>
      <c r="K143" s="296">
        <v>512.5</v>
      </c>
      <c r="L143" s="296">
        <v>0</v>
      </c>
      <c r="M143" s="296">
        <v>550</v>
      </c>
      <c r="N143" s="297">
        <v>0.42307692307692307</v>
      </c>
    </row>
    <row r="144" spans="1:14" ht="18" customHeight="1">
      <c r="A144" s="293" t="s">
        <v>1746</v>
      </c>
      <c r="B144" s="294">
        <v>46045</v>
      </c>
      <c r="C144" s="286" t="s">
        <v>168</v>
      </c>
      <c r="D144" s="286" t="s">
        <v>99</v>
      </c>
      <c r="E144" s="295">
        <v>4</v>
      </c>
      <c r="F144" s="295">
        <v>7</v>
      </c>
      <c r="G144" s="296">
        <v>0</v>
      </c>
      <c r="H144" s="296">
        <v>795</v>
      </c>
      <c r="I144" s="296">
        <v>397</v>
      </c>
      <c r="J144" s="296">
        <v>412.35</v>
      </c>
      <c r="K144" s="296">
        <v>382.65</v>
      </c>
      <c r="L144" s="296">
        <v>0</v>
      </c>
      <c r="M144" s="296">
        <v>398</v>
      </c>
      <c r="N144" s="297">
        <v>0.50062893081761006</v>
      </c>
    </row>
    <row r="145" spans="1:14" ht="18" customHeight="1">
      <c r="A145" s="293" t="s">
        <v>1747</v>
      </c>
      <c r="B145" s="294">
        <v>46045</v>
      </c>
      <c r="C145" s="286" t="s">
        <v>168</v>
      </c>
      <c r="D145" s="286" t="s">
        <v>97</v>
      </c>
      <c r="E145" s="295">
        <v>2</v>
      </c>
      <c r="F145" s="295">
        <v>2</v>
      </c>
      <c r="G145" s="296">
        <v>0</v>
      </c>
      <c r="H145" s="296">
        <v>2900</v>
      </c>
      <c r="I145" s="296">
        <v>1820</v>
      </c>
      <c r="J145" s="296">
        <v>1911</v>
      </c>
      <c r="K145" s="296">
        <v>989</v>
      </c>
      <c r="L145" s="296">
        <v>0</v>
      </c>
      <c r="M145" s="296">
        <v>1080</v>
      </c>
      <c r="N145" s="297">
        <v>0.3724137931034483</v>
      </c>
    </row>
    <row r="146" spans="1:14" ht="18" customHeight="1">
      <c r="A146" s="293" t="s">
        <v>1748</v>
      </c>
      <c r="B146" s="294">
        <v>46045</v>
      </c>
      <c r="C146" s="286" t="s">
        <v>168</v>
      </c>
      <c r="D146" s="286" t="s">
        <v>134</v>
      </c>
      <c r="E146" s="295">
        <v>1</v>
      </c>
      <c r="F146" s="295">
        <v>1</v>
      </c>
      <c r="G146" s="296">
        <v>0</v>
      </c>
      <c r="H146" s="296">
        <v>1700</v>
      </c>
      <c r="I146" s="296">
        <v>1100</v>
      </c>
      <c r="J146" s="296">
        <v>1155</v>
      </c>
      <c r="K146" s="296">
        <v>545</v>
      </c>
      <c r="L146" s="296">
        <v>0</v>
      </c>
      <c r="M146" s="296">
        <v>600</v>
      </c>
      <c r="N146" s="297">
        <v>0.35294117647058826</v>
      </c>
    </row>
    <row r="147" spans="1:14" ht="18" customHeight="1">
      <c r="A147" s="293" t="s">
        <v>1749</v>
      </c>
      <c r="B147" s="294">
        <v>46046</v>
      </c>
      <c r="C147" s="286" t="s">
        <v>168</v>
      </c>
      <c r="D147" s="286" t="s">
        <v>135</v>
      </c>
      <c r="E147" s="295">
        <v>4</v>
      </c>
      <c r="F147" s="295">
        <v>4</v>
      </c>
      <c r="G147" s="296">
        <v>0</v>
      </c>
      <c r="H147" s="296">
        <v>635</v>
      </c>
      <c r="I147" s="296">
        <v>506.59999999999997</v>
      </c>
      <c r="J147" s="296">
        <v>521.798</v>
      </c>
      <c r="K147" s="296">
        <v>113.20199999999997</v>
      </c>
      <c r="L147" s="296">
        <v>0</v>
      </c>
      <c r="M147" s="296">
        <v>128.40000000000003</v>
      </c>
      <c r="N147" s="297">
        <v>0.20220472440944887</v>
      </c>
    </row>
    <row r="148" spans="1:14" ht="18" customHeight="1">
      <c r="A148" s="293" t="s">
        <v>1750</v>
      </c>
      <c r="B148" s="294">
        <v>46046</v>
      </c>
      <c r="C148" s="286" t="s">
        <v>168</v>
      </c>
      <c r="D148" s="286" t="s">
        <v>136</v>
      </c>
      <c r="E148" s="295">
        <v>6</v>
      </c>
      <c r="F148" s="295">
        <v>11.8</v>
      </c>
      <c r="G148" s="296">
        <v>0</v>
      </c>
      <c r="H148" s="296">
        <v>3325</v>
      </c>
      <c r="I148" s="296">
        <v>1409.6000000000001</v>
      </c>
      <c r="J148" s="296">
        <v>1451.8880000000001</v>
      </c>
      <c r="K148" s="296">
        <v>1873.1119999999999</v>
      </c>
      <c r="L148" s="296">
        <v>0</v>
      </c>
      <c r="M148" s="296">
        <v>1915.3999999999999</v>
      </c>
      <c r="N148" s="297">
        <v>0.57606015037593983</v>
      </c>
    </row>
    <row r="149" spans="1:14" ht="18" customHeight="1">
      <c r="A149" s="293" t="s">
        <v>1751</v>
      </c>
      <c r="B149" s="294">
        <v>46046</v>
      </c>
      <c r="C149" s="286" t="s">
        <v>168</v>
      </c>
      <c r="D149" s="286" t="s">
        <v>120</v>
      </c>
      <c r="E149" s="295">
        <v>2</v>
      </c>
      <c r="F149" s="295">
        <v>2</v>
      </c>
      <c r="G149" s="296">
        <v>0</v>
      </c>
      <c r="H149" s="296">
        <v>600</v>
      </c>
      <c r="I149" s="296">
        <v>200</v>
      </c>
      <c r="J149" s="296">
        <v>210</v>
      </c>
      <c r="K149" s="296">
        <v>390</v>
      </c>
      <c r="L149" s="296">
        <v>0</v>
      </c>
      <c r="M149" s="296">
        <v>400</v>
      </c>
      <c r="N149" s="297">
        <v>0.66666666666666663</v>
      </c>
    </row>
    <row r="150" spans="1:14" ht="18" customHeight="1">
      <c r="A150" s="293" t="s">
        <v>1752</v>
      </c>
      <c r="B150" s="294">
        <v>46046</v>
      </c>
      <c r="C150" s="286" t="s">
        <v>353</v>
      </c>
      <c r="D150" s="286" t="s">
        <v>108</v>
      </c>
      <c r="E150" s="295">
        <v>1</v>
      </c>
      <c r="F150" s="295">
        <v>1</v>
      </c>
      <c r="G150" s="296">
        <v>0</v>
      </c>
      <c r="H150" s="296">
        <v>1875</v>
      </c>
      <c r="I150" s="296">
        <v>850</v>
      </c>
      <c r="J150" s="296">
        <v>892.5</v>
      </c>
      <c r="K150" s="296">
        <v>982.5</v>
      </c>
      <c r="L150" s="296">
        <v>294.75</v>
      </c>
      <c r="M150" s="296">
        <v>1025</v>
      </c>
      <c r="N150" s="297">
        <v>0.54666666666666663</v>
      </c>
    </row>
    <row r="151" spans="1:14" ht="18" customHeight="1">
      <c r="A151" s="293" t="s">
        <v>1753</v>
      </c>
      <c r="B151" s="294">
        <v>46046</v>
      </c>
      <c r="C151" s="286" t="s">
        <v>354</v>
      </c>
      <c r="D151" s="286" t="s">
        <v>109</v>
      </c>
      <c r="E151" s="295">
        <v>3</v>
      </c>
      <c r="F151" s="295">
        <v>6</v>
      </c>
      <c r="G151" s="296">
        <v>0</v>
      </c>
      <c r="H151" s="296">
        <v>1820</v>
      </c>
      <c r="I151" s="296">
        <v>970</v>
      </c>
      <c r="J151" s="296">
        <v>1018.5</v>
      </c>
      <c r="K151" s="296">
        <v>801.5</v>
      </c>
      <c r="L151" s="296">
        <v>240.45</v>
      </c>
      <c r="M151" s="296">
        <v>850</v>
      </c>
      <c r="N151" s="297">
        <v>0.46703296703296704</v>
      </c>
    </row>
    <row r="152" spans="1:14" ht="18" customHeight="1">
      <c r="A152" s="293" t="s">
        <v>1754</v>
      </c>
      <c r="B152" s="294">
        <v>46046</v>
      </c>
      <c r="C152" s="286" t="s">
        <v>353</v>
      </c>
      <c r="D152" s="286" t="s">
        <v>103</v>
      </c>
      <c r="E152" s="295">
        <v>1</v>
      </c>
      <c r="F152" s="295">
        <v>1</v>
      </c>
      <c r="G152" s="296">
        <v>0</v>
      </c>
      <c r="H152" s="296">
        <v>1900</v>
      </c>
      <c r="I152" s="296">
        <v>1300</v>
      </c>
      <c r="J152" s="296">
        <v>1365</v>
      </c>
      <c r="K152" s="296">
        <v>535</v>
      </c>
      <c r="L152" s="296">
        <v>160.5</v>
      </c>
      <c r="M152" s="296">
        <v>600</v>
      </c>
      <c r="N152" s="297">
        <v>0.31578947368421051</v>
      </c>
    </row>
    <row r="153" spans="1:14" ht="18" customHeight="1">
      <c r="A153" s="293" t="s">
        <v>1755</v>
      </c>
      <c r="B153" s="294">
        <v>46046</v>
      </c>
      <c r="C153" s="286" t="s">
        <v>353</v>
      </c>
      <c r="D153" s="286" t="s">
        <v>94</v>
      </c>
      <c r="E153" s="295">
        <v>6</v>
      </c>
      <c r="F153" s="295">
        <v>30</v>
      </c>
      <c r="G153" s="296">
        <v>0</v>
      </c>
      <c r="H153" s="296">
        <v>5420</v>
      </c>
      <c r="I153" s="296">
        <v>3475</v>
      </c>
      <c r="J153" s="296">
        <v>3648.75</v>
      </c>
      <c r="K153" s="296">
        <v>1771.25</v>
      </c>
      <c r="L153" s="296">
        <v>531.375</v>
      </c>
      <c r="M153" s="296">
        <v>1945</v>
      </c>
      <c r="N153" s="297">
        <v>0.35885608856088563</v>
      </c>
    </row>
    <row r="154" spans="1:14" ht="18" customHeight="1">
      <c r="A154" s="293" t="s">
        <v>1756</v>
      </c>
      <c r="B154" s="294">
        <v>46046</v>
      </c>
      <c r="C154" s="286" t="s">
        <v>168</v>
      </c>
      <c r="D154" s="286" t="s">
        <v>96</v>
      </c>
      <c r="E154" s="295">
        <v>3</v>
      </c>
      <c r="F154" s="295">
        <v>3</v>
      </c>
      <c r="G154" s="296">
        <v>0</v>
      </c>
      <c r="H154" s="296">
        <v>2800</v>
      </c>
      <c r="I154" s="296">
        <v>1472</v>
      </c>
      <c r="J154" s="296">
        <v>1545.6</v>
      </c>
      <c r="K154" s="296">
        <v>1254.4000000000001</v>
      </c>
      <c r="L154" s="296">
        <v>0</v>
      </c>
      <c r="M154" s="296">
        <v>1328</v>
      </c>
      <c r="N154" s="297">
        <v>0.47428571428571431</v>
      </c>
    </row>
    <row r="155" spans="1:14" ht="18" customHeight="1">
      <c r="A155" s="293" t="s">
        <v>1757</v>
      </c>
      <c r="B155" s="294">
        <v>46046</v>
      </c>
      <c r="C155" s="286" t="s">
        <v>168</v>
      </c>
      <c r="D155" s="286" t="s">
        <v>97</v>
      </c>
      <c r="E155" s="295">
        <v>7</v>
      </c>
      <c r="F155" s="295">
        <v>7</v>
      </c>
      <c r="G155" s="296">
        <v>0</v>
      </c>
      <c r="H155" s="296">
        <v>6050</v>
      </c>
      <c r="I155" s="296">
        <v>3050</v>
      </c>
      <c r="J155" s="296">
        <v>3202.5</v>
      </c>
      <c r="K155" s="296">
        <v>2847.5</v>
      </c>
      <c r="L155" s="296">
        <v>0</v>
      </c>
      <c r="M155" s="296">
        <v>3000</v>
      </c>
      <c r="N155" s="297">
        <v>0.49586776859504134</v>
      </c>
    </row>
    <row r="156" spans="1:14" ht="18" customHeight="1">
      <c r="A156" s="293" t="s">
        <v>1758</v>
      </c>
      <c r="B156" s="294">
        <v>46046</v>
      </c>
      <c r="C156" s="286" t="s">
        <v>358</v>
      </c>
      <c r="D156" s="286" t="s">
        <v>98</v>
      </c>
      <c r="E156" s="295">
        <v>1</v>
      </c>
      <c r="F156" s="295">
        <v>1</v>
      </c>
      <c r="G156" s="296">
        <v>0</v>
      </c>
      <c r="H156" s="296">
        <v>7800</v>
      </c>
      <c r="I156" s="296">
        <v>7684</v>
      </c>
      <c r="J156" s="296">
        <v>8068.2000000000007</v>
      </c>
      <c r="K156" s="296">
        <v>-268.20000000000073</v>
      </c>
      <c r="L156" s="296">
        <v>-80.460000000000221</v>
      </c>
      <c r="M156" s="296">
        <v>116</v>
      </c>
      <c r="N156" s="297">
        <v>1.4871794871794871E-2</v>
      </c>
    </row>
    <row r="157" spans="1:14" ht="18" customHeight="1">
      <c r="A157" s="293" t="s">
        <v>1759</v>
      </c>
      <c r="B157" s="294">
        <v>46046</v>
      </c>
      <c r="C157" s="286" t="s">
        <v>168</v>
      </c>
      <c r="D157" s="286" t="s">
        <v>99</v>
      </c>
      <c r="E157" s="295">
        <v>10</v>
      </c>
      <c r="F157" s="295">
        <v>13.7</v>
      </c>
      <c r="G157" s="296">
        <v>0</v>
      </c>
      <c r="H157" s="296">
        <v>6545</v>
      </c>
      <c r="I157" s="296">
        <v>3394</v>
      </c>
      <c r="J157" s="296">
        <v>3540.8199999999997</v>
      </c>
      <c r="K157" s="296">
        <v>3004.1800000000003</v>
      </c>
      <c r="L157" s="296">
        <v>0</v>
      </c>
      <c r="M157" s="296">
        <v>3151</v>
      </c>
      <c r="N157" s="297">
        <v>0.48143621084797555</v>
      </c>
    </row>
    <row r="158" spans="1:14" ht="18" customHeight="1">
      <c r="A158" s="293" t="s">
        <v>1760</v>
      </c>
      <c r="B158" s="294">
        <v>46047</v>
      </c>
      <c r="C158" s="286" t="s">
        <v>353</v>
      </c>
      <c r="D158" s="286" t="s">
        <v>94</v>
      </c>
      <c r="E158" s="295">
        <v>1</v>
      </c>
      <c r="F158" s="295">
        <v>2</v>
      </c>
      <c r="G158" s="296">
        <v>0</v>
      </c>
      <c r="H158" s="296">
        <v>400</v>
      </c>
      <c r="I158" s="296">
        <v>210</v>
      </c>
      <c r="J158" s="296">
        <v>220.5</v>
      </c>
      <c r="K158" s="296">
        <v>179.5</v>
      </c>
      <c r="L158" s="296">
        <v>53.85</v>
      </c>
      <c r="M158" s="296">
        <v>190</v>
      </c>
      <c r="N158" s="297">
        <v>0.47499999999999998</v>
      </c>
    </row>
    <row r="159" spans="1:14" ht="18" customHeight="1">
      <c r="A159" s="293" t="s">
        <v>1761</v>
      </c>
      <c r="B159" s="294">
        <v>46047</v>
      </c>
      <c r="C159" s="286" t="s">
        <v>168</v>
      </c>
      <c r="D159" s="286" t="s">
        <v>128</v>
      </c>
      <c r="E159" s="295">
        <v>1</v>
      </c>
      <c r="F159" s="295">
        <v>1</v>
      </c>
      <c r="G159" s="296">
        <v>0</v>
      </c>
      <c r="H159" s="296">
        <v>550</v>
      </c>
      <c r="I159" s="296">
        <v>220</v>
      </c>
      <c r="J159" s="296">
        <v>231</v>
      </c>
      <c r="K159" s="296">
        <v>319</v>
      </c>
      <c r="L159" s="296">
        <v>0</v>
      </c>
      <c r="M159" s="296">
        <v>330</v>
      </c>
      <c r="N159" s="297">
        <v>0.6</v>
      </c>
    </row>
    <row r="160" spans="1:14" ht="18" customHeight="1">
      <c r="A160" s="293" t="s">
        <v>1762</v>
      </c>
      <c r="B160" s="294">
        <v>46048</v>
      </c>
      <c r="C160" s="286" t="s">
        <v>3773</v>
      </c>
      <c r="D160" s="286" t="s">
        <v>102</v>
      </c>
      <c r="E160" s="295">
        <v>1</v>
      </c>
      <c r="F160" s="295">
        <v>1</v>
      </c>
      <c r="G160" s="296">
        <v>0</v>
      </c>
      <c r="H160" s="296">
        <v>360</v>
      </c>
      <c r="I160" s="296">
        <v>130</v>
      </c>
      <c r="J160" s="296">
        <v>136.5</v>
      </c>
      <c r="K160" s="296">
        <v>223.5</v>
      </c>
      <c r="L160" s="296">
        <v>67.05</v>
      </c>
      <c r="M160" s="296">
        <v>230</v>
      </c>
      <c r="N160" s="297">
        <v>0.63888888888888884</v>
      </c>
    </row>
    <row r="161" spans="1:14" ht="18" customHeight="1">
      <c r="A161" s="293" t="s">
        <v>1763</v>
      </c>
      <c r="B161" s="294">
        <v>46048</v>
      </c>
      <c r="C161" s="286" t="s">
        <v>353</v>
      </c>
      <c r="D161" s="286" t="s">
        <v>108</v>
      </c>
      <c r="E161" s="295">
        <v>6</v>
      </c>
      <c r="F161" s="295">
        <v>16</v>
      </c>
      <c r="G161" s="296">
        <v>0</v>
      </c>
      <c r="H161" s="296">
        <v>4175</v>
      </c>
      <c r="I161" s="296">
        <v>1794</v>
      </c>
      <c r="J161" s="296">
        <v>1883.7</v>
      </c>
      <c r="K161" s="296">
        <v>2291.3000000000002</v>
      </c>
      <c r="L161" s="296">
        <v>687.39</v>
      </c>
      <c r="M161" s="296">
        <v>2381</v>
      </c>
      <c r="N161" s="297">
        <v>0.5702994011976048</v>
      </c>
    </row>
    <row r="162" spans="1:14" ht="18" customHeight="1">
      <c r="A162" s="293" t="s">
        <v>1764</v>
      </c>
      <c r="B162" s="294">
        <v>46048</v>
      </c>
      <c r="C162" s="286" t="s">
        <v>353</v>
      </c>
      <c r="D162" s="286" t="s">
        <v>94</v>
      </c>
      <c r="E162" s="295">
        <v>1</v>
      </c>
      <c r="F162" s="295">
        <v>1</v>
      </c>
      <c r="G162" s="296">
        <v>0</v>
      </c>
      <c r="H162" s="296">
        <v>200</v>
      </c>
      <c r="I162" s="296">
        <v>100</v>
      </c>
      <c r="J162" s="296">
        <v>105</v>
      </c>
      <c r="K162" s="296">
        <v>95</v>
      </c>
      <c r="L162" s="296">
        <v>28.5</v>
      </c>
      <c r="M162" s="296">
        <v>100</v>
      </c>
      <c r="N162" s="297">
        <v>0.5</v>
      </c>
    </row>
    <row r="163" spans="1:14" ht="18" customHeight="1">
      <c r="A163" s="293" t="s">
        <v>1765</v>
      </c>
      <c r="B163" s="294">
        <v>46048</v>
      </c>
      <c r="C163" s="286" t="s">
        <v>168</v>
      </c>
      <c r="D163" s="286" t="s">
        <v>96</v>
      </c>
      <c r="E163" s="295">
        <v>3</v>
      </c>
      <c r="F163" s="295">
        <v>3</v>
      </c>
      <c r="G163" s="296">
        <v>0</v>
      </c>
      <c r="H163" s="296">
        <v>2650</v>
      </c>
      <c r="I163" s="296">
        <v>1210</v>
      </c>
      <c r="J163" s="296">
        <v>1270.5</v>
      </c>
      <c r="K163" s="296">
        <v>1379.5</v>
      </c>
      <c r="L163" s="296">
        <v>0</v>
      </c>
      <c r="M163" s="296">
        <v>1440</v>
      </c>
      <c r="N163" s="297">
        <v>0.54339622641509433</v>
      </c>
    </row>
    <row r="164" spans="1:14" ht="18" customHeight="1">
      <c r="A164" s="293" t="s">
        <v>1766</v>
      </c>
      <c r="B164" s="294">
        <v>46048</v>
      </c>
      <c r="C164" s="286" t="s">
        <v>168</v>
      </c>
      <c r="D164" s="286" t="s">
        <v>104</v>
      </c>
      <c r="E164" s="295">
        <v>4</v>
      </c>
      <c r="F164" s="295">
        <v>13</v>
      </c>
      <c r="G164" s="296">
        <v>0</v>
      </c>
      <c r="H164" s="296">
        <v>454</v>
      </c>
      <c r="I164" s="296">
        <v>234.4</v>
      </c>
      <c r="J164" s="296">
        <v>241.62</v>
      </c>
      <c r="K164" s="296">
        <v>212.38</v>
      </c>
      <c r="L164" s="296">
        <v>0</v>
      </c>
      <c r="M164" s="296">
        <v>219.6</v>
      </c>
      <c r="N164" s="297">
        <v>0.48370044052863437</v>
      </c>
    </row>
    <row r="165" spans="1:14" ht="18" customHeight="1">
      <c r="A165" s="293" t="s">
        <v>1767</v>
      </c>
      <c r="B165" s="294">
        <v>46048</v>
      </c>
      <c r="C165" s="286" t="s">
        <v>168</v>
      </c>
      <c r="D165" s="286" t="s">
        <v>124</v>
      </c>
      <c r="E165" s="295">
        <v>1</v>
      </c>
      <c r="F165" s="295">
        <v>1</v>
      </c>
      <c r="G165" s="296">
        <v>0</v>
      </c>
      <c r="H165" s="296">
        <v>1300</v>
      </c>
      <c r="I165" s="296">
        <v>750</v>
      </c>
      <c r="J165" s="296">
        <v>787.5</v>
      </c>
      <c r="K165" s="296">
        <v>512.5</v>
      </c>
      <c r="L165" s="296">
        <v>0</v>
      </c>
      <c r="M165" s="296">
        <v>550</v>
      </c>
      <c r="N165" s="297">
        <v>0.42307692307692307</v>
      </c>
    </row>
    <row r="166" spans="1:14" ht="18" customHeight="1">
      <c r="A166" s="293" t="s">
        <v>1768</v>
      </c>
      <c r="B166" s="294">
        <v>46048</v>
      </c>
      <c r="C166" s="286" t="s">
        <v>168</v>
      </c>
      <c r="D166" s="286" t="s">
        <v>122</v>
      </c>
      <c r="E166" s="295">
        <v>1</v>
      </c>
      <c r="F166" s="295">
        <v>1</v>
      </c>
      <c r="G166" s="296">
        <v>0</v>
      </c>
      <c r="H166" s="296">
        <v>370</v>
      </c>
      <c r="I166" s="296">
        <v>330</v>
      </c>
      <c r="J166" s="296">
        <v>339.90000000000003</v>
      </c>
      <c r="K166" s="296">
        <v>30.099999999999966</v>
      </c>
      <c r="L166" s="296">
        <v>0</v>
      </c>
      <c r="M166" s="296">
        <v>40</v>
      </c>
      <c r="N166" s="297">
        <v>0.10810810810810811</v>
      </c>
    </row>
    <row r="167" spans="1:14" ht="18" customHeight="1">
      <c r="A167" s="293" t="s">
        <v>1769</v>
      </c>
      <c r="B167" s="294">
        <v>46048</v>
      </c>
      <c r="C167" s="286" t="s">
        <v>168</v>
      </c>
      <c r="D167" s="286" t="s">
        <v>99</v>
      </c>
      <c r="E167" s="295">
        <v>6</v>
      </c>
      <c r="F167" s="295">
        <v>9</v>
      </c>
      <c r="G167" s="296">
        <v>0</v>
      </c>
      <c r="H167" s="296">
        <v>2600</v>
      </c>
      <c r="I167" s="296">
        <v>748.59999999999991</v>
      </c>
      <c r="J167" s="296">
        <v>774.05799999999999</v>
      </c>
      <c r="K167" s="296">
        <v>1825.9419999999998</v>
      </c>
      <c r="L167" s="296">
        <v>0</v>
      </c>
      <c r="M167" s="296">
        <v>1851.4</v>
      </c>
      <c r="N167" s="297">
        <v>0.71207692307692316</v>
      </c>
    </row>
    <row r="168" spans="1:14" ht="18" customHeight="1">
      <c r="A168" s="293" t="s">
        <v>1770</v>
      </c>
      <c r="B168" s="294">
        <v>46049</v>
      </c>
      <c r="C168" s="286" t="s">
        <v>353</v>
      </c>
      <c r="D168" s="286" t="s">
        <v>108</v>
      </c>
      <c r="E168" s="295">
        <v>1</v>
      </c>
      <c r="F168" s="295">
        <v>1</v>
      </c>
      <c r="G168" s="296">
        <v>0</v>
      </c>
      <c r="H168" s="296">
        <v>7800</v>
      </c>
      <c r="I168" s="296">
        <v>7684</v>
      </c>
      <c r="J168" s="296">
        <v>8068.2000000000007</v>
      </c>
      <c r="K168" s="296">
        <v>-268.20000000000073</v>
      </c>
      <c r="L168" s="296">
        <v>-80.460000000000221</v>
      </c>
      <c r="M168" s="296">
        <v>116</v>
      </c>
      <c r="N168" s="297">
        <v>1.4871794871794871E-2</v>
      </c>
    </row>
    <row r="169" spans="1:14" ht="18" customHeight="1">
      <c r="A169" s="293" t="s">
        <v>1771</v>
      </c>
      <c r="B169" s="294">
        <v>46049</v>
      </c>
      <c r="C169" s="286" t="s">
        <v>353</v>
      </c>
      <c r="D169" s="286" t="s">
        <v>103</v>
      </c>
      <c r="E169" s="295">
        <v>1</v>
      </c>
      <c r="F169" s="295">
        <v>1</v>
      </c>
      <c r="G169" s="296">
        <v>0</v>
      </c>
      <c r="H169" s="296">
        <v>4200</v>
      </c>
      <c r="I169" s="296">
        <v>2900</v>
      </c>
      <c r="J169" s="296">
        <v>3045</v>
      </c>
      <c r="K169" s="296">
        <v>1155</v>
      </c>
      <c r="L169" s="296">
        <v>346.5</v>
      </c>
      <c r="M169" s="296">
        <v>1300</v>
      </c>
      <c r="N169" s="297">
        <v>0.30952380952380953</v>
      </c>
    </row>
    <row r="170" spans="1:14" ht="18" customHeight="1">
      <c r="A170" s="293" t="s">
        <v>1772</v>
      </c>
      <c r="B170" s="294">
        <v>46049</v>
      </c>
      <c r="C170" s="286" t="s">
        <v>359</v>
      </c>
      <c r="D170" s="286" t="s">
        <v>114</v>
      </c>
      <c r="E170" s="295">
        <v>1</v>
      </c>
      <c r="F170" s="295">
        <v>1</v>
      </c>
      <c r="G170" s="296">
        <v>0</v>
      </c>
      <c r="H170" s="296">
        <v>1900</v>
      </c>
      <c r="I170" s="296">
        <v>1300</v>
      </c>
      <c r="J170" s="296">
        <v>1365</v>
      </c>
      <c r="K170" s="296">
        <v>535</v>
      </c>
      <c r="L170" s="296">
        <v>160.5</v>
      </c>
      <c r="M170" s="296">
        <v>600</v>
      </c>
      <c r="N170" s="297">
        <v>0.31578947368421051</v>
      </c>
    </row>
    <row r="171" spans="1:14" ht="18" customHeight="1">
      <c r="A171" s="293" t="s">
        <v>1773</v>
      </c>
      <c r="B171" s="294">
        <v>46049</v>
      </c>
      <c r="C171" s="286" t="s">
        <v>168</v>
      </c>
      <c r="D171" s="286" t="s">
        <v>121</v>
      </c>
      <c r="E171" s="295">
        <v>1</v>
      </c>
      <c r="F171" s="295">
        <v>1</v>
      </c>
      <c r="G171" s="296">
        <v>0</v>
      </c>
      <c r="H171" s="296">
        <v>450</v>
      </c>
      <c r="I171" s="296">
        <v>180</v>
      </c>
      <c r="J171" s="296">
        <v>189</v>
      </c>
      <c r="K171" s="296">
        <v>261</v>
      </c>
      <c r="L171" s="296">
        <v>0</v>
      </c>
      <c r="M171" s="296">
        <v>270</v>
      </c>
      <c r="N171" s="297">
        <v>0.6</v>
      </c>
    </row>
    <row r="172" spans="1:14" ht="18" customHeight="1">
      <c r="A172" s="293" t="s">
        <v>1774</v>
      </c>
      <c r="B172" s="294">
        <v>46049</v>
      </c>
      <c r="C172" s="286" t="s">
        <v>3773</v>
      </c>
      <c r="D172" s="286" t="s">
        <v>116</v>
      </c>
      <c r="E172" s="295">
        <v>2</v>
      </c>
      <c r="F172" s="295">
        <v>2</v>
      </c>
      <c r="G172" s="296">
        <v>0</v>
      </c>
      <c r="H172" s="296">
        <v>3700</v>
      </c>
      <c r="I172" s="296">
        <v>900</v>
      </c>
      <c r="J172" s="296">
        <v>945</v>
      </c>
      <c r="K172" s="296">
        <v>2755</v>
      </c>
      <c r="L172" s="296">
        <v>826.5</v>
      </c>
      <c r="M172" s="296">
        <v>2800</v>
      </c>
      <c r="N172" s="297">
        <v>0.7567567567567568</v>
      </c>
    </row>
    <row r="173" spans="1:14" ht="18" customHeight="1">
      <c r="A173" s="293" t="s">
        <v>1775</v>
      </c>
      <c r="B173" s="294">
        <v>46049</v>
      </c>
      <c r="C173" s="286" t="s">
        <v>168</v>
      </c>
      <c r="D173" s="286" t="s">
        <v>96</v>
      </c>
      <c r="E173" s="295">
        <v>1</v>
      </c>
      <c r="F173" s="295">
        <v>1</v>
      </c>
      <c r="G173" s="296">
        <v>0</v>
      </c>
      <c r="H173" s="296">
        <v>1900</v>
      </c>
      <c r="I173" s="296">
        <v>1350</v>
      </c>
      <c r="J173" s="296">
        <v>1417.5</v>
      </c>
      <c r="K173" s="296">
        <v>482.5</v>
      </c>
      <c r="L173" s="296">
        <v>0</v>
      </c>
      <c r="M173" s="296">
        <v>550</v>
      </c>
      <c r="N173" s="297">
        <v>0.28947368421052633</v>
      </c>
    </row>
    <row r="174" spans="1:14" ht="18" customHeight="1">
      <c r="A174" s="293" t="s">
        <v>1776</v>
      </c>
      <c r="B174" s="294">
        <v>46049</v>
      </c>
      <c r="C174" s="286" t="s">
        <v>168</v>
      </c>
      <c r="D174" s="286" t="s">
        <v>137</v>
      </c>
      <c r="E174" s="295">
        <v>2</v>
      </c>
      <c r="F174" s="295">
        <v>8</v>
      </c>
      <c r="G174" s="296">
        <v>0</v>
      </c>
      <c r="H174" s="296">
        <v>1000</v>
      </c>
      <c r="I174" s="296">
        <v>740</v>
      </c>
      <c r="J174" s="296">
        <v>762.2</v>
      </c>
      <c r="K174" s="296">
        <v>237.8</v>
      </c>
      <c r="L174" s="296">
        <v>0</v>
      </c>
      <c r="M174" s="296">
        <v>260</v>
      </c>
      <c r="N174" s="297">
        <v>0.26</v>
      </c>
    </row>
    <row r="175" spans="1:14" ht="18" customHeight="1">
      <c r="A175" s="293" t="s">
        <v>1777</v>
      </c>
      <c r="B175" s="294">
        <v>46050</v>
      </c>
      <c r="C175" s="286" t="s">
        <v>3773</v>
      </c>
      <c r="D175" s="286" t="s">
        <v>102</v>
      </c>
      <c r="E175" s="295">
        <v>1</v>
      </c>
      <c r="F175" s="295">
        <v>1</v>
      </c>
      <c r="G175" s="296">
        <v>0</v>
      </c>
      <c r="H175" s="296">
        <v>700</v>
      </c>
      <c r="I175" s="296">
        <v>500</v>
      </c>
      <c r="J175" s="296">
        <v>525</v>
      </c>
      <c r="K175" s="296">
        <v>175</v>
      </c>
      <c r="L175" s="296">
        <v>52.5</v>
      </c>
      <c r="M175" s="296">
        <v>200</v>
      </c>
      <c r="N175" s="297">
        <v>0.2857142857142857</v>
      </c>
    </row>
    <row r="176" spans="1:14" ht="18" customHeight="1">
      <c r="A176" s="293" t="s">
        <v>1778</v>
      </c>
      <c r="B176" s="294">
        <v>46050</v>
      </c>
      <c r="C176" s="286" t="s">
        <v>168</v>
      </c>
      <c r="D176" s="286" t="s">
        <v>136</v>
      </c>
      <c r="E176" s="295">
        <v>5</v>
      </c>
      <c r="F176" s="295">
        <v>24</v>
      </c>
      <c r="G176" s="296">
        <v>0</v>
      </c>
      <c r="H176" s="296">
        <v>5900</v>
      </c>
      <c r="I176" s="296">
        <v>4009.8</v>
      </c>
      <c r="J176" s="296">
        <v>4130.0940000000001</v>
      </c>
      <c r="K176" s="296">
        <v>1769.9059999999999</v>
      </c>
      <c r="L176" s="296">
        <v>0</v>
      </c>
      <c r="M176" s="296">
        <v>1890.1999999999998</v>
      </c>
      <c r="N176" s="297">
        <v>0.32037288135593217</v>
      </c>
    </row>
    <row r="177" spans="1:14" ht="18" customHeight="1">
      <c r="A177" s="293" t="s">
        <v>1779</v>
      </c>
      <c r="B177" s="294">
        <v>46050</v>
      </c>
      <c r="C177" s="286" t="s">
        <v>353</v>
      </c>
      <c r="D177" s="286" t="s">
        <v>133</v>
      </c>
      <c r="E177" s="295">
        <v>1</v>
      </c>
      <c r="F177" s="295">
        <v>1</v>
      </c>
      <c r="G177" s="296">
        <v>0</v>
      </c>
      <c r="H177" s="296">
        <v>2100</v>
      </c>
      <c r="I177" s="296">
        <v>1380</v>
      </c>
      <c r="J177" s="296">
        <v>1449</v>
      </c>
      <c r="K177" s="296">
        <v>651</v>
      </c>
      <c r="L177" s="296">
        <v>195.29999999999998</v>
      </c>
      <c r="M177" s="296">
        <v>720</v>
      </c>
      <c r="N177" s="297">
        <v>0.34285714285714286</v>
      </c>
    </row>
    <row r="178" spans="1:14" ht="18" customHeight="1">
      <c r="A178" s="293" t="s">
        <v>1780</v>
      </c>
      <c r="B178" s="294">
        <v>46050</v>
      </c>
      <c r="C178" s="286" t="s">
        <v>168</v>
      </c>
      <c r="D178" s="286" t="s">
        <v>121</v>
      </c>
      <c r="E178" s="295">
        <v>2</v>
      </c>
      <c r="F178" s="295">
        <v>2</v>
      </c>
      <c r="G178" s="296">
        <v>0</v>
      </c>
      <c r="H178" s="296">
        <v>3800</v>
      </c>
      <c r="I178" s="296">
        <v>2300</v>
      </c>
      <c r="J178" s="296">
        <v>2415</v>
      </c>
      <c r="K178" s="296">
        <v>1385</v>
      </c>
      <c r="L178" s="296">
        <v>0</v>
      </c>
      <c r="M178" s="296">
        <v>1500</v>
      </c>
      <c r="N178" s="297">
        <v>0.39473684210526316</v>
      </c>
    </row>
    <row r="179" spans="1:14" ht="18" customHeight="1">
      <c r="A179" s="293" t="s">
        <v>1781</v>
      </c>
      <c r="B179" s="294">
        <v>46050</v>
      </c>
      <c r="C179" s="286" t="s">
        <v>353</v>
      </c>
      <c r="D179" s="286" t="s">
        <v>94</v>
      </c>
      <c r="E179" s="295">
        <v>1</v>
      </c>
      <c r="F179" s="295">
        <v>1</v>
      </c>
      <c r="G179" s="296">
        <v>0</v>
      </c>
      <c r="H179" s="296">
        <v>1600</v>
      </c>
      <c r="I179" s="296">
        <v>1150</v>
      </c>
      <c r="J179" s="296">
        <v>1207.5</v>
      </c>
      <c r="K179" s="296">
        <v>392.5</v>
      </c>
      <c r="L179" s="296">
        <v>117.75</v>
      </c>
      <c r="M179" s="296">
        <v>450</v>
      </c>
      <c r="N179" s="297">
        <v>0.28125</v>
      </c>
    </row>
    <row r="180" spans="1:14" ht="18" customHeight="1">
      <c r="A180" s="293" t="s">
        <v>1782</v>
      </c>
      <c r="B180" s="294">
        <v>46050</v>
      </c>
      <c r="C180" s="286" t="s">
        <v>168</v>
      </c>
      <c r="D180" s="286" t="s">
        <v>96</v>
      </c>
      <c r="E180" s="295">
        <v>4</v>
      </c>
      <c r="F180" s="295">
        <v>5</v>
      </c>
      <c r="G180" s="296">
        <v>0</v>
      </c>
      <c r="H180" s="296">
        <v>1310</v>
      </c>
      <c r="I180" s="296">
        <v>745</v>
      </c>
      <c r="J180" s="296">
        <v>775.65000000000009</v>
      </c>
      <c r="K180" s="296">
        <v>534.34999999999991</v>
      </c>
      <c r="L180" s="296">
        <v>0</v>
      </c>
      <c r="M180" s="296">
        <v>565</v>
      </c>
      <c r="N180" s="297">
        <v>0.43129770992366412</v>
      </c>
    </row>
    <row r="181" spans="1:14" ht="18" customHeight="1">
      <c r="A181" s="293" t="s">
        <v>1783</v>
      </c>
      <c r="B181" s="294">
        <v>46050</v>
      </c>
      <c r="C181" s="286" t="s">
        <v>168</v>
      </c>
      <c r="D181" s="286" t="s">
        <v>105</v>
      </c>
      <c r="E181" s="295">
        <v>3</v>
      </c>
      <c r="F181" s="295">
        <v>3</v>
      </c>
      <c r="G181" s="296">
        <v>0</v>
      </c>
      <c r="H181" s="296">
        <v>6500</v>
      </c>
      <c r="I181" s="296">
        <v>4240</v>
      </c>
      <c r="J181" s="296">
        <v>4452</v>
      </c>
      <c r="K181" s="296">
        <v>2048</v>
      </c>
      <c r="L181" s="296">
        <v>0</v>
      </c>
      <c r="M181" s="296">
        <v>2260</v>
      </c>
      <c r="N181" s="297">
        <v>0.34769230769230769</v>
      </c>
    </row>
    <row r="182" spans="1:14" ht="18" customHeight="1">
      <c r="A182" s="293" t="s">
        <v>1784</v>
      </c>
      <c r="B182" s="294">
        <v>46050</v>
      </c>
      <c r="C182" s="286" t="s">
        <v>168</v>
      </c>
      <c r="D182" s="286" t="s">
        <v>115</v>
      </c>
      <c r="E182" s="295">
        <v>1</v>
      </c>
      <c r="F182" s="295">
        <v>1</v>
      </c>
      <c r="G182" s="296">
        <v>0</v>
      </c>
      <c r="H182" s="296">
        <v>2000</v>
      </c>
      <c r="I182" s="296">
        <v>1300</v>
      </c>
      <c r="J182" s="296">
        <v>1365</v>
      </c>
      <c r="K182" s="296">
        <v>635</v>
      </c>
      <c r="L182" s="296">
        <v>0</v>
      </c>
      <c r="M182" s="296">
        <v>700</v>
      </c>
      <c r="N182" s="297">
        <v>0.35</v>
      </c>
    </row>
    <row r="183" spans="1:14" ht="18" customHeight="1">
      <c r="A183" s="293" t="s">
        <v>1785</v>
      </c>
      <c r="B183" s="294">
        <v>46050</v>
      </c>
      <c r="C183" s="286" t="s">
        <v>168</v>
      </c>
      <c r="D183" s="286" t="s">
        <v>128</v>
      </c>
      <c r="E183" s="295">
        <v>1</v>
      </c>
      <c r="F183" s="295">
        <v>1</v>
      </c>
      <c r="G183" s="296">
        <v>0</v>
      </c>
      <c r="H183" s="296">
        <v>550</v>
      </c>
      <c r="I183" s="296">
        <v>225</v>
      </c>
      <c r="J183" s="296">
        <v>236.25</v>
      </c>
      <c r="K183" s="296">
        <v>313.75</v>
      </c>
      <c r="L183" s="296">
        <v>0</v>
      </c>
      <c r="M183" s="296">
        <v>325</v>
      </c>
      <c r="N183" s="297">
        <v>0.59090909090909094</v>
      </c>
    </row>
    <row r="184" spans="1:14" ht="18" customHeight="1">
      <c r="A184" s="293" t="s">
        <v>1786</v>
      </c>
      <c r="B184" s="294">
        <v>46050</v>
      </c>
      <c r="C184" s="286" t="s">
        <v>168</v>
      </c>
      <c r="D184" s="286" t="s">
        <v>97</v>
      </c>
      <c r="E184" s="295">
        <v>1</v>
      </c>
      <c r="F184" s="295">
        <v>1</v>
      </c>
      <c r="G184" s="296">
        <v>0</v>
      </c>
      <c r="H184" s="296">
        <v>2000</v>
      </c>
      <c r="I184" s="296">
        <v>1000</v>
      </c>
      <c r="J184" s="296">
        <v>1050</v>
      </c>
      <c r="K184" s="296">
        <v>950</v>
      </c>
      <c r="L184" s="296">
        <v>0</v>
      </c>
      <c r="M184" s="296">
        <v>1000</v>
      </c>
      <c r="N184" s="297">
        <v>0.5</v>
      </c>
    </row>
    <row r="185" spans="1:14" ht="18" customHeight="1">
      <c r="A185" s="293" t="s">
        <v>1787</v>
      </c>
      <c r="B185" s="294">
        <v>46050</v>
      </c>
      <c r="C185" s="286" t="s">
        <v>168</v>
      </c>
      <c r="D185" s="286" t="s">
        <v>99</v>
      </c>
      <c r="E185" s="295">
        <v>2</v>
      </c>
      <c r="F185" s="295">
        <v>1.2</v>
      </c>
      <c r="G185" s="296">
        <v>0</v>
      </c>
      <c r="H185" s="296">
        <v>1180</v>
      </c>
      <c r="I185" s="296">
        <v>854</v>
      </c>
      <c r="J185" s="296">
        <v>886.62</v>
      </c>
      <c r="K185" s="296">
        <v>293.38</v>
      </c>
      <c r="L185" s="296">
        <v>0</v>
      </c>
      <c r="M185" s="296">
        <v>326</v>
      </c>
      <c r="N185" s="297">
        <v>0.27627118644067794</v>
      </c>
    </row>
    <row r="186" spans="1:14" ht="18" customHeight="1">
      <c r="A186" s="293" t="s">
        <v>1788</v>
      </c>
      <c r="B186" s="294">
        <v>46051</v>
      </c>
      <c r="C186" s="286" t="s">
        <v>3773</v>
      </c>
      <c r="D186" s="286" t="s">
        <v>102</v>
      </c>
      <c r="E186" s="295">
        <v>1</v>
      </c>
      <c r="F186" s="295">
        <v>1</v>
      </c>
      <c r="G186" s="296">
        <v>0</v>
      </c>
      <c r="H186" s="296">
        <v>7800</v>
      </c>
      <c r="I186" s="296">
        <v>7684</v>
      </c>
      <c r="J186" s="296">
        <v>8068.2000000000007</v>
      </c>
      <c r="K186" s="296">
        <v>-268.20000000000073</v>
      </c>
      <c r="L186" s="296">
        <v>-80.460000000000221</v>
      </c>
      <c r="M186" s="296">
        <v>116</v>
      </c>
      <c r="N186" s="297">
        <v>1.4871794871794871E-2</v>
      </c>
    </row>
    <row r="187" spans="1:14" ht="18" customHeight="1">
      <c r="A187" s="293" t="s">
        <v>1789</v>
      </c>
      <c r="B187" s="294">
        <v>46051</v>
      </c>
      <c r="C187" s="286" t="s">
        <v>168</v>
      </c>
      <c r="D187" s="286" t="s">
        <v>120</v>
      </c>
      <c r="E187" s="295">
        <v>1</v>
      </c>
      <c r="F187" s="295">
        <v>1</v>
      </c>
      <c r="G187" s="296">
        <v>0</v>
      </c>
      <c r="H187" s="296">
        <v>2100</v>
      </c>
      <c r="I187" s="296">
        <v>1300</v>
      </c>
      <c r="J187" s="296">
        <v>1365</v>
      </c>
      <c r="K187" s="296">
        <v>735</v>
      </c>
      <c r="L187" s="296">
        <v>0</v>
      </c>
      <c r="M187" s="296">
        <v>800</v>
      </c>
      <c r="N187" s="297">
        <v>0.38095238095238093</v>
      </c>
    </row>
    <row r="188" spans="1:14" ht="18" customHeight="1">
      <c r="A188" s="293" t="s">
        <v>1790</v>
      </c>
      <c r="B188" s="294">
        <v>46051</v>
      </c>
      <c r="C188" s="286" t="s">
        <v>353</v>
      </c>
      <c r="D188" s="286" t="s">
        <v>108</v>
      </c>
      <c r="E188" s="295">
        <v>2</v>
      </c>
      <c r="F188" s="295">
        <v>2</v>
      </c>
      <c r="G188" s="296">
        <v>0</v>
      </c>
      <c r="H188" s="296">
        <v>900</v>
      </c>
      <c r="I188" s="296">
        <v>440</v>
      </c>
      <c r="J188" s="296">
        <v>462</v>
      </c>
      <c r="K188" s="296">
        <v>438</v>
      </c>
      <c r="L188" s="296">
        <v>131.4</v>
      </c>
      <c r="M188" s="296">
        <v>460</v>
      </c>
      <c r="N188" s="297">
        <v>0.51111111111111107</v>
      </c>
    </row>
    <row r="189" spans="1:14" ht="18" customHeight="1">
      <c r="A189" s="293" t="s">
        <v>1791</v>
      </c>
      <c r="B189" s="294">
        <v>46051</v>
      </c>
      <c r="C189" s="286" t="s">
        <v>353</v>
      </c>
      <c r="D189" s="286" t="s">
        <v>103</v>
      </c>
      <c r="E189" s="295">
        <v>3</v>
      </c>
      <c r="F189" s="295">
        <v>3</v>
      </c>
      <c r="G189" s="296">
        <v>0</v>
      </c>
      <c r="H189" s="296">
        <v>2420</v>
      </c>
      <c r="I189" s="296">
        <v>1655</v>
      </c>
      <c r="J189" s="296">
        <v>1735.25</v>
      </c>
      <c r="K189" s="296">
        <v>684.75</v>
      </c>
      <c r="L189" s="296">
        <v>205.42500000000001</v>
      </c>
      <c r="M189" s="296">
        <v>765</v>
      </c>
      <c r="N189" s="297">
        <v>0.31611570247933884</v>
      </c>
    </row>
    <row r="190" spans="1:14" ht="18" customHeight="1">
      <c r="A190" s="293" t="s">
        <v>1792</v>
      </c>
      <c r="B190" s="294">
        <v>46051</v>
      </c>
      <c r="C190" s="286" t="s">
        <v>168</v>
      </c>
      <c r="D190" s="286" t="s">
        <v>105</v>
      </c>
      <c r="E190" s="295">
        <v>1</v>
      </c>
      <c r="F190" s="295">
        <v>1</v>
      </c>
      <c r="G190" s="296">
        <v>0</v>
      </c>
      <c r="H190" s="296">
        <v>700</v>
      </c>
      <c r="I190" s="296">
        <v>400</v>
      </c>
      <c r="J190" s="296">
        <v>420</v>
      </c>
      <c r="K190" s="296">
        <v>280</v>
      </c>
      <c r="L190" s="296">
        <v>0</v>
      </c>
      <c r="M190" s="296">
        <v>300</v>
      </c>
      <c r="N190" s="297">
        <v>0.42857142857142855</v>
      </c>
    </row>
    <row r="191" spans="1:14" ht="18" customHeight="1">
      <c r="A191" s="293" t="s">
        <v>1793</v>
      </c>
      <c r="B191" s="294">
        <v>46051</v>
      </c>
      <c r="C191" s="286" t="s">
        <v>168</v>
      </c>
      <c r="D191" s="286" t="s">
        <v>115</v>
      </c>
      <c r="E191" s="295">
        <v>1</v>
      </c>
      <c r="F191" s="295">
        <v>1</v>
      </c>
      <c r="G191" s="296">
        <v>0</v>
      </c>
      <c r="H191" s="296">
        <v>7800</v>
      </c>
      <c r="I191" s="296">
        <v>7684</v>
      </c>
      <c r="J191" s="296">
        <v>8068.2000000000007</v>
      </c>
      <c r="K191" s="296">
        <v>-268.20000000000073</v>
      </c>
      <c r="L191" s="296">
        <v>0</v>
      </c>
      <c r="M191" s="296">
        <v>116</v>
      </c>
      <c r="N191" s="297">
        <v>1.4871794871794871E-2</v>
      </c>
    </row>
    <row r="192" spans="1:14" ht="18" customHeight="1">
      <c r="A192" s="293" t="s">
        <v>1794</v>
      </c>
      <c r="B192" s="294">
        <v>46051</v>
      </c>
      <c r="C192" s="286" t="s">
        <v>168</v>
      </c>
      <c r="D192" s="286" t="s">
        <v>138</v>
      </c>
      <c r="E192" s="295">
        <v>1</v>
      </c>
      <c r="F192" s="295">
        <v>1</v>
      </c>
      <c r="G192" s="296">
        <v>0</v>
      </c>
      <c r="H192" s="296">
        <v>6700</v>
      </c>
      <c r="I192" s="296">
        <v>4800</v>
      </c>
      <c r="J192" s="296">
        <v>5040</v>
      </c>
      <c r="K192" s="296">
        <v>1660</v>
      </c>
      <c r="L192" s="296">
        <v>0</v>
      </c>
      <c r="M192" s="296">
        <v>1900</v>
      </c>
      <c r="N192" s="297">
        <v>0.28358208955223879</v>
      </c>
    </row>
    <row r="193" spans="1:14" ht="18" customHeight="1">
      <c r="A193" s="293" t="s">
        <v>1795</v>
      </c>
      <c r="B193" s="294">
        <v>46051</v>
      </c>
      <c r="C193" s="286" t="s">
        <v>168</v>
      </c>
      <c r="D193" s="286" t="s">
        <v>97</v>
      </c>
      <c r="E193" s="295">
        <v>2</v>
      </c>
      <c r="F193" s="295">
        <v>2</v>
      </c>
      <c r="G193" s="296">
        <v>0</v>
      </c>
      <c r="H193" s="296">
        <v>3500</v>
      </c>
      <c r="I193" s="296">
        <v>2050</v>
      </c>
      <c r="J193" s="296">
        <v>2152.5</v>
      </c>
      <c r="K193" s="296">
        <v>1347.5</v>
      </c>
      <c r="L193" s="296">
        <v>0</v>
      </c>
      <c r="M193" s="296">
        <v>1450</v>
      </c>
      <c r="N193" s="297">
        <v>0.41428571428571431</v>
      </c>
    </row>
    <row r="194" spans="1:14" ht="18" customHeight="1">
      <c r="A194" s="293" t="s">
        <v>1796</v>
      </c>
      <c r="B194" s="294">
        <v>46051</v>
      </c>
      <c r="C194" s="286" t="s">
        <v>358</v>
      </c>
      <c r="D194" s="286" t="s">
        <v>98</v>
      </c>
      <c r="E194" s="295">
        <v>3</v>
      </c>
      <c r="F194" s="295">
        <v>3</v>
      </c>
      <c r="G194" s="296">
        <v>0</v>
      </c>
      <c r="H194" s="296">
        <v>1350</v>
      </c>
      <c r="I194" s="296">
        <v>575</v>
      </c>
      <c r="J194" s="296">
        <v>603.75</v>
      </c>
      <c r="K194" s="296">
        <v>746.25</v>
      </c>
      <c r="L194" s="296">
        <v>223.875</v>
      </c>
      <c r="M194" s="296">
        <v>775</v>
      </c>
      <c r="N194" s="297">
        <v>0.57407407407407407</v>
      </c>
    </row>
    <row r="195" spans="1:14" ht="18" customHeight="1">
      <c r="A195" s="293" t="s">
        <v>1797</v>
      </c>
      <c r="B195" s="294">
        <v>46051</v>
      </c>
      <c r="C195" s="286" t="s">
        <v>168</v>
      </c>
      <c r="D195" s="286" t="s">
        <v>99</v>
      </c>
      <c r="E195" s="295">
        <v>19</v>
      </c>
      <c r="F195" s="295">
        <v>25.4</v>
      </c>
      <c r="G195" s="296">
        <v>0</v>
      </c>
      <c r="H195" s="296">
        <v>8067</v>
      </c>
      <c r="I195" s="296">
        <v>4637.4000000000005</v>
      </c>
      <c r="J195" s="296">
        <v>4845.8339999999998</v>
      </c>
      <c r="K195" s="296">
        <v>3221.1660000000002</v>
      </c>
      <c r="L195" s="296">
        <v>0</v>
      </c>
      <c r="M195" s="296">
        <v>3429.5999999999995</v>
      </c>
      <c r="N195" s="297">
        <v>0.42513945704722939</v>
      </c>
    </row>
    <row r="196" spans="1:14" ht="18" customHeight="1">
      <c r="A196" s="293" t="s">
        <v>1798</v>
      </c>
      <c r="B196" s="294">
        <v>46052</v>
      </c>
      <c r="C196" s="286" t="s">
        <v>3773</v>
      </c>
      <c r="D196" s="286" t="s">
        <v>126</v>
      </c>
      <c r="E196" s="295">
        <v>1</v>
      </c>
      <c r="F196" s="295">
        <v>1</v>
      </c>
      <c r="G196" s="296">
        <v>0</v>
      </c>
      <c r="H196" s="296">
        <v>1500</v>
      </c>
      <c r="I196" s="296">
        <v>850</v>
      </c>
      <c r="J196" s="296">
        <v>892.5</v>
      </c>
      <c r="K196" s="296">
        <v>607.5</v>
      </c>
      <c r="L196" s="296">
        <v>182.25</v>
      </c>
      <c r="M196" s="296">
        <v>650</v>
      </c>
      <c r="N196" s="297">
        <v>0.43333333333333335</v>
      </c>
    </row>
    <row r="197" spans="1:14" ht="18" customHeight="1">
      <c r="A197" s="293" t="s">
        <v>1799</v>
      </c>
      <c r="B197" s="294">
        <v>46052</v>
      </c>
      <c r="C197" s="286" t="s">
        <v>353</v>
      </c>
      <c r="D197" s="286" t="s">
        <v>103</v>
      </c>
      <c r="E197" s="295">
        <v>1</v>
      </c>
      <c r="F197" s="295">
        <v>1</v>
      </c>
      <c r="G197" s="296">
        <v>0</v>
      </c>
      <c r="H197" s="296">
        <v>2000</v>
      </c>
      <c r="I197" s="296">
        <v>1350</v>
      </c>
      <c r="J197" s="296">
        <v>1417.5</v>
      </c>
      <c r="K197" s="296">
        <v>582.5</v>
      </c>
      <c r="L197" s="296">
        <v>174.75</v>
      </c>
      <c r="M197" s="296">
        <v>650</v>
      </c>
      <c r="N197" s="297">
        <v>0.32500000000000001</v>
      </c>
    </row>
    <row r="198" spans="1:14" ht="18" customHeight="1">
      <c r="A198" s="293" t="s">
        <v>1800</v>
      </c>
      <c r="B198" s="294">
        <v>46052</v>
      </c>
      <c r="C198" s="286" t="s">
        <v>168</v>
      </c>
      <c r="D198" s="286" t="s">
        <v>96</v>
      </c>
      <c r="E198" s="295">
        <v>1</v>
      </c>
      <c r="F198" s="295">
        <v>1</v>
      </c>
      <c r="G198" s="296">
        <v>0</v>
      </c>
      <c r="H198" s="296">
        <v>2100</v>
      </c>
      <c r="I198" s="296">
        <v>1450</v>
      </c>
      <c r="J198" s="296">
        <v>1522.5</v>
      </c>
      <c r="K198" s="296">
        <v>577.5</v>
      </c>
      <c r="L198" s="296">
        <v>0</v>
      </c>
      <c r="M198" s="296">
        <v>650</v>
      </c>
      <c r="N198" s="297">
        <v>0.30952380952380953</v>
      </c>
    </row>
    <row r="199" spans="1:14" ht="18" customHeight="1">
      <c r="A199" s="293" t="s">
        <v>1801</v>
      </c>
      <c r="B199" s="294">
        <v>46053</v>
      </c>
      <c r="C199" s="286" t="s">
        <v>353</v>
      </c>
      <c r="D199" s="286" t="s">
        <v>108</v>
      </c>
      <c r="E199" s="295">
        <v>1</v>
      </c>
      <c r="F199" s="295">
        <v>1</v>
      </c>
      <c r="G199" s="296">
        <v>0</v>
      </c>
      <c r="H199" s="296">
        <v>1900</v>
      </c>
      <c r="I199" s="296">
        <v>1350</v>
      </c>
      <c r="J199" s="296">
        <v>1417.5</v>
      </c>
      <c r="K199" s="296">
        <v>482.5</v>
      </c>
      <c r="L199" s="296">
        <v>144.75</v>
      </c>
      <c r="M199" s="296">
        <v>550</v>
      </c>
      <c r="N199" s="297">
        <v>0.28947368421052633</v>
      </c>
    </row>
    <row r="200" spans="1:14" ht="18" customHeight="1">
      <c r="A200" s="293" t="s">
        <v>1802</v>
      </c>
      <c r="B200" s="294">
        <v>46053</v>
      </c>
      <c r="C200" s="286" t="s">
        <v>353</v>
      </c>
      <c r="D200" s="286" t="s">
        <v>103</v>
      </c>
      <c r="E200" s="295">
        <v>5</v>
      </c>
      <c r="F200" s="295">
        <v>11</v>
      </c>
      <c r="G200" s="296">
        <v>0</v>
      </c>
      <c r="H200" s="296">
        <v>6400</v>
      </c>
      <c r="I200" s="296">
        <v>3780</v>
      </c>
      <c r="J200" s="296">
        <v>3969</v>
      </c>
      <c r="K200" s="296">
        <v>2431</v>
      </c>
      <c r="L200" s="296">
        <v>729.30000000000007</v>
      </c>
      <c r="M200" s="296">
        <v>2620</v>
      </c>
      <c r="N200" s="297">
        <v>0.40937499999999999</v>
      </c>
    </row>
    <row r="201" spans="1:14" ht="18" customHeight="1">
      <c r="A201" s="293" t="s">
        <v>1803</v>
      </c>
      <c r="B201" s="294">
        <v>46053</v>
      </c>
      <c r="C201" s="286" t="s">
        <v>168</v>
      </c>
      <c r="D201" s="286" t="s">
        <v>96</v>
      </c>
      <c r="E201" s="295">
        <v>2</v>
      </c>
      <c r="F201" s="295">
        <v>2</v>
      </c>
      <c r="G201" s="296">
        <v>0</v>
      </c>
      <c r="H201" s="296">
        <v>2350</v>
      </c>
      <c r="I201" s="296">
        <v>1600</v>
      </c>
      <c r="J201" s="296">
        <v>1680</v>
      </c>
      <c r="K201" s="296">
        <v>670</v>
      </c>
      <c r="L201" s="296">
        <v>0</v>
      </c>
      <c r="M201" s="296">
        <v>750</v>
      </c>
      <c r="N201" s="297">
        <v>0.31914893617021278</v>
      </c>
    </row>
    <row r="202" spans="1:14" ht="18" customHeight="1">
      <c r="A202" s="293" t="s">
        <v>1804</v>
      </c>
      <c r="B202" s="294">
        <v>46053</v>
      </c>
      <c r="C202" s="286" t="s">
        <v>168</v>
      </c>
      <c r="D202" s="286" t="s">
        <v>105</v>
      </c>
      <c r="E202" s="295">
        <v>4</v>
      </c>
      <c r="F202" s="295">
        <v>5</v>
      </c>
      <c r="G202" s="296">
        <v>0</v>
      </c>
      <c r="H202" s="296">
        <v>2670</v>
      </c>
      <c r="I202" s="296">
        <v>1878</v>
      </c>
      <c r="J202" s="296">
        <v>1963.3400000000001</v>
      </c>
      <c r="K202" s="296">
        <v>706.66</v>
      </c>
      <c r="L202" s="296">
        <v>0</v>
      </c>
      <c r="M202" s="296">
        <v>792</v>
      </c>
      <c r="N202" s="297">
        <v>0.29662921348314608</v>
      </c>
    </row>
    <row r="203" spans="1:14" ht="18" customHeight="1">
      <c r="A203" s="293" t="s">
        <v>1805</v>
      </c>
      <c r="B203" s="294">
        <v>46053</v>
      </c>
      <c r="C203" s="286" t="s">
        <v>168</v>
      </c>
      <c r="D203" s="286" t="s">
        <v>97</v>
      </c>
      <c r="E203" s="295">
        <v>2</v>
      </c>
      <c r="F203" s="295">
        <v>2</v>
      </c>
      <c r="G203" s="296">
        <v>0</v>
      </c>
      <c r="H203" s="296">
        <v>3900</v>
      </c>
      <c r="I203" s="296">
        <v>2750</v>
      </c>
      <c r="J203" s="296">
        <v>2887.5</v>
      </c>
      <c r="K203" s="296">
        <v>1012.5</v>
      </c>
      <c r="L203" s="296">
        <v>0</v>
      </c>
      <c r="M203" s="296">
        <v>1150</v>
      </c>
      <c r="N203" s="297">
        <v>0.29487179487179488</v>
      </c>
    </row>
    <row r="204" spans="1:14" ht="18" customHeight="1">
      <c r="A204" s="293" t="s">
        <v>1806</v>
      </c>
      <c r="B204" s="294">
        <v>46055</v>
      </c>
      <c r="C204" s="286" t="s">
        <v>3773</v>
      </c>
      <c r="D204" s="286" t="s">
        <v>102</v>
      </c>
      <c r="E204" s="295">
        <v>1</v>
      </c>
      <c r="F204" s="295">
        <v>1</v>
      </c>
      <c r="G204" s="296">
        <v>0</v>
      </c>
      <c r="H204" s="296">
        <v>1500</v>
      </c>
      <c r="I204" s="296">
        <v>800</v>
      </c>
      <c r="J204" s="296">
        <v>840</v>
      </c>
      <c r="K204" s="296">
        <v>660</v>
      </c>
      <c r="L204" s="296">
        <v>198</v>
      </c>
      <c r="M204" s="296">
        <v>700</v>
      </c>
      <c r="N204" s="297">
        <v>0.46666666666666667</v>
      </c>
    </row>
    <row r="205" spans="1:14" ht="18" customHeight="1">
      <c r="A205" s="293" t="s">
        <v>1807</v>
      </c>
      <c r="B205" s="294">
        <v>46055</v>
      </c>
      <c r="C205" s="286" t="s">
        <v>3773</v>
      </c>
      <c r="D205" s="286" t="s">
        <v>126</v>
      </c>
      <c r="E205" s="295">
        <v>1</v>
      </c>
      <c r="F205" s="295">
        <v>1</v>
      </c>
      <c r="G205" s="296">
        <v>0</v>
      </c>
      <c r="H205" s="296">
        <v>1800</v>
      </c>
      <c r="I205" s="296">
        <v>1150</v>
      </c>
      <c r="J205" s="296">
        <v>1207.5</v>
      </c>
      <c r="K205" s="296">
        <v>592.5</v>
      </c>
      <c r="L205" s="296">
        <v>177.75</v>
      </c>
      <c r="M205" s="296">
        <v>650</v>
      </c>
      <c r="N205" s="297">
        <v>0.3611111111111111</v>
      </c>
    </row>
    <row r="206" spans="1:14" ht="18" customHeight="1">
      <c r="A206" s="293" t="s">
        <v>1808</v>
      </c>
      <c r="B206" s="294">
        <v>46055</v>
      </c>
      <c r="C206" s="286" t="s">
        <v>354</v>
      </c>
      <c r="D206" s="286" t="s">
        <v>109</v>
      </c>
      <c r="E206" s="295">
        <v>2</v>
      </c>
      <c r="F206" s="295">
        <v>2</v>
      </c>
      <c r="G206" s="296">
        <v>0</v>
      </c>
      <c r="H206" s="296">
        <v>4086</v>
      </c>
      <c r="I206" s="296">
        <v>2400</v>
      </c>
      <c r="J206" s="296">
        <v>2520</v>
      </c>
      <c r="K206" s="296">
        <v>1566</v>
      </c>
      <c r="L206" s="296">
        <v>469.79999999999995</v>
      </c>
      <c r="M206" s="296">
        <v>1686</v>
      </c>
      <c r="N206" s="297">
        <v>0.41262848751835535</v>
      </c>
    </row>
    <row r="207" spans="1:14" ht="18" customHeight="1">
      <c r="A207" s="293" t="s">
        <v>1809</v>
      </c>
      <c r="B207" s="294">
        <v>46055</v>
      </c>
      <c r="C207" s="286" t="s">
        <v>359</v>
      </c>
      <c r="D207" s="286" t="s">
        <v>114</v>
      </c>
      <c r="E207" s="295">
        <v>3</v>
      </c>
      <c r="F207" s="295">
        <v>13</v>
      </c>
      <c r="G207" s="296">
        <v>0</v>
      </c>
      <c r="H207" s="296">
        <v>8100</v>
      </c>
      <c r="I207" s="296">
        <v>7822</v>
      </c>
      <c r="J207" s="296">
        <v>8213.1</v>
      </c>
      <c r="K207" s="296">
        <v>-113.10000000000073</v>
      </c>
      <c r="L207" s="296">
        <v>-33.930000000000227</v>
      </c>
      <c r="M207" s="296">
        <v>278</v>
      </c>
      <c r="N207" s="297">
        <v>3.432098765432099E-2</v>
      </c>
    </row>
    <row r="208" spans="1:14" ht="18" customHeight="1">
      <c r="A208" s="293" t="s">
        <v>1810</v>
      </c>
      <c r="B208" s="294">
        <v>46055</v>
      </c>
      <c r="C208" s="286" t="s">
        <v>168</v>
      </c>
      <c r="D208" s="286" t="s">
        <v>121</v>
      </c>
      <c r="E208" s="295">
        <v>1</v>
      </c>
      <c r="F208" s="295">
        <v>1</v>
      </c>
      <c r="G208" s="296">
        <v>0</v>
      </c>
      <c r="H208" s="296">
        <v>1700</v>
      </c>
      <c r="I208" s="296">
        <v>0</v>
      </c>
      <c r="J208" s="296">
        <v>0</v>
      </c>
      <c r="K208" s="296">
        <v>1700</v>
      </c>
      <c r="L208" s="296">
        <v>0</v>
      </c>
      <c r="M208" s="296">
        <v>1700</v>
      </c>
      <c r="N208" s="297">
        <v>1</v>
      </c>
    </row>
    <row r="209" spans="1:14" ht="18" customHeight="1">
      <c r="A209" s="293" t="s">
        <v>1811</v>
      </c>
      <c r="B209" s="294">
        <v>46055</v>
      </c>
      <c r="C209" s="286" t="s">
        <v>168</v>
      </c>
      <c r="D209" s="286" t="s">
        <v>96</v>
      </c>
      <c r="E209" s="295">
        <v>4</v>
      </c>
      <c r="F209" s="295">
        <v>4</v>
      </c>
      <c r="G209" s="296">
        <v>0</v>
      </c>
      <c r="H209" s="296">
        <v>4378</v>
      </c>
      <c r="I209" s="296">
        <v>2622</v>
      </c>
      <c r="J209" s="296">
        <v>2753.1</v>
      </c>
      <c r="K209" s="296">
        <v>1624.9</v>
      </c>
      <c r="L209" s="296">
        <v>0</v>
      </c>
      <c r="M209" s="296">
        <v>1756</v>
      </c>
      <c r="N209" s="297">
        <v>0.40109639104613981</v>
      </c>
    </row>
    <row r="210" spans="1:14" ht="18" customHeight="1">
      <c r="A210" s="293" t="s">
        <v>1812</v>
      </c>
      <c r="B210" s="294">
        <v>46055</v>
      </c>
      <c r="C210" s="286" t="s">
        <v>168</v>
      </c>
      <c r="D210" s="286" t="s">
        <v>105</v>
      </c>
      <c r="E210" s="295">
        <v>1</v>
      </c>
      <c r="F210" s="295">
        <v>1</v>
      </c>
      <c r="G210" s="296">
        <v>0</v>
      </c>
      <c r="H210" s="296">
        <v>2000</v>
      </c>
      <c r="I210" s="296">
        <v>1350</v>
      </c>
      <c r="J210" s="296">
        <v>1417.5</v>
      </c>
      <c r="K210" s="296">
        <v>582.5</v>
      </c>
      <c r="L210" s="296">
        <v>0</v>
      </c>
      <c r="M210" s="296">
        <v>650</v>
      </c>
      <c r="N210" s="297">
        <v>0.32500000000000001</v>
      </c>
    </row>
    <row r="211" spans="1:14" ht="18" customHeight="1">
      <c r="A211" s="293" t="s">
        <v>1813</v>
      </c>
      <c r="B211" s="294">
        <v>46055</v>
      </c>
      <c r="C211" s="286" t="s">
        <v>168</v>
      </c>
      <c r="D211" s="286" t="s">
        <v>115</v>
      </c>
      <c r="E211" s="295">
        <v>2</v>
      </c>
      <c r="F211" s="295">
        <v>2</v>
      </c>
      <c r="G211" s="296">
        <v>0</v>
      </c>
      <c r="H211" s="296">
        <v>3796</v>
      </c>
      <c r="I211" s="296">
        <v>2000</v>
      </c>
      <c r="J211" s="296">
        <v>2100</v>
      </c>
      <c r="K211" s="296">
        <v>1696</v>
      </c>
      <c r="L211" s="296">
        <v>0</v>
      </c>
      <c r="M211" s="296">
        <v>1796</v>
      </c>
      <c r="N211" s="297">
        <v>0.47312961011591148</v>
      </c>
    </row>
    <row r="212" spans="1:14" ht="18" customHeight="1">
      <c r="A212" s="293" t="s">
        <v>1814</v>
      </c>
      <c r="B212" s="294">
        <v>46055</v>
      </c>
      <c r="C212" s="286" t="s">
        <v>168</v>
      </c>
      <c r="D212" s="286" t="s">
        <v>97</v>
      </c>
      <c r="E212" s="295">
        <v>5</v>
      </c>
      <c r="F212" s="295">
        <v>5</v>
      </c>
      <c r="G212" s="296">
        <v>0</v>
      </c>
      <c r="H212" s="296">
        <v>7300</v>
      </c>
      <c r="I212" s="296">
        <v>3050</v>
      </c>
      <c r="J212" s="296">
        <v>3202.5</v>
      </c>
      <c r="K212" s="296">
        <v>4097.5</v>
      </c>
      <c r="L212" s="296">
        <v>0</v>
      </c>
      <c r="M212" s="296">
        <v>4250</v>
      </c>
      <c r="N212" s="297">
        <v>0.5821917808219178</v>
      </c>
    </row>
    <row r="213" spans="1:14" ht="18" customHeight="1">
      <c r="A213" s="293" t="s">
        <v>1815</v>
      </c>
      <c r="B213" s="294">
        <v>46055</v>
      </c>
      <c r="C213" s="286" t="s">
        <v>168</v>
      </c>
      <c r="D213" s="286" t="s">
        <v>99</v>
      </c>
      <c r="E213" s="295">
        <v>3</v>
      </c>
      <c r="F213" s="295">
        <v>3</v>
      </c>
      <c r="G213" s="296">
        <v>0</v>
      </c>
      <c r="H213" s="296">
        <v>685</v>
      </c>
      <c r="I213" s="296">
        <v>234</v>
      </c>
      <c r="J213" s="296">
        <v>245.42</v>
      </c>
      <c r="K213" s="296">
        <v>439.58</v>
      </c>
      <c r="L213" s="296">
        <v>0</v>
      </c>
      <c r="M213" s="296">
        <v>451</v>
      </c>
      <c r="N213" s="297">
        <v>0.65839416058394162</v>
      </c>
    </row>
    <row r="214" spans="1:14" ht="18" customHeight="1">
      <c r="A214" s="293" t="s">
        <v>1816</v>
      </c>
      <c r="B214" s="294">
        <v>46056</v>
      </c>
      <c r="C214" s="286" t="s">
        <v>168</v>
      </c>
      <c r="D214" s="286" t="s">
        <v>139</v>
      </c>
      <c r="E214" s="295">
        <v>11</v>
      </c>
      <c r="F214" s="295">
        <v>74</v>
      </c>
      <c r="G214" s="296">
        <v>0</v>
      </c>
      <c r="H214" s="296">
        <v>8003</v>
      </c>
      <c r="I214" s="296">
        <v>5070.96</v>
      </c>
      <c r="J214" s="296">
        <v>5276.2048000000013</v>
      </c>
      <c r="K214" s="296">
        <v>2726.7952</v>
      </c>
      <c r="L214" s="296">
        <v>0</v>
      </c>
      <c r="M214" s="296">
        <v>2932.04</v>
      </c>
      <c r="N214" s="297">
        <v>0.36636761214544544</v>
      </c>
    </row>
    <row r="215" spans="1:14" ht="18" customHeight="1">
      <c r="A215" s="293" t="s">
        <v>1817</v>
      </c>
      <c r="B215" s="294">
        <v>46056</v>
      </c>
      <c r="C215" s="286" t="s">
        <v>3773</v>
      </c>
      <c r="D215" s="286" t="s">
        <v>102</v>
      </c>
      <c r="E215" s="295">
        <v>2</v>
      </c>
      <c r="F215" s="295">
        <v>2</v>
      </c>
      <c r="G215" s="296">
        <v>0</v>
      </c>
      <c r="H215" s="296">
        <v>3800</v>
      </c>
      <c r="I215" s="296">
        <v>2100</v>
      </c>
      <c r="J215" s="296">
        <v>2205</v>
      </c>
      <c r="K215" s="296">
        <v>1595</v>
      </c>
      <c r="L215" s="296">
        <v>478.5</v>
      </c>
      <c r="M215" s="296">
        <v>1700</v>
      </c>
      <c r="N215" s="297">
        <v>0.44736842105263158</v>
      </c>
    </row>
    <row r="216" spans="1:14" ht="18" customHeight="1">
      <c r="A216" s="293" t="s">
        <v>1818</v>
      </c>
      <c r="B216" s="294">
        <v>46056</v>
      </c>
      <c r="C216" s="286" t="s">
        <v>354</v>
      </c>
      <c r="D216" s="286" t="s">
        <v>109</v>
      </c>
      <c r="E216" s="295">
        <v>1</v>
      </c>
      <c r="F216" s="295">
        <v>1</v>
      </c>
      <c r="G216" s="296">
        <v>0</v>
      </c>
      <c r="H216" s="296">
        <v>1700</v>
      </c>
      <c r="I216" s="296">
        <v>0</v>
      </c>
      <c r="J216" s="296">
        <v>0</v>
      </c>
      <c r="K216" s="296">
        <v>1700</v>
      </c>
      <c r="L216" s="296">
        <v>510</v>
      </c>
      <c r="M216" s="296">
        <v>1700</v>
      </c>
      <c r="N216" s="297">
        <v>1</v>
      </c>
    </row>
    <row r="217" spans="1:14" ht="18" customHeight="1">
      <c r="A217" s="293" t="s">
        <v>1819</v>
      </c>
      <c r="B217" s="294">
        <v>46056</v>
      </c>
      <c r="C217" s="286" t="s">
        <v>359</v>
      </c>
      <c r="D217" s="286" t="s">
        <v>114</v>
      </c>
      <c r="E217" s="295">
        <v>1</v>
      </c>
      <c r="F217" s="295">
        <v>1</v>
      </c>
      <c r="G217" s="296">
        <v>0</v>
      </c>
      <c r="H217" s="296">
        <v>1610</v>
      </c>
      <c r="I217" s="296">
        <v>900</v>
      </c>
      <c r="J217" s="296">
        <v>945</v>
      </c>
      <c r="K217" s="296">
        <v>665</v>
      </c>
      <c r="L217" s="296">
        <v>199.5</v>
      </c>
      <c r="M217" s="296">
        <v>710</v>
      </c>
      <c r="N217" s="297">
        <v>0.44099378881987578</v>
      </c>
    </row>
    <row r="218" spans="1:14" ht="18" customHeight="1">
      <c r="A218" s="293" t="s">
        <v>1820</v>
      </c>
      <c r="B218" s="294">
        <v>46056</v>
      </c>
      <c r="C218" s="286" t="s">
        <v>353</v>
      </c>
      <c r="D218" s="286" t="s">
        <v>94</v>
      </c>
      <c r="E218" s="295">
        <v>1</v>
      </c>
      <c r="F218" s="295">
        <v>1</v>
      </c>
      <c r="G218" s="296">
        <v>0</v>
      </c>
      <c r="H218" s="296">
        <v>1800</v>
      </c>
      <c r="I218" s="296">
        <v>1300</v>
      </c>
      <c r="J218" s="296">
        <v>1365</v>
      </c>
      <c r="K218" s="296">
        <v>435</v>
      </c>
      <c r="L218" s="296">
        <v>130.5</v>
      </c>
      <c r="M218" s="296">
        <v>500</v>
      </c>
      <c r="N218" s="297">
        <v>0.27777777777777779</v>
      </c>
    </row>
    <row r="219" spans="1:14" ht="18" customHeight="1">
      <c r="A219" s="293" t="s">
        <v>1821</v>
      </c>
      <c r="B219" s="294">
        <v>46056</v>
      </c>
      <c r="C219" s="286" t="s">
        <v>168</v>
      </c>
      <c r="D219" s="286" t="s">
        <v>96</v>
      </c>
      <c r="E219" s="295">
        <v>2</v>
      </c>
      <c r="F219" s="295">
        <v>2</v>
      </c>
      <c r="G219" s="296">
        <v>0</v>
      </c>
      <c r="H219" s="296">
        <v>8100</v>
      </c>
      <c r="I219" s="296">
        <v>7784</v>
      </c>
      <c r="J219" s="296">
        <v>8173.2000000000007</v>
      </c>
      <c r="K219" s="296">
        <v>-73.200000000000728</v>
      </c>
      <c r="L219" s="296">
        <v>0</v>
      </c>
      <c r="M219" s="296">
        <v>316</v>
      </c>
      <c r="N219" s="297">
        <v>3.9012345679012343E-2</v>
      </c>
    </row>
    <row r="220" spans="1:14" ht="18" customHeight="1">
      <c r="A220" s="293" t="s">
        <v>1822</v>
      </c>
      <c r="B220" s="294">
        <v>46056</v>
      </c>
      <c r="C220" s="286" t="s">
        <v>168</v>
      </c>
      <c r="D220" s="286" t="s">
        <v>99</v>
      </c>
      <c r="E220" s="295">
        <v>2</v>
      </c>
      <c r="F220" s="295">
        <v>2</v>
      </c>
      <c r="G220" s="296">
        <v>0</v>
      </c>
      <c r="H220" s="296">
        <v>2080</v>
      </c>
      <c r="I220" s="296">
        <v>1370</v>
      </c>
      <c r="J220" s="296">
        <v>1438.5</v>
      </c>
      <c r="K220" s="296">
        <v>641.5</v>
      </c>
      <c r="L220" s="296">
        <v>0</v>
      </c>
      <c r="M220" s="296">
        <v>710</v>
      </c>
      <c r="N220" s="297">
        <v>0.34134615384615385</v>
      </c>
    </row>
    <row r="221" spans="1:14" ht="18" customHeight="1">
      <c r="A221" s="293" t="s">
        <v>1823</v>
      </c>
      <c r="B221" s="294">
        <v>46057</v>
      </c>
      <c r="C221" s="286" t="s">
        <v>168</v>
      </c>
      <c r="D221" s="286" t="s">
        <v>95</v>
      </c>
      <c r="E221" s="295">
        <v>1</v>
      </c>
      <c r="F221" s="295">
        <v>1</v>
      </c>
      <c r="G221" s="296">
        <v>0</v>
      </c>
      <c r="H221" s="296">
        <v>7800</v>
      </c>
      <c r="I221" s="296">
        <v>7684</v>
      </c>
      <c r="J221" s="296">
        <v>8068.2000000000007</v>
      </c>
      <c r="K221" s="296">
        <v>-268.20000000000073</v>
      </c>
      <c r="L221" s="296">
        <v>0</v>
      </c>
      <c r="M221" s="296">
        <v>116</v>
      </c>
      <c r="N221" s="297">
        <v>1.4871794871794871E-2</v>
      </c>
    </row>
    <row r="222" spans="1:14" ht="18" customHeight="1">
      <c r="A222" s="293" t="s">
        <v>1824</v>
      </c>
      <c r="B222" s="294">
        <v>46057</v>
      </c>
      <c r="C222" s="286" t="s">
        <v>168</v>
      </c>
      <c r="D222" s="286" t="s">
        <v>105</v>
      </c>
      <c r="E222" s="295">
        <v>1</v>
      </c>
      <c r="F222" s="295">
        <v>1</v>
      </c>
      <c r="G222" s="296">
        <v>0</v>
      </c>
      <c r="H222" s="296">
        <v>600</v>
      </c>
      <c r="I222" s="296">
        <v>340</v>
      </c>
      <c r="J222" s="296">
        <v>357</v>
      </c>
      <c r="K222" s="296">
        <v>243</v>
      </c>
      <c r="L222" s="296">
        <v>0</v>
      </c>
      <c r="M222" s="296">
        <v>260</v>
      </c>
      <c r="N222" s="297">
        <v>0.43333333333333335</v>
      </c>
    </row>
    <row r="223" spans="1:14" ht="18" customHeight="1">
      <c r="A223" s="293" t="s">
        <v>1825</v>
      </c>
      <c r="B223" s="294">
        <v>46057</v>
      </c>
      <c r="C223" s="286" t="s">
        <v>168</v>
      </c>
      <c r="D223" s="286" t="s">
        <v>117</v>
      </c>
      <c r="E223" s="295">
        <v>1</v>
      </c>
      <c r="F223" s="295">
        <v>1</v>
      </c>
      <c r="G223" s="296">
        <v>0</v>
      </c>
      <c r="H223" s="296">
        <v>2500</v>
      </c>
      <c r="I223" s="296">
        <v>1500</v>
      </c>
      <c r="J223" s="296">
        <v>1575</v>
      </c>
      <c r="K223" s="296">
        <v>925</v>
      </c>
      <c r="L223" s="296">
        <v>0</v>
      </c>
      <c r="M223" s="296">
        <v>1000</v>
      </c>
      <c r="N223" s="297">
        <v>0.4</v>
      </c>
    </row>
    <row r="224" spans="1:14" ht="18" customHeight="1">
      <c r="A224" s="293" t="s">
        <v>1826</v>
      </c>
      <c r="B224" s="294">
        <v>46057</v>
      </c>
      <c r="C224" s="286" t="s">
        <v>168</v>
      </c>
      <c r="D224" s="286" t="s">
        <v>99</v>
      </c>
      <c r="E224" s="295">
        <v>3</v>
      </c>
      <c r="F224" s="295">
        <v>3</v>
      </c>
      <c r="G224" s="296">
        <v>0</v>
      </c>
      <c r="H224" s="296">
        <v>795</v>
      </c>
      <c r="I224" s="296">
        <v>555</v>
      </c>
      <c r="J224" s="296">
        <v>574.65000000000009</v>
      </c>
      <c r="K224" s="296">
        <v>220.34999999999997</v>
      </c>
      <c r="L224" s="296">
        <v>0</v>
      </c>
      <c r="M224" s="296">
        <v>240</v>
      </c>
      <c r="N224" s="297">
        <v>0.30188679245283018</v>
      </c>
    </row>
    <row r="225" spans="1:14" ht="18" customHeight="1">
      <c r="A225" s="293" t="s">
        <v>1827</v>
      </c>
      <c r="B225" s="294">
        <v>46057</v>
      </c>
      <c r="C225" s="286" t="s">
        <v>168</v>
      </c>
      <c r="D225" s="286" t="s">
        <v>140</v>
      </c>
      <c r="E225" s="295">
        <v>13</v>
      </c>
      <c r="F225" s="295">
        <v>181</v>
      </c>
      <c r="G225" s="296">
        <v>0</v>
      </c>
      <c r="H225" s="296">
        <v>19760</v>
      </c>
      <c r="I225" s="296">
        <v>18529.5</v>
      </c>
      <c r="J225" s="296">
        <v>19278.064999999999</v>
      </c>
      <c r="K225" s="296">
        <v>481.93499999999892</v>
      </c>
      <c r="L225" s="296">
        <v>0</v>
      </c>
      <c r="M225" s="296">
        <v>1230.5</v>
      </c>
      <c r="N225" s="297">
        <v>6.227226720647773E-2</v>
      </c>
    </row>
    <row r="226" spans="1:14" ht="18" customHeight="1">
      <c r="A226" s="293" t="s">
        <v>1828</v>
      </c>
      <c r="B226" s="294">
        <v>46058</v>
      </c>
      <c r="C226" s="286" t="s">
        <v>3773</v>
      </c>
      <c r="D226" s="286" t="s">
        <v>102</v>
      </c>
      <c r="E226" s="295">
        <v>1</v>
      </c>
      <c r="F226" s="295">
        <v>1</v>
      </c>
      <c r="G226" s="296">
        <v>0</v>
      </c>
      <c r="H226" s="296">
        <v>1600</v>
      </c>
      <c r="I226" s="296">
        <v>1050</v>
      </c>
      <c r="J226" s="296">
        <v>1102.5</v>
      </c>
      <c r="K226" s="296">
        <v>497.5</v>
      </c>
      <c r="L226" s="296">
        <v>149.25</v>
      </c>
      <c r="M226" s="296">
        <v>550</v>
      </c>
      <c r="N226" s="297">
        <v>0.34375</v>
      </c>
    </row>
    <row r="227" spans="1:14" ht="18" customHeight="1">
      <c r="A227" s="293" t="s">
        <v>1829</v>
      </c>
      <c r="B227" s="294">
        <v>46058</v>
      </c>
      <c r="C227" s="286" t="s">
        <v>353</v>
      </c>
      <c r="D227" s="286" t="s">
        <v>108</v>
      </c>
      <c r="E227" s="295">
        <v>1</v>
      </c>
      <c r="F227" s="295">
        <v>1</v>
      </c>
      <c r="G227" s="296">
        <v>0</v>
      </c>
      <c r="H227" s="296">
        <v>1610</v>
      </c>
      <c r="I227" s="296">
        <v>1100</v>
      </c>
      <c r="J227" s="296">
        <v>1155</v>
      </c>
      <c r="K227" s="296">
        <v>455</v>
      </c>
      <c r="L227" s="296">
        <v>136.5</v>
      </c>
      <c r="M227" s="296">
        <v>510</v>
      </c>
      <c r="N227" s="297">
        <v>0.31677018633540371</v>
      </c>
    </row>
    <row r="228" spans="1:14" ht="18" customHeight="1">
      <c r="A228" s="293" t="s">
        <v>1830</v>
      </c>
      <c r="B228" s="294">
        <v>46058</v>
      </c>
      <c r="C228" s="286" t="s">
        <v>350</v>
      </c>
      <c r="D228" s="286" t="s">
        <v>119</v>
      </c>
      <c r="E228" s="295">
        <v>1</v>
      </c>
      <c r="F228" s="295">
        <v>1</v>
      </c>
      <c r="G228" s="296">
        <v>0</v>
      </c>
      <c r="H228" s="296">
        <v>1800</v>
      </c>
      <c r="I228" s="296">
        <v>1300</v>
      </c>
      <c r="J228" s="296">
        <v>1365</v>
      </c>
      <c r="K228" s="296">
        <v>435</v>
      </c>
      <c r="L228" s="296">
        <v>130.5</v>
      </c>
      <c r="M228" s="296">
        <v>500</v>
      </c>
      <c r="N228" s="297">
        <v>0.27777777777777779</v>
      </c>
    </row>
    <row r="229" spans="1:14" ht="18" customHeight="1">
      <c r="A229" s="293" t="s">
        <v>1831</v>
      </c>
      <c r="B229" s="294">
        <v>46059</v>
      </c>
      <c r="C229" s="286" t="s">
        <v>3773</v>
      </c>
      <c r="D229" s="286" t="s">
        <v>102</v>
      </c>
      <c r="E229" s="295">
        <v>1</v>
      </c>
      <c r="F229" s="295">
        <v>1</v>
      </c>
      <c r="G229" s="296">
        <v>0</v>
      </c>
      <c r="H229" s="296">
        <v>500</v>
      </c>
      <c r="I229" s="296">
        <v>210</v>
      </c>
      <c r="J229" s="296">
        <v>220.5</v>
      </c>
      <c r="K229" s="296">
        <v>279.5</v>
      </c>
      <c r="L229" s="296">
        <v>83.85</v>
      </c>
      <c r="M229" s="296">
        <v>290</v>
      </c>
      <c r="N229" s="297">
        <v>0.57999999999999996</v>
      </c>
    </row>
    <row r="230" spans="1:14" ht="18" customHeight="1">
      <c r="A230" s="293" t="s">
        <v>1832</v>
      </c>
      <c r="B230" s="294">
        <v>46059</v>
      </c>
      <c r="C230" s="286" t="s">
        <v>354</v>
      </c>
      <c r="D230" s="286" t="s">
        <v>109</v>
      </c>
      <c r="E230" s="295">
        <v>1</v>
      </c>
      <c r="F230" s="295">
        <v>1</v>
      </c>
      <c r="G230" s="296">
        <v>0</v>
      </c>
      <c r="H230" s="296">
        <v>1700</v>
      </c>
      <c r="I230" s="296">
        <v>1350</v>
      </c>
      <c r="J230" s="296">
        <v>1417.5</v>
      </c>
      <c r="K230" s="296">
        <v>282.5</v>
      </c>
      <c r="L230" s="296">
        <v>84.75</v>
      </c>
      <c r="M230" s="296">
        <v>350</v>
      </c>
      <c r="N230" s="297">
        <v>0.20588235294117646</v>
      </c>
    </row>
    <row r="231" spans="1:14" ht="18" customHeight="1">
      <c r="A231" s="293" t="s">
        <v>1833</v>
      </c>
      <c r="B231" s="294">
        <v>46059</v>
      </c>
      <c r="C231" s="286" t="s">
        <v>353</v>
      </c>
      <c r="D231" s="286" t="s">
        <v>94</v>
      </c>
      <c r="E231" s="295">
        <v>1</v>
      </c>
      <c r="F231" s="295">
        <v>2</v>
      </c>
      <c r="G231" s="296">
        <v>0</v>
      </c>
      <c r="H231" s="296">
        <v>840</v>
      </c>
      <c r="I231" s="296">
        <v>500</v>
      </c>
      <c r="J231" s="296">
        <v>525</v>
      </c>
      <c r="K231" s="296">
        <v>315</v>
      </c>
      <c r="L231" s="296">
        <v>94.5</v>
      </c>
      <c r="M231" s="296">
        <v>340</v>
      </c>
      <c r="N231" s="297">
        <v>0.40476190476190477</v>
      </c>
    </row>
    <row r="232" spans="1:14" ht="18" customHeight="1">
      <c r="A232" s="293" t="s">
        <v>1834</v>
      </c>
      <c r="B232" s="294">
        <v>46059</v>
      </c>
      <c r="C232" s="286" t="s">
        <v>168</v>
      </c>
      <c r="D232" s="286" t="s">
        <v>96</v>
      </c>
      <c r="E232" s="295">
        <v>1</v>
      </c>
      <c r="F232" s="295">
        <v>1</v>
      </c>
      <c r="G232" s="296">
        <v>0</v>
      </c>
      <c r="H232" s="296">
        <v>1900</v>
      </c>
      <c r="I232" s="296">
        <v>750</v>
      </c>
      <c r="J232" s="296">
        <v>787.5</v>
      </c>
      <c r="K232" s="296">
        <v>1112.5</v>
      </c>
      <c r="L232" s="296">
        <v>0</v>
      </c>
      <c r="M232" s="296">
        <v>1150</v>
      </c>
      <c r="N232" s="297">
        <v>0.60526315789473684</v>
      </c>
    </row>
    <row r="233" spans="1:14" ht="18" customHeight="1">
      <c r="A233" s="293" t="s">
        <v>1835</v>
      </c>
      <c r="B233" s="294">
        <v>46059</v>
      </c>
      <c r="C233" s="286" t="s">
        <v>168</v>
      </c>
      <c r="D233" s="286" t="s">
        <v>99</v>
      </c>
      <c r="E233" s="295">
        <v>4</v>
      </c>
      <c r="F233" s="295">
        <v>5.5</v>
      </c>
      <c r="G233" s="296">
        <v>0</v>
      </c>
      <c r="H233" s="296">
        <v>1360</v>
      </c>
      <c r="I233" s="296">
        <v>720</v>
      </c>
      <c r="J233" s="296">
        <v>751.9</v>
      </c>
      <c r="K233" s="296">
        <v>608.1</v>
      </c>
      <c r="L233" s="296">
        <v>0</v>
      </c>
      <c r="M233" s="296">
        <v>640</v>
      </c>
      <c r="N233" s="297">
        <v>0.47058823529411764</v>
      </c>
    </row>
    <row r="234" spans="1:14" ht="18" customHeight="1">
      <c r="A234" s="293" t="s">
        <v>1836</v>
      </c>
      <c r="B234" s="294">
        <v>46060</v>
      </c>
      <c r="C234" s="286" t="s">
        <v>3773</v>
      </c>
      <c r="D234" s="286" t="s">
        <v>102</v>
      </c>
      <c r="E234" s="295">
        <v>2</v>
      </c>
      <c r="F234" s="295">
        <v>2</v>
      </c>
      <c r="G234" s="296">
        <v>0</v>
      </c>
      <c r="H234" s="296">
        <v>2550</v>
      </c>
      <c r="I234" s="296">
        <v>1450</v>
      </c>
      <c r="J234" s="296">
        <v>1522.5</v>
      </c>
      <c r="K234" s="296">
        <v>1027.5</v>
      </c>
      <c r="L234" s="296">
        <v>308.25</v>
      </c>
      <c r="M234" s="296">
        <v>1100</v>
      </c>
      <c r="N234" s="297">
        <v>0.43137254901960786</v>
      </c>
    </row>
    <row r="235" spans="1:14" ht="18" customHeight="1">
      <c r="A235" s="293" t="s">
        <v>1837</v>
      </c>
      <c r="B235" s="294">
        <v>46060</v>
      </c>
      <c r="C235" s="286" t="s">
        <v>168</v>
      </c>
      <c r="D235" s="286" t="s">
        <v>92</v>
      </c>
      <c r="E235" s="295">
        <v>1</v>
      </c>
      <c r="F235" s="295">
        <v>1</v>
      </c>
      <c r="G235" s="296">
        <v>0</v>
      </c>
      <c r="H235" s="296">
        <v>2100</v>
      </c>
      <c r="I235" s="296">
        <v>1450</v>
      </c>
      <c r="J235" s="296">
        <v>1522.5</v>
      </c>
      <c r="K235" s="296">
        <v>577.5</v>
      </c>
      <c r="L235" s="296">
        <v>0</v>
      </c>
      <c r="M235" s="296">
        <v>650</v>
      </c>
      <c r="N235" s="297">
        <v>0.30952380952380953</v>
      </c>
    </row>
    <row r="236" spans="1:14" ht="18" customHeight="1">
      <c r="A236" s="293" t="s">
        <v>1838</v>
      </c>
      <c r="B236" s="294">
        <v>46060</v>
      </c>
      <c r="C236" s="286" t="s">
        <v>354</v>
      </c>
      <c r="D236" s="286" t="s">
        <v>109</v>
      </c>
      <c r="E236" s="295">
        <v>1</v>
      </c>
      <c r="F236" s="295">
        <v>1</v>
      </c>
      <c r="G236" s="296">
        <v>0</v>
      </c>
      <c r="H236" s="296">
        <v>2100</v>
      </c>
      <c r="I236" s="296">
        <v>1500</v>
      </c>
      <c r="J236" s="296">
        <v>1575</v>
      </c>
      <c r="K236" s="296">
        <v>525</v>
      </c>
      <c r="L236" s="296">
        <v>157.5</v>
      </c>
      <c r="M236" s="296">
        <v>600</v>
      </c>
      <c r="N236" s="297">
        <v>0.2857142857142857</v>
      </c>
    </row>
    <row r="237" spans="1:14" ht="18" customHeight="1">
      <c r="A237" s="293" t="s">
        <v>1839</v>
      </c>
      <c r="B237" s="294">
        <v>46060</v>
      </c>
      <c r="C237" s="286" t="s">
        <v>168</v>
      </c>
      <c r="D237" s="286" t="s">
        <v>121</v>
      </c>
      <c r="E237" s="295">
        <v>1</v>
      </c>
      <c r="F237" s="295">
        <v>1</v>
      </c>
      <c r="G237" s="296">
        <v>0</v>
      </c>
      <c r="H237" s="296">
        <v>1900</v>
      </c>
      <c r="I237" s="296">
        <v>900</v>
      </c>
      <c r="J237" s="296">
        <v>945</v>
      </c>
      <c r="K237" s="296">
        <v>955</v>
      </c>
      <c r="L237" s="296">
        <v>0</v>
      </c>
      <c r="M237" s="296">
        <v>1000</v>
      </c>
      <c r="N237" s="297">
        <v>0.52631578947368418</v>
      </c>
    </row>
    <row r="238" spans="1:14" ht="18" customHeight="1">
      <c r="A238" s="293" t="s">
        <v>1840</v>
      </c>
      <c r="B238" s="294">
        <v>46060</v>
      </c>
      <c r="C238" s="286" t="s">
        <v>353</v>
      </c>
      <c r="D238" s="286" t="s">
        <v>94</v>
      </c>
      <c r="E238" s="295">
        <v>14</v>
      </c>
      <c r="F238" s="295">
        <v>22</v>
      </c>
      <c r="G238" s="296">
        <v>0</v>
      </c>
      <c r="H238" s="296">
        <v>16893</v>
      </c>
      <c r="I238" s="296">
        <v>11065</v>
      </c>
      <c r="J238" s="296">
        <v>11618.25</v>
      </c>
      <c r="K238" s="296">
        <v>5274.75</v>
      </c>
      <c r="L238" s="296">
        <v>1582.425</v>
      </c>
      <c r="M238" s="296">
        <v>5828</v>
      </c>
      <c r="N238" s="297">
        <v>0.34499496833007753</v>
      </c>
    </row>
    <row r="239" spans="1:14" ht="18" customHeight="1">
      <c r="A239" s="293" t="s">
        <v>1841</v>
      </c>
      <c r="B239" s="294">
        <v>46060</v>
      </c>
      <c r="C239" s="286" t="s">
        <v>168</v>
      </c>
      <c r="D239" s="286" t="s">
        <v>96</v>
      </c>
      <c r="E239" s="295">
        <v>2</v>
      </c>
      <c r="F239" s="295">
        <v>2</v>
      </c>
      <c r="G239" s="296">
        <v>0</v>
      </c>
      <c r="H239" s="296">
        <v>2500</v>
      </c>
      <c r="I239" s="296">
        <v>1650</v>
      </c>
      <c r="J239" s="296">
        <v>1732.5</v>
      </c>
      <c r="K239" s="296">
        <v>767.5</v>
      </c>
      <c r="L239" s="296">
        <v>0</v>
      </c>
      <c r="M239" s="296">
        <v>850</v>
      </c>
      <c r="N239" s="297">
        <v>0.34</v>
      </c>
    </row>
    <row r="240" spans="1:14" ht="18" customHeight="1">
      <c r="A240" s="293" t="s">
        <v>1842</v>
      </c>
      <c r="B240" s="294">
        <v>46060</v>
      </c>
      <c r="C240" s="286" t="s">
        <v>168</v>
      </c>
      <c r="D240" s="286" t="s">
        <v>99</v>
      </c>
      <c r="E240" s="295">
        <v>4</v>
      </c>
      <c r="F240" s="295">
        <v>8</v>
      </c>
      <c r="G240" s="296">
        <v>0</v>
      </c>
      <c r="H240" s="296">
        <v>1445</v>
      </c>
      <c r="I240" s="296">
        <v>837.5</v>
      </c>
      <c r="J240" s="296">
        <v>871.27500000000009</v>
      </c>
      <c r="K240" s="296">
        <v>573.72499999999991</v>
      </c>
      <c r="L240" s="296">
        <v>0</v>
      </c>
      <c r="M240" s="296">
        <v>607.5</v>
      </c>
      <c r="N240" s="297">
        <v>0.42041522491349481</v>
      </c>
    </row>
    <row r="241" spans="1:14" ht="18" customHeight="1">
      <c r="A241" s="293" t="s">
        <v>1843</v>
      </c>
      <c r="B241" s="294">
        <v>46062</v>
      </c>
      <c r="C241" s="286" t="s">
        <v>3773</v>
      </c>
      <c r="D241" s="286" t="s">
        <v>100</v>
      </c>
      <c r="E241" s="295">
        <v>2</v>
      </c>
      <c r="F241" s="295">
        <v>3</v>
      </c>
      <c r="G241" s="296">
        <v>0</v>
      </c>
      <c r="H241" s="296">
        <v>265</v>
      </c>
      <c r="I241" s="296">
        <v>137</v>
      </c>
      <c r="J241" s="296">
        <v>142.35000000000002</v>
      </c>
      <c r="K241" s="296">
        <v>122.64999999999999</v>
      </c>
      <c r="L241" s="296">
        <v>36.794999999999995</v>
      </c>
      <c r="M241" s="296">
        <v>128</v>
      </c>
      <c r="N241" s="297">
        <v>0.48301886792452831</v>
      </c>
    </row>
    <row r="242" spans="1:14" ht="18" customHeight="1">
      <c r="A242" s="293" t="s">
        <v>1844</v>
      </c>
      <c r="B242" s="294">
        <v>46062</v>
      </c>
      <c r="C242" s="286" t="s">
        <v>168</v>
      </c>
      <c r="D242" s="286" t="s">
        <v>141</v>
      </c>
      <c r="E242" s="295">
        <v>1</v>
      </c>
      <c r="F242" s="295">
        <v>1</v>
      </c>
      <c r="G242" s="296">
        <v>0</v>
      </c>
      <c r="H242" s="296">
        <v>7800</v>
      </c>
      <c r="I242" s="296">
        <v>7684</v>
      </c>
      <c r="J242" s="296">
        <v>8068.2000000000007</v>
      </c>
      <c r="K242" s="296">
        <v>-268.20000000000073</v>
      </c>
      <c r="L242" s="296">
        <v>0</v>
      </c>
      <c r="M242" s="296">
        <v>116</v>
      </c>
      <c r="N242" s="297">
        <v>1.4871794871794871E-2</v>
      </c>
    </row>
    <row r="243" spans="1:14" ht="18" customHeight="1">
      <c r="A243" s="293" t="s">
        <v>1845</v>
      </c>
      <c r="B243" s="294">
        <v>46062</v>
      </c>
      <c r="C243" s="286" t="s">
        <v>3773</v>
      </c>
      <c r="D243" s="286" t="s">
        <v>102</v>
      </c>
      <c r="E243" s="295">
        <v>2</v>
      </c>
      <c r="F243" s="295">
        <v>2</v>
      </c>
      <c r="G243" s="296">
        <v>0</v>
      </c>
      <c r="H243" s="296">
        <v>2400</v>
      </c>
      <c r="I243" s="296">
        <v>1200</v>
      </c>
      <c r="J243" s="296">
        <v>1260</v>
      </c>
      <c r="K243" s="296">
        <v>1140</v>
      </c>
      <c r="L243" s="296">
        <v>342</v>
      </c>
      <c r="M243" s="296">
        <v>1200</v>
      </c>
      <c r="N243" s="297">
        <v>0.5</v>
      </c>
    </row>
    <row r="244" spans="1:14" ht="18" customHeight="1">
      <c r="A244" s="293" t="s">
        <v>1846</v>
      </c>
      <c r="B244" s="294">
        <v>46062</v>
      </c>
      <c r="C244" s="286" t="s">
        <v>168</v>
      </c>
      <c r="D244" s="286" t="s">
        <v>107</v>
      </c>
      <c r="E244" s="295">
        <v>1</v>
      </c>
      <c r="F244" s="295">
        <v>1</v>
      </c>
      <c r="G244" s="296">
        <v>0</v>
      </c>
      <c r="H244" s="296">
        <v>450</v>
      </c>
      <c r="I244" s="296">
        <v>180</v>
      </c>
      <c r="J244" s="296">
        <v>189</v>
      </c>
      <c r="K244" s="296">
        <v>261</v>
      </c>
      <c r="L244" s="296">
        <v>0</v>
      </c>
      <c r="M244" s="296">
        <v>270</v>
      </c>
      <c r="N244" s="297">
        <v>0.6</v>
      </c>
    </row>
    <row r="245" spans="1:14" ht="18" customHeight="1">
      <c r="A245" s="293" t="s">
        <v>1847</v>
      </c>
      <c r="B245" s="294">
        <v>46062</v>
      </c>
      <c r="C245" s="286" t="s">
        <v>359</v>
      </c>
      <c r="D245" s="286" t="s">
        <v>114</v>
      </c>
      <c r="E245" s="295">
        <v>1</v>
      </c>
      <c r="F245" s="295">
        <v>1</v>
      </c>
      <c r="G245" s="296">
        <v>0</v>
      </c>
      <c r="H245" s="296">
        <v>1900</v>
      </c>
      <c r="I245" s="296">
        <v>800</v>
      </c>
      <c r="J245" s="296">
        <v>840</v>
      </c>
      <c r="K245" s="296">
        <v>1060</v>
      </c>
      <c r="L245" s="296">
        <v>318</v>
      </c>
      <c r="M245" s="296">
        <v>1100</v>
      </c>
      <c r="N245" s="297">
        <v>0.57894736842105265</v>
      </c>
    </row>
    <row r="246" spans="1:14" ht="18" customHeight="1">
      <c r="A246" s="293" t="s">
        <v>1848</v>
      </c>
      <c r="B246" s="294">
        <v>46062</v>
      </c>
      <c r="C246" s="286" t="s">
        <v>168</v>
      </c>
      <c r="D246" s="286" t="s">
        <v>96</v>
      </c>
      <c r="E246" s="295">
        <v>2</v>
      </c>
      <c r="F246" s="295">
        <v>2</v>
      </c>
      <c r="G246" s="296">
        <v>0</v>
      </c>
      <c r="H246" s="296">
        <v>2300</v>
      </c>
      <c r="I246" s="296">
        <v>1600</v>
      </c>
      <c r="J246" s="296">
        <v>1680</v>
      </c>
      <c r="K246" s="296">
        <v>620</v>
      </c>
      <c r="L246" s="296">
        <v>0</v>
      </c>
      <c r="M246" s="296">
        <v>700</v>
      </c>
      <c r="N246" s="297">
        <v>0.30434782608695654</v>
      </c>
    </row>
    <row r="247" spans="1:14" ht="18" customHeight="1">
      <c r="A247" s="293" t="s">
        <v>1849</v>
      </c>
      <c r="B247" s="294">
        <v>46062</v>
      </c>
      <c r="C247" s="286" t="s">
        <v>168</v>
      </c>
      <c r="D247" s="286" t="s">
        <v>142</v>
      </c>
      <c r="E247" s="295">
        <v>1</v>
      </c>
      <c r="F247" s="295">
        <v>1</v>
      </c>
      <c r="G247" s="296">
        <v>0</v>
      </c>
      <c r="H247" s="296">
        <v>1900</v>
      </c>
      <c r="I247" s="296">
        <v>1300</v>
      </c>
      <c r="J247" s="296">
        <v>1365</v>
      </c>
      <c r="K247" s="296">
        <v>535</v>
      </c>
      <c r="L247" s="296">
        <v>0</v>
      </c>
      <c r="M247" s="296">
        <v>600</v>
      </c>
      <c r="N247" s="297">
        <v>0.31578947368421051</v>
      </c>
    </row>
    <row r="248" spans="1:14" ht="18" customHeight="1">
      <c r="A248" s="293" t="s">
        <v>1850</v>
      </c>
      <c r="B248" s="294">
        <v>46062</v>
      </c>
      <c r="C248" s="286" t="s">
        <v>168</v>
      </c>
      <c r="D248" s="286" t="s">
        <v>99</v>
      </c>
      <c r="E248" s="295">
        <v>1</v>
      </c>
      <c r="F248" s="295">
        <v>3</v>
      </c>
      <c r="G248" s="296">
        <v>0</v>
      </c>
      <c r="H248" s="296">
        <v>240</v>
      </c>
      <c r="I248" s="296">
        <v>102</v>
      </c>
      <c r="J248" s="296">
        <v>107.10000000000001</v>
      </c>
      <c r="K248" s="296">
        <v>132.89999999999998</v>
      </c>
      <c r="L248" s="296">
        <v>0</v>
      </c>
      <c r="M248" s="296">
        <v>138</v>
      </c>
      <c r="N248" s="297">
        <v>0.57499999999999996</v>
      </c>
    </row>
    <row r="249" spans="1:14" ht="18" customHeight="1">
      <c r="A249" s="293" t="s">
        <v>1851</v>
      </c>
      <c r="B249" s="294">
        <v>46063</v>
      </c>
      <c r="C249" s="286" t="s">
        <v>354</v>
      </c>
      <c r="D249" s="286" t="s">
        <v>109</v>
      </c>
      <c r="E249" s="295">
        <v>1</v>
      </c>
      <c r="F249" s="295">
        <v>1</v>
      </c>
      <c r="G249" s="296">
        <v>0</v>
      </c>
      <c r="H249" s="296">
        <v>1900</v>
      </c>
      <c r="I249" s="296">
        <v>1300</v>
      </c>
      <c r="J249" s="296">
        <v>1365</v>
      </c>
      <c r="K249" s="296">
        <v>535</v>
      </c>
      <c r="L249" s="296">
        <v>160.5</v>
      </c>
      <c r="M249" s="296">
        <v>600</v>
      </c>
      <c r="N249" s="297">
        <v>0.31578947368421051</v>
      </c>
    </row>
    <row r="250" spans="1:14" ht="18" customHeight="1">
      <c r="A250" s="293" t="s">
        <v>1852</v>
      </c>
      <c r="B250" s="294">
        <v>46063</v>
      </c>
      <c r="C250" s="286" t="s">
        <v>168</v>
      </c>
      <c r="D250" s="286" t="s">
        <v>121</v>
      </c>
      <c r="E250" s="295">
        <v>2</v>
      </c>
      <c r="F250" s="295">
        <v>2</v>
      </c>
      <c r="G250" s="296">
        <v>0</v>
      </c>
      <c r="H250" s="296">
        <v>8450</v>
      </c>
      <c r="I250" s="296">
        <v>8134</v>
      </c>
      <c r="J250" s="296">
        <v>8540.7000000000007</v>
      </c>
      <c r="K250" s="296">
        <v>-90.700000000000728</v>
      </c>
      <c r="L250" s="296">
        <v>0</v>
      </c>
      <c r="M250" s="296">
        <v>316</v>
      </c>
      <c r="N250" s="297">
        <v>3.7396449704142014E-2</v>
      </c>
    </row>
    <row r="251" spans="1:14" ht="18" customHeight="1">
      <c r="A251" s="293" t="s">
        <v>1853</v>
      </c>
      <c r="B251" s="294">
        <v>46063</v>
      </c>
      <c r="C251" s="286" t="s">
        <v>353</v>
      </c>
      <c r="D251" s="286" t="s">
        <v>94</v>
      </c>
      <c r="E251" s="295">
        <v>3</v>
      </c>
      <c r="F251" s="295">
        <v>29</v>
      </c>
      <c r="G251" s="296">
        <v>0</v>
      </c>
      <c r="H251" s="296">
        <v>2214</v>
      </c>
      <c r="I251" s="296">
        <v>1133</v>
      </c>
      <c r="J251" s="296">
        <v>1189.6500000000001</v>
      </c>
      <c r="K251" s="296">
        <v>1024.3499999999999</v>
      </c>
      <c r="L251" s="296">
        <v>307.30500000000001</v>
      </c>
      <c r="M251" s="296">
        <v>1081</v>
      </c>
      <c r="N251" s="297">
        <v>0.488256549232159</v>
      </c>
    </row>
    <row r="252" spans="1:14" ht="18" customHeight="1">
      <c r="A252" s="293" t="s">
        <v>1854</v>
      </c>
      <c r="B252" s="294">
        <v>46063</v>
      </c>
      <c r="C252" s="286" t="s">
        <v>168</v>
      </c>
      <c r="D252" s="286" t="s">
        <v>105</v>
      </c>
      <c r="E252" s="295">
        <v>2</v>
      </c>
      <c r="F252" s="295">
        <v>2</v>
      </c>
      <c r="G252" s="296">
        <v>0</v>
      </c>
      <c r="H252" s="296">
        <v>9900</v>
      </c>
      <c r="I252" s="296">
        <v>8999</v>
      </c>
      <c r="J252" s="296">
        <v>9448.9500000000007</v>
      </c>
      <c r="K252" s="296">
        <v>451.04999999999927</v>
      </c>
      <c r="L252" s="296">
        <v>0</v>
      </c>
      <c r="M252" s="296">
        <v>901</v>
      </c>
      <c r="N252" s="297">
        <v>9.1010101010101013E-2</v>
      </c>
    </row>
    <row r="253" spans="1:14" ht="18" customHeight="1">
      <c r="A253" s="293" t="s">
        <v>1855</v>
      </c>
      <c r="B253" s="294">
        <v>46063</v>
      </c>
      <c r="C253" s="286" t="s">
        <v>168</v>
      </c>
      <c r="D253" s="286" t="s">
        <v>97</v>
      </c>
      <c r="E253" s="295">
        <v>3</v>
      </c>
      <c r="F253" s="295">
        <v>3</v>
      </c>
      <c r="G253" s="296">
        <v>0</v>
      </c>
      <c r="H253" s="296">
        <v>10500</v>
      </c>
      <c r="I253" s="296">
        <v>9224</v>
      </c>
      <c r="J253" s="296">
        <v>9685.2000000000007</v>
      </c>
      <c r="K253" s="296">
        <v>814.79999999999927</v>
      </c>
      <c r="L253" s="296">
        <v>0</v>
      </c>
      <c r="M253" s="296">
        <v>1276</v>
      </c>
      <c r="N253" s="297">
        <v>0.12152380952380952</v>
      </c>
    </row>
    <row r="254" spans="1:14" ht="18" customHeight="1">
      <c r="A254" s="293" t="s">
        <v>1856</v>
      </c>
      <c r="B254" s="294">
        <v>46063</v>
      </c>
      <c r="C254" s="286" t="s">
        <v>352</v>
      </c>
      <c r="D254" s="286" t="s">
        <v>143</v>
      </c>
      <c r="E254" s="295">
        <v>1</v>
      </c>
      <c r="F254" s="295">
        <v>1</v>
      </c>
      <c r="G254" s="296">
        <v>0</v>
      </c>
      <c r="H254" s="296">
        <v>2235</v>
      </c>
      <c r="I254" s="296">
        <v>1500</v>
      </c>
      <c r="J254" s="296">
        <v>1575</v>
      </c>
      <c r="K254" s="296">
        <v>660</v>
      </c>
      <c r="L254" s="296">
        <v>198</v>
      </c>
      <c r="M254" s="296">
        <v>735</v>
      </c>
      <c r="N254" s="297">
        <v>0.32885906040268459</v>
      </c>
    </row>
    <row r="255" spans="1:14" ht="18" customHeight="1">
      <c r="A255" s="293" t="s">
        <v>1857</v>
      </c>
      <c r="B255" s="294">
        <v>46063</v>
      </c>
      <c r="C255" s="286" t="s">
        <v>168</v>
      </c>
      <c r="D255" s="286" t="s">
        <v>99</v>
      </c>
      <c r="E255" s="295">
        <v>2</v>
      </c>
      <c r="F255" s="295">
        <v>1.2</v>
      </c>
      <c r="G255" s="296">
        <v>0</v>
      </c>
      <c r="H255" s="296">
        <v>4350</v>
      </c>
      <c r="I255" s="296">
        <v>4141.8</v>
      </c>
      <c r="J255" s="296">
        <v>4266.0540000000001</v>
      </c>
      <c r="K255" s="296">
        <v>83.945999999999913</v>
      </c>
      <c r="L255" s="296">
        <v>0</v>
      </c>
      <c r="M255" s="296">
        <v>208.19999999999982</v>
      </c>
      <c r="N255" s="297">
        <v>4.7862068965517202E-2</v>
      </c>
    </row>
    <row r="256" spans="1:14" ht="18" customHeight="1">
      <c r="A256" s="293" t="s">
        <v>1858</v>
      </c>
      <c r="B256" s="294">
        <v>46064</v>
      </c>
      <c r="C256" s="286" t="s">
        <v>3773</v>
      </c>
      <c r="D256" s="286" t="s">
        <v>102</v>
      </c>
      <c r="E256" s="295">
        <v>1</v>
      </c>
      <c r="F256" s="295">
        <v>1</v>
      </c>
      <c r="G256" s="296">
        <v>0</v>
      </c>
      <c r="H256" s="296">
        <v>90</v>
      </c>
      <c r="I256" s="296">
        <v>43</v>
      </c>
      <c r="J256" s="296">
        <v>45.15</v>
      </c>
      <c r="K256" s="296">
        <v>44.85</v>
      </c>
      <c r="L256" s="296">
        <v>13.455</v>
      </c>
      <c r="M256" s="296">
        <v>47</v>
      </c>
      <c r="N256" s="297">
        <v>0.52222222222222225</v>
      </c>
    </row>
    <row r="257" spans="1:14" ht="18" customHeight="1">
      <c r="A257" s="293" t="s">
        <v>1859</v>
      </c>
      <c r="B257" s="294">
        <v>46064</v>
      </c>
      <c r="C257" s="286" t="s">
        <v>353</v>
      </c>
      <c r="D257" s="286" t="s">
        <v>108</v>
      </c>
      <c r="E257" s="295">
        <v>1</v>
      </c>
      <c r="F257" s="295">
        <v>1</v>
      </c>
      <c r="G257" s="296">
        <v>0</v>
      </c>
      <c r="H257" s="296">
        <v>450</v>
      </c>
      <c r="I257" s="296">
        <v>180</v>
      </c>
      <c r="J257" s="296">
        <v>189</v>
      </c>
      <c r="K257" s="296">
        <v>261</v>
      </c>
      <c r="L257" s="296">
        <v>78.3</v>
      </c>
      <c r="M257" s="296">
        <v>270</v>
      </c>
      <c r="N257" s="297">
        <v>0.6</v>
      </c>
    </row>
    <row r="258" spans="1:14" ht="18" customHeight="1">
      <c r="A258" s="293" t="s">
        <v>1860</v>
      </c>
      <c r="B258" s="294">
        <v>46064</v>
      </c>
      <c r="C258" s="286" t="s">
        <v>168</v>
      </c>
      <c r="D258" s="286" t="s">
        <v>92</v>
      </c>
      <c r="E258" s="295">
        <v>1</v>
      </c>
      <c r="F258" s="295">
        <v>1</v>
      </c>
      <c r="G258" s="296">
        <v>0</v>
      </c>
      <c r="H258" s="296">
        <v>2000</v>
      </c>
      <c r="I258" s="296">
        <v>1200</v>
      </c>
      <c r="J258" s="296">
        <v>1260</v>
      </c>
      <c r="K258" s="296">
        <v>740</v>
      </c>
      <c r="L258" s="296">
        <v>0</v>
      </c>
      <c r="M258" s="296">
        <v>800</v>
      </c>
      <c r="N258" s="297">
        <v>0.4</v>
      </c>
    </row>
    <row r="259" spans="1:14" ht="18" customHeight="1">
      <c r="A259" s="293" t="s">
        <v>1861</v>
      </c>
      <c r="B259" s="294">
        <v>46064</v>
      </c>
      <c r="C259" s="286" t="s">
        <v>354</v>
      </c>
      <c r="D259" s="286" t="s">
        <v>109</v>
      </c>
      <c r="E259" s="295">
        <v>1</v>
      </c>
      <c r="F259" s="295">
        <v>1</v>
      </c>
      <c r="G259" s="296">
        <v>0</v>
      </c>
      <c r="H259" s="296">
        <v>1900</v>
      </c>
      <c r="I259" s="296">
        <v>1300</v>
      </c>
      <c r="J259" s="296">
        <v>1365</v>
      </c>
      <c r="K259" s="296">
        <v>535</v>
      </c>
      <c r="L259" s="296">
        <v>160.5</v>
      </c>
      <c r="M259" s="296">
        <v>600</v>
      </c>
      <c r="N259" s="297">
        <v>0.31578947368421051</v>
      </c>
    </row>
    <row r="260" spans="1:14" ht="18" customHeight="1">
      <c r="A260" s="293" t="s">
        <v>1862</v>
      </c>
      <c r="B260" s="294">
        <v>46064</v>
      </c>
      <c r="C260" s="286" t="s">
        <v>3773</v>
      </c>
      <c r="D260" s="286" t="s">
        <v>116</v>
      </c>
      <c r="E260" s="295">
        <v>1</v>
      </c>
      <c r="F260" s="295">
        <v>1</v>
      </c>
      <c r="G260" s="296">
        <v>0</v>
      </c>
      <c r="H260" s="296">
        <v>1900</v>
      </c>
      <c r="I260" s="296">
        <v>1100</v>
      </c>
      <c r="J260" s="296">
        <v>1155</v>
      </c>
      <c r="K260" s="296">
        <v>745</v>
      </c>
      <c r="L260" s="296">
        <v>223.5</v>
      </c>
      <c r="M260" s="296">
        <v>800</v>
      </c>
      <c r="N260" s="297">
        <v>0.42105263157894735</v>
      </c>
    </row>
    <row r="261" spans="1:14" ht="18" customHeight="1">
      <c r="A261" s="293" t="s">
        <v>1863</v>
      </c>
      <c r="B261" s="294">
        <v>46064</v>
      </c>
      <c r="C261" s="286" t="s">
        <v>168</v>
      </c>
      <c r="D261" s="286" t="s">
        <v>115</v>
      </c>
      <c r="E261" s="295">
        <v>1</v>
      </c>
      <c r="F261" s="295">
        <v>1</v>
      </c>
      <c r="G261" s="296">
        <v>0</v>
      </c>
      <c r="H261" s="296">
        <v>1900</v>
      </c>
      <c r="I261" s="296">
        <v>1300</v>
      </c>
      <c r="J261" s="296">
        <v>1365</v>
      </c>
      <c r="K261" s="296">
        <v>535</v>
      </c>
      <c r="L261" s="296">
        <v>0</v>
      </c>
      <c r="M261" s="296">
        <v>600</v>
      </c>
      <c r="N261" s="297">
        <v>0.31578947368421051</v>
      </c>
    </row>
    <row r="262" spans="1:14" ht="18" customHeight="1">
      <c r="A262" s="293" t="s">
        <v>1864</v>
      </c>
      <c r="B262" s="294">
        <v>46064</v>
      </c>
      <c r="C262" s="286" t="s">
        <v>168</v>
      </c>
      <c r="D262" s="286" t="s">
        <v>128</v>
      </c>
      <c r="E262" s="295">
        <v>3</v>
      </c>
      <c r="F262" s="295">
        <v>6</v>
      </c>
      <c r="G262" s="296">
        <v>0</v>
      </c>
      <c r="H262" s="296">
        <v>3500</v>
      </c>
      <c r="I262" s="296">
        <v>1605</v>
      </c>
      <c r="J262" s="296">
        <v>1685.25</v>
      </c>
      <c r="K262" s="296">
        <v>1814.75</v>
      </c>
      <c r="L262" s="296">
        <v>0</v>
      </c>
      <c r="M262" s="296">
        <v>1895</v>
      </c>
      <c r="N262" s="297">
        <v>0.54142857142857148</v>
      </c>
    </row>
    <row r="263" spans="1:14" ht="18" customHeight="1">
      <c r="A263" s="293" t="s">
        <v>1865</v>
      </c>
      <c r="B263" s="294">
        <v>46064</v>
      </c>
      <c r="C263" s="286" t="s">
        <v>168</v>
      </c>
      <c r="D263" s="286" t="s">
        <v>127</v>
      </c>
      <c r="E263" s="295">
        <v>2</v>
      </c>
      <c r="F263" s="295">
        <v>8</v>
      </c>
      <c r="G263" s="296">
        <v>0</v>
      </c>
      <c r="H263" s="296">
        <v>440</v>
      </c>
      <c r="I263" s="296">
        <v>320</v>
      </c>
      <c r="J263" s="296">
        <v>329.6</v>
      </c>
      <c r="K263" s="296">
        <v>110.39999999999998</v>
      </c>
      <c r="L263" s="296">
        <v>0</v>
      </c>
      <c r="M263" s="296">
        <v>120</v>
      </c>
      <c r="N263" s="297">
        <v>0.27272727272727271</v>
      </c>
    </row>
    <row r="264" spans="1:14" ht="18" customHeight="1">
      <c r="A264" s="293" t="s">
        <v>1866</v>
      </c>
      <c r="B264" s="294">
        <v>46064</v>
      </c>
      <c r="C264" s="286" t="s">
        <v>168</v>
      </c>
      <c r="D264" s="286" t="s">
        <v>144</v>
      </c>
      <c r="E264" s="295">
        <v>1</v>
      </c>
      <c r="F264" s="295">
        <v>1</v>
      </c>
      <c r="G264" s="296">
        <v>0</v>
      </c>
      <c r="H264" s="296">
        <v>2500</v>
      </c>
      <c r="I264" s="296">
        <v>1500</v>
      </c>
      <c r="J264" s="296">
        <v>1575</v>
      </c>
      <c r="K264" s="296">
        <v>925</v>
      </c>
      <c r="L264" s="296">
        <v>0</v>
      </c>
      <c r="M264" s="296">
        <v>1000</v>
      </c>
      <c r="N264" s="297">
        <v>0.4</v>
      </c>
    </row>
    <row r="265" spans="1:14" ht="18" customHeight="1">
      <c r="A265" s="293" t="s">
        <v>1867</v>
      </c>
      <c r="B265" s="294">
        <v>46064</v>
      </c>
      <c r="C265" s="286" t="s">
        <v>168</v>
      </c>
      <c r="D265" s="286" t="s">
        <v>134</v>
      </c>
      <c r="E265" s="295">
        <v>1</v>
      </c>
      <c r="F265" s="295">
        <v>1</v>
      </c>
      <c r="G265" s="296">
        <v>0</v>
      </c>
      <c r="H265" s="296">
        <v>1700</v>
      </c>
      <c r="I265" s="296">
        <v>1100</v>
      </c>
      <c r="J265" s="296">
        <v>1155</v>
      </c>
      <c r="K265" s="296">
        <v>545</v>
      </c>
      <c r="L265" s="296">
        <v>0</v>
      </c>
      <c r="M265" s="296">
        <v>600</v>
      </c>
      <c r="N265" s="297">
        <v>0.35294117647058826</v>
      </c>
    </row>
    <row r="266" spans="1:14" ht="18" customHeight="1">
      <c r="A266" s="293" t="s">
        <v>1868</v>
      </c>
      <c r="B266" s="294">
        <v>46064</v>
      </c>
      <c r="C266" s="286" t="s">
        <v>168</v>
      </c>
      <c r="D266" s="286" t="s">
        <v>99</v>
      </c>
      <c r="E266" s="295">
        <v>1</v>
      </c>
      <c r="F266" s="295">
        <v>1</v>
      </c>
      <c r="G266" s="296">
        <v>0</v>
      </c>
      <c r="H266" s="296">
        <v>150</v>
      </c>
      <c r="I266" s="296">
        <v>115</v>
      </c>
      <c r="J266" s="296">
        <v>120.75</v>
      </c>
      <c r="K266" s="296">
        <v>29.25</v>
      </c>
      <c r="L266" s="296">
        <v>0</v>
      </c>
      <c r="M266" s="296">
        <v>35</v>
      </c>
      <c r="N266" s="297">
        <v>0.23333333333333334</v>
      </c>
    </row>
    <row r="267" spans="1:14" ht="18" customHeight="1">
      <c r="A267" s="293" t="s">
        <v>1869</v>
      </c>
      <c r="B267" s="294">
        <v>46064</v>
      </c>
      <c r="C267" s="286" t="s">
        <v>168</v>
      </c>
      <c r="D267" s="286" t="s">
        <v>140</v>
      </c>
      <c r="E267" s="295">
        <v>3</v>
      </c>
      <c r="F267" s="295">
        <v>4</v>
      </c>
      <c r="G267" s="296">
        <v>0</v>
      </c>
      <c r="H267" s="296">
        <v>27700</v>
      </c>
      <c r="I267" s="296">
        <v>26424</v>
      </c>
      <c r="J267" s="296">
        <v>27745.199999999997</v>
      </c>
      <c r="K267" s="296">
        <v>-45.200000000000728</v>
      </c>
      <c r="L267" s="296">
        <v>0</v>
      </c>
      <c r="M267" s="296">
        <v>1276</v>
      </c>
      <c r="N267" s="297">
        <v>4.6064981949458482E-2</v>
      </c>
    </row>
    <row r="268" spans="1:14" ht="18" customHeight="1">
      <c r="A268" s="293" t="s">
        <v>1870</v>
      </c>
      <c r="B268" s="294">
        <v>46065</v>
      </c>
      <c r="C268" s="286" t="s">
        <v>348</v>
      </c>
      <c r="D268" s="286" t="s">
        <v>101</v>
      </c>
      <c r="E268" s="295">
        <v>1</v>
      </c>
      <c r="F268" s="295">
        <v>1</v>
      </c>
      <c r="G268" s="296">
        <v>0</v>
      </c>
      <c r="H268" s="296">
        <v>6700</v>
      </c>
      <c r="I268" s="296">
        <v>4800</v>
      </c>
      <c r="J268" s="296">
        <v>5040</v>
      </c>
      <c r="K268" s="296">
        <v>1660</v>
      </c>
      <c r="L268" s="296">
        <v>498</v>
      </c>
      <c r="M268" s="296">
        <v>1900</v>
      </c>
      <c r="N268" s="297">
        <v>0.28358208955223879</v>
      </c>
    </row>
    <row r="269" spans="1:14" ht="18" customHeight="1">
      <c r="A269" s="293" t="s">
        <v>1871</v>
      </c>
      <c r="B269" s="294">
        <v>46065</v>
      </c>
      <c r="C269" s="286" t="s">
        <v>3773</v>
      </c>
      <c r="D269" s="286" t="s">
        <v>102</v>
      </c>
      <c r="E269" s="295">
        <v>1</v>
      </c>
      <c r="F269" s="295">
        <v>1</v>
      </c>
      <c r="G269" s="296">
        <v>0</v>
      </c>
      <c r="H269" s="296">
        <v>600</v>
      </c>
      <c r="I269" s="296">
        <v>340</v>
      </c>
      <c r="J269" s="296">
        <v>357</v>
      </c>
      <c r="K269" s="296">
        <v>243</v>
      </c>
      <c r="L269" s="296">
        <v>72.899999999999991</v>
      </c>
      <c r="M269" s="296">
        <v>260</v>
      </c>
      <c r="N269" s="297">
        <v>0.43333333333333335</v>
      </c>
    </row>
    <row r="270" spans="1:14" ht="18" customHeight="1">
      <c r="A270" s="293" t="s">
        <v>1872</v>
      </c>
      <c r="B270" s="294">
        <v>46065</v>
      </c>
      <c r="C270" s="286" t="s">
        <v>168</v>
      </c>
      <c r="D270" s="286" t="s">
        <v>120</v>
      </c>
      <c r="E270" s="295">
        <v>1</v>
      </c>
      <c r="F270" s="295">
        <v>1</v>
      </c>
      <c r="G270" s="296">
        <v>0</v>
      </c>
      <c r="H270" s="296">
        <v>350</v>
      </c>
      <c r="I270" s="296">
        <v>100</v>
      </c>
      <c r="J270" s="296">
        <v>105</v>
      </c>
      <c r="K270" s="296">
        <v>245</v>
      </c>
      <c r="L270" s="296">
        <v>0</v>
      </c>
      <c r="M270" s="296">
        <v>250</v>
      </c>
      <c r="N270" s="297">
        <v>0.7142857142857143</v>
      </c>
    </row>
    <row r="271" spans="1:14" ht="18" customHeight="1">
      <c r="A271" s="293" t="s">
        <v>1873</v>
      </c>
      <c r="B271" s="294">
        <v>46065</v>
      </c>
      <c r="C271" s="286" t="s">
        <v>168</v>
      </c>
      <c r="D271" s="286" t="s">
        <v>96</v>
      </c>
      <c r="E271" s="295">
        <v>1</v>
      </c>
      <c r="F271" s="295">
        <v>1</v>
      </c>
      <c r="G271" s="296">
        <v>0</v>
      </c>
      <c r="H271" s="296">
        <v>1700</v>
      </c>
      <c r="I271" s="296">
        <v>1100</v>
      </c>
      <c r="J271" s="296">
        <v>1155</v>
      </c>
      <c r="K271" s="296">
        <v>545</v>
      </c>
      <c r="L271" s="296">
        <v>0</v>
      </c>
      <c r="M271" s="296">
        <v>600</v>
      </c>
      <c r="N271" s="297">
        <v>0.35294117647058826</v>
      </c>
    </row>
    <row r="272" spans="1:14" ht="18" customHeight="1">
      <c r="A272" s="293" t="s">
        <v>1874</v>
      </c>
      <c r="B272" s="294">
        <v>46065</v>
      </c>
      <c r="C272" s="286" t="s">
        <v>168</v>
      </c>
      <c r="D272" s="286" t="s">
        <v>105</v>
      </c>
      <c r="E272" s="295">
        <v>1</v>
      </c>
      <c r="F272" s="295">
        <v>1</v>
      </c>
      <c r="G272" s="296">
        <v>0</v>
      </c>
      <c r="H272" s="296">
        <v>550</v>
      </c>
      <c r="I272" s="296">
        <v>205</v>
      </c>
      <c r="J272" s="296">
        <v>215.25</v>
      </c>
      <c r="K272" s="296">
        <v>334.75</v>
      </c>
      <c r="L272" s="296">
        <v>0</v>
      </c>
      <c r="M272" s="296">
        <v>345</v>
      </c>
      <c r="N272" s="297">
        <v>0.62727272727272732</v>
      </c>
    </row>
    <row r="273" spans="1:14" ht="18" customHeight="1">
      <c r="A273" s="293" t="s">
        <v>1875</v>
      </c>
      <c r="B273" s="294">
        <v>46065</v>
      </c>
      <c r="C273" s="286" t="s">
        <v>168</v>
      </c>
      <c r="D273" s="286" t="s">
        <v>115</v>
      </c>
      <c r="E273" s="295">
        <v>8</v>
      </c>
      <c r="F273" s="295">
        <v>21</v>
      </c>
      <c r="G273" s="296">
        <v>0</v>
      </c>
      <c r="H273" s="296">
        <v>5030</v>
      </c>
      <c r="I273" s="296">
        <v>2347</v>
      </c>
      <c r="J273" s="296">
        <v>2464.35</v>
      </c>
      <c r="K273" s="296">
        <v>2565.65</v>
      </c>
      <c r="L273" s="296">
        <v>0</v>
      </c>
      <c r="M273" s="296">
        <v>2683</v>
      </c>
      <c r="N273" s="297">
        <v>0.53339960238568584</v>
      </c>
    </row>
    <row r="274" spans="1:14" ht="18" customHeight="1">
      <c r="A274" s="293" t="s">
        <v>1876</v>
      </c>
      <c r="B274" s="294">
        <v>46066</v>
      </c>
      <c r="C274" s="286" t="s">
        <v>353</v>
      </c>
      <c r="D274" s="286" t="s">
        <v>108</v>
      </c>
      <c r="E274" s="295">
        <v>1</v>
      </c>
      <c r="F274" s="295">
        <v>1</v>
      </c>
      <c r="G274" s="296">
        <v>0</v>
      </c>
      <c r="H274" s="296">
        <v>8000</v>
      </c>
      <c r="I274" s="296">
        <v>7684</v>
      </c>
      <c r="J274" s="296">
        <v>8068.2000000000007</v>
      </c>
      <c r="K274" s="296">
        <v>-68.200000000000728</v>
      </c>
      <c r="L274" s="296">
        <v>-20.460000000000218</v>
      </c>
      <c r="M274" s="296">
        <v>316</v>
      </c>
      <c r="N274" s="297">
        <v>3.95E-2</v>
      </c>
    </row>
    <row r="275" spans="1:14" ht="18" customHeight="1">
      <c r="A275" s="293" t="s">
        <v>1877</v>
      </c>
      <c r="B275" s="294">
        <v>46066</v>
      </c>
      <c r="C275" s="286" t="s">
        <v>168</v>
      </c>
      <c r="D275" s="286" t="s">
        <v>121</v>
      </c>
      <c r="E275" s="295">
        <v>1</v>
      </c>
      <c r="F275" s="295">
        <v>1</v>
      </c>
      <c r="G275" s="296">
        <v>0</v>
      </c>
      <c r="H275" s="296">
        <v>1800</v>
      </c>
      <c r="I275" s="296">
        <v>1150</v>
      </c>
      <c r="J275" s="296">
        <v>1207.5</v>
      </c>
      <c r="K275" s="296">
        <v>592.5</v>
      </c>
      <c r="L275" s="296">
        <v>0</v>
      </c>
      <c r="M275" s="296">
        <v>650</v>
      </c>
      <c r="N275" s="297">
        <v>0.3611111111111111</v>
      </c>
    </row>
    <row r="276" spans="1:14" ht="18" customHeight="1">
      <c r="A276" s="293" t="s">
        <v>1878</v>
      </c>
      <c r="B276" s="294">
        <v>46066</v>
      </c>
      <c r="C276" s="286" t="s">
        <v>168</v>
      </c>
      <c r="D276" s="286" t="s">
        <v>115</v>
      </c>
      <c r="E276" s="295">
        <v>1</v>
      </c>
      <c r="F276" s="295">
        <v>1</v>
      </c>
      <c r="G276" s="296">
        <v>0</v>
      </c>
      <c r="H276" s="296">
        <v>8000</v>
      </c>
      <c r="I276" s="296">
        <v>7684</v>
      </c>
      <c r="J276" s="296">
        <v>8068.2000000000007</v>
      </c>
      <c r="K276" s="296">
        <v>-68.200000000000728</v>
      </c>
      <c r="L276" s="296">
        <v>0</v>
      </c>
      <c r="M276" s="296">
        <v>316</v>
      </c>
      <c r="N276" s="297">
        <v>3.95E-2</v>
      </c>
    </row>
    <row r="277" spans="1:14" ht="18" customHeight="1">
      <c r="A277" s="293" t="s">
        <v>1879</v>
      </c>
      <c r="B277" s="294">
        <v>46066</v>
      </c>
      <c r="C277" s="286" t="s">
        <v>168</v>
      </c>
      <c r="D277" s="286" t="s">
        <v>145</v>
      </c>
      <c r="E277" s="295">
        <v>1</v>
      </c>
      <c r="F277" s="295">
        <v>0.6</v>
      </c>
      <c r="G277" s="296">
        <v>0</v>
      </c>
      <c r="H277" s="296">
        <v>2250</v>
      </c>
      <c r="I277" s="296">
        <v>1512</v>
      </c>
      <c r="J277" s="296">
        <v>1557.3600000000001</v>
      </c>
      <c r="K277" s="296">
        <v>692.63999999999987</v>
      </c>
      <c r="L277" s="296">
        <v>0</v>
      </c>
      <c r="M277" s="296">
        <v>738</v>
      </c>
      <c r="N277" s="297">
        <v>0.32800000000000001</v>
      </c>
    </row>
    <row r="278" spans="1:14" ht="18" customHeight="1">
      <c r="A278" s="293" t="s">
        <v>1880</v>
      </c>
      <c r="B278" s="294">
        <v>46066</v>
      </c>
      <c r="C278" s="286" t="s">
        <v>168</v>
      </c>
      <c r="D278" s="286" t="s">
        <v>97</v>
      </c>
      <c r="E278" s="295">
        <v>1</v>
      </c>
      <c r="F278" s="295">
        <v>1</v>
      </c>
      <c r="G278" s="296">
        <v>0</v>
      </c>
      <c r="H278" s="296">
        <v>2100</v>
      </c>
      <c r="I278" s="296">
        <v>1100</v>
      </c>
      <c r="J278" s="296">
        <v>1155</v>
      </c>
      <c r="K278" s="296">
        <v>945</v>
      </c>
      <c r="L278" s="296">
        <v>0</v>
      </c>
      <c r="M278" s="296">
        <v>1000</v>
      </c>
      <c r="N278" s="297">
        <v>0.47619047619047616</v>
      </c>
    </row>
    <row r="279" spans="1:14" ht="18" customHeight="1">
      <c r="A279" s="293" t="s">
        <v>1881</v>
      </c>
      <c r="B279" s="294">
        <v>46066</v>
      </c>
      <c r="C279" s="286" t="s">
        <v>358</v>
      </c>
      <c r="D279" s="286" t="s">
        <v>98</v>
      </c>
      <c r="E279" s="295">
        <v>1</v>
      </c>
      <c r="F279" s="295">
        <v>1</v>
      </c>
      <c r="G279" s="296">
        <v>0</v>
      </c>
      <c r="H279" s="296">
        <v>8000</v>
      </c>
      <c r="I279" s="296">
        <v>7684</v>
      </c>
      <c r="J279" s="296">
        <v>8068.2000000000007</v>
      </c>
      <c r="K279" s="296">
        <v>-68.200000000000728</v>
      </c>
      <c r="L279" s="296">
        <v>-20.460000000000218</v>
      </c>
      <c r="M279" s="296">
        <v>316</v>
      </c>
      <c r="N279" s="297">
        <v>3.95E-2</v>
      </c>
    </row>
    <row r="280" spans="1:14" ht="18" customHeight="1">
      <c r="A280" s="293" t="s">
        <v>1882</v>
      </c>
      <c r="B280" s="294">
        <v>46066</v>
      </c>
      <c r="C280" s="286" t="s">
        <v>168</v>
      </c>
      <c r="D280" s="286" t="s">
        <v>99</v>
      </c>
      <c r="E280" s="295">
        <v>4</v>
      </c>
      <c r="F280" s="295">
        <v>5</v>
      </c>
      <c r="G280" s="296">
        <v>0</v>
      </c>
      <c r="H280" s="296">
        <v>880</v>
      </c>
      <c r="I280" s="296">
        <v>431</v>
      </c>
      <c r="J280" s="296">
        <v>451.78999999999996</v>
      </c>
      <c r="K280" s="296">
        <v>428.21000000000004</v>
      </c>
      <c r="L280" s="296">
        <v>0</v>
      </c>
      <c r="M280" s="296">
        <v>449</v>
      </c>
      <c r="N280" s="297">
        <v>0.51022727272727275</v>
      </c>
    </row>
    <row r="281" spans="1:14" ht="18" customHeight="1">
      <c r="A281" s="293" t="s">
        <v>1883</v>
      </c>
      <c r="B281" s="294">
        <v>46067</v>
      </c>
      <c r="C281" s="286" t="s">
        <v>3773</v>
      </c>
      <c r="D281" s="286" t="s">
        <v>102</v>
      </c>
      <c r="E281" s="295">
        <v>2</v>
      </c>
      <c r="F281" s="295">
        <v>2</v>
      </c>
      <c r="G281" s="296">
        <v>0</v>
      </c>
      <c r="H281" s="296">
        <v>1000</v>
      </c>
      <c r="I281" s="296">
        <v>460</v>
      </c>
      <c r="J281" s="296">
        <v>483</v>
      </c>
      <c r="K281" s="296">
        <v>517</v>
      </c>
      <c r="L281" s="296">
        <v>155.1</v>
      </c>
      <c r="M281" s="296">
        <v>540</v>
      </c>
      <c r="N281" s="297">
        <v>0.54</v>
      </c>
    </row>
    <row r="282" spans="1:14" ht="18" customHeight="1">
      <c r="A282" s="293" t="s">
        <v>1884</v>
      </c>
      <c r="B282" s="294">
        <v>46067</v>
      </c>
      <c r="C282" s="286" t="s">
        <v>168</v>
      </c>
      <c r="D282" s="286" t="s">
        <v>136</v>
      </c>
      <c r="E282" s="295">
        <v>7</v>
      </c>
      <c r="F282" s="295">
        <v>22</v>
      </c>
      <c r="G282" s="296">
        <v>0</v>
      </c>
      <c r="H282" s="296">
        <v>5245</v>
      </c>
      <c r="I282" s="296">
        <v>3612.1</v>
      </c>
      <c r="J282" s="296">
        <v>3720.4630000000002</v>
      </c>
      <c r="K282" s="296">
        <v>1524.537</v>
      </c>
      <c r="L282" s="296">
        <v>0</v>
      </c>
      <c r="M282" s="296">
        <v>1632.9</v>
      </c>
      <c r="N282" s="297">
        <v>0.3113250714966635</v>
      </c>
    </row>
    <row r="283" spans="1:14" ht="18" customHeight="1">
      <c r="A283" s="293" t="s">
        <v>1885</v>
      </c>
      <c r="B283" s="294">
        <v>46067</v>
      </c>
      <c r="C283" s="286" t="s">
        <v>354</v>
      </c>
      <c r="D283" s="286" t="s">
        <v>109</v>
      </c>
      <c r="E283" s="295">
        <v>1</v>
      </c>
      <c r="F283" s="295">
        <v>1</v>
      </c>
      <c r="G283" s="296">
        <v>0</v>
      </c>
      <c r="H283" s="296">
        <v>1250</v>
      </c>
      <c r="I283" s="296">
        <v>800</v>
      </c>
      <c r="J283" s="296">
        <v>840</v>
      </c>
      <c r="K283" s="296">
        <v>410</v>
      </c>
      <c r="L283" s="296">
        <v>123</v>
      </c>
      <c r="M283" s="296">
        <v>450</v>
      </c>
      <c r="N283" s="297">
        <v>0.36</v>
      </c>
    </row>
    <row r="284" spans="1:14" ht="18" customHeight="1">
      <c r="A284" s="293" t="s">
        <v>1886</v>
      </c>
      <c r="B284" s="294">
        <v>46067</v>
      </c>
      <c r="C284" s="286" t="s">
        <v>353</v>
      </c>
      <c r="D284" s="286" t="s">
        <v>94</v>
      </c>
      <c r="E284" s="295">
        <v>6</v>
      </c>
      <c r="F284" s="295">
        <v>8</v>
      </c>
      <c r="G284" s="296">
        <v>0</v>
      </c>
      <c r="H284" s="296">
        <v>5260</v>
      </c>
      <c r="I284" s="296">
        <v>3130</v>
      </c>
      <c r="J284" s="296">
        <v>3286.5</v>
      </c>
      <c r="K284" s="296">
        <v>1973.5</v>
      </c>
      <c r="L284" s="296">
        <v>592.05000000000007</v>
      </c>
      <c r="M284" s="296">
        <v>2130</v>
      </c>
      <c r="N284" s="297">
        <v>0.4049429657794677</v>
      </c>
    </row>
    <row r="285" spans="1:14" ht="18" customHeight="1">
      <c r="A285" s="293" t="s">
        <v>1887</v>
      </c>
      <c r="B285" s="294">
        <v>46067</v>
      </c>
      <c r="C285" s="286" t="s">
        <v>168</v>
      </c>
      <c r="D285" s="286" t="s">
        <v>96</v>
      </c>
      <c r="E285" s="295">
        <v>2</v>
      </c>
      <c r="F285" s="295">
        <v>3</v>
      </c>
      <c r="G285" s="296">
        <v>0</v>
      </c>
      <c r="H285" s="296">
        <v>440</v>
      </c>
      <c r="I285" s="296">
        <v>155</v>
      </c>
      <c r="J285" s="296">
        <v>162.75</v>
      </c>
      <c r="K285" s="296">
        <v>277.25</v>
      </c>
      <c r="L285" s="296">
        <v>0</v>
      </c>
      <c r="M285" s="296">
        <v>285</v>
      </c>
      <c r="N285" s="297">
        <v>0.64772727272727271</v>
      </c>
    </row>
    <row r="286" spans="1:14" ht="18" customHeight="1">
      <c r="A286" s="293" t="s">
        <v>1888</v>
      </c>
      <c r="B286" s="294">
        <v>46067</v>
      </c>
      <c r="C286" s="286" t="s">
        <v>168</v>
      </c>
      <c r="D286" s="286" t="s">
        <v>115</v>
      </c>
      <c r="E286" s="295">
        <v>3</v>
      </c>
      <c r="F286" s="295">
        <v>3</v>
      </c>
      <c r="G286" s="296">
        <v>0</v>
      </c>
      <c r="H286" s="296">
        <v>4350</v>
      </c>
      <c r="I286" s="296">
        <v>1950</v>
      </c>
      <c r="J286" s="296">
        <v>2047.5</v>
      </c>
      <c r="K286" s="296">
        <v>2302.5</v>
      </c>
      <c r="L286" s="296">
        <v>0</v>
      </c>
      <c r="M286" s="296">
        <v>2400</v>
      </c>
      <c r="N286" s="297">
        <v>0.55172413793103448</v>
      </c>
    </row>
    <row r="287" spans="1:14" ht="18" customHeight="1">
      <c r="A287" s="293" t="s">
        <v>1889</v>
      </c>
      <c r="B287" s="294">
        <v>46067</v>
      </c>
      <c r="C287" s="286" t="s">
        <v>168</v>
      </c>
      <c r="D287" s="286" t="s">
        <v>97</v>
      </c>
      <c r="E287" s="295">
        <v>1</v>
      </c>
      <c r="F287" s="295">
        <v>1</v>
      </c>
      <c r="G287" s="296">
        <v>0</v>
      </c>
      <c r="H287" s="296">
        <v>2000</v>
      </c>
      <c r="I287" s="296">
        <v>1350</v>
      </c>
      <c r="J287" s="296">
        <v>1417.5</v>
      </c>
      <c r="K287" s="296">
        <v>582.5</v>
      </c>
      <c r="L287" s="296">
        <v>0</v>
      </c>
      <c r="M287" s="296">
        <v>650</v>
      </c>
      <c r="N287" s="297">
        <v>0.32500000000000001</v>
      </c>
    </row>
    <row r="288" spans="1:14" ht="18" customHeight="1">
      <c r="A288" s="293" t="s">
        <v>1890</v>
      </c>
      <c r="B288" s="294">
        <v>46067</v>
      </c>
      <c r="C288" s="286" t="s">
        <v>168</v>
      </c>
      <c r="D288" s="286" t="s">
        <v>99</v>
      </c>
      <c r="E288" s="295">
        <v>2</v>
      </c>
      <c r="F288" s="295">
        <v>6</v>
      </c>
      <c r="G288" s="296">
        <v>0</v>
      </c>
      <c r="H288" s="296">
        <v>775</v>
      </c>
      <c r="I288" s="296">
        <v>350</v>
      </c>
      <c r="J288" s="296">
        <v>367.5</v>
      </c>
      <c r="K288" s="296">
        <v>407.5</v>
      </c>
      <c r="L288" s="296">
        <v>0</v>
      </c>
      <c r="M288" s="296">
        <v>425</v>
      </c>
      <c r="N288" s="297">
        <v>0.54838709677419351</v>
      </c>
    </row>
    <row r="289" spans="1:14" ht="18" customHeight="1">
      <c r="A289" s="293" t="s">
        <v>1891</v>
      </c>
      <c r="B289" s="294">
        <v>46069</v>
      </c>
      <c r="C289" s="286" t="s">
        <v>3773</v>
      </c>
      <c r="D289" s="286" t="s">
        <v>102</v>
      </c>
      <c r="E289" s="295">
        <v>2</v>
      </c>
      <c r="F289" s="295">
        <v>3</v>
      </c>
      <c r="G289" s="296">
        <v>0</v>
      </c>
      <c r="H289" s="296">
        <v>1150</v>
      </c>
      <c r="I289" s="296">
        <v>440</v>
      </c>
      <c r="J289" s="296">
        <v>462</v>
      </c>
      <c r="K289" s="296">
        <v>688</v>
      </c>
      <c r="L289" s="296">
        <v>206.39999999999998</v>
      </c>
      <c r="M289" s="296">
        <v>710</v>
      </c>
      <c r="N289" s="297">
        <v>0.61739130434782608</v>
      </c>
    </row>
    <row r="290" spans="1:14" ht="18" customHeight="1">
      <c r="A290" s="293" t="s">
        <v>1892</v>
      </c>
      <c r="B290" s="294">
        <v>46069</v>
      </c>
      <c r="C290" s="286" t="s">
        <v>168</v>
      </c>
      <c r="D290" s="286" t="s">
        <v>121</v>
      </c>
      <c r="E290" s="295">
        <v>2</v>
      </c>
      <c r="F290" s="295">
        <v>2</v>
      </c>
      <c r="G290" s="296">
        <v>0</v>
      </c>
      <c r="H290" s="296">
        <v>2550</v>
      </c>
      <c r="I290" s="296">
        <v>1380</v>
      </c>
      <c r="J290" s="296">
        <v>1449</v>
      </c>
      <c r="K290" s="296">
        <v>1101</v>
      </c>
      <c r="L290" s="296">
        <v>0</v>
      </c>
      <c r="M290" s="296">
        <v>1170</v>
      </c>
      <c r="N290" s="297">
        <v>0.45882352941176469</v>
      </c>
    </row>
    <row r="291" spans="1:14" ht="18" customHeight="1">
      <c r="A291" s="293" t="s">
        <v>1893</v>
      </c>
      <c r="B291" s="294">
        <v>46069</v>
      </c>
      <c r="C291" s="286" t="s">
        <v>168</v>
      </c>
      <c r="D291" s="286" t="s">
        <v>96</v>
      </c>
      <c r="E291" s="295">
        <v>1</v>
      </c>
      <c r="F291" s="295">
        <v>1</v>
      </c>
      <c r="G291" s="296">
        <v>0</v>
      </c>
      <c r="H291" s="296">
        <v>300</v>
      </c>
      <c r="I291" s="296">
        <v>100</v>
      </c>
      <c r="J291" s="296">
        <v>105</v>
      </c>
      <c r="K291" s="296">
        <v>195</v>
      </c>
      <c r="L291" s="296">
        <v>0</v>
      </c>
      <c r="M291" s="296">
        <v>200</v>
      </c>
      <c r="N291" s="297">
        <v>0.66666666666666663</v>
      </c>
    </row>
    <row r="292" spans="1:14" ht="18" customHeight="1">
      <c r="A292" s="293" t="s">
        <v>1894</v>
      </c>
      <c r="B292" s="294">
        <v>46069</v>
      </c>
      <c r="C292" s="286" t="s">
        <v>168</v>
      </c>
      <c r="D292" s="286" t="s">
        <v>131</v>
      </c>
      <c r="E292" s="295">
        <v>2</v>
      </c>
      <c r="F292" s="295">
        <v>3</v>
      </c>
      <c r="G292" s="296">
        <v>0</v>
      </c>
      <c r="H292" s="296">
        <v>540</v>
      </c>
      <c r="I292" s="296">
        <v>305</v>
      </c>
      <c r="J292" s="296">
        <v>314.14999999999998</v>
      </c>
      <c r="K292" s="296">
        <v>225.85</v>
      </c>
      <c r="L292" s="296">
        <v>0</v>
      </c>
      <c r="M292" s="296">
        <v>235</v>
      </c>
      <c r="N292" s="297">
        <v>0.43518518518518517</v>
      </c>
    </row>
    <row r="293" spans="1:14" ht="18" customHeight="1">
      <c r="A293" s="293" t="s">
        <v>1895</v>
      </c>
      <c r="B293" s="294">
        <v>46069</v>
      </c>
      <c r="C293" s="286" t="s">
        <v>352</v>
      </c>
      <c r="D293" s="286" t="s">
        <v>143</v>
      </c>
      <c r="E293" s="295">
        <v>4</v>
      </c>
      <c r="F293" s="295">
        <v>8</v>
      </c>
      <c r="G293" s="296">
        <v>0</v>
      </c>
      <c r="H293" s="296">
        <v>5925</v>
      </c>
      <c r="I293" s="296">
        <v>4962.5</v>
      </c>
      <c r="J293" s="296">
        <v>5123.5749999999998</v>
      </c>
      <c r="K293" s="296">
        <v>801.42499999999995</v>
      </c>
      <c r="L293" s="296">
        <v>240.42749999999998</v>
      </c>
      <c r="M293" s="296">
        <v>962.5</v>
      </c>
      <c r="N293" s="297">
        <v>0.16244725738396623</v>
      </c>
    </row>
    <row r="294" spans="1:14" ht="18" customHeight="1">
      <c r="A294" s="293" t="s">
        <v>1896</v>
      </c>
      <c r="B294" s="294">
        <v>46069</v>
      </c>
      <c r="C294" s="286" t="s">
        <v>168</v>
      </c>
      <c r="D294" s="286" t="s">
        <v>99</v>
      </c>
      <c r="E294" s="295">
        <v>10</v>
      </c>
      <c r="F294" s="295">
        <v>51</v>
      </c>
      <c r="G294" s="296">
        <v>0</v>
      </c>
      <c r="H294" s="296">
        <v>17210</v>
      </c>
      <c r="I294" s="296">
        <v>11057.5</v>
      </c>
      <c r="J294" s="296">
        <v>11389.225</v>
      </c>
      <c r="K294" s="296">
        <v>5820.7750000000005</v>
      </c>
      <c r="L294" s="296">
        <v>0</v>
      </c>
      <c r="M294" s="296">
        <v>6152.5</v>
      </c>
      <c r="N294" s="297">
        <v>0.35749564206856477</v>
      </c>
    </row>
    <row r="295" spans="1:14" ht="18" customHeight="1">
      <c r="A295" s="293" t="s">
        <v>1897</v>
      </c>
      <c r="B295" s="294">
        <v>46070</v>
      </c>
      <c r="C295" s="286" t="s">
        <v>348</v>
      </c>
      <c r="D295" s="286" t="s">
        <v>101</v>
      </c>
      <c r="E295" s="295">
        <v>1</v>
      </c>
      <c r="F295" s="295">
        <v>1</v>
      </c>
      <c r="G295" s="296">
        <v>0</v>
      </c>
      <c r="H295" s="296">
        <v>350</v>
      </c>
      <c r="I295" s="296">
        <v>205</v>
      </c>
      <c r="J295" s="296">
        <v>211.15</v>
      </c>
      <c r="K295" s="296">
        <v>138.85</v>
      </c>
      <c r="L295" s="296">
        <v>41.654999999999994</v>
      </c>
      <c r="M295" s="296">
        <v>145</v>
      </c>
      <c r="N295" s="297">
        <v>0.41428571428571431</v>
      </c>
    </row>
    <row r="296" spans="1:14" ht="18" customHeight="1">
      <c r="A296" s="293" t="s">
        <v>1898</v>
      </c>
      <c r="B296" s="294">
        <v>46070</v>
      </c>
      <c r="C296" s="286" t="s">
        <v>3773</v>
      </c>
      <c r="D296" s="286" t="s">
        <v>102</v>
      </c>
      <c r="E296" s="295">
        <v>1</v>
      </c>
      <c r="F296" s="295">
        <v>1</v>
      </c>
      <c r="G296" s="296">
        <v>0</v>
      </c>
      <c r="H296" s="296">
        <v>1800</v>
      </c>
      <c r="I296" s="296">
        <v>1150</v>
      </c>
      <c r="J296" s="296">
        <v>1207.5</v>
      </c>
      <c r="K296" s="296">
        <v>592.5</v>
      </c>
      <c r="L296" s="296">
        <v>177.75</v>
      </c>
      <c r="M296" s="296">
        <v>650</v>
      </c>
      <c r="N296" s="297">
        <v>0.3611111111111111</v>
      </c>
    </row>
    <row r="297" spans="1:14" ht="18" customHeight="1">
      <c r="A297" s="293" t="s">
        <v>1899</v>
      </c>
      <c r="B297" s="294">
        <v>46070</v>
      </c>
      <c r="C297" s="286" t="s">
        <v>168</v>
      </c>
      <c r="D297" s="286" t="s">
        <v>112</v>
      </c>
      <c r="E297" s="295">
        <v>1</v>
      </c>
      <c r="F297" s="295">
        <v>2</v>
      </c>
      <c r="G297" s="296">
        <v>0</v>
      </c>
      <c r="H297" s="296">
        <v>1300</v>
      </c>
      <c r="I297" s="296">
        <v>960</v>
      </c>
      <c r="J297" s="296">
        <v>1008</v>
      </c>
      <c r="K297" s="296">
        <v>292</v>
      </c>
      <c r="L297" s="296">
        <v>0</v>
      </c>
      <c r="M297" s="296">
        <v>340</v>
      </c>
      <c r="N297" s="297">
        <v>0.26153846153846155</v>
      </c>
    </row>
    <row r="298" spans="1:14" ht="18" customHeight="1">
      <c r="A298" s="293" t="s">
        <v>1900</v>
      </c>
      <c r="B298" s="294">
        <v>46070</v>
      </c>
      <c r="C298" s="286" t="s">
        <v>168</v>
      </c>
      <c r="D298" s="286" t="s">
        <v>92</v>
      </c>
      <c r="E298" s="295">
        <v>1</v>
      </c>
      <c r="F298" s="295">
        <v>1</v>
      </c>
      <c r="G298" s="296">
        <v>0</v>
      </c>
      <c r="H298" s="296">
        <v>2100</v>
      </c>
      <c r="I298" s="296">
        <v>1500</v>
      </c>
      <c r="J298" s="296">
        <v>1575</v>
      </c>
      <c r="K298" s="296">
        <v>525</v>
      </c>
      <c r="L298" s="296">
        <v>0</v>
      </c>
      <c r="M298" s="296">
        <v>600</v>
      </c>
      <c r="N298" s="297">
        <v>0.2857142857142857</v>
      </c>
    </row>
    <row r="299" spans="1:14" ht="18" customHeight="1">
      <c r="A299" s="293" t="s">
        <v>1901</v>
      </c>
      <c r="B299" s="294">
        <v>46070</v>
      </c>
      <c r="C299" s="286" t="s">
        <v>353</v>
      </c>
      <c r="D299" s="286" t="s">
        <v>94</v>
      </c>
      <c r="E299" s="295">
        <v>1</v>
      </c>
      <c r="F299" s="295">
        <v>1</v>
      </c>
      <c r="G299" s="296">
        <v>0</v>
      </c>
      <c r="H299" s="296">
        <v>2100</v>
      </c>
      <c r="I299" s="296">
        <v>1550</v>
      </c>
      <c r="J299" s="296">
        <v>1627.5</v>
      </c>
      <c r="K299" s="296">
        <v>472.5</v>
      </c>
      <c r="L299" s="296">
        <v>141.75</v>
      </c>
      <c r="M299" s="296">
        <v>550</v>
      </c>
      <c r="N299" s="297">
        <v>0.26190476190476192</v>
      </c>
    </row>
    <row r="300" spans="1:14" ht="18" customHeight="1">
      <c r="A300" s="293" t="s">
        <v>1902</v>
      </c>
      <c r="B300" s="294">
        <v>46070</v>
      </c>
      <c r="C300" s="286" t="s">
        <v>3773</v>
      </c>
      <c r="D300" s="286" t="s">
        <v>116</v>
      </c>
      <c r="E300" s="295">
        <v>3</v>
      </c>
      <c r="F300" s="295">
        <v>4</v>
      </c>
      <c r="G300" s="296">
        <v>0</v>
      </c>
      <c r="H300" s="296">
        <v>4000</v>
      </c>
      <c r="I300" s="296">
        <v>2660</v>
      </c>
      <c r="J300" s="296">
        <v>2793</v>
      </c>
      <c r="K300" s="296">
        <v>1207</v>
      </c>
      <c r="L300" s="296">
        <v>362.09999999999997</v>
      </c>
      <c r="M300" s="296">
        <v>1340</v>
      </c>
      <c r="N300" s="297">
        <v>0.33500000000000002</v>
      </c>
    </row>
    <row r="301" spans="1:14" ht="18" customHeight="1">
      <c r="A301" s="293" t="s">
        <v>1903</v>
      </c>
      <c r="B301" s="294">
        <v>46070</v>
      </c>
      <c r="C301" s="286" t="s">
        <v>168</v>
      </c>
      <c r="D301" s="286" t="s">
        <v>104</v>
      </c>
      <c r="E301" s="295">
        <v>4</v>
      </c>
      <c r="F301" s="295">
        <v>16</v>
      </c>
      <c r="G301" s="296">
        <v>0</v>
      </c>
      <c r="H301" s="296">
        <v>1405</v>
      </c>
      <c r="I301" s="296">
        <v>1035</v>
      </c>
      <c r="J301" s="296">
        <v>1066.0500000000002</v>
      </c>
      <c r="K301" s="296">
        <v>338.94999999999993</v>
      </c>
      <c r="L301" s="296">
        <v>0</v>
      </c>
      <c r="M301" s="296">
        <v>370</v>
      </c>
      <c r="N301" s="297">
        <v>0.26334519572953735</v>
      </c>
    </row>
    <row r="302" spans="1:14" ht="18" customHeight="1">
      <c r="A302" s="293" t="s">
        <v>1904</v>
      </c>
      <c r="B302" s="294">
        <v>46070</v>
      </c>
      <c r="C302" s="286" t="s">
        <v>168</v>
      </c>
      <c r="D302" s="286" t="s">
        <v>129</v>
      </c>
      <c r="E302" s="295">
        <v>5</v>
      </c>
      <c r="F302" s="295">
        <v>5.4</v>
      </c>
      <c r="G302" s="296">
        <v>0</v>
      </c>
      <c r="H302" s="296">
        <v>1375</v>
      </c>
      <c r="I302" s="296">
        <v>742.30000000000007</v>
      </c>
      <c r="J302" s="296">
        <v>764.56900000000007</v>
      </c>
      <c r="K302" s="296">
        <v>610.43099999999993</v>
      </c>
      <c r="L302" s="296">
        <v>0</v>
      </c>
      <c r="M302" s="296">
        <v>632.69999999999993</v>
      </c>
      <c r="N302" s="297">
        <v>0.46014545454545447</v>
      </c>
    </row>
    <row r="303" spans="1:14" ht="18" customHeight="1">
      <c r="A303" s="293" t="s">
        <v>1905</v>
      </c>
      <c r="B303" s="294">
        <v>46070</v>
      </c>
      <c r="C303" s="286" t="s">
        <v>168</v>
      </c>
      <c r="D303" s="286" t="s">
        <v>97</v>
      </c>
      <c r="E303" s="295">
        <v>1</v>
      </c>
      <c r="F303" s="295">
        <v>1</v>
      </c>
      <c r="G303" s="296">
        <v>0</v>
      </c>
      <c r="H303" s="296">
        <v>1900</v>
      </c>
      <c r="I303" s="296">
        <v>1100</v>
      </c>
      <c r="J303" s="296">
        <v>1155</v>
      </c>
      <c r="K303" s="296">
        <v>745</v>
      </c>
      <c r="L303" s="296">
        <v>0</v>
      </c>
      <c r="M303" s="296">
        <v>800</v>
      </c>
      <c r="N303" s="297">
        <v>0.42105263157894735</v>
      </c>
    </row>
    <row r="304" spans="1:14" ht="18" customHeight="1">
      <c r="A304" s="293" t="s">
        <v>1906</v>
      </c>
      <c r="B304" s="294">
        <v>46070</v>
      </c>
      <c r="C304" s="286" t="s">
        <v>168</v>
      </c>
      <c r="D304" s="286" t="s">
        <v>99</v>
      </c>
      <c r="E304" s="295">
        <v>12</v>
      </c>
      <c r="F304" s="295">
        <v>17.2</v>
      </c>
      <c r="G304" s="296">
        <v>0</v>
      </c>
      <c r="H304" s="296">
        <v>5240</v>
      </c>
      <c r="I304" s="296">
        <v>2636.8999999999996</v>
      </c>
      <c r="J304" s="296">
        <v>2718.8070000000002</v>
      </c>
      <c r="K304" s="296">
        <v>2521.1929999999998</v>
      </c>
      <c r="L304" s="296">
        <v>0</v>
      </c>
      <c r="M304" s="296">
        <v>2603.1000000000004</v>
      </c>
      <c r="N304" s="297">
        <v>0.49677480916030542</v>
      </c>
    </row>
    <row r="305" spans="1:14" ht="18" customHeight="1">
      <c r="A305" s="293" t="s">
        <v>1907</v>
      </c>
      <c r="B305" s="294">
        <v>46071</v>
      </c>
      <c r="C305" s="286" t="s">
        <v>3773</v>
      </c>
      <c r="D305" s="286" t="s">
        <v>102</v>
      </c>
      <c r="E305" s="295">
        <v>3</v>
      </c>
      <c r="F305" s="295">
        <v>4</v>
      </c>
      <c r="G305" s="296">
        <v>0</v>
      </c>
      <c r="H305" s="296">
        <v>385</v>
      </c>
      <c r="I305" s="296">
        <v>135</v>
      </c>
      <c r="J305" s="296">
        <v>141.75</v>
      </c>
      <c r="K305" s="296">
        <v>243.25</v>
      </c>
      <c r="L305" s="296">
        <v>72.974999999999994</v>
      </c>
      <c r="M305" s="296">
        <v>250</v>
      </c>
      <c r="N305" s="297">
        <v>0.64935064935064934</v>
      </c>
    </row>
    <row r="306" spans="1:14" ht="18" customHeight="1">
      <c r="A306" s="293" t="s">
        <v>1908</v>
      </c>
      <c r="B306" s="294">
        <v>46071</v>
      </c>
      <c r="C306" s="286" t="s">
        <v>353</v>
      </c>
      <c r="D306" s="286" t="s">
        <v>108</v>
      </c>
      <c r="E306" s="295">
        <v>7</v>
      </c>
      <c r="F306" s="295">
        <v>17</v>
      </c>
      <c r="G306" s="296">
        <v>0</v>
      </c>
      <c r="H306" s="296">
        <v>6562</v>
      </c>
      <c r="I306" s="296">
        <v>2880</v>
      </c>
      <c r="J306" s="296">
        <v>3024</v>
      </c>
      <c r="K306" s="296">
        <v>3538</v>
      </c>
      <c r="L306" s="296">
        <v>1061.3999999999999</v>
      </c>
      <c r="M306" s="296">
        <v>3682</v>
      </c>
      <c r="N306" s="297">
        <v>0.56110941786040847</v>
      </c>
    </row>
    <row r="307" spans="1:14" ht="18" customHeight="1">
      <c r="A307" s="293" t="s">
        <v>1909</v>
      </c>
      <c r="B307" s="294">
        <v>46071</v>
      </c>
      <c r="C307" s="286" t="s">
        <v>3773</v>
      </c>
      <c r="D307" s="286" t="s">
        <v>116</v>
      </c>
      <c r="E307" s="295">
        <v>1</v>
      </c>
      <c r="F307" s="295">
        <v>1</v>
      </c>
      <c r="G307" s="296">
        <v>0</v>
      </c>
      <c r="H307" s="296">
        <v>550</v>
      </c>
      <c r="I307" s="296">
        <v>250</v>
      </c>
      <c r="J307" s="296">
        <v>262.5</v>
      </c>
      <c r="K307" s="296">
        <v>287.5</v>
      </c>
      <c r="L307" s="296">
        <v>86.25</v>
      </c>
      <c r="M307" s="296">
        <v>300</v>
      </c>
      <c r="N307" s="297">
        <v>0.54545454545454541</v>
      </c>
    </row>
    <row r="308" spans="1:14" ht="18" customHeight="1">
      <c r="A308" s="293" t="s">
        <v>1910</v>
      </c>
      <c r="B308" s="294">
        <v>46071</v>
      </c>
      <c r="C308" s="286" t="s">
        <v>168</v>
      </c>
      <c r="D308" s="286" t="s">
        <v>115</v>
      </c>
      <c r="E308" s="295">
        <v>2</v>
      </c>
      <c r="F308" s="295">
        <v>2</v>
      </c>
      <c r="G308" s="296">
        <v>0</v>
      </c>
      <c r="H308" s="296">
        <v>3800</v>
      </c>
      <c r="I308" s="296">
        <v>2100</v>
      </c>
      <c r="J308" s="296">
        <v>2205</v>
      </c>
      <c r="K308" s="296">
        <v>1595</v>
      </c>
      <c r="L308" s="296">
        <v>0</v>
      </c>
      <c r="M308" s="296">
        <v>1700</v>
      </c>
      <c r="N308" s="297">
        <v>0.44736842105263158</v>
      </c>
    </row>
    <row r="309" spans="1:14" ht="18" customHeight="1">
      <c r="A309" s="293" t="s">
        <v>1911</v>
      </c>
      <c r="B309" s="294">
        <v>46071</v>
      </c>
      <c r="C309" s="286" t="s">
        <v>168</v>
      </c>
      <c r="D309" s="286" t="s">
        <v>134</v>
      </c>
      <c r="E309" s="295">
        <v>1</v>
      </c>
      <c r="F309" s="295">
        <v>1</v>
      </c>
      <c r="G309" s="296">
        <v>0</v>
      </c>
      <c r="H309" s="296">
        <v>1700</v>
      </c>
      <c r="I309" s="296">
        <v>800</v>
      </c>
      <c r="J309" s="296">
        <v>840</v>
      </c>
      <c r="K309" s="296">
        <v>860</v>
      </c>
      <c r="L309" s="296">
        <v>0</v>
      </c>
      <c r="M309" s="296">
        <v>900</v>
      </c>
      <c r="N309" s="297">
        <v>0.52941176470588236</v>
      </c>
    </row>
    <row r="310" spans="1:14" ht="18" customHeight="1">
      <c r="A310" s="293" t="s">
        <v>1912</v>
      </c>
      <c r="B310" s="294">
        <v>46071</v>
      </c>
      <c r="C310" s="286" t="s">
        <v>168</v>
      </c>
      <c r="D310" s="286" t="s">
        <v>123</v>
      </c>
      <c r="E310" s="295">
        <v>3</v>
      </c>
      <c r="F310" s="295">
        <v>4</v>
      </c>
      <c r="G310" s="296">
        <v>0</v>
      </c>
      <c r="H310" s="296">
        <v>2890</v>
      </c>
      <c r="I310" s="296">
        <v>1935</v>
      </c>
      <c r="J310" s="296">
        <v>2031.75</v>
      </c>
      <c r="K310" s="296">
        <v>858.25</v>
      </c>
      <c r="L310" s="296">
        <v>0</v>
      </c>
      <c r="M310" s="296">
        <v>955</v>
      </c>
      <c r="N310" s="297">
        <v>0.33044982698961939</v>
      </c>
    </row>
    <row r="311" spans="1:14" ht="18" customHeight="1">
      <c r="A311" s="293" t="s">
        <v>1913</v>
      </c>
      <c r="B311" s="294">
        <v>46071</v>
      </c>
      <c r="C311" s="286" t="s">
        <v>168</v>
      </c>
      <c r="D311" s="286" t="s">
        <v>99</v>
      </c>
      <c r="E311" s="295">
        <v>12</v>
      </c>
      <c r="F311" s="295">
        <v>21.8</v>
      </c>
      <c r="G311" s="296">
        <v>0</v>
      </c>
      <c r="H311" s="296">
        <v>4345</v>
      </c>
      <c r="I311" s="296">
        <v>2374.5999999999995</v>
      </c>
      <c r="J311" s="296">
        <v>2455.4379999999996</v>
      </c>
      <c r="K311" s="296">
        <v>1889.5619999999999</v>
      </c>
      <c r="L311" s="296">
        <v>0</v>
      </c>
      <c r="M311" s="296">
        <v>1970.4000000000005</v>
      </c>
      <c r="N311" s="297">
        <v>0.45348676639815894</v>
      </c>
    </row>
    <row r="312" spans="1:14" ht="18" customHeight="1">
      <c r="A312" s="293" t="s">
        <v>1914</v>
      </c>
      <c r="B312" s="294">
        <v>46072</v>
      </c>
      <c r="C312" s="286" t="s">
        <v>3773</v>
      </c>
      <c r="D312" s="286" t="s">
        <v>102</v>
      </c>
      <c r="E312" s="295">
        <v>4</v>
      </c>
      <c r="F312" s="295">
        <v>6</v>
      </c>
      <c r="G312" s="296">
        <v>0</v>
      </c>
      <c r="H312" s="296">
        <v>12110</v>
      </c>
      <c r="I312" s="296">
        <v>10550</v>
      </c>
      <c r="J312" s="296">
        <v>11077.5</v>
      </c>
      <c r="K312" s="296">
        <v>1032.4999999999993</v>
      </c>
      <c r="L312" s="296">
        <v>309.74999999999977</v>
      </c>
      <c r="M312" s="296">
        <v>1560</v>
      </c>
      <c r="N312" s="297">
        <v>0.12881915772089184</v>
      </c>
    </row>
    <row r="313" spans="1:14" ht="18" customHeight="1">
      <c r="A313" s="293" t="s">
        <v>1915</v>
      </c>
      <c r="B313" s="294">
        <v>46072</v>
      </c>
      <c r="C313" s="286" t="s">
        <v>168</v>
      </c>
      <c r="D313" s="286" t="s">
        <v>92</v>
      </c>
      <c r="E313" s="295">
        <v>2</v>
      </c>
      <c r="F313" s="295">
        <v>2</v>
      </c>
      <c r="G313" s="296">
        <v>0</v>
      </c>
      <c r="H313" s="296">
        <v>5500</v>
      </c>
      <c r="I313" s="296">
        <v>3500</v>
      </c>
      <c r="J313" s="296">
        <v>3675</v>
      </c>
      <c r="K313" s="296">
        <v>1825</v>
      </c>
      <c r="L313" s="296">
        <v>0</v>
      </c>
      <c r="M313" s="296">
        <v>2000</v>
      </c>
      <c r="N313" s="297">
        <v>0.36363636363636365</v>
      </c>
    </row>
    <row r="314" spans="1:14" ht="18" customHeight="1">
      <c r="A314" s="293" t="s">
        <v>1916</v>
      </c>
      <c r="B314" s="294">
        <v>46072</v>
      </c>
      <c r="C314" s="286" t="s">
        <v>168</v>
      </c>
      <c r="D314" s="286" t="s">
        <v>146</v>
      </c>
      <c r="E314" s="295">
        <v>1</v>
      </c>
      <c r="F314" s="295">
        <v>1</v>
      </c>
      <c r="G314" s="296">
        <v>0</v>
      </c>
      <c r="H314" s="296">
        <v>500</v>
      </c>
      <c r="I314" s="296">
        <v>240</v>
      </c>
      <c r="J314" s="296">
        <v>252</v>
      </c>
      <c r="K314" s="296">
        <v>248</v>
      </c>
      <c r="L314" s="296">
        <v>0</v>
      </c>
      <c r="M314" s="296">
        <v>260</v>
      </c>
      <c r="N314" s="297">
        <v>0.52</v>
      </c>
    </row>
    <row r="315" spans="1:14" ht="18" customHeight="1">
      <c r="A315" s="293" t="s">
        <v>1917</v>
      </c>
      <c r="B315" s="294">
        <v>46072</v>
      </c>
      <c r="C315" s="286" t="s">
        <v>3773</v>
      </c>
      <c r="D315" s="286" t="s">
        <v>116</v>
      </c>
      <c r="E315" s="295">
        <v>1</v>
      </c>
      <c r="F315" s="295">
        <v>1</v>
      </c>
      <c r="G315" s="296">
        <v>0</v>
      </c>
      <c r="H315" s="296">
        <v>1900</v>
      </c>
      <c r="I315" s="296">
        <v>1100</v>
      </c>
      <c r="J315" s="296">
        <v>1155</v>
      </c>
      <c r="K315" s="296">
        <v>745</v>
      </c>
      <c r="L315" s="296">
        <v>223.5</v>
      </c>
      <c r="M315" s="296">
        <v>800</v>
      </c>
      <c r="N315" s="297">
        <v>0.42105263157894735</v>
      </c>
    </row>
    <row r="316" spans="1:14" ht="18" customHeight="1">
      <c r="A316" s="293" t="s">
        <v>1918</v>
      </c>
      <c r="B316" s="294">
        <v>46072</v>
      </c>
      <c r="C316" s="286" t="s">
        <v>168</v>
      </c>
      <c r="D316" s="286" t="s">
        <v>147</v>
      </c>
      <c r="E316" s="295">
        <v>1</v>
      </c>
      <c r="F316" s="295">
        <v>10</v>
      </c>
      <c r="G316" s="296">
        <v>0</v>
      </c>
      <c r="H316" s="296">
        <v>550</v>
      </c>
      <c r="I316" s="296">
        <v>352.5</v>
      </c>
      <c r="J316" s="296">
        <v>363.07499999999999</v>
      </c>
      <c r="K316" s="296">
        <v>186.92500000000001</v>
      </c>
      <c r="L316" s="296">
        <v>0</v>
      </c>
      <c r="M316" s="296">
        <v>197.5</v>
      </c>
      <c r="N316" s="297">
        <v>0.35909090909090907</v>
      </c>
    </row>
    <row r="317" spans="1:14" ht="18" customHeight="1">
      <c r="A317" s="293" t="s">
        <v>1919</v>
      </c>
      <c r="B317" s="294">
        <v>46072</v>
      </c>
      <c r="C317" s="286" t="s">
        <v>168</v>
      </c>
      <c r="D317" s="286" t="s">
        <v>148</v>
      </c>
      <c r="E317" s="295">
        <v>1</v>
      </c>
      <c r="F317" s="295">
        <v>1</v>
      </c>
      <c r="G317" s="296">
        <v>0</v>
      </c>
      <c r="H317" s="296">
        <v>1900</v>
      </c>
      <c r="I317" s="296">
        <v>1300</v>
      </c>
      <c r="J317" s="296">
        <v>1365</v>
      </c>
      <c r="K317" s="296">
        <v>535</v>
      </c>
      <c r="L317" s="296">
        <v>0</v>
      </c>
      <c r="M317" s="296">
        <v>600</v>
      </c>
      <c r="N317" s="297">
        <v>0.31578947368421051</v>
      </c>
    </row>
    <row r="318" spans="1:14" ht="18" customHeight="1">
      <c r="A318" s="293" t="s">
        <v>1920</v>
      </c>
      <c r="B318" s="294">
        <v>46072</v>
      </c>
      <c r="C318" s="286" t="s">
        <v>168</v>
      </c>
      <c r="D318" s="286" t="s">
        <v>142</v>
      </c>
      <c r="E318" s="295">
        <v>1</v>
      </c>
      <c r="F318" s="295">
        <v>1</v>
      </c>
      <c r="G318" s="296">
        <v>0</v>
      </c>
      <c r="H318" s="296">
        <v>1900</v>
      </c>
      <c r="I318" s="296">
        <v>1300</v>
      </c>
      <c r="J318" s="296">
        <v>1365</v>
      </c>
      <c r="K318" s="296">
        <v>535</v>
      </c>
      <c r="L318" s="296">
        <v>0</v>
      </c>
      <c r="M318" s="296">
        <v>600</v>
      </c>
      <c r="N318" s="297">
        <v>0.31578947368421051</v>
      </c>
    </row>
    <row r="319" spans="1:14" ht="18" customHeight="1">
      <c r="A319" s="293" t="s">
        <v>1921</v>
      </c>
      <c r="B319" s="294">
        <v>46072</v>
      </c>
      <c r="C319" s="286" t="s">
        <v>168</v>
      </c>
      <c r="D319" s="286" t="s">
        <v>99</v>
      </c>
      <c r="E319" s="295">
        <v>2</v>
      </c>
      <c r="F319" s="295">
        <v>2</v>
      </c>
      <c r="G319" s="296">
        <v>0</v>
      </c>
      <c r="H319" s="296">
        <v>2700</v>
      </c>
      <c r="I319" s="296">
        <v>1750</v>
      </c>
      <c r="J319" s="296">
        <v>1837.5</v>
      </c>
      <c r="K319" s="296">
        <v>862.5</v>
      </c>
      <c r="L319" s="296">
        <v>0</v>
      </c>
      <c r="M319" s="296">
        <v>950</v>
      </c>
      <c r="N319" s="297">
        <v>0.35185185185185186</v>
      </c>
    </row>
    <row r="320" spans="1:14" ht="18" customHeight="1">
      <c r="A320" s="293" t="s">
        <v>1922</v>
      </c>
      <c r="B320" s="294">
        <v>46073</v>
      </c>
      <c r="C320" s="286" t="s">
        <v>168</v>
      </c>
      <c r="D320" s="286" t="s">
        <v>136</v>
      </c>
      <c r="E320" s="295">
        <v>1</v>
      </c>
      <c r="F320" s="295">
        <v>3</v>
      </c>
      <c r="G320" s="296">
        <v>0</v>
      </c>
      <c r="H320" s="296">
        <v>1950</v>
      </c>
      <c r="I320" s="296">
        <v>1440</v>
      </c>
      <c r="J320" s="296">
        <v>1512</v>
      </c>
      <c r="K320" s="296">
        <v>438</v>
      </c>
      <c r="L320" s="296">
        <v>0</v>
      </c>
      <c r="M320" s="296">
        <v>510</v>
      </c>
      <c r="N320" s="297">
        <v>0.26153846153846155</v>
      </c>
    </row>
    <row r="321" spans="1:14" ht="18" customHeight="1">
      <c r="A321" s="293" t="s">
        <v>1923</v>
      </c>
      <c r="B321" s="294">
        <v>46073</v>
      </c>
      <c r="C321" s="286" t="s">
        <v>353</v>
      </c>
      <c r="D321" s="286" t="s">
        <v>133</v>
      </c>
      <c r="E321" s="295">
        <v>1</v>
      </c>
      <c r="F321" s="295">
        <v>1</v>
      </c>
      <c r="G321" s="296">
        <v>0</v>
      </c>
      <c r="H321" s="296">
        <v>2100</v>
      </c>
      <c r="I321" s="296">
        <v>1250</v>
      </c>
      <c r="J321" s="296">
        <v>1312.5</v>
      </c>
      <c r="K321" s="296">
        <v>787.5</v>
      </c>
      <c r="L321" s="296">
        <v>236.25</v>
      </c>
      <c r="M321" s="296">
        <v>850</v>
      </c>
      <c r="N321" s="297">
        <v>0.40476190476190477</v>
      </c>
    </row>
    <row r="322" spans="1:14" ht="18" customHeight="1">
      <c r="A322" s="293" t="s">
        <v>1924</v>
      </c>
      <c r="B322" s="294">
        <v>46073</v>
      </c>
      <c r="C322" s="286" t="s">
        <v>168</v>
      </c>
      <c r="D322" s="286" t="s">
        <v>120</v>
      </c>
      <c r="E322" s="295">
        <v>1</v>
      </c>
      <c r="F322" s="295">
        <v>1</v>
      </c>
      <c r="G322" s="296">
        <v>0</v>
      </c>
      <c r="H322" s="296">
        <v>1300</v>
      </c>
      <c r="I322" s="296">
        <v>750</v>
      </c>
      <c r="J322" s="296">
        <v>787.5</v>
      </c>
      <c r="K322" s="296">
        <v>512.5</v>
      </c>
      <c r="L322" s="296">
        <v>0</v>
      </c>
      <c r="M322" s="296">
        <v>550</v>
      </c>
      <c r="N322" s="297">
        <v>0.42307692307692307</v>
      </c>
    </row>
    <row r="323" spans="1:14" ht="18" customHeight="1">
      <c r="A323" s="293" t="s">
        <v>1925</v>
      </c>
      <c r="B323" s="294">
        <v>46073</v>
      </c>
      <c r="C323" s="286" t="s">
        <v>168</v>
      </c>
      <c r="D323" s="286" t="s">
        <v>121</v>
      </c>
      <c r="E323" s="295">
        <v>2</v>
      </c>
      <c r="F323" s="295">
        <v>2</v>
      </c>
      <c r="G323" s="296">
        <v>0</v>
      </c>
      <c r="H323" s="296">
        <v>10100</v>
      </c>
      <c r="I323" s="296">
        <v>8784</v>
      </c>
      <c r="J323" s="296">
        <v>9223.2000000000007</v>
      </c>
      <c r="K323" s="296">
        <v>876.79999999999927</v>
      </c>
      <c r="L323" s="296">
        <v>0</v>
      </c>
      <c r="M323" s="296">
        <v>1316</v>
      </c>
      <c r="N323" s="297">
        <v>0.1302970297029703</v>
      </c>
    </row>
    <row r="324" spans="1:14" ht="18" customHeight="1">
      <c r="A324" s="293" t="s">
        <v>1926</v>
      </c>
      <c r="B324" s="294">
        <v>46073</v>
      </c>
      <c r="C324" s="286" t="s">
        <v>168</v>
      </c>
      <c r="D324" s="286" t="s">
        <v>149</v>
      </c>
      <c r="E324" s="295">
        <v>6</v>
      </c>
      <c r="F324" s="295">
        <v>13.4</v>
      </c>
      <c r="G324" s="296">
        <v>0</v>
      </c>
      <c r="H324" s="296">
        <v>2290</v>
      </c>
      <c r="I324" s="296">
        <v>1975.85</v>
      </c>
      <c r="J324" s="296">
        <v>2039.3254999999999</v>
      </c>
      <c r="K324" s="296">
        <v>250.67449999999997</v>
      </c>
      <c r="L324" s="296">
        <v>0</v>
      </c>
      <c r="M324" s="296">
        <v>314.15000000000009</v>
      </c>
      <c r="N324" s="297">
        <v>0.13718340611353716</v>
      </c>
    </row>
    <row r="325" spans="1:14" ht="18" customHeight="1">
      <c r="A325" s="293" t="s">
        <v>1927</v>
      </c>
      <c r="B325" s="294">
        <v>46073</v>
      </c>
      <c r="C325" s="286" t="s">
        <v>168</v>
      </c>
      <c r="D325" s="286" t="s">
        <v>96</v>
      </c>
      <c r="E325" s="295">
        <v>3</v>
      </c>
      <c r="F325" s="295">
        <v>3</v>
      </c>
      <c r="G325" s="296">
        <v>0</v>
      </c>
      <c r="H325" s="296">
        <v>848</v>
      </c>
      <c r="I325" s="296">
        <v>337</v>
      </c>
      <c r="J325" s="296">
        <v>353.85</v>
      </c>
      <c r="K325" s="296">
        <v>494.15</v>
      </c>
      <c r="L325" s="296">
        <v>0</v>
      </c>
      <c r="M325" s="296">
        <v>511</v>
      </c>
      <c r="N325" s="297">
        <v>0.60259433962264153</v>
      </c>
    </row>
    <row r="326" spans="1:14" ht="18" customHeight="1">
      <c r="A326" s="293" t="s">
        <v>1928</v>
      </c>
      <c r="B326" s="294">
        <v>46073</v>
      </c>
      <c r="C326" s="286" t="s">
        <v>168</v>
      </c>
      <c r="D326" s="286" t="s">
        <v>115</v>
      </c>
      <c r="E326" s="295">
        <v>1</v>
      </c>
      <c r="F326" s="295">
        <v>1</v>
      </c>
      <c r="G326" s="296">
        <v>0</v>
      </c>
      <c r="H326" s="296">
        <v>2100</v>
      </c>
      <c r="I326" s="296">
        <v>1250</v>
      </c>
      <c r="J326" s="296">
        <v>1312.5</v>
      </c>
      <c r="K326" s="296">
        <v>787.5</v>
      </c>
      <c r="L326" s="296">
        <v>0</v>
      </c>
      <c r="M326" s="296">
        <v>850</v>
      </c>
      <c r="N326" s="297">
        <v>0.40476190476190477</v>
      </c>
    </row>
    <row r="327" spans="1:14" ht="18" customHeight="1">
      <c r="A327" s="293" t="s">
        <v>1929</v>
      </c>
      <c r="B327" s="294">
        <v>46073</v>
      </c>
      <c r="C327" s="286" t="s">
        <v>168</v>
      </c>
      <c r="D327" s="286" t="s">
        <v>99</v>
      </c>
      <c r="E327" s="295">
        <v>1</v>
      </c>
      <c r="F327" s="295">
        <v>2</v>
      </c>
      <c r="G327" s="296">
        <v>0</v>
      </c>
      <c r="H327" s="296">
        <v>160</v>
      </c>
      <c r="I327" s="296">
        <v>68</v>
      </c>
      <c r="J327" s="296">
        <v>71.400000000000006</v>
      </c>
      <c r="K327" s="296">
        <v>88.6</v>
      </c>
      <c r="L327" s="296">
        <v>0</v>
      </c>
      <c r="M327" s="296">
        <v>92</v>
      </c>
      <c r="N327" s="297">
        <v>0.57499999999999996</v>
      </c>
    </row>
    <row r="328" spans="1:14" ht="18" customHeight="1">
      <c r="A328" s="293" t="s">
        <v>1930</v>
      </c>
      <c r="B328" s="294">
        <v>46074</v>
      </c>
      <c r="C328" s="286" t="s">
        <v>3773</v>
      </c>
      <c r="D328" s="286" t="s">
        <v>102</v>
      </c>
      <c r="E328" s="295">
        <v>2</v>
      </c>
      <c r="F328" s="295">
        <v>2</v>
      </c>
      <c r="G328" s="296">
        <v>0</v>
      </c>
      <c r="H328" s="296">
        <v>3800</v>
      </c>
      <c r="I328" s="296">
        <v>1200</v>
      </c>
      <c r="J328" s="296">
        <v>1260</v>
      </c>
      <c r="K328" s="296">
        <v>2540</v>
      </c>
      <c r="L328" s="296">
        <v>762</v>
      </c>
      <c r="M328" s="296">
        <v>2600</v>
      </c>
      <c r="N328" s="297">
        <v>0.68421052631578949</v>
      </c>
    </row>
    <row r="329" spans="1:14" ht="18" customHeight="1">
      <c r="A329" s="293" t="s">
        <v>1931</v>
      </c>
      <c r="B329" s="294">
        <v>46074</v>
      </c>
      <c r="C329" s="286" t="s">
        <v>3773</v>
      </c>
      <c r="D329" s="286" t="s">
        <v>126</v>
      </c>
      <c r="E329" s="295">
        <v>4</v>
      </c>
      <c r="F329" s="295">
        <v>4</v>
      </c>
      <c r="G329" s="296">
        <v>0</v>
      </c>
      <c r="H329" s="296">
        <v>3450</v>
      </c>
      <c r="I329" s="296">
        <v>1860</v>
      </c>
      <c r="J329" s="296">
        <v>1953</v>
      </c>
      <c r="K329" s="296">
        <v>1497</v>
      </c>
      <c r="L329" s="296">
        <v>449.1</v>
      </c>
      <c r="M329" s="296">
        <v>1590</v>
      </c>
      <c r="N329" s="297">
        <v>0.46086956521739131</v>
      </c>
    </row>
    <row r="330" spans="1:14" ht="18" customHeight="1">
      <c r="A330" s="293" t="s">
        <v>1932</v>
      </c>
      <c r="B330" s="294">
        <v>46074</v>
      </c>
      <c r="C330" s="286" t="s">
        <v>359</v>
      </c>
      <c r="D330" s="286" t="s">
        <v>114</v>
      </c>
      <c r="E330" s="295">
        <v>3</v>
      </c>
      <c r="F330" s="295">
        <v>4</v>
      </c>
      <c r="G330" s="296">
        <v>0</v>
      </c>
      <c r="H330" s="296">
        <v>2320</v>
      </c>
      <c r="I330" s="296">
        <v>1615</v>
      </c>
      <c r="J330" s="296">
        <v>1695.75</v>
      </c>
      <c r="K330" s="296">
        <v>624.25</v>
      </c>
      <c r="L330" s="296">
        <v>187.27499999999998</v>
      </c>
      <c r="M330" s="296">
        <v>705</v>
      </c>
      <c r="N330" s="297">
        <v>0.30387931034482757</v>
      </c>
    </row>
    <row r="331" spans="1:14" ht="18" customHeight="1">
      <c r="A331" s="293" t="s">
        <v>1933</v>
      </c>
      <c r="B331" s="294">
        <v>46074</v>
      </c>
      <c r="C331" s="286" t="s">
        <v>168</v>
      </c>
      <c r="D331" s="286" t="s">
        <v>121</v>
      </c>
      <c r="E331" s="295">
        <v>1</v>
      </c>
      <c r="F331" s="295">
        <v>1</v>
      </c>
      <c r="G331" s="296">
        <v>0</v>
      </c>
      <c r="H331" s="296">
        <v>1300</v>
      </c>
      <c r="I331" s="296">
        <v>750</v>
      </c>
      <c r="J331" s="296">
        <v>787.5</v>
      </c>
      <c r="K331" s="296">
        <v>512.5</v>
      </c>
      <c r="L331" s="296">
        <v>0</v>
      </c>
      <c r="M331" s="296">
        <v>550</v>
      </c>
      <c r="N331" s="297">
        <v>0.42307692307692307</v>
      </c>
    </row>
    <row r="332" spans="1:14" ht="18" customHeight="1">
      <c r="A332" s="293" t="s">
        <v>1934</v>
      </c>
      <c r="B332" s="294">
        <v>46074</v>
      </c>
      <c r="C332" s="286" t="s">
        <v>168</v>
      </c>
      <c r="D332" s="286" t="s">
        <v>150</v>
      </c>
      <c r="E332" s="295">
        <v>1</v>
      </c>
      <c r="F332" s="295">
        <v>1</v>
      </c>
      <c r="G332" s="296">
        <v>0</v>
      </c>
      <c r="H332" s="296">
        <v>8100</v>
      </c>
      <c r="I332" s="296">
        <v>7684</v>
      </c>
      <c r="J332" s="296">
        <v>8068.2000000000007</v>
      </c>
      <c r="K332" s="296">
        <v>31.799999999999272</v>
      </c>
      <c r="L332" s="296">
        <v>0</v>
      </c>
      <c r="M332" s="296">
        <v>416</v>
      </c>
      <c r="N332" s="297">
        <v>5.1358024691358022E-2</v>
      </c>
    </row>
    <row r="333" spans="1:14" ht="18" customHeight="1">
      <c r="A333" s="293" t="s">
        <v>1935</v>
      </c>
      <c r="B333" s="294">
        <v>46074</v>
      </c>
      <c r="C333" s="286" t="s">
        <v>353</v>
      </c>
      <c r="D333" s="286" t="s">
        <v>94</v>
      </c>
      <c r="E333" s="295">
        <v>10</v>
      </c>
      <c r="F333" s="295">
        <v>18</v>
      </c>
      <c r="G333" s="296">
        <v>0</v>
      </c>
      <c r="H333" s="296">
        <v>10655</v>
      </c>
      <c r="I333" s="296">
        <v>6025</v>
      </c>
      <c r="J333" s="296">
        <v>6321.25</v>
      </c>
      <c r="K333" s="296">
        <v>4333.75</v>
      </c>
      <c r="L333" s="296">
        <v>1300.1249999999998</v>
      </c>
      <c r="M333" s="296">
        <v>4630</v>
      </c>
      <c r="N333" s="297">
        <v>0.43453777569216329</v>
      </c>
    </row>
    <row r="334" spans="1:14" ht="18" customHeight="1">
      <c r="A334" s="293" t="s">
        <v>1936</v>
      </c>
      <c r="B334" s="294">
        <v>46074</v>
      </c>
      <c r="C334" s="286" t="s">
        <v>168</v>
      </c>
      <c r="D334" s="286" t="s">
        <v>105</v>
      </c>
      <c r="E334" s="295">
        <v>1</v>
      </c>
      <c r="F334" s="295">
        <v>1</v>
      </c>
      <c r="G334" s="296">
        <v>0</v>
      </c>
      <c r="H334" s="296">
        <v>8000</v>
      </c>
      <c r="I334" s="296">
        <v>7684</v>
      </c>
      <c r="J334" s="296">
        <v>8068.2000000000007</v>
      </c>
      <c r="K334" s="296">
        <v>-68.200000000000728</v>
      </c>
      <c r="L334" s="296">
        <v>0</v>
      </c>
      <c r="M334" s="296">
        <v>316</v>
      </c>
      <c r="N334" s="297">
        <v>3.95E-2</v>
      </c>
    </row>
    <row r="335" spans="1:14" ht="18" customHeight="1">
      <c r="A335" s="293" t="s">
        <v>1937</v>
      </c>
      <c r="B335" s="294">
        <v>46074</v>
      </c>
      <c r="C335" s="286" t="s">
        <v>168</v>
      </c>
      <c r="D335" s="286" t="s">
        <v>117</v>
      </c>
      <c r="E335" s="295">
        <v>10</v>
      </c>
      <c r="F335" s="295">
        <v>24.4</v>
      </c>
      <c r="G335" s="296">
        <v>0</v>
      </c>
      <c r="H335" s="296">
        <v>2285</v>
      </c>
      <c r="I335" s="296">
        <v>1232.3</v>
      </c>
      <c r="J335" s="296">
        <v>1270.8690000000001</v>
      </c>
      <c r="K335" s="296">
        <v>1014.1309999999999</v>
      </c>
      <c r="L335" s="296">
        <v>0</v>
      </c>
      <c r="M335" s="296">
        <v>1052.7</v>
      </c>
      <c r="N335" s="297">
        <v>0.46070021881838075</v>
      </c>
    </row>
    <row r="336" spans="1:14" ht="18" customHeight="1">
      <c r="A336" s="293" t="s">
        <v>1938</v>
      </c>
      <c r="B336" s="294">
        <v>46074</v>
      </c>
      <c r="C336" s="286" t="s">
        <v>168</v>
      </c>
      <c r="D336" s="286" t="s">
        <v>97</v>
      </c>
      <c r="E336" s="295">
        <v>1</v>
      </c>
      <c r="F336" s="295">
        <v>1</v>
      </c>
      <c r="G336" s="296">
        <v>0</v>
      </c>
      <c r="H336" s="296">
        <v>250</v>
      </c>
      <c r="I336" s="296">
        <v>90</v>
      </c>
      <c r="J336" s="296">
        <v>94.5</v>
      </c>
      <c r="K336" s="296">
        <v>155.5</v>
      </c>
      <c r="L336" s="296">
        <v>0</v>
      </c>
      <c r="M336" s="296">
        <v>160</v>
      </c>
      <c r="N336" s="297">
        <v>0.64</v>
      </c>
    </row>
    <row r="337" spans="1:14" ht="18" customHeight="1">
      <c r="A337" s="293" t="s">
        <v>1939</v>
      </c>
      <c r="B337" s="294">
        <v>46074</v>
      </c>
      <c r="C337" s="286" t="s">
        <v>168</v>
      </c>
      <c r="D337" s="286" t="s">
        <v>99</v>
      </c>
      <c r="E337" s="295">
        <v>3</v>
      </c>
      <c r="F337" s="295">
        <v>6</v>
      </c>
      <c r="G337" s="296">
        <v>0</v>
      </c>
      <c r="H337" s="296">
        <v>560</v>
      </c>
      <c r="I337" s="296">
        <v>260.60000000000002</v>
      </c>
      <c r="J337" s="296">
        <v>272.13</v>
      </c>
      <c r="K337" s="296">
        <v>287.87</v>
      </c>
      <c r="L337" s="296">
        <v>0</v>
      </c>
      <c r="M337" s="296">
        <v>299.39999999999998</v>
      </c>
      <c r="N337" s="297">
        <v>0.53464285714285709</v>
      </c>
    </row>
    <row r="338" spans="1:14" ht="18" customHeight="1">
      <c r="A338" s="293" t="s">
        <v>1940</v>
      </c>
      <c r="B338" s="294">
        <v>46076</v>
      </c>
      <c r="C338" s="286" t="s">
        <v>356</v>
      </c>
      <c r="D338" s="286" t="s">
        <v>151</v>
      </c>
      <c r="E338" s="295">
        <v>1</v>
      </c>
      <c r="F338" s="295">
        <v>2</v>
      </c>
      <c r="G338" s="296">
        <v>0</v>
      </c>
      <c r="H338" s="296">
        <v>900</v>
      </c>
      <c r="I338" s="296">
        <v>500</v>
      </c>
      <c r="J338" s="296">
        <v>515</v>
      </c>
      <c r="K338" s="296">
        <v>385</v>
      </c>
      <c r="L338" s="296">
        <v>115.5</v>
      </c>
      <c r="M338" s="296">
        <v>400</v>
      </c>
      <c r="N338" s="297">
        <v>0.44444444444444442</v>
      </c>
    </row>
    <row r="339" spans="1:14" ht="18" customHeight="1">
      <c r="A339" s="293" t="s">
        <v>1941</v>
      </c>
      <c r="B339" s="294">
        <v>46076</v>
      </c>
      <c r="C339" s="286" t="s">
        <v>3773</v>
      </c>
      <c r="D339" s="286" t="s">
        <v>102</v>
      </c>
      <c r="E339" s="295">
        <v>5</v>
      </c>
      <c r="F339" s="295">
        <v>9</v>
      </c>
      <c r="G339" s="296">
        <v>0</v>
      </c>
      <c r="H339" s="296">
        <v>4225</v>
      </c>
      <c r="I339" s="296">
        <v>2470</v>
      </c>
      <c r="J339" s="296">
        <v>2592.8000000000002</v>
      </c>
      <c r="K339" s="296">
        <v>1632.2</v>
      </c>
      <c r="L339" s="296">
        <v>489.66</v>
      </c>
      <c r="M339" s="296">
        <v>1755</v>
      </c>
      <c r="N339" s="297">
        <v>0.41538461538461541</v>
      </c>
    </row>
    <row r="340" spans="1:14" ht="18" customHeight="1">
      <c r="A340" s="293" t="s">
        <v>1942</v>
      </c>
      <c r="B340" s="294">
        <v>46076</v>
      </c>
      <c r="C340" s="286" t="s">
        <v>168</v>
      </c>
      <c r="D340" s="286" t="s">
        <v>112</v>
      </c>
      <c r="E340" s="295">
        <v>1</v>
      </c>
      <c r="F340" s="295">
        <v>1</v>
      </c>
      <c r="G340" s="296">
        <v>0</v>
      </c>
      <c r="H340" s="296">
        <v>2600</v>
      </c>
      <c r="I340" s="296">
        <v>2100</v>
      </c>
      <c r="J340" s="296">
        <v>2205</v>
      </c>
      <c r="K340" s="296">
        <v>395</v>
      </c>
      <c r="L340" s="296">
        <v>0</v>
      </c>
      <c r="M340" s="296">
        <v>500</v>
      </c>
      <c r="N340" s="297">
        <v>0.19230769230769232</v>
      </c>
    </row>
    <row r="341" spans="1:14" ht="18" customHeight="1">
      <c r="A341" s="293" t="s">
        <v>1943</v>
      </c>
      <c r="B341" s="294">
        <v>46076</v>
      </c>
      <c r="C341" s="286" t="s">
        <v>168</v>
      </c>
      <c r="D341" s="286" t="s">
        <v>92</v>
      </c>
      <c r="E341" s="295">
        <v>2</v>
      </c>
      <c r="F341" s="295">
        <v>2</v>
      </c>
      <c r="G341" s="296">
        <v>0</v>
      </c>
      <c r="H341" s="296">
        <v>9800</v>
      </c>
      <c r="I341" s="296">
        <v>8834</v>
      </c>
      <c r="J341" s="296">
        <v>9275.7000000000007</v>
      </c>
      <c r="K341" s="296">
        <v>524.29999999999927</v>
      </c>
      <c r="L341" s="296">
        <v>0</v>
      </c>
      <c r="M341" s="296">
        <v>966</v>
      </c>
      <c r="N341" s="297">
        <v>9.8571428571428574E-2</v>
      </c>
    </row>
    <row r="342" spans="1:14" ht="18" customHeight="1">
      <c r="A342" s="293" t="s">
        <v>1944</v>
      </c>
      <c r="B342" s="294">
        <v>46076</v>
      </c>
      <c r="C342" s="286" t="s">
        <v>168</v>
      </c>
      <c r="D342" s="286" t="s">
        <v>121</v>
      </c>
      <c r="E342" s="295">
        <v>1</v>
      </c>
      <c r="F342" s="295">
        <v>8</v>
      </c>
      <c r="G342" s="296">
        <v>0</v>
      </c>
      <c r="H342" s="296">
        <v>960</v>
      </c>
      <c r="I342" s="296">
        <v>520</v>
      </c>
      <c r="J342" s="296">
        <v>546</v>
      </c>
      <c r="K342" s="296">
        <v>414</v>
      </c>
      <c r="L342" s="296">
        <v>0</v>
      </c>
      <c r="M342" s="296">
        <v>440</v>
      </c>
      <c r="N342" s="297">
        <v>0.45833333333333331</v>
      </c>
    </row>
    <row r="343" spans="1:14" ht="18" customHeight="1">
      <c r="A343" s="293" t="s">
        <v>1945</v>
      </c>
      <c r="B343" s="294">
        <v>46076</v>
      </c>
      <c r="C343" s="286" t="s">
        <v>168</v>
      </c>
      <c r="D343" s="286" t="s">
        <v>152</v>
      </c>
      <c r="E343" s="295">
        <v>1</v>
      </c>
      <c r="F343" s="295">
        <v>1</v>
      </c>
      <c r="G343" s="296">
        <v>0</v>
      </c>
      <c r="H343" s="296">
        <v>1900</v>
      </c>
      <c r="I343" s="296">
        <v>1150</v>
      </c>
      <c r="J343" s="296">
        <v>1207.5</v>
      </c>
      <c r="K343" s="296">
        <v>692.5</v>
      </c>
      <c r="L343" s="296">
        <v>0</v>
      </c>
      <c r="M343" s="296">
        <v>750</v>
      </c>
      <c r="N343" s="297">
        <v>0.39473684210526316</v>
      </c>
    </row>
    <row r="344" spans="1:14" ht="18" customHeight="1">
      <c r="A344" s="293" t="s">
        <v>1946</v>
      </c>
      <c r="B344" s="294">
        <v>46076</v>
      </c>
      <c r="C344" s="286" t="s">
        <v>168</v>
      </c>
      <c r="D344" s="286" t="s">
        <v>96</v>
      </c>
      <c r="E344" s="295">
        <v>1</v>
      </c>
      <c r="F344" s="295">
        <v>1</v>
      </c>
      <c r="G344" s="296">
        <v>0</v>
      </c>
      <c r="H344" s="296">
        <v>8000</v>
      </c>
      <c r="I344" s="296">
        <v>7684</v>
      </c>
      <c r="J344" s="296">
        <v>8068.2000000000007</v>
      </c>
      <c r="K344" s="296">
        <v>-68.200000000000728</v>
      </c>
      <c r="L344" s="296">
        <v>0</v>
      </c>
      <c r="M344" s="296">
        <v>316</v>
      </c>
      <c r="N344" s="297">
        <v>3.95E-2</v>
      </c>
    </row>
    <row r="345" spans="1:14" ht="18" customHeight="1">
      <c r="A345" s="293" t="s">
        <v>1947</v>
      </c>
      <c r="B345" s="294">
        <v>46076</v>
      </c>
      <c r="C345" s="286" t="s">
        <v>168</v>
      </c>
      <c r="D345" s="286" t="s">
        <v>105</v>
      </c>
      <c r="E345" s="295">
        <v>1</v>
      </c>
      <c r="F345" s="295">
        <v>1</v>
      </c>
      <c r="G345" s="296">
        <v>0</v>
      </c>
      <c r="H345" s="296">
        <v>1900</v>
      </c>
      <c r="I345" s="296">
        <v>800</v>
      </c>
      <c r="J345" s="296">
        <v>840</v>
      </c>
      <c r="K345" s="296">
        <v>1060</v>
      </c>
      <c r="L345" s="296">
        <v>0</v>
      </c>
      <c r="M345" s="296">
        <v>1100</v>
      </c>
      <c r="N345" s="297">
        <v>0.57894736842105265</v>
      </c>
    </row>
    <row r="346" spans="1:14" ht="18" customHeight="1">
      <c r="A346" s="293" t="s">
        <v>1948</v>
      </c>
      <c r="B346" s="294">
        <v>46076</v>
      </c>
      <c r="C346" s="286" t="s">
        <v>168</v>
      </c>
      <c r="D346" s="286" t="s">
        <v>115</v>
      </c>
      <c r="E346" s="295">
        <v>2</v>
      </c>
      <c r="F346" s="295">
        <v>2</v>
      </c>
      <c r="G346" s="296">
        <v>0</v>
      </c>
      <c r="H346" s="296">
        <v>9900</v>
      </c>
      <c r="I346" s="296">
        <v>8734</v>
      </c>
      <c r="J346" s="296">
        <v>9170.7000000000007</v>
      </c>
      <c r="K346" s="296">
        <v>729.29999999999927</v>
      </c>
      <c r="L346" s="296">
        <v>0</v>
      </c>
      <c r="M346" s="296">
        <v>1166</v>
      </c>
      <c r="N346" s="297">
        <v>0.11777777777777777</v>
      </c>
    </row>
    <row r="347" spans="1:14" ht="18" customHeight="1">
      <c r="A347" s="293" t="s">
        <v>1949</v>
      </c>
      <c r="B347" s="294">
        <v>46076</v>
      </c>
      <c r="C347" s="286" t="s">
        <v>168</v>
      </c>
      <c r="D347" s="286" t="s">
        <v>128</v>
      </c>
      <c r="E347" s="295">
        <v>2</v>
      </c>
      <c r="F347" s="295">
        <v>2</v>
      </c>
      <c r="G347" s="296">
        <v>0</v>
      </c>
      <c r="H347" s="296">
        <v>1100</v>
      </c>
      <c r="I347" s="296">
        <v>460</v>
      </c>
      <c r="J347" s="296">
        <v>483</v>
      </c>
      <c r="K347" s="296">
        <v>617</v>
      </c>
      <c r="L347" s="296">
        <v>0</v>
      </c>
      <c r="M347" s="296">
        <v>640</v>
      </c>
      <c r="N347" s="297">
        <v>0.58181818181818179</v>
      </c>
    </row>
    <row r="348" spans="1:14" ht="18" customHeight="1">
      <c r="A348" s="293" t="s">
        <v>1950</v>
      </c>
      <c r="B348" s="294">
        <v>46076</v>
      </c>
      <c r="C348" s="286" t="s">
        <v>168</v>
      </c>
      <c r="D348" s="286" t="s">
        <v>153</v>
      </c>
      <c r="E348" s="295">
        <v>4</v>
      </c>
      <c r="F348" s="295">
        <v>19</v>
      </c>
      <c r="G348" s="296">
        <v>0</v>
      </c>
      <c r="H348" s="296">
        <v>6180</v>
      </c>
      <c r="I348" s="296">
        <v>3288</v>
      </c>
      <c r="J348" s="296">
        <v>3386.64</v>
      </c>
      <c r="K348" s="296">
        <v>2793.36</v>
      </c>
      <c r="L348" s="296">
        <v>0</v>
      </c>
      <c r="M348" s="296">
        <v>2892</v>
      </c>
      <c r="N348" s="297">
        <v>0.46796116504854368</v>
      </c>
    </row>
    <row r="349" spans="1:14" ht="18" customHeight="1">
      <c r="A349" s="293" t="s">
        <v>1951</v>
      </c>
      <c r="B349" s="294">
        <v>46076</v>
      </c>
      <c r="C349" s="286" t="s">
        <v>358</v>
      </c>
      <c r="D349" s="286" t="s">
        <v>98</v>
      </c>
      <c r="E349" s="295">
        <v>1</v>
      </c>
      <c r="F349" s="295">
        <v>1</v>
      </c>
      <c r="G349" s="296">
        <v>0</v>
      </c>
      <c r="H349" s="296">
        <v>8000</v>
      </c>
      <c r="I349" s="296">
        <v>7684</v>
      </c>
      <c r="J349" s="296">
        <v>8068.2000000000007</v>
      </c>
      <c r="K349" s="296">
        <v>-68.200000000000728</v>
      </c>
      <c r="L349" s="296">
        <v>-20.460000000000218</v>
      </c>
      <c r="M349" s="296">
        <v>316</v>
      </c>
      <c r="N349" s="297">
        <v>3.95E-2</v>
      </c>
    </row>
    <row r="350" spans="1:14" ht="18" customHeight="1">
      <c r="A350" s="293" t="s">
        <v>1952</v>
      </c>
      <c r="B350" s="294">
        <v>46076</v>
      </c>
      <c r="C350" s="286" t="s">
        <v>168</v>
      </c>
      <c r="D350" s="286" t="s">
        <v>99</v>
      </c>
      <c r="E350" s="295">
        <v>8</v>
      </c>
      <c r="F350" s="295">
        <v>21</v>
      </c>
      <c r="G350" s="296">
        <v>0</v>
      </c>
      <c r="H350" s="296">
        <v>3426</v>
      </c>
      <c r="I350" s="296">
        <v>1770.5</v>
      </c>
      <c r="J350" s="296">
        <v>1853.0250000000001</v>
      </c>
      <c r="K350" s="296">
        <v>1572.9749999999999</v>
      </c>
      <c r="L350" s="296">
        <v>0</v>
      </c>
      <c r="M350" s="296">
        <v>1655.5</v>
      </c>
      <c r="N350" s="297">
        <v>0.48321657910099242</v>
      </c>
    </row>
    <row r="351" spans="1:14" ht="18" customHeight="1">
      <c r="A351" s="293" t="s">
        <v>1953</v>
      </c>
      <c r="B351" s="294">
        <v>46077</v>
      </c>
      <c r="C351" s="286" t="s">
        <v>168</v>
      </c>
      <c r="D351" s="286" t="s">
        <v>154</v>
      </c>
      <c r="E351" s="295">
        <v>2</v>
      </c>
      <c r="F351" s="295">
        <v>2</v>
      </c>
      <c r="G351" s="296">
        <v>0</v>
      </c>
      <c r="H351" s="296">
        <v>629</v>
      </c>
      <c r="I351" s="296">
        <v>335</v>
      </c>
      <c r="J351" s="296">
        <v>351.75</v>
      </c>
      <c r="K351" s="296">
        <v>277.25</v>
      </c>
      <c r="L351" s="296">
        <v>0</v>
      </c>
      <c r="M351" s="296">
        <v>294</v>
      </c>
      <c r="N351" s="297">
        <v>0.46740858505564387</v>
      </c>
    </row>
    <row r="352" spans="1:14" ht="18" customHeight="1">
      <c r="A352" s="293" t="s">
        <v>1954</v>
      </c>
      <c r="B352" s="294">
        <v>46077</v>
      </c>
      <c r="C352" s="286" t="s">
        <v>3773</v>
      </c>
      <c r="D352" s="286" t="s">
        <v>102</v>
      </c>
      <c r="E352" s="295">
        <v>2</v>
      </c>
      <c r="F352" s="295">
        <v>2</v>
      </c>
      <c r="G352" s="296">
        <v>0</v>
      </c>
      <c r="H352" s="296">
        <v>1150</v>
      </c>
      <c r="I352" s="296">
        <v>525</v>
      </c>
      <c r="J352" s="296">
        <v>551.25</v>
      </c>
      <c r="K352" s="296">
        <v>598.75</v>
      </c>
      <c r="L352" s="296">
        <v>179.625</v>
      </c>
      <c r="M352" s="296">
        <v>625</v>
      </c>
      <c r="N352" s="297">
        <v>0.54347826086956519</v>
      </c>
    </row>
    <row r="353" spans="1:14" ht="18" customHeight="1">
      <c r="A353" s="293" t="s">
        <v>1955</v>
      </c>
      <c r="B353" s="294">
        <v>46077</v>
      </c>
      <c r="C353" s="286" t="s">
        <v>353</v>
      </c>
      <c r="D353" s="286" t="s">
        <v>108</v>
      </c>
      <c r="E353" s="295">
        <v>3</v>
      </c>
      <c r="F353" s="295">
        <v>3</v>
      </c>
      <c r="G353" s="296">
        <v>0</v>
      </c>
      <c r="H353" s="296">
        <v>806</v>
      </c>
      <c r="I353" s="296">
        <v>300</v>
      </c>
      <c r="J353" s="296">
        <v>315</v>
      </c>
      <c r="K353" s="296">
        <v>491</v>
      </c>
      <c r="L353" s="296">
        <v>147.30000000000001</v>
      </c>
      <c r="M353" s="296">
        <v>506</v>
      </c>
      <c r="N353" s="297">
        <v>0.62779156327543428</v>
      </c>
    </row>
    <row r="354" spans="1:14" ht="18" customHeight="1">
      <c r="A354" s="293" t="s">
        <v>1956</v>
      </c>
      <c r="B354" s="294">
        <v>46077</v>
      </c>
      <c r="C354" s="286" t="s">
        <v>168</v>
      </c>
      <c r="D354" s="286" t="s">
        <v>92</v>
      </c>
      <c r="E354" s="295">
        <v>3</v>
      </c>
      <c r="F354" s="295">
        <v>4</v>
      </c>
      <c r="G354" s="296">
        <v>0</v>
      </c>
      <c r="H354" s="296">
        <v>2050</v>
      </c>
      <c r="I354" s="296">
        <v>950</v>
      </c>
      <c r="J354" s="296">
        <v>997.5</v>
      </c>
      <c r="K354" s="296">
        <v>1052.5</v>
      </c>
      <c r="L354" s="296">
        <v>0</v>
      </c>
      <c r="M354" s="296">
        <v>1100</v>
      </c>
      <c r="N354" s="297">
        <v>0.53658536585365857</v>
      </c>
    </row>
    <row r="355" spans="1:14" ht="18" customHeight="1">
      <c r="A355" s="293" t="s">
        <v>1957</v>
      </c>
      <c r="B355" s="294">
        <v>46077</v>
      </c>
      <c r="C355" s="286" t="s">
        <v>353</v>
      </c>
      <c r="D355" s="286" t="s">
        <v>103</v>
      </c>
      <c r="E355" s="295">
        <v>1</v>
      </c>
      <c r="F355" s="295">
        <v>1</v>
      </c>
      <c r="G355" s="296">
        <v>0</v>
      </c>
      <c r="H355" s="296">
        <v>2000</v>
      </c>
      <c r="I355" s="296">
        <v>1400</v>
      </c>
      <c r="J355" s="296">
        <v>1470</v>
      </c>
      <c r="K355" s="296">
        <v>530</v>
      </c>
      <c r="L355" s="296">
        <v>159</v>
      </c>
      <c r="M355" s="296">
        <v>600</v>
      </c>
      <c r="N355" s="297">
        <v>0.3</v>
      </c>
    </row>
    <row r="356" spans="1:14" ht="18" customHeight="1">
      <c r="A356" s="293" t="s">
        <v>1958</v>
      </c>
      <c r="B356" s="294">
        <v>46077</v>
      </c>
      <c r="C356" s="286" t="s">
        <v>353</v>
      </c>
      <c r="D356" s="286" t="s">
        <v>94</v>
      </c>
      <c r="E356" s="295">
        <v>2</v>
      </c>
      <c r="F356" s="295">
        <v>2</v>
      </c>
      <c r="G356" s="296">
        <v>0</v>
      </c>
      <c r="H356" s="296">
        <v>1150</v>
      </c>
      <c r="I356" s="296">
        <v>700</v>
      </c>
      <c r="J356" s="296">
        <v>735</v>
      </c>
      <c r="K356" s="296">
        <v>415</v>
      </c>
      <c r="L356" s="296">
        <v>124.5</v>
      </c>
      <c r="M356" s="296">
        <v>450</v>
      </c>
      <c r="N356" s="297">
        <v>0.39130434782608697</v>
      </c>
    </row>
    <row r="357" spans="1:14" ht="18" customHeight="1">
      <c r="A357" s="293" t="s">
        <v>1959</v>
      </c>
      <c r="B357" s="294">
        <v>46077</v>
      </c>
      <c r="C357" s="286" t="s">
        <v>168</v>
      </c>
      <c r="D357" s="286" t="s">
        <v>96</v>
      </c>
      <c r="E357" s="295">
        <v>2</v>
      </c>
      <c r="F357" s="295">
        <v>5</v>
      </c>
      <c r="G357" s="296">
        <v>0</v>
      </c>
      <c r="H357" s="296">
        <v>1560</v>
      </c>
      <c r="I357" s="296">
        <v>855</v>
      </c>
      <c r="J357" s="296">
        <v>897.75</v>
      </c>
      <c r="K357" s="296">
        <v>662.25</v>
      </c>
      <c r="L357" s="296">
        <v>0</v>
      </c>
      <c r="M357" s="296">
        <v>705</v>
      </c>
      <c r="N357" s="297">
        <v>0.45192307692307693</v>
      </c>
    </row>
    <row r="358" spans="1:14" ht="18" customHeight="1">
      <c r="A358" s="293" t="s">
        <v>1960</v>
      </c>
      <c r="B358" s="294">
        <v>46077</v>
      </c>
      <c r="C358" s="286" t="s">
        <v>168</v>
      </c>
      <c r="D358" s="286" t="s">
        <v>97</v>
      </c>
      <c r="E358" s="295">
        <v>4</v>
      </c>
      <c r="F358" s="295">
        <v>4</v>
      </c>
      <c r="G358" s="296">
        <v>0</v>
      </c>
      <c r="H358" s="296">
        <v>12400</v>
      </c>
      <c r="I358" s="296">
        <v>9999</v>
      </c>
      <c r="J358" s="296">
        <v>10498.95</v>
      </c>
      <c r="K358" s="296">
        <v>1901.0499999999993</v>
      </c>
      <c r="L358" s="296">
        <v>0</v>
      </c>
      <c r="M358" s="296">
        <v>2401</v>
      </c>
      <c r="N358" s="297">
        <v>0.19362903225806452</v>
      </c>
    </row>
    <row r="359" spans="1:14" ht="18" customHeight="1">
      <c r="A359" s="293" t="s">
        <v>1961</v>
      </c>
      <c r="B359" s="294">
        <v>46077</v>
      </c>
      <c r="C359" s="286" t="s">
        <v>168</v>
      </c>
      <c r="D359" s="286" t="s">
        <v>99</v>
      </c>
      <c r="E359" s="295">
        <v>4</v>
      </c>
      <c r="F359" s="295">
        <v>4</v>
      </c>
      <c r="G359" s="296">
        <v>0</v>
      </c>
      <c r="H359" s="296">
        <v>405</v>
      </c>
      <c r="I359" s="296">
        <v>225</v>
      </c>
      <c r="J359" s="296">
        <v>235.87</v>
      </c>
      <c r="K359" s="296">
        <v>169.13</v>
      </c>
      <c r="L359" s="296">
        <v>0</v>
      </c>
      <c r="M359" s="296">
        <v>180</v>
      </c>
      <c r="N359" s="297">
        <v>0.44444444444444442</v>
      </c>
    </row>
    <row r="360" spans="1:14" ht="18" customHeight="1">
      <c r="A360" s="293" t="s">
        <v>1962</v>
      </c>
      <c r="B360" s="294">
        <v>46078</v>
      </c>
      <c r="C360" s="286" t="s">
        <v>353</v>
      </c>
      <c r="D360" s="286" t="s">
        <v>108</v>
      </c>
      <c r="E360" s="295">
        <v>4</v>
      </c>
      <c r="F360" s="295">
        <v>6</v>
      </c>
      <c r="G360" s="296">
        <v>0</v>
      </c>
      <c r="H360" s="296">
        <v>11100</v>
      </c>
      <c r="I360" s="296">
        <v>9384</v>
      </c>
      <c r="J360" s="296">
        <v>9853.2000000000007</v>
      </c>
      <c r="K360" s="296">
        <v>1246.7999999999993</v>
      </c>
      <c r="L360" s="296">
        <v>374.03999999999979</v>
      </c>
      <c r="M360" s="296">
        <v>1716</v>
      </c>
      <c r="N360" s="297">
        <v>0.1545945945945946</v>
      </c>
    </row>
    <row r="361" spans="1:14" ht="18" customHeight="1">
      <c r="A361" s="293" t="s">
        <v>1963</v>
      </c>
      <c r="B361" s="294">
        <v>46078</v>
      </c>
      <c r="C361" s="286" t="s">
        <v>3773</v>
      </c>
      <c r="D361" s="286" t="s">
        <v>116</v>
      </c>
      <c r="E361" s="295">
        <v>4</v>
      </c>
      <c r="F361" s="295">
        <v>6</v>
      </c>
      <c r="G361" s="296">
        <v>0</v>
      </c>
      <c r="H361" s="296">
        <v>5900</v>
      </c>
      <c r="I361" s="296">
        <v>3320</v>
      </c>
      <c r="J361" s="296">
        <v>3486</v>
      </c>
      <c r="K361" s="296">
        <v>2414</v>
      </c>
      <c r="L361" s="296">
        <v>724.19999999999993</v>
      </c>
      <c r="M361" s="296">
        <v>2580</v>
      </c>
      <c r="N361" s="297">
        <v>0.43728813559322033</v>
      </c>
    </row>
    <row r="362" spans="1:14" ht="18" customHeight="1">
      <c r="A362" s="293" t="s">
        <v>1964</v>
      </c>
      <c r="B362" s="294">
        <v>46078</v>
      </c>
      <c r="C362" s="286" t="s">
        <v>168</v>
      </c>
      <c r="D362" s="286" t="s">
        <v>96</v>
      </c>
      <c r="E362" s="295">
        <v>4</v>
      </c>
      <c r="F362" s="295">
        <v>4</v>
      </c>
      <c r="G362" s="296">
        <v>0</v>
      </c>
      <c r="H362" s="296">
        <v>3070</v>
      </c>
      <c r="I362" s="296">
        <v>1795</v>
      </c>
      <c r="J362" s="296">
        <v>1884.75</v>
      </c>
      <c r="K362" s="296">
        <v>1185.25</v>
      </c>
      <c r="L362" s="296">
        <v>0</v>
      </c>
      <c r="M362" s="296">
        <v>1275</v>
      </c>
      <c r="N362" s="297">
        <v>0.41530944625407168</v>
      </c>
    </row>
    <row r="363" spans="1:14" ht="18" customHeight="1">
      <c r="A363" s="293" t="s">
        <v>1965</v>
      </c>
      <c r="B363" s="294">
        <v>46078</v>
      </c>
      <c r="C363" s="286" t="s">
        <v>168</v>
      </c>
      <c r="D363" s="286" t="s">
        <v>142</v>
      </c>
      <c r="E363" s="295">
        <v>3</v>
      </c>
      <c r="F363" s="295">
        <v>3</v>
      </c>
      <c r="G363" s="296">
        <v>0</v>
      </c>
      <c r="H363" s="296">
        <v>2750</v>
      </c>
      <c r="I363" s="296">
        <v>1670</v>
      </c>
      <c r="J363" s="296">
        <v>1753.5</v>
      </c>
      <c r="K363" s="296">
        <v>996.5</v>
      </c>
      <c r="L363" s="296">
        <v>0</v>
      </c>
      <c r="M363" s="296">
        <v>1080</v>
      </c>
      <c r="N363" s="297">
        <v>0.3927272727272727</v>
      </c>
    </row>
    <row r="364" spans="1:14" ht="18" customHeight="1">
      <c r="A364" s="293" t="s">
        <v>1966</v>
      </c>
      <c r="B364" s="294">
        <v>46078</v>
      </c>
      <c r="C364" s="286" t="s">
        <v>168</v>
      </c>
      <c r="D364" s="286" t="s">
        <v>115</v>
      </c>
      <c r="E364" s="295">
        <v>1</v>
      </c>
      <c r="F364" s="295">
        <v>1</v>
      </c>
      <c r="G364" s="296">
        <v>0</v>
      </c>
      <c r="H364" s="296">
        <v>2000</v>
      </c>
      <c r="I364" s="296">
        <v>1450</v>
      </c>
      <c r="J364" s="296">
        <v>1522.5</v>
      </c>
      <c r="K364" s="296">
        <v>477.5</v>
      </c>
      <c r="L364" s="296">
        <v>0</v>
      </c>
      <c r="M364" s="296">
        <v>550</v>
      </c>
      <c r="N364" s="297">
        <v>0.27500000000000002</v>
      </c>
    </row>
    <row r="365" spans="1:14" ht="18" customHeight="1">
      <c r="A365" s="293" t="s">
        <v>1967</v>
      </c>
      <c r="B365" s="294">
        <v>46078</v>
      </c>
      <c r="C365" s="286" t="s">
        <v>168</v>
      </c>
      <c r="D365" s="286" t="s">
        <v>153</v>
      </c>
      <c r="E365" s="295">
        <v>5</v>
      </c>
      <c r="F365" s="295">
        <v>12</v>
      </c>
      <c r="G365" s="296">
        <v>0</v>
      </c>
      <c r="H365" s="296">
        <v>8740</v>
      </c>
      <c r="I365" s="296">
        <v>5488</v>
      </c>
      <c r="J365" s="296">
        <v>5652.6399999999994</v>
      </c>
      <c r="K365" s="296">
        <v>3087.3599999999997</v>
      </c>
      <c r="L365" s="296">
        <v>0</v>
      </c>
      <c r="M365" s="296">
        <v>3252</v>
      </c>
      <c r="N365" s="297">
        <v>0.37208237986270021</v>
      </c>
    </row>
    <row r="366" spans="1:14" ht="18" customHeight="1">
      <c r="A366" s="293" t="s">
        <v>1968</v>
      </c>
      <c r="B366" s="294">
        <v>46079</v>
      </c>
      <c r="C366" s="286" t="s">
        <v>168</v>
      </c>
      <c r="D366" s="286" t="s">
        <v>154</v>
      </c>
      <c r="E366" s="295">
        <v>1</v>
      </c>
      <c r="F366" s="295">
        <v>1</v>
      </c>
      <c r="G366" s="296">
        <v>0</v>
      </c>
      <c r="H366" s="296">
        <v>270</v>
      </c>
      <c r="I366" s="296">
        <v>100</v>
      </c>
      <c r="J366" s="296">
        <v>105</v>
      </c>
      <c r="K366" s="296">
        <v>165</v>
      </c>
      <c r="L366" s="296">
        <v>0</v>
      </c>
      <c r="M366" s="296">
        <v>170</v>
      </c>
      <c r="N366" s="297">
        <v>0.62962962962962965</v>
      </c>
    </row>
    <row r="367" spans="1:14" ht="18" customHeight="1">
      <c r="A367" s="293" t="s">
        <v>1969</v>
      </c>
      <c r="B367" s="294">
        <v>46079</v>
      </c>
      <c r="C367" s="286" t="s">
        <v>3773</v>
      </c>
      <c r="D367" s="286" t="s">
        <v>102</v>
      </c>
      <c r="E367" s="295">
        <v>1</v>
      </c>
      <c r="F367" s="295">
        <v>1</v>
      </c>
      <c r="G367" s="296">
        <v>0</v>
      </c>
      <c r="H367" s="296">
        <v>1900</v>
      </c>
      <c r="I367" s="296">
        <v>1350</v>
      </c>
      <c r="J367" s="296">
        <v>1417.5</v>
      </c>
      <c r="K367" s="296">
        <v>482.5</v>
      </c>
      <c r="L367" s="296">
        <v>144.75</v>
      </c>
      <c r="M367" s="296">
        <v>550</v>
      </c>
      <c r="N367" s="297">
        <v>0.28947368421052633</v>
      </c>
    </row>
    <row r="368" spans="1:14" ht="18" customHeight="1">
      <c r="A368" s="293" t="s">
        <v>1970</v>
      </c>
      <c r="B368" s="294">
        <v>46079</v>
      </c>
      <c r="C368" s="286" t="s">
        <v>168</v>
      </c>
      <c r="D368" s="286" t="s">
        <v>155</v>
      </c>
      <c r="E368" s="295">
        <v>5</v>
      </c>
      <c r="F368" s="295">
        <v>31</v>
      </c>
      <c r="G368" s="296">
        <v>0</v>
      </c>
      <c r="H368" s="296">
        <v>14405</v>
      </c>
      <c r="I368" s="296">
        <v>11545</v>
      </c>
      <c r="J368" s="296">
        <v>11891.35</v>
      </c>
      <c r="K368" s="296">
        <v>2513.6499999999987</v>
      </c>
      <c r="L368" s="296">
        <v>0</v>
      </c>
      <c r="M368" s="296">
        <v>2860</v>
      </c>
      <c r="N368" s="297">
        <v>0.19854217285664699</v>
      </c>
    </row>
    <row r="369" spans="1:14" ht="18" customHeight="1">
      <c r="A369" s="293" t="s">
        <v>1971</v>
      </c>
      <c r="B369" s="294">
        <v>46079</v>
      </c>
      <c r="C369" s="286" t="s">
        <v>353</v>
      </c>
      <c r="D369" s="286" t="s">
        <v>108</v>
      </c>
      <c r="E369" s="295">
        <v>2</v>
      </c>
      <c r="F369" s="295">
        <v>2</v>
      </c>
      <c r="G369" s="296">
        <v>0</v>
      </c>
      <c r="H369" s="296">
        <v>778</v>
      </c>
      <c r="I369" s="296">
        <v>365</v>
      </c>
      <c r="J369" s="296">
        <v>383.25</v>
      </c>
      <c r="K369" s="296">
        <v>394.75</v>
      </c>
      <c r="L369" s="296">
        <v>118.42499999999998</v>
      </c>
      <c r="M369" s="296">
        <v>413</v>
      </c>
      <c r="N369" s="297">
        <v>0.53084832904884316</v>
      </c>
    </row>
    <row r="370" spans="1:14" ht="18" customHeight="1">
      <c r="A370" s="293" t="s">
        <v>1972</v>
      </c>
      <c r="B370" s="294">
        <v>46079</v>
      </c>
      <c r="C370" s="286" t="s">
        <v>168</v>
      </c>
      <c r="D370" s="286" t="s">
        <v>156</v>
      </c>
      <c r="E370" s="295">
        <v>2</v>
      </c>
      <c r="F370" s="295">
        <v>2</v>
      </c>
      <c r="G370" s="296">
        <v>0</v>
      </c>
      <c r="H370" s="296">
        <v>2600</v>
      </c>
      <c r="I370" s="296">
        <v>1500</v>
      </c>
      <c r="J370" s="296">
        <v>1575</v>
      </c>
      <c r="K370" s="296">
        <v>1025</v>
      </c>
      <c r="L370" s="296">
        <v>0</v>
      </c>
      <c r="M370" s="296">
        <v>1100</v>
      </c>
      <c r="N370" s="297">
        <v>0.42307692307692307</v>
      </c>
    </row>
    <row r="371" spans="1:14" ht="18" customHeight="1">
      <c r="A371" s="293" t="s">
        <v>1973</v>
      </c>
      <c r="B371" s="294">
        <v>46079</v>
      </c>
      <c r="C371" s="286" t="s">
        <v>168</v>
      </c>
      <c r="D371" s="286" t="s">
        <v>92</v>
      </c>
      <c r="E371" s="295">
        <v>2</v>
      </c>
      <c r="F371" s="295">
        <v>2</v>
      </c>
      <c r="G371" s="296">
        <v>0</v>
      </c>
      <c r="H371" s="296">
        <v>2450</v>
      </c>
      <c r="I371" s="296">
        <v>1450</v>
      </c>
      <c r="J371" s="296">
        <v>1522.5</v>
      </c>
      <c r="K371" s="296">
        <v>927.5</v>
      </c>
      <c r="L371" s="296">
        <v>0</v>
      </c>
      <c r="M371" s="296">
        <v>1000</v>
      </c>
      <c r="N371" s="297">
        <v>0.40816326530612246</v>
      </c>
    </row>
    <row r="372" spans="1:14" ht="18" customHeight="1">
      <c r="A372" s="293" t="s">
        <v>1974</v>
      </c>
      <c r="B372" s="294">
        <v>46079</v>
      </c>
      <c r="C372" s="286" t="s">
        <v>354</v>
      </c>
      <c r="D372" s="286" t="s">
        <v>109</v>
      </c>
      <c r="E372" s="295">
        <v>2</v>
      </c>
      <c r="F372" s="295">
        <v>2</v>
      </c>
      <c r="G372" s="296">
        <v>0</v>
      </c>
      <c r="H372" s="296">
        <v>4100</v>
      </c>
      <c r="I372" s="296">
        <v>2750</v>
      </c>
      <c r="J372" s="296">
        <v>2887.5</v>
      </c>
      <c r="K372" s="296">
        <v>1212.5</v>
      </c>
      <c r="L372" s="296">
        <v>363.75</v>
      </c>
      <c r="M372" s="296">
        <v>1350</v>
      </c>
      <c r="N372" s="297">
        <v>0.32926829268292684</v>
      </c>
    </row>
    <row r="373" spans="1:14" ht="18" customHeight="1">
      <c r="A373" s="293" t="s">
        <v>1975</v>
      </c>
      <c r="B373" s="294">
        <v>46079</v>
      </c>
      <c r="C373" s="286" t="s">
        <v>353</v>
      </c>
      <c r="D373" s="286" t="s">
        <v>103</v>
      </c>
      <c r="E373" s="295">
        <v>2</v>
      </c>
      <c r="F373" s="295">
        <v>2</v>
      </c>
      <c r="G373" s="296">
        <v>0</v>
      </c>
      <c r="H373" s="296">
        <v>3800</v>
      </c>
      <c r="I373" s="296">
        <v>2650</v>
      </c>
      <c r="J373" s="296">
        <v>2782.5</v>
      </c>
      <c r="K373" s="296">
        <v>1017.5</v>
      </c>
      <c r="L373" s="296">
        <v>305.25</v>
      </c>
      <c r="M373" s="296">
        <v>1150</v>
      </c>
      <c r="N373" s="297">
        <v>0.30263157894736842</v>
      </c>
    </row>
    <row r="374" spans="1:14" ht="18" customHeight="1">
      <c r="A374" s="293" t="s">
        <v>1976</v>
      </c>
      <c r="B374" s="294">
        <v>46079</v>
      </c>
      <c r="C374" s="286" t="s">
        <v>359</v>
      </c>
      <c r="D374" s="286" t="s">
        <v>114</v>
      </c>
      <c r="E374" s="295">
        <v>1</v>
      </c>
      <c r="F374" s="295">
        <v>1</v>
      </c>
      <c r="G374" s="296">
        <v>0</v>
      </c>
      <c r="H374" s="296">
        <v>8000</v>
      </c>
      <c r="I374" s="296">
        <v>7684</v>
      </c>
      <c r="J374" s="296">
        <v>8068.2000000000007</v>
      </c>
      <c r="K374" s="296">
        <v>-68.200000000000728</v>
      </c>
      <c r="L374" s="296">
        <v>-20.460000000000218</v>
      </c>
      <c r="M374" s="296">
        <v>316</v>
      </c>
      <c r="N374" s="297">
        <v>3.95E-2</v>
      </c>
    </row>
    <row r="375" spans="1:14" ht="18" customHeight="1">
      <c r="A375" s="293" t="s">
        <v>1977</v>
      </c>
      <c r="B375" s="294">
        <v>46079</v>
      </c>
      <c r="C375" s="286" t="s">
        <v>168</v>
      </c>
      <c r="D375" s="286" t="s">
        <v>121</v>
      </c>
      <c r="E375" s="295">
        <v>4</v>
      </c>
      <c r="F375" s="295">
        <v>11</v>
      </c>
      <c r="G375" s="296">
        <v>0</v>
      </c>
      <c r="H375" s="296">
        <v>2388</v>
      </c>
      <c r="I375" s="296">
        <v>1182</v>
      </c>
      <c r="J375" s="296">
        <v>1241.0999999999999</v>
      </c>
      <c r="K375" s="296">
        <v>1146.9000000000001</v>
      </c>
      <c r="L375" s="296">
        <v>0</v>
      </c>
      <c r="M375" s="296">
        <v>1206</v>
      </c>
      <c r="N375" s="297">
        <v>0.50502512562814073</v>
      </c>
    </row>
    <row r="376" spans="1:14" ht="18" customHeight="1">
      <c r="A376" s="293" t="s">
        <v>1978</v>
      </c>
      <c r="B376" s="294">
        <v>46079</v>
      </c>
      <c r="C376" s="286" t="s">
        <v>353</v>
      </c>
      <c r="D376" s="286" t="s">
        <v>94</v>
      </c>
      <c r="E376" s="295">
        <v>2</v>
      </c>
      <c r="F376" s="295">
        <v>2</v>
      </c>
      <c r="G376" s="296">
        <v>0</v>
      </c>
      <c r="H376" s="296">
        <v>3500</v>
      </c>
      <c r="I376" s="296">
        <v>2500</v>
      </c>
      <c r="J376" s="296">
        <v>2625</v>
      </c>
      <c r="K376" s="296">
        <v>875</v>
      </c>
      <c r="L376" s="296">
        <v>262.5</v>
      </c>
      <c r="M376" s="296">
        <v>1000</v>
      </c>
      <c r="N376" s="297">
        <v>0.2857142857142857</v>
      </c>
    </row>
    <row r="377" spans="1:14" ht="18" customHeight="1">
      <c r="A377" s="293" t="s">
        <v>1979</v>
      </c>
      <c r="B377" s="294">
        <v>46079</v>
      </c>
      <c r="C377" s="286" t="s">
        <v>168</v>
      </c>
      <c r="D377" s="286" t="s">
        <v>105</v>
      </c>
      <c r="E377" s="295">
        <v>1</v>
      </c>
      <c r="F377" s="295">
        <v>1</v>
      </c>
      <c r="G377" s="296">
        <v>0</v>
      </c>
      <c r="H377" s="296">
        <v>2100</v>
      </c>
      <c r="I377" s="296">
        <v>1380</v>
      </c>
      <c r="J377" s="296">
        <v>1449</v>
      </c>
      <c r="K377" s="296">
        <v>651</v>
      </c>
      <c r="L377" s="296">
        <v>0</v>
      </c>
      <c r="M377" s="296">
        <v>720</v>
      </c>
      <c r="N377" s="297">
        <v>0.34285714285714286</v>
      </c>
    </row>
    <row r="378" spans="1:14" ht="18" customHeight="1">
      <c r="A378" s="293" t="s">
        <v>1980</v>
      </c>
      <c r="B378" s="294">
        <v>46079</v>
      </c>
      <c r="C378" s="286" t="s">
        <v>168</v>
      </c>
      <c r="D378" s="286" t="s">
        <v>115</v>
      </c>
      <c r="E378" s="295">
        <v>1</v>
      </c>
      <c r="F378" s="295">
        <v>1</v>
      </c>
      <c r="G378" s="296">
        <v>0</v>
      </c>
      <c r="H378" s="296">
        <v>1900</v>
      </c>
      <c r="I378" s="296">
        <v>1300</v>
      </c>
      <c r="J378" s="296">
        <v>1365</v>
      </c>
      <c r="K378" s="296">
        <v>535</v>
      </c>
      <c r="L378" s="296">
        <v>0</v>
      </c>
      <c r="M378" s="296">
        <v>600</v>
      </c>
      <c r="N378" s="297">
        <v>0.31578947368421051</v>
      </c>
    </row>
    <row r="379" spans="1:14" ht="18" customHeight="1">
      <c r="A379" s="293" t="s">
        <v>1981</v>
      </c>
      <c r="B379" s="294">
        <v>46079</v>
      </c>
      <c r="C379" s="286" t="s">
        <v>168</v>
      </c>
      <c r="D379" s="286" t="s">
        <v>128</v>
      </c>
      <c r="E379" s="295">
        <v>1</v>
      </c>
      <c r="F379" s="295">
        <v>1</v>
      </c>
      <c r="G379" s="296">
        <v>0</v>
      </c>
      <c r="H379" s="296">
        <v>600</v>
      </c>
      <c r="I379" s="296">
        <v>280</v>
      </c>
      <c r="J379" s="296">
        <v>294</v>
      </c>
      <c r="K379" s="296">
        <v>306</v>
      </c>
      <c r="L379" s="296">
        <v>0</v>
      </c>
      <c r="M379" s="296">
        <v>320</v>
      </c>
      <c r="N379" s="297">
        <v>0.53333333333333333</v>
      </c>
    </row>
    <row r="380" spans="1:14" ht="18" customHeight="1">
      <c r="A380" s="293" t="s">
        <v>1982</v>
      </c>
      <c r="B380" s="294">
        <v>46079</v>
      </c>
      <c r="C380" s="286" t="s">
        <v>358</v>
      </c>
      <c r="D380" s="286" t="s">
        <v>98</v>
      </c>
      <c r="E380" s="295">
        <v>1</v>
      </c>
      <c r="F380" s="295">
        <v>1</v>
      </c>
      <c r="G380" s="296">
        <v>0</v>
      </c>
      <c r="H380" s="296">
        <v>8000</v>
      </c>
      <c r="I380" s="296">
        <v>7684</v>
      </c>
      <c r="J380" s="296">
        <v>8068.2000000000007</v>
      </c>
      <c r="K380" s="296">
        <v>-68.200000000000728</v>
      </c>
      <c r="L380" s="296">
        <v>-20.460000000000218</v>
      </c>
      <c r="M380" s="296">
        <v>316</v>
      </c>
      <c r="N380" s="297">
        <v>3.95E-2</v>
      </c>
    </row>
    <row r="381" spans="1:14" ht="18" customHeight="1">
      <c r="A381" s="293" t="s">
        <v>1983</v>
      </c>
      <c r="B381" s="294">
        <v>46079</v>
      </c>
      <c r="C381" s="286" t="s">
        <v>168</v>
      </c>
      <c r="D381" s="286" t="s">
        <v>99</v>
      </c>
      <c r="E381" s="295">
        <v>6</v>
      </c>
      <c r="F381" s="295">
        <v>21.4</v>
      </c>
      <c r="G381" s="296">
        <v>0</v>
      </c>
      <c r="H381" s="296">
        <v>8885</v>
      </c>
      <c r="I381" s="296">
        <v>4547</v>
      </c>
      <c r="J381" s="296">
        <v>4700.47</v>
      </c>
      <c r="K381" s="296">
        <v>4184.53</v>
      </c>
      <c r="L381" s="296">
        <v>0</v>
      </c>
      <c r="M381" s="296">
        <v>4338</v>
      </c>
      <c r="N381" s="297">
        <v>0.48823860438942035</v>
      </c>
    </row>
    <row r="382" spans="1:14" ht="18" customHeight="1">
      <c r="A382" s="293" t="s">
        <v>1984</v>
      </c>
      <c r="B382" s="294">
        <v>46080</v>
      </c>
      <c r="C382" s="286" t="s">
        <v>168</v>
      </c>
      <c r="D382" s="286" t="s">
        <v>155</v>
      </c>
      <c r="E382" s="295">
        <v>5</v>
      </c>
      <c r="F382" s="295">
        <v>24</v>
      </c>
      <c r="G382" s="296">
        <v>0</v>
      </c>
      <c r="H382" s="296">
        <v>8890</v>
      </c>
      <c r="I382" s="296">
        <v>1681.2</v>
      </c>
      <c r="J382" s="296">
        <v>1731.636</v>
      </c>
      <c r="K382" s="296">
        <v>7158.3639999999996</v>
      </c>
      <c r="L382" s="296">
        <v>0</v>
      </c>
      <c r="M382" s="296">
        <v>7208.8</v>
      </c>
      <c r="N382" s="297">
        <v>0.81088863892013496</v>
      </c>
    </row>
    <row r="383" spans="1:14" ht="18" customHeight="1">
      <c r="A383" s="293" t="s">
        <v>1985</v>
      </c>
      <c r="B383" s="294">
        <v>46080</v>
      </c>
      <c r="C383" s="286" t="s">
        <v>168</v>
      </c>
      <c r="D383" s="286" t="s">
        <v>112</v>
      </c>
      <c r="E383" s="295">
        <v>4</v>
      </c>
      <c r="F383" s="295">
        <v>9</v>
      </c>
      <c r="G383" s="296">
        <v>0</v>
      </c>
      <c r="H383" s="296">
        <v>726</v>
      </c>
      <c r="I383" s="296">
        <v>181.72</v>
      </c>
      <c r="J383" s="296">
        <v>187.17160000000001</v>
      </c>
      <c r="K383" s="296">
        <v>538.82839999999999</v>
      </c>
      <c r="L383" s="296">
        <v>0</v>
      </c>
      <c r="M383" s="296">
        <v>544.28</v>
      </c>
      <c r="N383" s="297">
        <v>0.74969696969696964</v>
      </c>
    </row>
    <row r="384" spans="1:14" ht="18" customHeight="1">
      <c r="A384" s="293" t="s">
        <v>1986</v>
      </c>
      <c r="B384" s="294">
        <v>46080</v>
      </c>
      <c r="C384" s="286" t="s">
        <v>168</v>
      </c>
      <c r="D384" s="286" t="s">
        <v>156</v>
      </c>
      <c r="E384" s="295">
        <v>2</v>
      </c>
      <c r="F384" s="295">
        <v>2</v>
      </c>
      <c r="G384" s="296">
        <v>0</v>
      </c>
      <c r="H384" s="296">
        <v>3700</v>
      </c>
      <c r="I384" s="296">
        <v>2500</v>
      </c>
      <c r="J384" s="296">
        <v>2625</v>
      </c>
      <c r="K384" s="296">
        <v>1075</v>
      </c>
      <c r="L384" s="296">
        <v>0</v>
      </c>
      <c r="M384" s="296">
        <v>1200</v>
      </c>
      <c r="N384" s="297">
        <v>0.32432432432432434</v>
      </c>
    </row>
    <row r="385" spans="1:14" ht="18" customHeight="1">
      <c r="A385" s="293" t="s">
        <v>1987</v>
      </c>
      <c r="B385" s="294">
        <v>46080</v>
      </c>
      <c r="C385" s="286" t="s">
        <v>168</v>
      </c>
      <c r="D385" s="286" t="s">
        <v>148</v>
      </c>
      <c r="E385" s="295">
        <v>1</v>
      </c>
      <c r="F385" s="295">
        <v>1</v>
      </c>
      <c r="G385" s="296">
        <v>0</v>
      </c>
      <c r="H385" s="296">
        <v>1800</v>
      </c>
      <c r="I385" s="296">
        <v>1100</v>
      </c>
      <c r="J385" s="296">
        <v>1155</v>
      </c>
      <c r="K385" s="296">
        <v>645</v>
      </c>
      <c r="L385" s="296">
        <v>0</v>
      </c>
      <c r="M385" s="296">
        <v>700</v>
      </c>
      <c r="N385" s="297">
        <v>0.3888888888888889</v>
      </c>
    </row>
    <row r="386" spans="1:14" ht="18" customHeight="1">
      <c r="A386" s="293" t="s">
        <v>1988</v>
      </c>
      <c r="B386" s="294">
        <v>46080</v>
      </c>
      <c r="C386" s="286" t="s">
        <v>168</v>
      </c>
      <c r="D386" s="286" t="s">
        <v>96</v>
      </c>
      <c r="E386" s="295">
        <v>4</v>
      </c>
      <c r="F386" s="295">
        <v>4</v>
      </c>
      <c r="G386" s="296">
        <v>0</v>
      </c>
      <c r="H386" s="296">
        <v>4400</v>
      </c>
      <c r="I386" s="296">
        <v>1750</v>
      </c>
      <c r="J386" s="296">
        <v>1837.5</v>
      </c>
      <c r="K386" s="296">
        <v>2562.5</v>
      </c>
      <c r="L386" s="296">
        <v>0</v>
      </c>
      <c r="M386" s="296">
        <v>2650</v>
      </c>
      <c r="N386" s="297">
        <v>0.60227272727272729</v>
      </c>
    </row>
    <row r="387" spans="1:14" ht="18" customHeight="1">
      <c r="A387" s="293" t="s">
        <v>1989</v>
      </c>
      <c r="B387" s="294">
        <v>46080</v>
      </c>
      <c r="C387" s="286" t="s">
        <v>168</v>
      </c>
      <c r="D387" s="286" t="s">
        <v>129</v>
      </c>
      <c r="E387" s="295">
        <v>7</v>
      </c>
      <c r="F387" s="295">
        <v>15.4</v>
      </c>
      <c r="G387" s="296">
        <v>0</v>
      </c>
      <c r="H387" s="296">
        <v>1788</v>
      </c>
      <c r="I387" s="296">
        <v>931.30000000000007</v>
      </c>
      <c r="J387" s="296">
        <v>960.01900000000012</v>
      </c>
      <c r="K387" s="296">
        <v>827.98099999999988</v>
      </c>
      <c r="L387" s="296">
        <v>0</v>
      </c>
      <c r="M387" s="296">
        <v>856.69999999999993</v>
      </c>
      <c r="N387" s="297">
        <v>0.47913870246085005</v>
      </c>
    </row>
    <row r="388" spans="1:14" ht="18" customHeight="1">
      <c r="A388" s="293" t="s">
        <v>1990</v>
      </c>
      <c r="B388" s="294">
        <v>46080</v>
      </c>
      <c r="C388" s="286" t="s">
        <v>168</v>
      </c>
      <c r="D388" s="286" t="s">
        <v>122</v>
      </c>
      <c r="E388" s="295">
        <v>1</v>
      </c>
      <c r="F388" s="295">
        <v>20</v>
      </c>
      <c r="G388" s="296">
        <v>0</v>
      </c>
      <c r="H388" s="296">
        <v>500</v>
      </c>
      <c r="I388" s="296">
        <v>380</v>
      </c>
      <c r="J388" s="296">
        <v>391.40000000000003</v>
      </c>
      <c r="K388" s="296">
        <v>108.59999999999997</v>
      </c>
      <c r="L388" s="296">
        <v>0</v>
      </c>
      <c r="M388" s="296">
        <v>120</v>
      </c>
      <c r="N388" s="297">
        <v>0.24</v>
      </c>
    </row>
    <row r="389" spans="1:14" ht="18" customHeight="1">
      <c r="A389" s="293" t="s">
        <v>1991</v>
      </c>
      <c r="B389" s="294">
        <v>46080</v>
      </c>
      <c r="C389" s="286" t="s">
        <v>168</v>
      </c>
      <c r="D389" s="286" t="s">
        <v>99</v>
      </c>
      <c r="E389" s="295">
        <v>2</v>
      </c>
      <c r="F389" s="295">
        <v>2</v>
      </c>
      <c r="G389" s="296">
        <v>0</v>
      </c>
      <c r="H389" s="296">
        <v>228</v>
      </c>
      <c r="I389" s="296">
        <v>81</v>
      </c>
      <c r="J389" s="296">
        <v>85.05</v>
      </c>
      <c r="K389" s="296">
        <v>142.94999999999999</v>
      </c>
      <c r="L389" s="296">
        <v>0</v>
      </c>
      <c r="M389" s="296">
        <v>147</v>
      </c>
      <c r="N389" s="297">
        <v>0.64473684210526316</v>
      </c>
    </row>
    <row r="390" spans="1:14" ht="18" customHeight="1">
      <c r="A390" s="293" t="s">
        <v>1992</v>
      </c>
      <c r="B390" s="294">
        <v>46080</v>
      </c>
      <c r="C390" s="286" t="s">
        <v>348</v>
      </c>
      <c r="D390" s="286" t="s">
        <v>157</v>
      </c>
      <c r="E390" s="295">
        <v>2</v>
      </c>
      <c r="F390" s="295">
        <v>2</v>
      </c>
      <c r="G390" s="296">
        <v>0</v>
      </c>
      <c r="H390" s="296">
        <v>6500</v>
      </c>
      <c r="I390" s="296">
        <v>3678</v>
      </c>
      <c r="J390" s="296">
        <v>3861.9</v>
      </c>
      <c r="K390" s="296">
        <v>2638.1</v>
      </c>
      <c r="L390" s="296">
        <v>791.43</v>
      </c>
      <c r="M390" s="296">
        <v>2822</v>
      </c>
      <c r="N390" s="297">
        <v>0.43415384615384617</v>
      </c>
    </row>
    <row r="391" spans="1:14" ht="18" customHeight="1">
      <c r="A391" s="293" t="s">
        <v>1993</v>
      </c>
      <c r="B391" s="294">
        <v>46081</v>
      </c>
      <c r="C391" s="286" t="s">
        <v>348</v>
      </c>
      <c r="D391" s="286" t="s">
        <v>101</v>
      </c>
      <c r="E391" s="295">
        <v>1</v>
      </c>
      <c r="F391" s="295">
        <v>2</v>
      </c>
      <c r="G391" s="296">
        <v>0</v>
      </c>
      <c r="H391" s="296">
        <v>700</v>
      </c>
      <c r="I391" s="296">
        <v>410</v>
      </c>
      <c r="J391" s="296">
        <v>422.3</v>
      </c>
      <c r="K391" s="296">
        <v>277.7</v>
      </c>
      <c r="L391" s="296">
        <v>83.309999999999988</v>
      </c>
      <c r="M391" s="296">
        <v>290</v>
      </c>
      <c r="N391" s="297">
        <v>0.41428571428571431</v>
      </c>
    </row>
    <row r="392" spans="1:14" ht="18" customHeight="1">
      <c r="A392" s="293" t="s">
        <v>1994</v>
      </c>
      <c r="B392" s="294">
        <v>46081</v>
      </c>
      <c r="C392" s="286" t="s">
        <v>3773</v>
      </c>
      <c r="D392" s="286" t="s">
        <v>102</v>
      </c>
      <c r="E392" s="295">
        <v>3</v>
      </c>
      <c r="F392" s="295">
        <v>3</v>
      </c>
      <c r="G392" s="296">
        <v>0</v>
      </c>
      <c r="H392" s="296">
        <v>2650</v>
      </c>
      <c r="I392" s="296">
        <v>1290</v>
      </c>
      <c r="J392" s="296">
        <v>1354.5</v>
      </c>
      <c r="K392" s="296">
        <v>1295.5</v>
      </c>
      <c r="L392" s="296">
        <v>388.65000000000003</v>
      </c>
      <c r="M392" s="296">
        <v>1360</v>
      </c>
      <c r="N392" s="297">
        <v>0.51320754716981132</v>
      </c>
    </row>
    <row r="393" spans="1:14" ht="18" customHeight="1">
      <c r="A393" s="293" t="s">
        <v>1995</v>
      </c>
      <c r="B393" s="294">
        <v>46081</v>
      </c>
      <c r="C393" s="286" t="s">
        <v>168</v>
      </c>
      <c r="D393" s="286" t="s">
        <v>113</v>
      </c>
      <c r="E393" s="295">
        <v>2</v>
      </c>
      <c r="F393" s="295">
        <v>6</v>
      </c>
      <c r="G393" s="296">
        <v>0</v>
      </c>
      <c r="H393" s="296">
        <v>8450</v>
      </c>
      <c r="I393" s="296">
        <v>7899</v>
      </c>
      <c r="J393" s="296">
        <v>8293.9500000000007</v>
      </c>
      <c r="K393" s="296">
        <v>156.04999999999927</v>
      </c>
      <c r="L393" s="296">
        <v>0</v>
      </c>
      <c r="M393" s="296">
        <v>551</v>
      </c>
      <c r="N393" s="297">
        <v>6.5207100591715972E-2</v>
      </c>
    </row>
    <row r="394" spans="1:14" ht="18" customHeight="1">
      <c r="A394" s="293" t="s">
        <v>1996</v>
      </c>
      <c r="B394" s="294">
        <v>46081</v>
      </c>
      <c r="C394" s="286" t="s">
        <v>354</v>
      </c>
      <c r="D394" s="286" t="s">
        <v>109</v>
      </c>
      <c r="E394" s="295">
        <v>2</v>
      </c>
      <c r="F394" s="295">
        <v>2</v>
      </c>
      <c r="G394" s="296">
        <v>0</v>
      </c>
      <c r="H394" s="296">
        <v>3700</v>
      </c>
      <c r="I394" s="296">
        <v>2250</v>
      </c>
      <c r="J394" s="296">
        <v>2362.5</v>
      </c>
      <c r="K394" s="296">
        <v>1337.5</v>
      </c>
      <c r="L394" s="296">
        <v>401.25</v>
      </c>
      <c r="M394" s="296">
        <v>1450</v>
      </c>
      <c r="N394" s="297">
        <v>0.39189189189189189</v>
      </c>
    </row>
    <row r="395" spans="1:14" ht="18" customHeight="1">
      <c r="A395" s="293" t="s">
        <v>1997</v>
      </c>
      <c r="B395" s="294">
        <v>46081</v>
      </c>
      <c r="C395" s="286" t="s">
        <v>168</v>
      </c>
      <c r="D395" s="286" t="s">
        <v>121</v>
      </c>
      <c r="E395" s="295">
        <v>3</v>
      </c>
      <c r="F395" s="295">
        <v>3</v>
      </c>
      <c r="G395" s="296">
        <v>0</v>
      </c>
      <c r="H395" s="296">
        <v>3250</v>
      </c>
      <c r="I395" s="296">
        <v>1925</v>
      </c>
      <c r="J395" s="296">
        <v>2021.25</v>
      </c>
      <c r="K395" s="296">
        <v>1228.75</v>
      </c>
      <c r="L395" s="296">
        <v>0</v>
      </c>
      <c r="M395" s="296">
        <v>1325</v>
      </c>
      <c r="N395" s="297">
        <v>0.40769230769230769</v>
      </c>
    </row>
    <row r="396" spans="1:14" ht="18" customHeight="1">
      <c r="A396" s="293" t="s">
        <v>1998</v>
      </c>
      <c r="B396" s="294">
        <v>46081</v>
      </c>
      <c r="C396" s="286" t="s">
        <v>353</v>
      </c>
      <c r="D396" s="286" t="s">
        <v>94</v>
      </c>
      <c r="E396" s="295">
        <v>5</v>
      </c>
      <c r="F396" s="295">
        <v>5</v>
      </c>
      <c r="G396" s="296">
        <v>0</v>
      </c>
      <c r="H396" s="296">
        <v>4780</v>
      </c>
      <c r="I396" s="296">
        <v>2755</v>
      </c>
      <c r="J396" s="296">
        <v>2887.75</v>
      </c>
      <c r="K396" s="296">
        <v>1892.25</v>
      </c>
      <c r="L396" s="296">
        <v>567.67499999999995</v>
      </c>
      <c r="M396" s="296">
        <v>2025</v>
      </c>
      <c r="N396" s="297">
        <v>0.42364016736401672</v>
      </c>
    </row>
    <row r="397" spans="1:14" ht="18" customHeight="1">
      <c r="A397" s="293" t="s">
        <v>1999</v>
      </c>
      <c r="B397" s="294">
        <v>46081</v>
      </c>
      <c r="C397" s="286" t="s">
        <v>168</v>
      </c>
      <c r="D397" s="286" t="s">
        <v>97</v>
      </c>
      <c r="E397" s="295">
        <v>2</v>
      </c>
      <c r="F397" s="295">
        <v>2</v>
      </c>
      <c r="G397" s="296">
        <v>0</v>
      </c>
      <c r="H397" s="296">
        <v>2800</v>
      </c>
      <c r="I397" s="296">
        <v>1400</v>
      </c>
      <c r="J397" s="296">
        <v>1470</v>
      </c>
      <c r="K397" s="296">
        <v>1330</v>
      </c>
      <c r="L397" s="296">
        <v>0</v>
      </c>
      <c r="M397" s="296">
        <v>1400</v>
      </c>
      <c r="N397" s="297">
        <v>0.5</v>
      </c>
    </row>
    <row r="398" spans="1:14" ht="18" customHeight="1">
      <c r="A398" s="293" t="s">
        <v>2000</v>
      </c>
      <c r="B398" s="294">
        <v>46081</v>
      </c>
      <c r="C398" s="286" t="s">
        <v>168</v>
      </c>
      <c r="D398" s="286" t="s">
        <v>99</v>
      </c>
      <c r="E398" s="295">
        <v>5</v>
      </c>
      <c r="F398" s="295">
        <v>13</v>
      </c>
      <c r="G398" s="296">
        <v>0</v>
      </c>
      <c r="H398" s="296">
        <v>1265</v>
      </c>
      <c r="I398" s="296">
        <v>759</v>
      </c>
      <c r="J398" s="296">
        <v>796.94999999999993</v>
      </c>
      <c r="K398" s="296">
        <v>468.05</v>
      </c>
      <c r="L398" s="296">
        <v>0</v>
      </c>
      <c r="M398" s="296">
        <v>506</v>
      </c>
      <c r="N398" s="297">
        <v>0.4</v>
      </c>
    </row>
    <row r="399" spans="1:14" ht="18" customHeight="1">
      <c r="A399" s="293" t="s">
        <v>2001</v>
      </c>
      <c r="B399" s="294">
        <v>46083</v>
      </c>
      <c r="C399" s="286" t="s">
        <v>3773</v>
      </c>
      <c r="D399" s="286" t="s">
        <v>158</v>
      </c>
      <c r="E399" s="295">
        <v>4</v>
      </c>
      <c r="F399" s="295">
        <v>8</v>
      </c>
      <c r="G399" s="296">
        <v>0</v>
      </c>
      <c r="H399" s="296">
        <v>2255</v>
      </c>
      <c r="I399" s="296">
        <v>315</v>
      </c>
      <c r="J399" s="296">
        <v>324.45000000000005</v>
      </c>
      <c r="K399" s="296">
        <v>1930.55</v>
      </c>
      <c r="L399" s="296">
        <v>579.16500000000008</v>
      </c>
      <c r="M399" s="296">
        <v>1940</v>
      </c>
      <c r="N399" s="297">
        <v>0.86031042128603108</v>
      </c>
    </row>
    <row r="400" spans="1:14" ht="18" customHeight="1">
      <c r="A400" s="293" t="s">
        <v>2002</v>
      </c>
      <c r="B400" s="294">
        <v>46083</v>
      </c>
      <c r="C400" s="286" t="s">
        <v>3773</v>
      </c>
      <c r="D400" s="286" t="s">
        <v>102</v>
      </c>
      <c r="E400" s="295">
        <v>1</v>
      </c>
      <c r="F400" s="295">
        <v>2</v>
      </c>
      <c r="G400" s="296">
        <v>0</v>
      </c>
      <c r="H400" s="296">
        <v>240</v>
      </c>
      <c r="I400" s="296">
        <v>130</v>
      </c>
      <c r="J400" s="296">
        <v>136.5</v>
      </c>
      <c r="K400" s="296">
        <v>103.5</v>
      </c>
      <c r="L400" s="296">
        <v>31.049999999999997</v>
      </c>
      <c r="M400" s="296">
        <v>110</v>
      </c>
      <c r="N400" s="297">
        <v>0.45833333333333331</v>
      </c>
    </row>
    <row r="401" spans="1:14" ht="18" customHeight="1">
      <c r="A401" s="293" t="s">
        <v>2003</v>
      </c>
      <c r="B401" s="294">
        <v>46083</v>
      </c>
      <c r="C401" s="286" t="s">
        <v>353</v>
      </c>
      <c r="D401" s="286" t="s">
        <v>108</v>
      </c>
      <c r="E401" s="295">
        <v>1</v>
      </c>
      <c r="F401" s="295">
        <v>1</v>
      </c>
      <c r="G401" s="296">
        <v>0</v>
      </c>
      <c r="H401" s="296">
        <v>405</v>
      </c>
      <c r="I401" s="296">
        <v>180</v>
      </c>
      <c r="J401" s="296">
        <v>189</v>
      </c>
      <c r="K401" s="296">
        <v>216</v>
      </c>
      <c r="L401" s="296">
        <v>64.8</v>
      </c>
      <c r="M401" s="296">
        <v>225</v>
      </c>
      <c r="N401" s="297">
        <v>0.55555555555555558</v>
      </c>
    </row>
    <row r="402" spans="1:14" ht="18" customHeight="1">
      <c r="A402" s="293" t="s">
        <v>2004</v>
      </c>
      <c r="B402" s="294">
        <v>46083</v>
      </c>
      <c r="C402" s="286" t="s">
        <v>168</v>
      </c>
      <c r="D402" s="286" t="s">
        <v>121</v>
      </c>
      <c r="E402" s="295">
        <v>4</v>
      </c>
      <c r="F402" s="295">
        <v>4</v>
      </c>
      <c r="G402" s="296">
        <v>0</v>
      </c>
      <c r="H402" s="296">
        <v>9325</v>
      </c>
      <c r="I402" s="296">
        <v>8444</v>
      </c>
      <c r="J402" s="296">
        <v>8859.6</v>
      </c>
      <c r="K402" s="296">
        <v>465.39999999999924</v>
      </c>
      <c r="L402" s="296">
        <v>0</v>
      </c>
      <c r="M402" s="296">
        <v>881</v>
      </c>
      <c r="N402" s="297">
        <v>9.4477211796246643E-2</v>
      </c>
    </row>
    <row r="403" spans="1:14" ht="18" customHeight="1">
      <c r="A403" s="293" t="s">
        <v>2005</v>
      </c>
      <c r="B403" s="294">
        <v>46083</v>
      </c>
      <c r="C403" s="286" t="s">
        <v>3773</v>
      </c>
      <c r="D403" s="286" t="s">
        <v>116</v>
      </c>
      <c r="E403" s="295">
        <v>1</v>
      </c>
      <c r="F403" s="295">
        <v>2</v>
      </c>
      <c r="G403" s="296">
        <v>0</v>
      </c>
      <c r="H403" s="296">
        <v>1100</v>
      </c>
      <c r="I403" s="296">
        <v>580</v>
      </c>
      <c r="J403" s="296">
        <v>609</v>
      </c>
      <c r="K403" s="296">
        <v>491</v>
      </c>
      <c r="L403" s="296">
        <v>147.29999999999998</v>
      </c>
      <c r="M403" s="296">
        <v>520</v>
      </c>
      <c r="N403" s="297">
        <v>0.47272727272727272</v>
      </c>
    </row>
    <row r="404" spans="1:14" ht="18" customHeight="1">
      <c r="A404" s="293" t="s">
        <v>2006</v>
      </c>
      <c r="B404" s="294">
        <v>46083</v>
      </c>
      <c r="C404" s="286" t="s">
        <v>168</v>
      </c>
      <c r="D404" s="286" t="s">
        <v>96</v>
      </c>
      <c r="E404" s="295">
        <v>7</v>
      </c>
      <c r="F404" s="295">
        <v>7</v>
      </c>
      <c r="G404" s="296">
        <v>0</v>
      </c>
      <c r="H404" s="296">
        <v>5735</v>
      </c>
      <c r="I404" s="296">
        <v>3275</v>
      </c>
      <c r="J404" s="296">
        <v>3432.15</v>
      </c>
      <c r="K404" s="296">
        <v>2302.85</v>
      </c>
      <c r="L404" s="296">
        <v>0</v>
      </c>
      <c r="M404" s="296">
        <v>2460</v>
      </c>
      <c r="N404" s="297">
        <v>0.42894507410636445</v>
      </c>
    </row>
    <row r="405" spans="1:14" ht="18" customHeight="1">
      <c r="A405" s="293" t="s">
        <v>2007</v>
      </c>
      <c r="B405" s="294">
        <v>46083</v>
      </c>
      <c r="C405" s="286" t="s">
        <v>168</v>
      </c>
      <c r="D405" s="286" t="s">
        <v>115</v>
      </c>
      <c r="E405" s="295">
        <v>4</v>
      </c>
      <c r="F405" s="295">
        <v>4</v>
      </c>
      <c r="G405" s="296">
        <v>0</v>
      </c>
      <c r="H405" s="296">
        <v>4150</v>
      </c>
      <c r="I405" s="296">
        <v>2310</v>
      </c>
      <c r="J405" s="296">
        <v>2425.5</v>
      </c>
      <c r="K405" s="296">
        <v>1724.5</v>
      </c>
      <c r="L405" s="296">
        <v>0</v>
      </c>
      <c r="M405" s="296">
        <v>1840</v>
      </c>
      <c r="N405" s="297">
        <v>0.44337349397590359</v>
      </c>
    </row>
    <row r="406" spans="1:14" ht="18" customHeight="1">
      <c r="A406" s="293" t="s">
        <v>2008</v>
      </c>
      <c r="B406" s="294">
        <v>46083</v>
      </c>
      <c r="C406" s="286" t="s">
        <v>168</v>
      </c>
      <c r="D406" s="286" t="s">
        <v>145</v>
      </c>
      <c r="E406" s="295">
        <v>9</v>
      </c>
      <c r="F406" s="295">
        <v>61</v>
      </c>
      <c r="G406" s="296">
        <v>0</v>
      </c>
      <c r="H406" s="296">
        <v>8815</v>
      </c>
      <c r="I406" s="296">
        <v>2252.4</v>
      </c>
      <c r="J406" s="296">
        <v>2329.9720000000002</v>
      </c>
      <c r="K406" s="296">
        <v>6485.0280000000002</v>
      </c>
      <c r="L406" s="296">
        <v>0</v>
      </c>
      <c r="M406" s="296">
        <v>6562.6</v>
      </c>
      <c r="N406" s="297">
        <v>0.74448099829835512</v>
      </c>
    </row>
    <row r="407" spans="1:14" ht="18" customHeight="1">
      <c r="A407" s="293" t="s">
        <v>2009</v>
      </c>
      <c r="B407" s="294">
        <v>46083</v>
      </c>
      <c r="C407" s="286" t="s">
        <v>168</v>
      </c>
      <c r="D407" s="286" t="s">
        <v>129</v>
      </c>
      <c r="E407" s="295">
        <v>1</v>
      </c>
      <c r="F407" s="295">
        <v>16</v>
      </c>
      <c r="G407" s="296">
        <v>0</v>
      </c>
      <c r="H407" s="296">
        <v>2000</v>
      </c>
      <c r="I407" s="296">
        <v>880</v>
      </c>
      <c r="J407" s="296">
        <v>924</v>
      </c>
      <c r="K407" s="296">
        <v>1076</v>
      </c>
      <c r="L407" s="296">
        <v>0</v>
      </c>
      <c r="M407" s="296">
        <v>1120</v>
      </c>
      <c r="N407" s="297">
        <v>0.56000000000000005</v>
      </c>
    </row>
    <row r="408" spans="1:14" ht="18" customHeight="1">
      <c r="A408" s="293" t="s">
        <v>2010</v>
      </c>
      <c r="B408" s="294">
        <v>46083</v>
      </c>
      <c r="C408" s="286" t="s">
        <v>168</v>
      </c>
      <c r="D408" s="286" t="s">
        <v>123</v>
      </c>
      <c r="E408" s="295">
        <v>2</v>
      </c>
      <c r="F408" s="295">
        <v>2</v>
      </c>
      <c r="G408" s="296">
        <v>0</v>
      </c>
      <c r="H408" s="296">
        <v>1550</v>
      </c>
      <c r="I408" s="296">
        <v>660</v>
      </c>
      <c r="J408" s="296">
        <v>693</v>
      </c>
      <c r="K408" s="296">
        <v>857</v>
      </c>
      <c r="L408" s="296">
        <v>0</v>
      </c>
      <c r="M408" s="296">
        <v>890</v>
      </c>
      <c r="N408" s="297">
        <v>0.5741935483870968</v>
      </c>
    </row>
    <row r="409" spans="1:14" ht="18" customHeight="1">
      <c r="A409" s="293" t="s">
        <v>2011</v>
      </c>
      <c r="B409" s="294">
        <v>46083</v>
      </c>
      <c r="C409" s="286" t="s">
        <v>168</v>
      </c>
      <c r="D409" s="286" t="s">
        <v>99</v>
      </c>
      <c r="E409" s="295">
        <v>2</v>
      </c>
      <c r="F409" s="295">
        <v>8</v>
      </c>
      <c r="G409" s="296">
        <v>0</v>
      </c>
      <c r="H409" s="296">
        <v>800</v>
      </c>
      <c r="I409" s="296">
        <v>336</v>
      </c>
      <c r="J409" s="296">
        <v>351.68</v>
      </c>
      <c r="K409" s="296">
        <v>448.32</v>
      </c>
      <c r="L409" s="296">
        <v>0</v>
      </c>
      <c r="M409" s="296">
        <v>464</v>
      </c>
      <c r="N409" s="297">
        <v>0.57999999999999996</v>
      </c>
    </row>
    <row r="410" spans="1:14" ht="18" customHeight="1">
      <c r="A410" s="293" t="s">
        <v>2012</v>
      </c>
      <c r="B410" s="294">
        <v>46084</v>
      </c>
      <c r="C410" s="286" t="s">
        <v>3773</v>
      </c>
      <c r="D410" s="286" t="s">
        <v>102</v>
      </c>
      <c r="E410" s="295">
        <v>2</v>
      </c>
      <c r="F410" s="295">
        <v>2</v>
      </c>
      <c r="G410" s="296">
        <v>0</v>
      </c>
      <c r="H410" s="296">
        <v>9800</v>
      </c>
      <c r="I410" s="296">
        <v>8934</v>
      </c>
      <c r="J410" s="296">
        <v>9380.7000000000007</v>
      </c>
      <c r="K410" s="296">
        <v>419.29999999999927</v>
      </c>
      <c r="L410" s="296">
        <v>125.78999999999978</v>
      </c>
      <c r="M410" s="296">
        <v>866</v>
      </c>
      <c r="N410" s="297">
        <v>8.8367346938775515E-2</v>
      </c>
    </row>
    <row r="411" spans="1:14" ht="18" customHeight="1">
      <c r="A411" s="293" t="s">
        <v>2013</v>
      </c>
      <c r="B411" s="294">
        <v>46084</v>
      </c>
      <c r="C411" s="286" t="s">
        <v>3773</v>
      </c>
      <c r="D411" s="286" t="s">
        <v>126</v>
      </c>
      <c r="E411" s="295">
        <v>1</v>
      </c>
      <c r="F411" s="295">
        <v>4</v>
      </c>
      <c r="G411" s="296">
        <v>0</v>
      </c>
      <c r="H411" s="296">
        <v>2400</v>
      </c>
      <c r="I411" s="296">
        <v>1320</v>
      </c>
      <c r="J411" s="296">
        <v>1386</v>
      </c>
      <c r="K411" s="296">
        <v>1014</v>
      </c>
      <c r="L411" s="296">
        <v>304.2</v>
      </c>
      <c r="M411" s="296">
        <v>1080</v>
      </c>
      <c r="N411" s="297">
        <v>0.45</v>
      </c>
    </row>
    <row r="412" spans="1:14" ht="18" customHeight="1">
      <c r="A412" s="293" t="s">
        <v>2014</v>
      </c>
      <c r="B412" s="294">
        <v>46084</v>
      </c>
      <c r="C412" s="286" t="s">
        <v>3773</v>
      </c>
      <c r="D412" s="286" t="s">
        <v>116</v>
      </c>
      <c r="E412" s="295">
        <v>2</v>
      </c>
      <c r="F412" s="295">
        <v>2</v>
      </c>
      <c r="G412" s="296">
        <v>0</v>
      </c>
      <c r="H412" s="296">
        <v>3800</v>
      </c>
      <c r="I412" s="296">
        <v>2500</v>
      </c>
      <c r="J412" s="296">
        <v>2625</v>
      </c>
      <c r="K412" s="296">
        <v>1175</v>
      </c>
      <c r="L412" s="296">
        <v>352.5</v>
      </c>
      <c r="M412" s="296">
        <v>1300</v>
      </c>
      <c r="N412" s="297">
        <v>0.34210526315789475</v>
      </c>
    </row>
    <row r="413" spans="1:14" ht="18" customHeight="1">
      <c r="A413" s="293" t="s">
        <v>2015</v>
      </c>
      <c r="B413" s="294">
        <v>46084</v>
      </c>
      <c r="C413" s="286" t="s">
        <v>168</v>
      </c>
      <c r="D413" s="286" t="s">
        <v>159</v>
      </c>
      <c r="E413" s="295">
        <v>2</v>
      </c>
      <c r="F413" s="295">
        <v>2</v>
      </c>
      <c r="G413" s="296">
        <v>0</v>
      </c>
      <c r="H413" s="296">
        <v>2142</v>
      </c>
      <c r="I413" s="296">
        <v>950</v>
      </c>
      <c r="J413" s="296">
        <v>997.5</v>
      </c>
      <c r="K413" s="296">
        <v>1144.5</v>
      </c>
      <c r="L413" s="296">
        <v>0</v>
      </c>
      <c r="M413" s="296">
        <v>1192</v>
      </c>
      <c r="N413" s="297">
        <v>0.55648926237161533</v>
      </c>
    </row>
    <row r="414" spans="1:14" ht="18" customHeight="1">
      <c r="A414" s="293" t="s">
        <v>2016</v>
      </c>
      <c r="B414" s="294">
        <v>46084</v>
      </c>
      <c r="C414" s="286" t="s">
        <v>168</v>
      </c>
      <c r="D414" s="286" t="s">
        <v>105</v>
      </c>
      <c r="E414" s="295">
        <v>1</v>
      </c>
      <c r="F414" s="295">
        <v>1</v>
      </c>
      <c r="G414" s="296">
        <v>0</v>
      </c>
      <c r="H414" s="296">
        <v>1900</v>
      </c>
      <c r="I414" s="296">
        <v>1350</v>
      </c>
      <c r="J414" s="296">
        <v>1417.5</v>
      </c>
      <c r="K414" s="296">
        <v>482.5</v>
      </c>
      <c r="L414" s="296">
        <v>0</v>
      </c>
      <c r="M414" s="296">
        <v>550</v>
      </c>
      <c r="N414" s="297">
        <v>0.28947368421052633</v>
      </c>
    </row>
    <row r="415" spans="1:14" ht="18" customHeight="1">
      <c r="A415" s="293" t="s">
        <v>2017</v>
      </c>
      <c r="B415" s="294">
        <v>46084</v>
      </c>
      <c r="C415" s="286" t="s">
        <v>168</v>
      </c>
      <c r="D415" s="286" t="s">
        <v>128</v>
      </c>
      <c r="E415" s="295">
        <v>3</v>
      </c>
      <c r="F415" s="295">
        <v>5</v>
      </c>
      <c r="G415" s="296">
        <v>0</v>
      </c>
      <c r="H415" s="296">
        <v>5340</v>
      </c>
      <c r="I415" s="296">
        <v>3350</v>
      </c>
      <c r="J415" s="296">
        <v>3502.5</v>
      </c>
      <c r="K415" s="296">
        <v>1837.5</v>
      </c>
      <c r="L415" s="296">
        <v>0</v>
      </c>
      <c r="M415" s="296">
        <v>1990</v>
      </c>
      <c r="N415" s="297">
        <v>0.37265917602996257</v>
      </c>
    </row>
    <row r="416" spans="1:14" ht="18" customHeight="1">
      <c r="A416" s="293" t="s">
        <v>2018</v>
      </c>
      <c r="B416" s="294">
        <v>46084</v>
      </c>
      <c r="C416" s="286" t="s">
        <v>168</v>
      </c>
      <c r="D416" s="286" t="s">
        <v>124</v>
      </c>
      <c r="E416" s="295">
        <v>2</v>
      </c>
      <c r="F416" s="295">
        <v>2</v>
      </c>
      <c r="G416" s="296">
        <v>0</v>
      </c>
      <c r="H416" s="296">
        <v>1920</v>
      </c>
      <c r="I416" s="296">
        <v>1270</v>
      </c>
      <c r="J416" s="296">
        <v>1333.5</v>
      </c>
      <c r="K416" s="296">
        <v>586.5</v>
      </c>
      <c r="L416" s="296">
        <v>0</v>
      </c>
      <c r="M416" s="296">
        <v>650</v>
      </c>
      <c r="N416" s="297">
        <v>0.33854166666666669</v>
      </c>
    </row>
    <row r="417" spans="1:14" ht="18" customHeight="1">
      <c r="A417" s="293" t="s">
        <v>2019</v>
      </c>
      <c r="B417" s="294">
        <v>46084</v>
      </c>
      <c r="C417" s="286" t="s">
        <v>351</v>
      </c>
      <c r="D417" s="286" t="s">
        <v>106</v>
      </c>
      <c r="E417" s="295">
        <v>4</v>
      </c>
      <c r="F417" s="295">
        <v>4</v>
      </c>
      <c r="G417" s="296">
        <v>0</v>
      </c>
      <c r="H417" s="296">
        <v>2610</v>
      </c>
      <c r="I417" s="296">
        <v>1322</v>
      </c>
      <c r="J417" s="296">
        <v>1388.1</v>
      </c>
      <c r="K417" s="296">
        <v>1221.9000000000001</v>
      </c>
      <c r="L417" s="296">
        <v>366.57</v>
      </c>
      <c r="M417" s="296">
        <v>1288</v>
      </c>
      <c r="N417" s="297">
        <v>0.49348659003831419</v>
      </c>
    </row>
    <row r="418" spans="1:14" ht="18" customHeight="1">
      <c r="A418" s="293" t="s">
        <v>2020</v>
      </c>
      <c r="B418" s="294">
        <v>46084</v>
      </c>
      <c r="C418" s="286" t="s">
        <v>168</v>
      </c>
      <c r="D418" s="286" t="s">
        <v>99</v>
      </c>
      <c r="E418" s="295">
        <v>2</v>
      </c>
      <c r="F418" s="295">
        <v>3</v>
      </c>
      <c r="G418" s="296">
        <v>0</v>
      </c>
      <c r="H418" s="296">
        <v>1202</v>
      </c>
      <c r="I418" s="296">
        <v>974</v>
      </c>
      <c r="J418" s="296">
        <v>1022.7</v>
      </c>
      <c r="K418" s="296">
        <v>179.3</v>
      </c>
      <c r="L418" s="296">
        <v>0</v>
      </c>
      <c r="M418" s="296">
        <v>228</v>
      </c>
      <c r="N418" s="297">
        <v>0.18968386023294509</v>
      </c>
    </row>
    <row r="419" spans="1:14" ht="18" customHeight="1">
      <c r="A419" s="293" t="s">
        <v>2021</v>
      </c>
      <c r="B419" s="294">
        <v>46085</v>
      </c>
      <c r="C419" s="286" t="s">
        <v>3773</v>
      </c>
      <c r="D419" s="286" t="s">
        <v>102</v>
      </c>
      <c r="E419" s="295">
        <v>1</v>
      </c>
      <c r="F419" s="295">
        <v>1</v>
      </c>
      <c r="G419" s="296">
        <v>0</v>
      </c>
      <c r="H419" s="296">
        <v>550</v>
      </c>
      <c r="I419" s="296">
        <v>270</v>
      </c>
      <c r="J419" s="296">
        <v>283.5</v>
      </c>
      <c r="K419" s="296">
        <v>266.5</v>
      </c>
      <c r="L419" s="296">
        <v>79.95</v>
      </c>
      <c r="M419" s="296">
        <v>280</v>
      </c>
      <c r="N419" s="297">
        <v>0.50909090909090904</v>
      </c>
    </row>
    <row r="420" spans="1:14" ht="18" customHeight="1">
      <c r="A420" s="293" t="s">
        <v>2022</v>
      </c>
      <c r="B420" s="294">
        <v>46085</v>
      </c>
      <c r="C420" s="286" t="s">
        <v>168</v>
      </c>
      <c r="D420" s="286" t="s">
        <v>112</v>
      </c>
      <c r="E420" s="295">
        <v>6</v>
      </c>
      <c r="F420" s="295">
        <v>14.4</v>
      </c>
      <c r="G420" s="296">
        <v>0</v>
      </c>
      <c r="H420" s="296">
        <v>2245</v>
      </c>
      <c r="I420" s="296">
        <v>967.30000000000007</v>
      </c>
      <c r="J420" s="296">
        <v>997.92100000000016</v>
      </c>
      <c r="K420" s="296">
        <v>1247.0789999999997</v>
      </c>
      <c r="L420" s="296">
        <v>0</v>
      </c>
      <c r="M420" s="296">
        <v>1277.6999999999998</v>
      </c>
      <c r="N420" s="297">
        <v>0.56913140311804</v>
      </c>
    </row>
    <row r="421" spans="1:14" ht="18" customHeight="1">
      <c r="A421" s="293" t="s">
        <v>2023</v>
      </c>
      <c r="B421" s="294">
        <v>46085</v>
      </c>
      <c r="C421" s="286" t="s">
        <v>353</v>
      </c>
      <c r="D421" s="286" t="s">
        <v>108</v>
      </c>
      <c r="E421" s="295">
        <v>1</v>
      </c>
      <c r="F421" s="295">
        <v>1</v>
      </c>
      <c r="G421" s="296">
        <v>0</v>
      </c>
      <c r="H421" s="296">
        <v>1800</v>
      </c>
      <c r="I421" s="296">
        <v>1150</v>
      </c>
      <c r="J421" s="296">
        <v>1207.5</v>
      </c>
      <c r="K421" s="296">
        <v>592.5</v>
      </c>
      <c r="L421" s="296">
        <v>177.75</v>
      </c>
      <c r="M421" s="296">
        <v>650</v>
      </c>
      <c r="N421" s="297">
        <v>0.3611111111111111</v>
      </c>
    </row>
    <row r="422" spans="1:14" ht="18" customHeight="1">
      <c r="A422" s="293" t="s">
        <v>2024</v>
      </c>
      <c r="B422" s="294">
        <v>46085</v>
      </c>
      <c r="C422" s="286" t="s">
        <v>168</v>
      </c>
      <c r="D422" s="286" t="s">
        <v>160</v>
      </c>
      <c r="E422" s="295">
        <v>1</v>
      </c>
      <c r="F422" s="295">
        <v>1</v>
      </c>
      <c r="G422" s="296">
        <v>0</v>
      </c>
      <c r="H422" s="296">
        <v>17230</v>
      </c>
      <c r="I422" s="296">
        <v>14500</v>
      </c>
      <c r="J422" s="296">
        <v>15225</v>
      </c>
      <c r="K422" s="296">
        <v>2005</v>
      </c>
      <c r="L422" s="296">
        <v>0</v>
      </c>
      <c r="M422" s="296">
        <v>2730</v>
      </c>
      <c r="N422" s="297">
        <v>0.15844457341845619</v>
      </c>
    </row>
    <row r="423" spans="1:14" ht="18" customHeight="1">
      <c r="A423" s="293" t="s">
        <v>2025</v>
      </c>
      <c r="B423" s="294">
        <v>46085</v>
      </c>
      <c r="C423" s="286" t="s">
        <v>168</v>
      </c>
      <c r="D423" s="286" t="s">
        <v>121</v>
      </c>
      <c r="E423" s="295">
        <v>1</v>
      </c>
      <c r="F423" s="295">
        <v>1</v>
      </c>
      <c r="G423" s="296">
        <v>0</v>
      </c>
      <c r="H423" s="296">
        <v>1900</v>
      </c>
      <c r="I423" s="296">
        <v>1450</v>
      </c>
      <c r="J423" s="296">
        <v>1522.5</v>
      </c>
      <c r="K423" s="296">
        <v>377.5</v>
      </c>
      <c r="L423" s="296">
        <v>0</v>
      </c>
      <c r="M423" s="296">
        <v>450</v>
      </c>
      <c r="N423" s="297">
        <v>0.23684210526315788</v>
      </c>
    </row>
    <row r="424" spans="1:14" ht="18" customHeight="1">
      <c r="A424" s="293" t="s">
        <v>2026</v>
      </c>
      <c r="B424" s="294">
        <v>46085</v>
      </c>
      <c r="C424" s="286" t="s">
        <v>3773</v>
      </c>
      <c r="D424" s="286" t="s">
        <v>116</v>
      </c>
      <c r="E424" s="295">
        <v>2</v>
      </c>
      <c r="F424" s="295">
        <v>2</v>
      </c>
      <c r="G424" s="296">
        <v>0</v>
      </c>
      <c r="H424" s="296">
        <v>3486</v>
      </c>
      <c r="I424" s="296">
        <v>2700</v>
      </c>
      <c r="J424" s="296">
        <v>2835</v>
      </c>
      <c r="K424" s="296">
        <v>651</v>
      </c>
      <c r="L424" s="296">
        <v>195.3</v>
      </c>
      <c r="M424" s="296">
        <v>786</v>
      </c>
      <c r="N424" s="297">
        <v>0.22547332185886404</v>
      </c>
    </row>
    <row r="425" spans="1:14" ht="18" customHeight="1">
      <c r="A425" s="293" t="s">
        <v>2027</v>
      </c>
      <c r="B425" s="294">
        <v>46085</v>
      </c>
      <c r="C425" s="286" t="s">
        <v>168</v>
      </c>
      <c r="D425" s="286" t="s">
        <v>96</v>
      </c>
      <c r="E425" s="295">
        <v>1</v>
      </c>
      <c r="F425" s="295">
        <v>1</v>
      </c>
      <c r="G425" s="296">
        <v>0</v>
      </c>
      <c r="H425" s="296">
        <v>1875</v>
      </c>
      <c r="I425" s="296">
        <v>1075</v>
      </c>
      <c r="J425" s="296">
        <v>1128.75</v>
      </c>
      <c r="K425" s="296">
        <v>746.25</v>
      </c>
      <c r="L425" s="296">
        <v>0</v>
      </c>
      <c r="M425" s="296">
        <v>800</v>
      </c>
      <c r="N425" s="297">
        <v>0.42666666666666669</v>
      </c>
    </row>
    <row r="426" spans="1:14" ht="18" customHeight="1">
      <c r="A426" s="293" t="s">
        <v>2028</v>
      </c>
      <c r="B426" s="294">
        <v>46085</v>
      </c>
      <c r="C426" s="286" t="s">
        <v>168</v>
      </c>
      <c r="D426" s="286" t="s">
        <v>132</v>
      </c>
      <c r="E426" s="295">
        <v>4</v>
      </c>
      <c r="F426" s="295">
        <v>11</v>
      </c>
      <c r="G426" s="296">
        <v>0</v>
      </c>
      <c r="H426" s="296">
        <v>5660</v>
      </c>
      <c r="I426" s="296">
        <v>511.8</v>
      </c>
      <c r="J426" s="296">
        <v>527.154</v>
      </c>
      <c r="K426" s="296">
        <v>5132.8460000000005</v>
      </c>
      <c r="L426" s="296">
        <v>0</v>
      </c>
      <c r="M426" s="296">
        <v>5148.2</v>
      </c>
      <c r="N426" s="297">
        <v>0.90957597173144877</v>
      </c>
    </row>
    <row r="427" spans="1:14" ht="18" customHeight="1">
      <c r="A427" s="293" t="s">
        <v>2029</v>
      </c>
      <c r="B427" s="294">
        <v>46085</v>
      </c>
      <c r="C427" s="286" t="s">
        <v>168</v>
      </c>
      <c r="D427" s="286" t="s">
        <v>99</v>
      </c>
      <c r="E427" s="295">
        <v>1</v>
      </c>
      <c r="F427" s="295">
        <v>1</v>
      </c>
      <c r="G427" s="296">
        <v>0</v>
      </c>
      <c r="H427" s="296">
        <v>23240</v>
      </c>
      <c r="I427" s="296">
        <v>20500</v>
      </c>
      <c r="J427" s="296">
        <v>21525</v>
      </c>
      <c r="K427" s="296">
        <v>1715</v>
      </c>
      <c r="L427" s="296">
        <v>0</v>
      </c>
      <c r="M427" s="296">
        <v>2740</v>
      </c>
      <c r="N427" s="297">
        <v>0.11790017211703958</v>
      </c>
    </row>
    <row r="428" spans="1:14" ht="18" customHeight="1">
      <c r="A428" s="293" t="s">
        <v>2030</v>
      </c>
      <c r="B428" s="294">
        <v>46086</v>
      </c>
      <c r="C428" s="286" t="s">
        <v>353</v>
      </c>
      <c r="D428" s="286" t="s">
        <v>133</v>
      </c>
      <c r="E428" s="295">
        <v>1</v>
      </c>
      <c r="F428" s="295">
        <v>1</v>
      </c>
      <c r="G428" s="296">
        <v>0</v>
      </c>
      <c r="H428" s="296">
        <v>3485</v>
      </c>
      <c r="I428" s="296">
        <v>2200</v>
      </c>
      <c r="J428" s="296">
        <v>2310</v>
      </c>
      <c r="K428" s="296">
        <v>1175</v>
      </c>
      <c r="L428" s="296">
        <v>352.5</v>
      </c>
      <c r="M428" s="296">
        <v>1285</v>
      </c>
      <c r="N428" s="297">
        <v>0.36872309899569583</v>
      </c>
    </row>
    <row r="429" spans="1:14" ht="18" customHeight="1">
      <c r="A429" s="293" t="s">
        <v>2031</v>
      </c>
      <c r="B429" s="294">
        <v>46086</v>
      </c>
      <c r="C429" s="286" t="s">
        <v>353</v>
      </c>
      <c r="D429" s="286" t="s">
        <v>108</v>
      </c>
      <c r="E429" s="295">
        <v>1</v>
      </c>
      <c r="F429" s="295">
        <v>1</v>
      </c>
      <c r="G429" s="296">
        <v>0</v>
      </c>
      <c r="H429" s="296">
        <v>1790</v>
      </c>
      <c r="I429" s="296">
        <v>900</v>
      </c>
      <c r="J429" s="296">
        <v>945</v>
      </c>
      <c r="K429" s="296">
        <v>845</v>
      </c>
      <c r="L429" s="296">
        <v>253.5</v>
      </c>
      <c r="M429" s="296">
        <v>890</v>
      </c>
      <c r="N429" s="297">
        <v>0.4972067039106145</v>
      </c>
    </row>
    <row r="430" spans="1:14" ht="18" customHeight="1">
      <c r="A430" s="293" t="s">
        <v>2032</v>
      </c>
      <c r="B430" s="294">
        <v>46086</v>
      </c>
      <c r="C430" s="286" t="s">
        <v>354</v>
      </c>
      <c r="D430" s="286" t="s">
        <v>109</v>
      </c>
      <c r="E430" s="295">
        <v>1</v>
      </c>
      <c r="F430" s="295">
        <v>1</v>
      </c>
      <c r="G430" s="296">
        <v>0</v>
      </c>
      <c r="H430" s="296">
        <v>1785</v>
      </c>
      <c r="I430" s="296">
        <v>1400</v>
      </c>
      <c r="J430" s="296">
        <v>1470</v>
      </c>
      <c r="K430" s="296">
        <v>315</v>
      </c>
      <c r="L430" s="296">
        <v>94.5</v>
      </c>
      <c r="M430" s="296">
        <v>385</v>
      </c>
      <c r="N430" s="297">
        <v>0.21568627450980393</v>
      </c>
    </row>
    <row r="431" spans="1:14" ht="18" customHeight="1">
      <c r="A431" s="293" t="s">
        <v>2033</v>
      </c>
      <c r="B431" s="294">
        <v>46086</v>
      </c>
      <c r="C431" s="286" t="s">
        <v>359</v>
      </c>
      <c r="D431" s="286" t="s">
        <v>114</v>
      </c>
      <c r="E431" s="295">
        <v>3</v>
      </c>
      <c r="F431" s="295">
        <v>21</v>
      </c>
      <c r="G431" s="296">
        <v>0</v>
      </c>
      <c r="H431" s="296">
        <v>2200</v>
      </c>
      <c r="I431" s="296">
        <v>1530</v>
      </c>
      <c r="J431" s="296">
        <v>1606.5</v>
      </c>
      <c r="K431" s="296">
        <v>593.5</v>
      </c>
      <c r="L431" s="296">
        <v>178.04999999999998</v>
      </c>
      <c r="M431" s="296">
        <v>670</v>
      </c>
      <c r="N431" s="297">
        <v>0.30454545454545456</v>
      </c>
    </row>
    <row r="432" spans="1:14" ht="18" customHeight="1">
      <c r="A432" s="293" t="s">
        <v>2034</v>
      </c>
      <c r="B432" s="294">
        <v>46086</v>
      </c>
      <c r="C432" s="286" t="s">
        <v>168</v>
      </c>
      <c r="D432" s="286" t="s">
        <v>121</v>
      </c>
      <c r="E432" s="295">
        <v>1</v>
      </c>
      <c r="F432" s="295">
        <v>1</v>
      </c>
      <c r="G432" s="296">
        <v>0</v>
      </c>
      <c r="H432" s="296">
        <v>1875</v>
      </c>
      <c r="I432" s="296">
        <v>1200</v>
      </c>
      <c r="J432" s="296">
        <v>1260</v>
      </c>
      <c r="K432" s="296">
        <v>615</v>
      </c>
      <c r="L432" s="296">
        <v>0</v>
      </c>
      <c r="M432" s="296">
        <v>675</v>
      </c>
      <c r="N432" s="297">
        <v>0.36</v>
      </c>
    </row>
    <row r="433" spans="1:14" ht="18" customHeight="1">
      <c r="A433" s="293" t="s">
        <v>2035</v>
      </c>
      <c r="B433" s="294">
        <v>46086</v>
      </c>
      <c r="C433" s="286" t="s">
        <v>3773</v>
      </c>
      <c r="D433" s="286" t="s">
        <v>116</v>
      </c>
      <c r="E433" s="295">
        <v>2</v>
      </c>
      <c r="F433" s="295">
        <v>4</v>
      </c>
      <c r="G433" s="296">
        <v>0</v>
      </c>
      <c r="H433" s="296">
        <v>1076</v>
      </c>
      <c r="I433" s="296">
        <v>400</v>
      </c>
      <c r="J433" s="296">
        <v>420</v>
      </c>
      <c r="K433" s="296">
        <v>656</v>
      </c>
      <c r="L433" s="296">
        <v>196.8</v>
      </c>
      <c r="M433" s="296">
        <v>676</v>
      </c>
      <c r="N433" s="297">
        <v>0.62825278810408924</v>
      </c>
    </row>
    <row r="434" spans="1:14" ht="18" customHeight="1">
      <c r="A434" s="293" t="s">
        <v>2036</v>
      </c>
      <c r="B434" s="294">
        <v>46086</v>
      </c>
      <c r="C434" s="286" t="s">
        <v>168</v>
      </c>
      <c r="D434" s="286" t="s">
        <v>96</v>
      </c>
      <c r="E434" s="295">
        <v>4</v>
      </c>
      <c r="F434" s="295">
        <v>4</v>
      </c>
      <c r="G434" s="296">
        <v>0</v>
      </c>
      <c r="H434" s="296">
        <v>4690</v>
      </c>
      <c r="I434" s="296">
        <v>2920</v>
      </c>
      <c r="J434" s="296">
        <v>3066</v>
      </c>
      <c r="K434" s="296">
        <v>1624</v>
      </c>
      <c r="L434" s="296">
        <v>0</v>
      </c>
      <c r="M434" s="296">
        <v>1770</v>
      </c>
      <c r="N434" s="297">
        <v>0.37739872068230279</v>
      </c>
    </row>
    <row r="435" spans="1:14" ht="18" customHeight="1">
      <c r="A435" s="293" t="s">
        <v>2037</v>
      </c>
      <c r="B435" s="294">
        <v>46086</v>
      </c>
      <c r="C435" s="286" t="s">
        <v>168</v>
      </c>
      <c r="D435" s="286" t="s">
        <v>105</v>
      </c>
      <c r="E435" s="295">
        <v>3</v>
      </c>
      <c r="F435" s="295">
        <v>3</v>
      </c>
      <c r="G435" s="296">
        <v>0</v>
      </c>
      <c r="H435" s="296">
        <v>10425</v>
      </c>
      <c r="I435" s="296">
        <v>9324</v>
      </c>
      <c r="J435" s="296">
        <v>9790.2000000000007</v>
      </c>
      <c r="K435" s="296">
        <v>634.79999999999927</v>
      </c>
      <c r="L435" s="296">
        <v>0</v>
      </c>
      <c r="M435" s="296">
        <v>1101</v>
      </c>
      <c r="N435" s="297">
        <v>0.10561151079136691</v>
      </c>
    </row>
    <row r="436" spans="1:14" ht="18" customHeight="1">
      <c r="A436" s="293" t="s">
        <v>2038</v>
      </c>
      <c r="B436" s="294">
        <v>46086</v>
      </c>
      <c r="C436" s="286" t="s">
        <v>168</v>
      </c>
      <c r="D436" s="286" t="s">
        <v>138</v>
      </c>
      <c r="E436" s="295">
        <v>1</v>
      </c>
      <c r="F436" s="295">
        <v>4</v>
      </c>
      <c r="G436" s="296">
        <v>0</v>
      </c>
      <c r="H436" s="296">
        <v>180</v>
      </c>
      <c r="I436" s="296">
        <v>134.4</v>
      </c>
      <c r="J436" s="296">
        <v>138.43200000000002</v>
      </c>
      <c r="K436" s="296">
        <v>41.567999999999984</v>
      </c>
      <c r="L436" s="296">
        <v>0</v>
      </c>
      <c r="M436" s="296">
        <v>45.599999999999994</v>
      </c>
      <c r="N436" s="297">
        <v>0.2533333333333333</v>
      </c>
    </row>
    <row r="437" spans="1:14" ht="18" customHeight="1">
      <c r="A437" s="293" t="s">
        <v>2039</v>
      </c>
      <c r="B437" s="294">
        <v>46087</v>
      </c>
      <c r="C437" s="286" t="s">
        <v>3773</v>
      </c>
      <c r="D437" s="286" t="s">
        <v>102</v>
      </c>
      <c r="E437" s="295">
        <v>2</v>
      </c>
      <c r="F437" s="295">
        <v>2</v>
      </c>
      <c r="G437" s="296">
        <v>0</v>
      </c>
      <c r="H437" s="296">
        <v>865</v>
      </c>
      <c r="I437" s="296">
        <v>425</v>
      </c>
      <c r="J437" s="296">
        <v>446.25</v>
      </c>
      <c r="K437" s="296">
        <v>418.75</v>
      </c>
      <c r="L437" s="296">
        <v>125.625</v>
      </c>
      <c r="M437" s="296">
        <v>440</v>
      </c>
      <c r="N437" s="297">
        <v>0.50867052023121384</v>
      </c>
    </row>
    <row r="438" spans="1:14" ht="18" customHeight="1">
      <c r="A438" s="293" t="s">
        <v>2040</v>
      </c>
      <c r="B438" s="294">
        <v>46087</v>
      </c>
      <c r="C438" s="286" t="s">
        <v>168</v>
      </c>
      <c r="D438" s="286" t="s">
        <v>113</v>
      </c>
      <c r="E438" s="295">
        <v>2</v>
      </c>
      <c r="F438" s="295">
        <v>11</v>
      </c>
      <c r="G438" s="296">
        <v>0</v>
      </c>
      <c r="H438" s="296">
        <v>531</v>
      </c>
      <c r="I438" s="296">
        <v>205</v>
      </c>
      <c r="J438" s="296">
        <v>215.25</v>
      </c>
      <c r="K438" s="296">
        <v>315.75</v>
      </c>
      <c r="L438" s="296">
        <v>0</v>
      </c>
      <c r="M438" s="296">
        <v>326</v>
      </c>
      <c r="N438" s="297">
        <v>0.61393596986817323</v>
      </c>
    </row>
    <row r="439" spans="1:14" ht="18" customHeight="1">
      <c r="A439" s="293" t="s">
        <v>2041</v>
      </c>
      <c r="B439" s="294">
        <v>46087</v>
      </c>
      <c r="C439" s="286" t="s">
        <v>168</v>
      </c>
      <c r="D439" s="286" t="s">
        <v>161</v>
      </c>
      <c r="E439" s="295">
        <v>5</v>
      </c>
      <c r="F439" s="295">
        <v>5</v>
      </c>
      <c r="G439" s="296">
        <v>0</v>
      </c>
      <c r="H439" s="296">
        <v>6134</v>
      </c>
      <c r="I439" s="296">
        <v>3380</v>
      </c>
      <c r="J439" s="296">
        <v>3549</v>
      </c>
      <c r="K439" s="296">
        <v>2585</v>
      </c>
      <c r="L439" s="296">
        <v>0</v>
      </c>
      <c r="M439" s="296">
        <v>2754</v>
      </c>
      <c r="N439" s="297">
        <v>0.44897293772416041</v>
      </c>
    </row>
    <row r="440" spans="1:14" ht="18" customHeight="1">
      <c r="A440" s="293" t="s">
        <v>2042</v>
      </c>
      <c r="B440" s="294">
        <v>46087</v>
      </c>
      <c r="C440" s="286" t="s">
        <v>359</v>
      </c>
      <c r="D440" s="286" t="s">
        <v>114</v>
      </c>
      <c r="E440" s="295">
        <v>1</v>
      </c>
      <c r="F440" s="295">
        <v>1</v>
      </c>
      <c r="G440" s="296">
        <v>0</v>
      </c>
      <c r="H440" s="296">
        <v>1875</v>
      </c>
      <c r="I440" s="296">
        <v>900</v>
      </c>
      <c r="J440" s="296">
        <v>945</v>
      </c>
      <c r="K440" s="296">
        <v>930</v>
      </c>
      <c r="L440" s="296">
        <v>279</v>
      </c>
      <c r="M440" s="296">
        <v>975</v>
      </c>
      <c r="N440" s="297">
        <v>0.52</v>
      </c>
    </row>
    <row r="441" spans="1:14" ht="18" customHeight="1">
      <c r="A441" s="293" t="s">
        <v>2043</v>
      </c>
      <c r="B441" s="294">
        <v>46087</v>
      </c>
      <c r="C441" s="286" t="s">
        <v>353</v>
      </c>
      <c r="D441" s="286" t="s">
        <v>94</v>
      </c>
      <c r="E441" s="295">
        <v>1</v>
      </c>
      <c r="F441" s="295">
        <v>1</v>
      </c>
      <c r="G441" s="296">
        <v>0</v>
      </c>
      <c r="H441" s="296">
        <v>2100</v>
      </c>
      <c r="I441" s="296">
        <v>1650</v>
      </c>
      <c r="J441" s="296">
        <v>1732.5</v>
      </c>
      <c r="K441" s="296">
        <v>367.5</v>
      </c>
      <c r="L441" s="296">
        <v>110.25</v>
      </c>
      <c r="M441" s="296">
        <v>450</v>
      </c>
      <c r="N441" s="297">
        <v>0.21428571428571427</v>
      </c>
    </row>
    <row r="442" spans="1:14" ht="18" customHeight="1">
      <c r="A442" s="293" t="s">
        <v>2044</v>
      </c>
      <c r="B442" s="294">
        <v>46087</v>
      </c>
      <c r="C442" s="286" t="s">
        <v>168</v>
      </c>
      <c r="D442" s="286" t="s">
        <v>162</v>
      </c>
      <c r="E442" s="295">
        <v>2</v>
      </c>
      <c r="F442" s="295">
        <v>2</v>
      </c>
      <c r="G442" s="296">
        <v>0</v>
      </c>
      <c r="H442" s="296">
        <v>2840</v>
      </c>
      <c r="I442" s="296">
        <v>2190</v>
      </c>
      <c r="J442" s="296">
        <v>2297.6999999999998</v>
      </c>
      <c r="K442" s="296">
        <v>542.29999999999995</v>
      </c>
      <c r="L442" s="296">
        <v>0</v>
      </c>
      <c r="M442" s="296">
        <v>650</v>
      </c>
      <c r="N442" s="297">
        <v>0.22887323943661972</v>
      </c>
    </row>
    <row r="443" spans="1:14" ht="18" customHeight="1">
      <c r="A443" s="293" t="s">
        <v>2045</v>
      </c>
      <c r="B443" s="294">
        <v>46087</v>
      </c>
      <c r="C443" s="286" t="s">
        <v>168</v>
      </c>
      <c r="D443" s="286" t="s">
        <v>128</v>
      </c>
      <c r="E443" s="295">
        <v>1</v>
      </c>
      <c r="F443" s="295">
        <v>2</v>
      </c>
      <c r="G443" s="296">
        <v>0</v>
      </c>
      <c r="H443" s="296">
        <v>1500</v>
      </c>
      <c r="I443" s="296">
        <v>800</v>
      </c>
      <c r="J443" s="296">
        <v>840</v>
      </c>
      <c r="K443" s="296">
        <v>660</v>
      </c>
      <c r="L443" s="296">
        <v>0</v>
      </c>
      <c r="M443" s="296">
        <v>700</v>
      </c>
      <c r="N443" s="297">
        <v>0.46666666666666667</v>
      </c>
    </row>
    <row r="444" spans="1:14" ht="18" customHeight="1">
      <c r="A444" s="293" t="s">
        <v>2046</v>
      </c>
      <c r="B444" s="294">
        <v>46087</v>
      </c>
      <c r="C444" s="286" t="s">
        <v>350</v>
      </c>
      <c r="D444" s="286" t="s">
        <v>119</v>
      </c>
      <c r="E444" s="295">
        <v>1</v>
      </c>
      <c r="F444" s="295">
        <v>1</v>
      </c>
      <c r="G444" s="296">
        <v>0</v>
      </c>
      <c r="H444" s="296">
        <v>1500</v>
      </c>
      <c r="I444" s="296">
        <v>1150</v>
      </c>
      <c r="J444" s="296">
        <v>1207.5</v>
      </c>
      <c r="K444" s="296">
        <v>292.5</v>
      </c>
      <c r="L444" s="296">
        <v>87.75</v>
      </c>
      <c r="M444" s="296">
        <v>350</v>
      </c>
      <c r="N444" s="297">
        <v>0.23333333333333334</v>
      </c>
    </row>
    <row r="445" spans="1:14" ht="18" customHeight="1">
      <c r="A445" s="293" t="s">
        <v>2047</v>
      </c>
      <c r="B445" s="294">
        <v>46087</v>
      </c>
      <c r="C445" s="286" t="s">
        <v>168</v>
      </c>
      <c r="D445" s="286" t="s">
        <v>124</v>
      </c>
      <c r="E445" s="295">
        <v>3</v>
      </c>
      <c r="F445" s="295">
        <v>3</v>
      </c>
      <c r="G445" s="296">
        <v>0</v>
      </c>
      <c r="H445" s="296">
        <v>3950</v>
      </c>
      <c r="I445" s="296">
        <v>2000</v>
      </c>
      <c r="J445" s="296">
        <v>2100</v>
      </c>
      <c r="K445" s="296">
        <v>1850</v>
      </c>
      <c r="L445" s="296">
        <v>0</v>
      </c>
      <c r="M445" s="296">
        <v>1950</v>
      </c>
      <c r="N445" s="297">
        <v>0.49367088607594939</v>
      </c>
    </row>
    <row r="446" spans="1:14" ht="18" customHeight="1">
      <c r="A446" s="293" t="s">
        <v>2048</v>
      </c>
      <c r="B446" s="294">
        <v>46087</v>
      </c>
      <c r="C446" s="286" t="s">
        <v>168</v>
      </c>
      <c r="D446" s="286" t="s">
        <v>97</v>
      </c>
      <c r="E446" s="295">
        <v>2</v>
      </c>
      <c r="F446" s="295">
        <v>2</v>
      </c>
      <c r="G446" s="296">
        <v>0</v>
      </c>
      <c r="H446" s="296">
        <v>2368</v>
      </c>
      <c r="I446" s="296">
        <v>1400</v>
      </c>
      <c r="J446" s="296">
        <v>1470</v>
      </c>
      <c r="K446" s="296">
        <v>898</v>
      </c>
      <c r="L446" s="296">
        <v>0</v>
      </c>
      <c r="M446" s="296">
        <v>968</v>
      </c>
      <c r="N446" s="297">
        <v>0.40878378378378377</v>
      </c>
    </row>
    <row r="447" spans="1:14" ht="18" customHeight="1">
      <c r="A447" s="293" t="s">
        <v>2049</v>
      </c>
      <c r="B447" s="294">
        <v>46087</v>
      </c>
      <c r="C447" s="286" t="s">
        <v>358</v>
      </c>
      <c r="D447" s="286" t="s">
        <v>98</v>
      </c>
      <c r="E447" s="295">
        <v>1</v>
      </c>
      <c r="F447" s="295">
        <v>1</v>
      </c>
      <c r="G447" s="296">
        <v>0</v>
      </c>
      <c r="H447" s="296">
        <v>8000</v>
      </c>
      <c r="I447" s="296">
        <v>7684</v>
      </c>
      <c r="J447" s="296">
        <v>8068.2000000000007</v>
      </c>
      <c r="K447" s="296">
        <v>-68.200000000000728</v>
      </c>
      <c r="L447" s="296">
        <v>-20.460000000000218</v>
      </c>
      <c r="M447" s="296">
        <v>316</v>
      </c>
      <c r="N447" s="297">
        <v>3.95E-2</v>
      </c>
    </row>
    <row r="448" spans="1:14" ht="18" customHeight="1">
      <c r="A448" s="293" t="s">
        <v>2050</v>
      </c>
      <c r="B448" s="294">
        <v>46087</v>
      </c>
      <c r="C448" s="286" t="s">
        <v>168</v>
      </c>
      <c r="D448" s="286" t="s">
        <v>163</v>
      </c>
      <c r="E448" s="295">
        <v>1</v>
      </c>
      <c r="F448" s="295">
        <v>5</v>
      </c>
      <c r="G448" s="296">
        <v>0</v>
      </c>
      <c r="H448" s="296">
        <v>2678.55</v>
      </c>
      <c r="I448" s="296">
        <v>1350</v>
      </c>
      <c r="J448" s="296">
        <v>1417.5</v>
      </c>
      <c r="K448" s="296">
        <v>1261.0500000000002</v>
      </c>
      <c r="L448" s="296">
        <v>0</v>
      </c>
      <c r="M448" s="296">
        <v>1328.5500000000002</v>
      </c>
      <c r="N448" s="297">
        <v>0.49599596796774376</v>
      </c>
    </row>
    <row r="449" spans="1:14" ht="18" customHeight="1">
      <c r="A449" s="293" t="s">
        <v>2051</v>
      </c>
      <c r="B449" s="294">
        <v>46087</v>
      </c>
      <c r="C449" s="286" t="s">
        <v>168</v>
      </c>
      <c r="D449" s="286" t="s">
        <v>99</v>
      </c>
      <c r="E449" s="295">
        <v>8</v>
      </c>
      <c r="F449" s="295">
        <v>8.4</v>
      </c>
      <c r="G449" s="296">
        <v>0</v>
      </c>
      <c r="H449" s="296">
        <v>3360</v>
      </c>
      <c r="I449" s="296">
        <v>1647.3</v>
      </c>
      <c r="J449" s="296">
        <v>1713.319</v>
      </c>
      <c r="K449" s="296">
        <v>1646.681</v>
      </c>
      <c r="L449" s="296">
        <v>0</v>
      </c>
      <c r="M449" s="296">
        <v>1712.7</v>
      </c>
      <c r="N449" s="297">
        <v>0.50973214285714286</v>
      </c>
    </row>
    <row r="450" spans="1:14" ht="18" customHeight="1">
      <c r="A450" s="293" t="s">
        <v>2052</v>
      </c>
      <c r="B450" s="294">
        <v>46088</v>
      </c>
      <c r="C450" s="286" t="s">
        <v>168</v>
      </c>
      <c r="D450" s="286" t="s">
        <v>164</v>
      </c>
      <c r="E450" s="295">
        <v>1</v>
      </c>
      <c r="F450" s="295">
        <v>1</v>
      </c>
      <c r="G450" s="296">
        <v>0</v>
      </c>
      <c r="H450" s="296">
        <v>1900</v>
      </c>
      <c r="I450" s="296">
        <v>1300</v>
      </c>
      <c r="J450" s="296">
        <v>1365</v>
      </c>
      <c r="K450" s="296">
        <v>535</v>
      </c>
      <c r="L450" s="296">
        <v>0</v>
      </c>
      <c r="M450" s="296">
        <v>600</v>
      </c>
      <c r="N450" s="297">
        <v>0.31578947368421051</v>
      </c>
    </row>
    <row r="451" spans="1:14" ht="18" customHeight="1">
      <c r="A451" s="293" t="s">
        <v>2053</v>
      </c>
      <c r="B451" s="294">
        <v>46088</v>
      </c>
      <c r="C451" s="286" t="s">
        <v>3773</v>
      </c>
      <c r="D451" s="286" t="s">
        <v>102</v>
      </c>
      <c r="E451" s="295">
        <v>1</v>
      </c>
      <c r="F451" s="295">
        <v>1</v>
      </c>
      <c r="G451" s="296">
        <v>0</v>
      </c>
      <c r="H451" s="296">
        <v>2000</v>
      </c>
      <c r="I451" s="296">
        <v>1450</v>
      </c>
      <c r="J451" s="296">
        <v>1522.5</v>
      </c>
      <c r="K451" s="296">
        <v>477.5</v>
      </c>
      <c r="L451" s="296">
        <v>143.25</v>
      </c>
      <c r="M451" s="296">
        <v>550</v>
      </c>
      <c r="N451" s="297">
        <v>0.27500000000000002</v>
      </c>
    </row>
    <row r="452" spans="1:14" ht="18" customHeight="1">
      <c r="A452" s="293" t="s">
        <v>2054</v>
      </c>
      <c r="B452" s="294">
        <v>46088</v>
      </c>
      <c r="C452" s="286" t="s">
        <v>353</v>
      </c>
      <c r="D452" s="286" t="s">
        <v>108</v>
      </c>
      <c r="E452" s="295">
        <v>1</v>
      </c>
      <c r="F452" s="295">
        <v>1</v>
      </c>
      <c r="G452" s="296">
        <v>0</v>
      </c>
      <c r="H452" s="296">
        <v>1700</v>
      </c>
      <c r="I452" s="296">
        <v>900</v>
      </c>
      <c r="J452" s="296">
        <v>945</v>
      </c>
      <c r="K452" s="296">
        <v>755</v>
      </c>
      <c r="L452" s="296">
        <v>226.5</v>
      </c>
      <c r="M452" s="296">
        <v>800</v>
      </c>
      <c r="N452" s="297">
        <v>0.47058823529411764</v>
      </c>
    </row>
    <row r="453" spans="1:14" ht="18" customHeight="1">
      <c r="A453" s="293" t="s">
        <v>2055</v>
      </c>
      <c r="B453" s="294">
        <v>46088</v>
      </c>
      <c r="C453" s="286" t="s">
        <v>168</v>
      </c>
      <c r="D453" s="286" t="s">
        <v>156</v>
      </c>
      <c r="E453" s="295">
        <v>2</v>
      </c>
      <c r="F453" s="295">
        <v>2</v>
      </c>
      <c r="G453" s="296">
        <v>0</v>
      </c>
      <c r="H453" s="296">
        <v>2370</v>
      </c>
      <c r="I453" s="296">
        <v>1710</v>
      </c>
      <c r="J453" s="296">
        <v>1788.9</v>
      </c>
      <c r="K453" s="296">
        <v>581.09999999999991</v>
      </c>
      <c r="L453" s="296">
        <v>0</v>
      </c>
      <c r="M453" s="296">
        <v>660</v>
      </c>
      <c r="N453" s="297">
        <v>0.27848101265822783</v>
      </c>
    </row>
    <row r="454" spans="1:14" ht="18" customHeight="1">
      <c r="A454" s="293" t="s">
        <v>2056</v>
      </c>
      <c r="B454" s="294">
        <v>46088</v>
      </c>
      <c r="C454" s="286" t="s">
        <v>354</v>
      </c>
      <c r="D454" s="286" t="s">
        <v>109</v>
      </c>
      <c r="E454" s="295">
        <v>1</v>
      </c>
      <c r="F454" s="295">
        <v>1</v>
      </c>
      <c r="G454" s="296">
        <v>0</v>
      </c>
      <c r="H454" s="296">
        <v>1900</v>
      </c>
      <c r="I454" s="296">
        <v>1350</v>
      </c>
      <c r="J454" s="296">
        <v>1417.5</v>
      </c>
      <c r="K454" s="296">
        <v>482.5</v>
      </c>
      <c r="L454" s="296">
        <v>144.75</v>
      </c>
      <c r="M454" s="296">
        <v>550</v>
      </c>
      <c r="N454" s="297">
        <v>0.28947368421052633</v>
      </c>
    </row>
    <row r="455" spans="1:14" ht="18" customHeight="1">
      <c r="A455" s="293" t="s">
        <v>2057</v>
      </c>
      <c r="B455" s="294">
        <v>46088</v>
      </c>
      <c r="C455" s="286" t="s">
        <v>359</v>
      </c>
      <c r="D455" s="286" t="s">
        <v>114</v>
      </c>
      <c r="E455" s="295">
        <v>2</v>
      </c>
      <c r="F455" s="295">
        <v>2</v>
      </c>
      <c r="G455" s="296">
        <v>0</v>
      </c>
      <c r="H455" s="296">
        <v>4200</v>
      </c>
      <c r="I455" s="296">
        <v>2500</v>
      </c>
      <c r="J455" s="296">
        <v>2625</v>
      </c>
      <c r="K455" s="296">
        <v>1575</v>
      </c>
      <c r="L455" s="296">
        <v>472.5</v>
      </c>
      <c r="M455" s="296">
        <v>1700</v>
      </c>
      <c r="N455" s="297">
        <v>0.40476190476190477</v>
      </c>
    </row>
    <row r="456" spans="1:14" ht="18" customHeight="1">
      <c r="A456" s="293" t="s">
        <v>2058</v>
      </c>
      <c r="B456" s="294">
        <v>46088</v>
      </c>
      <c r="C456" s="286" t="s">
        <v>168</v>
      </c>
      <c r="D456" s="286" t="s">
        <v>121</v>
      </c>
      <c r="E456" s="295">
        <v>2</v>
      </c>
      <c r="F456" s="295">
        <v>2</v>
      </c>
      <c r="G456" s="296">
        <v>0</v>
      </c>
      <c r="H456" s="296">
        <v>3900</v>
      </c>
      <c r="I456" s="296">
        <v>2375</v>
      </c>
      <c r="J456" s="296">
        <v>2493.75</v>
      </c>
      <c r="K456" s="296">
        <v>1406.25</v>
      </c>
      <c r="L456" s="296">
        <v>0</v>
      </c>
      <c r="M456" s="296">
        <v>1525</v>
      </c>
      <c r="N456" s="297">
        <v>0.39102564102564102</v>
      </c>
    </row>
    <row r="457" spans="1:14" ht="18" customHeight="1">
      <c r="A457" s="293" t="s">
        <v>2059</v>
      </c>
      <c r="B457" s="294">
        <v>46088</v>
      </c>
      <c r="C457" s="286" t="s">
        <v>353</v>
      </c>
      <c r="D457" s="286" t="s">
        <v>94</v>
      </c>
      <c r="E457" s="295">
        <v>13</v>
      </c>
      <c r="F457" s="295">
        <v>20</v>
      </c>
      <c r="G457" s="296">
        <v>0</v>
      </c>
      <c r="H457" s="296">
        <v>12315</v>
      </c>
      <c r="I457" s="296">
        <v>8325</v>
      </c>
      <c r="J457" s="296">
        <v>8741.25</v>
      </c>
      <c r="K457" s="296">
        <v>3573.75</v>
      </c>
      <c r="L457" s="296">
        <v>1072.125</v>
      </c>
      <c r="M457" s="296">
        <v>3990</v>
      </c>
      <c r="N457" s="297">
        <v>0.32399512789281365</v>
      </c>
    </row>
    <row r="458" spans="1:14" ht="18" customHeight="1">
      <c r="A458" s="293" t="s">
        <v>2060</v>
      </c>
      <c r="B458" s="294">
        <v>46088</v>
      </c>
      <c r="C458" s="286" t="s">
        <v>168</v>
      </c>
      <c r="D458" s="286" t="s">
        <v>96</v>
      </c>
      <c r="E458" s="295">
        <v>2</v>
      </c>
      <c r="F458" s="295">
        <v>2</v>
      </c>
      <c r="G458" s="296">
        <v>0</v>
      </c>
      <c r="H458" s="296">
        <v>2080</v>
      </c>
      <c r="I458" s="296">
        <v>1322</v>
      </c>
      <c r="J458" s="296">
        <v>1388.1</v>
      </c>
      <c r="K458" s="296">
        <v>691.9</v>
      </c>
      <c r="L458" s="296">
        <v>0</v>
      </c>
      <c r="M458" s="296">
        <v>758</v>
      </c>
      <c r="N458" s="297">
        <v>0.36442307692307691</v>
      </c>
    </row>
    <row r="459" spans="1:14" ht="18" customHeight="1">
      <c r="A459" s="293" t="s">
        <v>2061</v>
      </c>
      <c r="B459" s="294">
        <v>46088</v>
      </c>
      <c r="C459" s="286" t="s">
        <v>168</v>
      </c>
      <c r="D459" s="286" t="s">
        <v>142</v>
      </c>
      <c r="E459" s="295">
        <v>1</v>
      </c>
      <c r="F459" s="295">
        <v>1</v>
      </c>
      <c r="G459" s="296">
        <v>0</v>
      </c>
      <c r="H459" s="296">
        <v>1800</v>
      </c>
      <c r="I459" s="296">
        <v>1100</v>
      </c>
      <c r="J459" s="296">
        <v>1155</v>
      </c>
      <c r="K459" s="296">
        <v>645</v>
      </c>
      <c r="L459" s="296">
        <v>0</v>
      </c>
      <c r="M459" s="296">
        <v>700</v>
      </c>
      <c r="N459" s="297">
        <v>0.3888888888888889</v>
      </c>
    </row>
    <row r="460" spans="1:14" ht="18" customHeight="1">
      <c r="A460" s="293" t="s">
        <v>2062</v>
      </c>
      <c r="B460" s="294">
        <v>46088</v>
      </c>
      <c r="C460" s="286" t="s">
        <v>168</v>
      </c>
      <c r="D460" s="286" t="s">
        <v>115</v>
      </c>
      <c r="E460" s="295">
        <v>1</v>
      </c>
      <c r="F460" s="295">
        <v>1</v>
      </c>
      <c r="G460" s="296">
        <v>0</v>
      </c>
      <c r="H460" s="296">
        <v>8000</v>
      </c>
      <c r="I460" s="296">
        <v>7684</v>
      </c>
      <c r="J460" s="296">
        <v>8068.2000000000007</v>
      </c>
      <c r="K460" s="296">
        <v>-68.200000000000728</v>
      </c>
      <c r="L460" s="296">
        <v>0</v>
      </c>
      <c r="M460" s="296">
        <v>316</v>
      </c>
      <c r="N460" s="297">
        <v>3.95E-2</v>
      </c>
    </row>
    <row r="461" spans="1:14" ht="18" customHeight="1">
      <c r="A461" s="293" t="s">
        <v>2063</v>
      </c>
      <c r="B461" s="294">
        <v>46088</v>
      </c>
      <c r="C461" s="286" t="s">
        <v>168</v>
      </c>
      <c r="D461" s="286" t="s">
        <v>128</v>
      </c>
      <c r="E461" s="295">
        <v>1</v>
      </c>
      <c r="F461" s="295">
        <v>2</v>
      </c>
      <c r="G461" s="296">
        <v>0</v>
      </c>
      <c r="H461" s="296">
        <v>1000</v>
      </c>
      <c r="I461" s="296">
        <v>560</v>
      </c>
      <c r="J461" s="296">
        <v>588</v>
      </c>
      <c r="K461" s="296">
        <v>412</v>
      </c>
      <c r="L461" s="296">
        <v>0</v>
      </c>
      <c r="M461" s="296">
        <v>440</v>
      </c>
      <c r="N461" s="297">
        <v>0.44</v>
      </c>
    </row>
    <row r="462" spans="1:14" ht="18" customHeight="1">
      <c r="A462" s="293" t="s">
        <v>2064</v>
      </c>
      <c r="B462" s="294">
        <v>46088</v>
      </c>
      <c r="C462" s="286" t="s">
        <v>168</v>
      </c>
      <c r="D462" s="286" t="s">
        <v>124</v>
      </c>
      <c r="E462" s="295">
        <v>2</v>
      </c>
      <c r="F462" s="295">
        <v>2</v>
      </c>
      <c r="G462" s="296">
        <v>0</v>
      </c>
      <c r="H462" s="296">
        <v>1963</v>
      </c>
      <c r="I462" s="296">
        <v>950</v>
      </c>
      <c r="J462" s="296">
        <v>997.5</v>
      </c>
      <c r="K462" s="296">
        <v>965.5</v>
      </c>
      <c r="L462" s="296">
        <v>0</v>
      </c>
      <c r="M462" s="296">
        <v>1013</v>
      </c>
      <c r="N462" s="297">
        <v>0.51604686704024449</v>
      </c>
    </row>
    <row r="463" spans="1:14" ht="18" customHeight="1">
      <c r="A463" s="293" t="s">
        <v>2065</v>
      </c>
      <c r="B463" s="294">
        <v>46088</v>
      </c>
      <c r="C463" s="286" t="s">
        <v>168</v>
      </c>
      <c r="D463" s="286" t="s">
        <v>97</v>
      </c>
      <c r="E463" s="295">
        <v>2</v>
      </c>
      <c r="F463" s="295">
        <v>2</v>
      </c>
      <c r="G463" s="296">
        <v>0</v>
      </c>
      <c r="H463" s="296">
        <v>2450</v>
      </c>
      <c r="I463" s="296">
        <v>1660</v>
      </c>
      <c r="J463" s="296">
        <v>1743</v>
      </c>
      <c r="K463" s="296">
        <v>707</v>
      </c>
      <c r="L463" s="296">
        <v>0</v>
      </c>
      <c r="M463" s="296">
        <v>790</v>
      </c>
      <c r="N463" s="297">
        <v>0.32244897959183672</v>
      </c>
    </row>
    <row r="464" spans="1:14" ht="18" customHeight="1">
      <c r="A464" s="293" t="s">
        <v>2066</v>
      </c>
      <c r="B464" s="294">
        <v>46088</v>
      </c>
      <c r="C464" s="286" t="s">
        <v>358</v>
      </c>
      <c r="D464" s="286" t="s">
        <v>98</v>
      </c>
      <c r="E464" s="295">
        <v>1</v>
      </c>
      <c r="F464" s="295">
        <v>1</v>
      </c>
      <c r="G464" s="296">
        <v>0</v>
      </c>
      <c r="H464" s="296">
        <v>580</v>
      </c>
      <c r="I464" s="296">
        <v>215</v>
      </c>
      <c r="J464" s="296">
        <v>225.75</v>
      </c>
      <c r="K464" s="296">
        <v>354.25</v>
      </c>
      <c r="L464" s="296">
        <v>106.27499999999999</v>
      </c>
      <c r="M464" s="296">
        <v>365</v>
      </c>
      <c r="N464" s="297">
        <v>0.62931034482758619</v>
      </c>
    </row>
    <row r="465" spans="1:14" ht="18" customHeight="1">
      <c r="A465" s="293" t="s">
        <v>2067</v>
      </c>
      <c r="B465" s="294">
        <v>46090</v>
      </c>
      <c r="C465" s="286" t="s">
        <v>3773</v>
      </c>
      <c r="D465" s="286" t="s">
        <v>102</v>
      </c>
      <c r="E465" s="295">
        <v>2</v>
      </c>
      <c r="F465" s="295">
        <v>2</v>
      </c>
      <c r="G465" s="296">
        <v>0</v>
      </c>
      <c r="H465" s="296">
        <v>2700</v>
      </c>
      <c r="I465" s="296">
        <v>1370</v>
      </c>
      <c r="J465" s="296">
        <v>1438.5</v>
      </c>
      <c r="K465" s="296">
        <v>1261.5</v>
      </c>
      <c r="L465" s="296">
        <v>378.45</v>
      </c>
      <c r="M465" s="296">
        <v>1330</v>
      </c>
      <c r="N465" s="297">
        <v>0.49259259259259258</v>
      </c>
    </row>
    <row r="466" spans="1:14" ht="18" customHeight="1">
      <c r="A466" s="293" t="s">
        <v>2068</v>
      </c>
      <c r="B466" s="294">
        <v>46090</v>
      </c>
      <c r="C466" s="286" t="s">
        <v>168</v>
      </c>
      <c r="D466" s="286" t="s">
        <v>165</v>
      </c>
      <c r="E466" s="295">
        <v>2</v>
      </c>
      <c r="F466" s="295">
        <v>1.4</v>
      </c>
      <c r="G466" s="296">
        <v>0</v>
      </c>
      <c r="H466" s="296">
        <v>2600</v>
      </c>
      <c r="I466" s="296">
        <v>1775.2</v>
      </c>
      <c r="J466" s="296">
        <v>1842.7760000000003</v>
      </c>
      <c r="K466" s="296">
        <v>757.22399999999982</v>
      </c>
      <c r="L466" s="296">
        <v>0</v>
      </c>
      <c r="M466" s="296">
        <v>824.8</v>
      </c>
      <c r="N466" s="297">
        <v>0.31723076923076921</v>
      </c>
    </row>
    <row r="467" spans="1:14" ht="18" customHeight="1">
      <c r="A467" s="293" t="s">
        <v>2069</v>
      </c>
      <c r="B467" s="294">
        <v>46090</v>
      </c>
      <c r="C467" s="286" t="s">
        <v>3773</v>
      </c>
      <c r="D467" s="286" t="s">
        <v>126</v>
      </c>
      <c r="E467" s="295">
        <v>1</v>
      </c>
      <c r="F467" s="295">
        <v>1</v>
      </c>
      <c r="G467" s="296">
        <v>0</v>
      </c>
      <c r="H467" s="296">
        <v>2000</v>
      </c>
      <c r="I467" s="296">
        <v>0</v>
      </c>
      <c r="J467" s="296">
        <v>0</v>
      </c>
      <c r="K467" s="296">
        <v>2000</v>
      </c>
      <c r="L467" s="296">
        <v>600</v>
      </c>
      <c r="M467" s="296">
        <v>2000</v>
      </c>
      <c r="N467" s="297">
        <v>1</v>
      </c>
    </row>
    <row r="468" spans="1:14" ht="18" customHeight="1">
      <c r="A468" s="293" t="s">
        <v>2070</v>
      </c>
      <c r="B468" s="294">
        <v>46090</v>
      </c>
      <c r="C468" s="286" t="s">
        <v>353</v>
      </c>
      <c r="D468" s="286" t="s">
        <v>108</v>
      </c>
      <c r="E468" s="295">
        <v>5</v>
      </c>
      <c r="F468" s="295">
        <v>9</v>
      </c>
      <c r="G468" s="296">
        <v>0</v>
      </c>
      <c r="H468" s="296">
        <v>7131</v>
      </c>
      <c r="I468" s="296">
        <v>4675</v>
      </c>
      <c r="J468" s="296">
        <v>4908.75</v>
      </c>
      <c r="K468" s="296">
        <v>2222.25</v>
      </c>
      <c r="L468" s="296">
        <v>666.67500000000007</v>
      </c>
      <c r="M468" s="296">
        <v>2456</v>
      </c>
      <c r="N468" s="297">
        <v>0.34441172346094517</v>
      </c>
    </row>
    <row r="469" spans="1:14" ht="18" customHeight="1">
      <c r="A469" s="293" t="s">
        <v>2071</v>
      </c>
      <c r="B469" s="294">
        <v>46090</v>
      </c>
      <c r="C469" s="286" t="s">
        <v>168</v>
      </c>
      <c r="D469" s="286" t="s">
        <v>92</v>
      </c>
      <c r="E469" s="295">
        <v>1</v>
      </c>
      <c r="F469" s="295">
        <v>1</v>
      </c>
      <c r="G469" s="296">
        <v>0</v>
      </c>
      <c r="H469" s="296">
        <v>1650</v>
      </c>
      <c r="I469" s="296">
        <v>1050</v>
      </c>
      <c r="J469" s="296">
        <v>1102.5</v>
      </c>
      <c r="K469" s="296">
        <v>547.5</v>
      </c>
      <c r="L469" s="296">
        <v>0</v>
      </c>
      <c r="M469" s="296">
        <v>600</v>
      </c>
      <c r="N469" s="297">
        <v>0.36363636363636365</v>
      </c>
    </row>
    <row r="470" spans="1:14" ht="18" customHeight="1">
      <c r="A470" s="293" t="s">
        <v>2072</v>
      </c>
      <c r="B470" s="294">
        <v>46090</v>
      </c>
      <c r="C470" s="286" t="s">
        <v>353</v>
      </c>
      <c r="D470" s="286" t="s">
        <v>94</v>
      </c>
      <c r="E470" s="295">
        <v>1</v>
      </c>
      <c r="F470" s="295">
        <v>1</v>
      </c>
      <c r="G470" s="296">
        <v>0</v>
      </c>
      <c r="H470" s="296">
        <v>1800</v>
      </c>
      <c r="I470" s="296">
        <v>1350</v>
      </c>
      <c r="J470" s="296">
        <v>1417.5</v>
      </c>
      <c r="K470" s="296">
        <v>382.5</v>
      </c>
      <c r="L470" s="296">
        <v>114.75</v>
      </c>
      <c r="M470" s="296">
        <v>450</v>
      </c>
      <c r="N470" s="297">
        <v>0.25</v>
      </c>
    </row>
    <row r="471" spans="1:14" ht="18" customHeight="1">
      <c r="A471" s="293" t="s">
        <v>2073</v>
      </c>
      <c r="B471" s="294">
        <v>46090</v>
      </c>
      <c r="C471" s="286" t="s">
        <v>3773</v>
      </c>
      <c r="D471" s="286" t="s">
        <v>116</v>
      </c>
      <c r="E471" s="295">
        <v>2</v>
      </c>
      <c r="F471" s="295">
        <v>2</v>
      </c>
      <c r="G471" s="296">
        <v>0</v>
      </c>
      <c r="H471" s="296">
        <v>2236</v>
      </c>
      <c r="I471" s="296">
        <v>1650</v>
      </c>
      <c r="J471" s="296">
        <v>1732.5</v>
      </c>
      <c r="K471" s="296">
        <v>503.5</v>
      </c>
      <c r="L471" s="296">
        <v>151.05000000000001</v>
      </c>
      <c r="M471" s="296">
        <v>586</v>
      </c>
      <c r="N471" s="297">
        <v>0.26207513416815742</v>
      </c>
    </row>
    <row r="472" spans="1:14" ht="18" customHeight="1">
      <c r="A472" s="293" t="s">
        <v>2074</v>
      </c>
      <c r="B472" s="294">
        <v>46090</v>
      </c>
      <c r="C472" s="286" t="s">
        <v>168</v>
      </c>
      <c r="D472" s="286" t="s">
        <v>115</v>
      </c>
      <c r="E472" s="295">
        <v>2</v>
      </c>
      <c r="F472" s="295">
        <v>2</v>
      </c>
      <c r="G472" s="296">
        <v>0</v>
      </c>
      <c r="H472" s="296">
        <v>10000</v>
      </c>
      <c r="I472" s="296">
        <v>9034</v>
      </c>
      <c r="J472" s="296">
        <v>9485.7000000000007</v>
      </c>
      <c r="K472" s="296">
        <v>514.29999999999927</v>
      </c>
      <c r="L472" s="296">
        <v>0</v>
      </c>
      <c r="M472" s="296">
        <v>966</v>
      </c>
      <c r="N472" s="297">
        <v>9.6600000000000005E-2</v>
      </c>
    </row>
    <row r="473" spans="1:14" ht="18" customHeight="1">
      <c r="A473" s="293" t="s">
        <v>2075</v>
      </c>
      <c r="B473" s="294">
        <v>46090</v>
      </c>
      <c r="C473" s="286" t="s">
        <v>168</v>
      </c>
      <c r="D473" s="286" t="s">
        <v>124</v>
      </c>
      <c r="E473" s="295">
        <v>3</v>
      </c>
      <c r="F473" s="295">
        <v>3</v>
      </c>
      <c r="G473" s="296">
        <v>0</v>
      </c>
      <c r="H473" s="296">
        <v>2524</v>
      </c>
      <c r="I473" s="296">
        <v>190</v>
      </c>
      <c r="J473" s="296">
        <v>199.5</v>
      </c>
      <c r="K473" s="296">
        <v>2324.5</v>
      </c>
      <c r="L473" s="296">
        <v>0</v>
      </c>
      <c r="M473" s="296">
        <v>2334</v>
      </c>
      <c r="N473" s="297">
        <v>0.92472266244057055</v>
      </c>
    </row>
    <row r="474" spans="1:14" ht="18" customHeight="1">
      <c r="A474" s="293" t="s">
        <v>2076</v>
      </c>
      <c r="B474" s="294">
        <v>46090</v>
      </c>
      <c r="C474" s="286" t="s">
        <v>168</v>
      </c>
      <c r="D474" s="286" t="s">
        <v>144</v>
      </c>
      <c r="E474" s="295">
        <v>1</v>
      </c>
      <c r="F474" s="295">
        <v>4</v>
      </c>
      <c r="G474" s="296">
        <v>0</v>
      </c>
      <c r="H474" s="296">
        <v>1800</v>
      </c>
      <c r="I474" s="296">
        <v>960</v>
      </c>
      <c r="J474" s="296">
        <v>1008</v>
      </c>
      <c r="K474" s="296">
        <v>792</v>
      </c>
      <c r="L474" s="296">
        <v>0</v>
      </c>
      <c r="M474" s="296">
        <v>840</v>
      </c>
      <c r="N474" s="297">
        <v>0.46666666666666667</v>
      </c>
    </row>
    <row r="475" spans="1:14" ht="18" customHeight="1">
      <c r="A475" s="293" t="s">
        <v>2077</v>
      </c>
      <c r="B475" s="294">
        <v>46090</v>
      </c>
      <c r="C475" s="286" t="s">
        <v>168</v>
      </c>
      <c r="D475" s="286" t="s">
        <v>134</v>
      </c>
      <c r="E475" s="295">
        <v>2</v>
      </c>
      <c r="F475" s="295">
        <v>2</v>
      </c>
      <c r="G475" s="296">
        <v>0</v>
      </c>
      <c r="H475" s="296">
        <v>2400</v>
      </c>
      <c r="I475" s="296">
        <v>1450</v>
      </c>
      <c r="J475" s="296">
        <v>1522.5</v>
      </c>
      <c r="K475" s="296">
        <v>877.5</v>
      </c>
      <c r="L475" s="296">
        <v>0</v>
      </c>
      <c r="M475" s="296">
        <v>950</v>
      </c>
      <c r="N475" s="297">
        <v>0.39583333333333331</v>
      </c>
    </row>
    <row r="476" spans="1:14" ht="18" customHeight="1">
      <c r="A476" s="293" t="s">
        <v>2078</v>
      </c>
      <c r="B476" s="294">
        <v>46090</v>
      </c>
      <c r="C476" s="286" t="s">
        <v>168</v>
      </c>
      <c r="D476" s="286" t="s">
        <v>99</v>
      </c>
      <c r="E476" s="295">
        <v>3</v>
      </c>
      <c r="F476" s="295">
        <v>4</v>
      </c>
      <c r="G476" s="296">
        <v>0</v>
      </c>
      <c r="H476" s="296">
        <v>380</v>
      </c>
      <c r="I476" s="296">
        <v>209</v>
      </c>
      <c r="J476" s="296">
        <v>215.27</v>
      </c>
      <c r="K476" s="296">
        <v>164.73</v>
      </c>
      <c r="L476" s="296">
        <v>0</v>
      </c>
      <c r="M476" s="296">
        <v>171</v>
      </c>
      <c r="N476" s="297">
        <v>0.45</v>
      </c>
    </row>
    <row r="477" spans="1:14" ht="18" customHeight="1">
      <c r="A477" s="293" t="s">
        <v>2079</v>
      </c>
      <c r="B477" s="294">
        <v>46091</v>
      </c>
      <c r="C477" s="286" t="s">
        <v>3773</v>
      </c>
      <c r="D477" s="286" t="s">
        <v>100</v>
      </c>
      <c r="E477" s="295">
        <v>2</v>
      </c>
      <c r="F477" s="295">
        <v>5</v>
      </c>
      <c r="G477" s="296">
        <v>0</v>
      </c>
      <c r="H477" s="296">
        <v>900</v>
      </c>
      <c r="I477" s="296">
        <v>445</v>
      </c>
      <c r="J477" s="296">
        <v>464.75</v>
      </c>
      <c r="K477" s="296">
        <v>435.25</v>
      </c>
      <c r="L477" s="296">
        <v>130.57499999999999</v>
      </c>
      <c r="M477" s="296">
        <v>455</v>
      </c>
      <c r="N477" s="297">
        <v>0.50555555555555554</v>
      </c>
    </row>
    <row r="478" spans="1:14" ht="18" customHeight="1">
      <c r="A478" s="293" t="s">
        <v>2080</v>
      </c>
      <c r="B478" s="294">
        <v>46091</v>
      </c>
      <c r="C478" s="286" t="s">
        <v>3773</v>
      </c>
      <c r="D478" s="286" t="s">
        <v>102</v>
      </c>
      <c r="E478" s="295">
        <v>1</v>
      </c>
      <c r="F478" s="295">
        <v>1</v>
      </c>
      <c r="G478" s="296">
        <v>0</v>
      </c>
      <c r="H478" s="296">
        <v>550</v>
      </c>
      <c r="I478" s="296">
        <v>250</v>
      </c>
      <c r="J478" s="296">
        <v>262.5</v>
      </c>
      <c r="K478" s="296">
        <v>287.5</v>
      </c>
      <c r="L478" s="296">
        <v>86.25</v>
      </c>
      <c r="M478" s="296">
        <v>300</v>
      </c>
      <c r="N478" s="297">
        <v>0.54545454545454541</v>
      </c>
    </row>
    <row r="479" spans="1:14" ht="18" customHeight="1">
      <c r="A479" s="293" t="s">
        <v>2081</v>
      </c>
      <c r="B479" s="294">
        <v>46091</v>
      </c>
      <c r="C479" s="286" t="s">
        <v>168</v>
      </c>
      <c r="D479" s="286" t="s">
        <v>120</v>
      </c>
      <c r="E479" s="295">
        <v>2</v>
      </c>
      <c r="F479" s="295">
        <v>3</v>
      </c>
      <c r="G479" s="296">
        <v>0</v>
      </c>
      <c r="H479" s="296">
        <v>2200</v>
      </c>
      <c r="I479" s="296">
        <v>1270</v>
      </c>
      <c r="J479" s="296">
        <v>1333.5</v>
      </c>
      <c r="K479" s="296">
        <v>866.5</v>
      </c>
      <c r="L479" s="296">
        <v>0</v>
      </c>
      <c r="M479" s="296">
        <v>930</v>
      </c>
      <c r="N479" s="297">
        <v>0.42272727272727273</v>
      </c>
    </row>
    <row r="480" spans="1:14" ht="18" customHeight="1">
      <c r="A480" s="293" t="s">
        <v>2082</v>
      </c>
      <c r="B480" s="294">
        <v>46091</v>
      </c>
      <c r="C480" s="286" t="s">
        <v>168</v>
      </c>
      <c r="D480" s="286" t="s">
        <v>128</v>
      </c>
      <c r="E480" s="295">
        <v>1</v>
      </c>
      <c r="F480" s="295">
        <v>1</v>
      </c>
      <c r="G480" s="296">
        <v>0</v>
      </c>
      <c r="H480" s="296">
        <v>420</v>
      </c>
      <c r="I480" s="296">
        <v>180</v>
      </c>
      <c r="J480" s="296">
        <v>189</v>
      </c>
      <c r="K480" s="296">
        <v>231</v>
      </c>
      <c r="L480" s="296">
        <v>0</v>
      </c>
      <c r="M480" s="296">
        <v>240</v>
      </c>
      <c r="N480" s="297">
        <v>0.5714285714285714</v>
      </c>
    </row>
    <row r="481" spans="1:14" ht="18" customHeight="1">
      <c r="A481" s="293" t="s">
        <v>2083</v>
      </c>
      <c r="B481" s="294">
        <v>46091</v>
      </c>
      <c r="C481" s="286" t="s">
        <v>168</v>
      </c>
      <c r="D481" s="286" t="s">
        <v>97</v>
      </c>
      <c r="E481" s="295">
        <v>3</v>
      </c>
      <c r="F481" s="295">
        <v>3</v>
      </c>
      <c r="G481" s="296">
        <v>0</v>
      </c>
      <c r="H481" s="296">
        <v>950</v>
      </c>
      <c r="I481" s="296">
        <v>370</v>
      </c>
      <c r="J481" s="296">
        <v>388.5</v>
      </c>
      <c r="K481" s="296">
        <v>561.5</v>
      </c>
      <c r="L481" s="296">
        <v>0</v>
      </c>
      <c r="M481" s="296">
        <v>580</v>
      </c>
      <c r="N481" s="297">
        <v>0.61052631578947369</v>
      </c>
    </row>
    <row r="482" spans="1:14" ht="18" customHeight="1">
      <c r="A482" s="293" t="s">
        <v>2084</v>
      </c>
      <c r="B482" s="294">
        <v>46091</v>
      </c>
      <c r="C482" s="286" t="s">
        <v>168</v>
      </c>
      <c r="D482" s="286" t="s">
        <v>166</v>
      </c>
      <c r="E482" s="295">
        <v>1</v>
      </c>
      <c r="F482" s="295">
        <v>1</v>
      </c>
      <c r="G482" s="296">
        <v>0</v>
      </c>
      <c r="H482" s="296">
        <v>350</v>
      </c>
      <c r="I482" s="296">
        <v>140</v>
      </c>
      <c r="J482" s="296">
        <v>147</v>
      </c>
      <c r="K482" s="296">
        <v>203</v>
      </c>
      <c r="L482" s="296">
        <v>0</v>
      </c>
      <c r="M482" s="296">
        <v>210</v>
      </c>
      <c r="N482" s="297">
        <v>0.6</v>
      </c>
    </row>
    <row r="483" spans="1:14" ht="18" customHeight="1">
      <c r="A483" s="293" t="s">
        <v>2085</v>
      </c>
      <c r="B483" s="294">
        <v>46091</v>
      </c>
      <c r="C483" s="286" t="s">
        <v>168</v>
      </c>
      <c r="D483" s="286" t="s">
        <v>99</v>
      </c>
      <c r="E483" s="295">
        <v>6</v>
      </c>
      <c r="F483" s="295">
        <v>15</v>
      </c>
      <c r="G483" s="296">
        <v>0</v>
      </c>
      <c r="H483" s="296">
        <v>2260</v>
      </c>
      <c r="I483" s="296">
        <v>1129.5</v>
      </c>
      <c r="J483" s="296">
        <v>1178.925</v>
      </c>
      <c r="K483" s="296">
        <v>1081.0749999999998</v>
      </c>
      <c r="L483" s="296">
        <v>0</v>
      </c>
      <c r="M483" s="296">
        <v>1130.5</v>
      </c>
      <c r="N483" s="297">
        <v>0.50022123893805315</v>
      </c>
    </row>
    <row r="484" spans="1:14" ht="18" customHeight="1">
      <c r="A484" s="293" t="s">
        <v>2086</v>
      </c>
      <c r="B484" s="294">
        <v>46092</v>
      </c>
      <c r="C484" s="286" t="s">
        <v>168</v>
      </c>
      <c r="D484" s="286" t="s">
        <v>92</v>
      </c>
      <c r="E484" s="295">
        <v>1</v>
      </c>
      <c r="F484" s="295">
        <v>1</v>
      </c>
      <c r="G484" s="296">
        <v>0</v>
      </c>
      <c r="H484" s="296">
        <v>2100</v>
      </c>
      <c r="I484" s="296">
        <v>1250</v>
      </c>
      <c r="J484" s="296">
        <v>1312.5</v>
      </c>
      <c r="K484" s="296">
        <v>787.5</v>
      </c>
      <c r="L484" s="296">
        <v>0</v>
      </c>
      <c r="M484" s="296">
        <v>850</v>
      </c>
      <c r="N484" s="297">
        <v>0.40476190476190477</v>
      </c>
    </row>
    <row r="485" spans="1:14" ht="18" customHeight="1">
      <c r="A485" s="293" t="s">
        <v>2087</v>
      </c>
      <c r="B485" s="294">
        <v>46092</v>
      </c>
      <c r="C485" s="286" t="s">
        <v>168</v>
      </c>
      <c r="D485" s="286" t="s">
        <v>167</v>
      </c>
      <c r="E485" s="295">
        <v>1</v>
      </c>
      <c r="F485" s="295">
        <v>1</v>
      </c>
      <c r="G485" s="296">
        <v>0</v>
      </c>
      <c r="H485" s="296">
        <v>2000</v>
      </c>
      <c r="I485" s="296">
        <v>1350</v>
      </c>
      <c r="J485" s="296">
        <v>1417.5</v>
      </c>
      <c r="K485" s="296">
        <v>582.5</v>
      </c>
      <c r="L485" s="296">
        <v>0</v>
      </c>
      <c r="M485" s="296">
        <v>650</v>
      </c>
      <c r="N485" s="297">
        <v>0.32500000000000001</v>
      </c>
    </row>
    <row r="486" spans="1:14" ht="18" customHeight="1">
      <c r="A486" s="293" t="s">
        <v>2088</v>
      </c>
      <c r="B486" s="294">
        <v>46092</v>
      </c>
      <c r="C486" s="286" t="s">
        <v>358</v>
      </c>
      <c r="D486" s="286" t="s">
        <v>98</v>
      </c>
      <c r="E486" s="295">
        <v>3</v>
      </c>
      <c r="F486" s="295">
        <v>7</v>
      </c>
      <c r="G486" s="296">
        <v>0</v>
      </c>
      <c r="H486" s="296">
        <v>8540</v>
      </c>
      <c r="I486" s="296">
        <v>7894</v>
      </c>
      <c r="J486" s="296">
        <v>8288.7000000000007</v>
      </c>
      <c r="K486" s="296">
        <v>251.29999999999927</v>
      </c>
      <c r="L486" s="296">
        <v>75.389999999999773</v>
      </c>
      <c r="M486" s="296">
        <v>646</v>
      </c>
      <c r="N486" s="297">
        <v>7.5644028103044492E-2</v>
      </c>
    </row>
    <row r="487" spans="1:14" ht="18" customHeight="1">
      <c r="A487" s="293" t="s">
        <v>2089</v>
      </c>
      <c r="B487" s="294">
        <v>46092</v>
      </c>
      <c r="C487" s="286" t="s">
        <v>168</v>
      </c>
      <c r="D487" s="286" t="s">
        <v>99</v>
      </c>
      <c r="E487" s="295">
        <v>3</v>
      </c>
      <c r="F487" s="295">
        <v>3</v>
      </c>
      <c r="G487" s="296">
        <v>0</v>
      </c>
      <c r="H487" s="296">
        <v>4425</v>
      </c>
      <c r="I487" s="296">
        <v>2530</v>
      </c>
      <c r="J487" s="296">
        <v>2656.5</v>
      </c>
      <c r="K487" s="296">
        <v>1768.5</v>
      </c>
      <c r="L487" s="296">
        <v>0</v>
      </c>
      <c r="M487" s="296">
        <v>1895</v>
      </c>
      <c r="N487" s="297">
        <v>0.42824858757062145</v>
      </c>
    </row>
    <row r="488" spans="1:14" ht="18" customHeight="1">
      <c r="A488" s="293" t="s">
        <v>2090</v>
      </c>
      <c r="B488" s="294">
        <v>46093</v>
      </c>
      <c r="C488" s="286" t="s">
        <v>168</v>
      </c>
      <c r="D488" s="286" t="s">
        <v>112</v>
      </c>
      <c r="E488" s="295">
        <v>6</v>
      </c>
      <c r="F488" s="295">
        <v>11.4</v>
      </c>
      <c r="G488" s="296">
        <v>0</v>
      </c>
      <c r="H488" s="296">
        <v>2170</v>
      </c>
      <c r="I488" s="296">
        <v>940.6</v>
      </c>
      <c r="J488" s="296">
        <v>969.88600000000019</v>
      </c>
      <c r="K488" s="296">
        <v>1200.1139999999998</v>
      </c>
      <c r="L488" s="296">
        <v>0</v>
      </c>
      <c r="M488" s="296">
        <v>1229.4000000000001</v>
      </c>
      <c r="N488" s="297">
        <v>0.56654377880184337</v>
      </c>
    </row>
    <row r="489" spans="1:14" ht="18" customHeight="1">
      <c r="A489" s="293" t="s">
        <v>2091</v>
      </c>
      <c r="B489" s="294">
        <v>46093</v>
      </c>
      <c r="C489" s="286" t="s">
        <v>353</v>
      </c>
      <c r="D489" s="286" t="s">
        <v>108</v>
      </c>
      <c r="E489" s="295">
        <v>1</v>
      </c>
      <c r="F489" s="295">
        <v>1</v>
      </c>
      <c r="G489" s="296">
        <v>0</v>
      </c>
      <c r="H489" s="296">
        <v>8000</v>
      </c>
      <c r="I489" s="296">
        <v>7684</v>
      </c>
      <c r="J489" s="296">
        <v>8068.2000000000007</v>
      </c>
      <c r="K489" s="296">
        <v>-68.200000000000728</v>
      </c>
      <c r="L489" s="296">
        <v>-20.460000000000218</v>
      </c>
      <c r="M489" s="296">
        <v>316</v>
      </c>
      <c r="N489" s="297">
        <v>3.95E-2</v>
      </c>
    </row>
    <row r="490" spans="1:14" ht="18" customHeight="1">
      <c r="A490" s="293" t="s">
        <v>2092</v>
      </c>
      <c r="B490" s="294">
        <v>46093</v>
      </c>
      <c r="C490" s="286" t="s">
        <v>168</v>
      </c>
      <c r="D490" s="286" t="s">
        <v>110</v>
      </c>
      <c r="E490" s="295">
        <v>1</v>
      </c>
      <c r="F490" s="295">
        <v>1</v>
      </c>
      <c r="G490" s="296">
        <v>0</v>
      </c>
      <c r="H490" s="296">
        <v>585</v>
      </c>
      <c r="I490" s="296">
        <v>480</v>
      </c>
      <c r="J490" s="296">
        <v>504</v>
      </c>
      <c r="K490" s="296">
        <v>81</v>
      </c>
      <c r="L490" s="296">
        <v>0</v>
      </c>
      <c r="M490" s="296">
        <v>105</v>
      </c>
      <c r="N490" s="297">
        <v>0.17948717948717949</v>
      </c>
    </row>
    <row r="491" spans="1:14" ht="18" customHeight="1">
      <c r="A491" s="293" t="s">
        <v>2093</v>
      </c>
      <c r="B491" s="294">
        <v>46093</v>
      </c>
      <c r="C491" s="286" t="s">
        <v>168</v>
      </c>
      <c r="D491" s="286" t="s">
        <v>97</v>
      </c>
      <c r="E491" s="295">
        <v>1</v>
      </c>
      <c r="F491" s="295">
        <v>1</v>
      </c>
      <c r="G491" s="296">
        <v>0</v>
      </c>
      <c r="H491" s="296">
        <v>8000</v>
      </c>
      <c r="I491" s="296">
        <v>7684</v>
      </c>
      <c r="J491" s="296">
        <v>8068.2000000000007</v>
      </c>
      <c r="K491" s="296">
        <v>-68.200000000000728</v>
      </c>
      <c r="L491" s="296">
        <v>0</v>
      </c>
      <c r="M491" s="296">
        <v>316</v>
      </c>
      <c r="N491" s="297">
        <v>3.95E-2</v>
      </c>
    </row>
    <row r="492" spans="1:14" ht="18" customHeight="1">
      <c r="A492" s="293" t="s">
        <v>2094</v>
      </c>
      <c r="B492" s="294">
        <v>46093</v>
      </c>
      <c r="C492" s="286" t="s">
        <v>168</v>
      </c>
      <c r="D492" s="286" t="s">
        <v>134</v>
      </c>
      <c r="E492" s="295">
        <v>1</v>
      </c>
      <c r="F492" s="295">
        <v>1</v>
      </c>
      <c r="G492" s="296">
        <v>0</v>
      </c>
      <c r="H492" s="296">
        <v>1700</v>
      </c>
      <c r="I492" s="296">
        <v>1100</v>
      </c>
      <c r="J492" s="296">
        <v>1155</v>
      </c>
      <c r="K492" s="296">
        <v>545</v>
      </c>
      <c r="L492" s="296">
        <v>0</v>
      </c>
      <c r="M492" s="296">
        <v>600</v>
      </c>
      <c r="N492" s="297">
        <v>0.35294117647058826</v>
      </c>
    </row>
    <row r="493" spans="1:14" ht="18" customHeight="1">
      <c r="A493" s="293" t="s">
        <v>2095</v>
      </c>
      <c r="B493" s="294">
        <v>46093</v>
      </c>
      <c r="C493" s="286" t="s">
        <v>358</v>
      </c>
      <c r="D493" s="286" t="s">
        <v>98</v>
      </c>
      <c r="E493" s="295">
        <v>3</v>
      </c>
      <c r="F493" s="295">
        <v>7</v>
      </c>
      <c r="G493" s="296">
        <v>0</v>
      </c>
      <c r="H493" s="296">
        <v>5305</v>
      </c>
      <c r="I493" s="296">
        <v>3405</v>
      </c>
      <c r="J493" s="296">
        <v>3575.25</v>
      </c>
      <c r="K493" s="296">
        <v>1729.75</v>
      </c>
      <c r="L493" s="296">
        <v>518.92499999999995</v>
      </c>
      <c r="M493" s="296">
        <v>1900</v>
      </c>
      <c r="N493" s="297">
        <v>0.35815268614514612</v>
      </c>
    </row>
    <row r="494" spans="1:14" ht="18" customHeight="1">
      <c r="A494" s="293" t="s">
        <v>2096</v>
      </c>
      <c r="B494" s="294">
        <v>46093</v>
      </c>
      <c r="C494" s="286" t="s">
        <v>168</v>
      </c>
      <c r="D494" s="286" t="s">
        <v>99</v>
      </c>
      <c r="E494" s="295">
        <v>7</v>
      </c>
      <c r="F494" s="295">
        <v>5.4</v>
      </c>
      <c r="G494" s="296">
        <v>0</v>
      </c>
      <c r="H494" s="296">
        <v>3090</v>
      </c>
      <c r="I494" s="296">
        <v>1763.1</v>
      </c>
      <c r="J494" s="296">
        <v>1832.5930000000001</v>
      </c>
      <c r="K494" s="296">
        <v>1257.4069999999999</v>
      </c>
      <c r="L494" s="296">
        <v>0</v>
      </c>
      <c r="M494" s="296">
        <v>1326.9</v>
      </c>
      <c r="N494" s="297">
        <v>0.42941747572815536</v>
      </c>
    </row>
    <row r="495" spans="1:14" ht="18" customHeight="1">
      <c r="A495" s="293" t="s">
        <v>2097</v>
      </c>
      <c r="B495" s="294">
        <v>46094</v>
      </c>
      <c r="C495" s="286" t="s">
        <v>3773</v>
      </c>
      <c r="D495" s="286" t="s">
        <v>100</v>
      </c>
      <c r="E495" s="295">
        <v>9</v>
      </c>
      <c r="F495" s="295">
        <v>14.4</v>
      </c>
      <c r="G495" s="296">
        <v>0</v>
      </c>
      <c r="H495" s="296">
        <v>2021</v>
      </c>
      <c r="I495" s="296">
        <v>1003.7700000000001</v>
      </c>
      <c r="J495" s="296">
        <v>1035.9550999999999</v>
      </c>
      <c r="K495" s="296">
        <v>985.0449000000001</v>
      </c>
      <c r="L495" s="296">
        <v>295.51346999999998</v>
      </c>
      <c r="M495" s="296">
        <v>1017.2299999999999</v>
      </c>
      <c r="N495" s="297">
        <v>0.50333003463631865</v>
      </c>
    </row>
    <row r="496" spans="1:14" ht="18" customHeight="1">
      <c r="A496" s="293" t="s">
        <v>2098</v>
      </c>
      <c r="B496" s="294">
        <v>46094</v>
      </c>
      <c r="C496" s="286" t="s">
        <v>168</v>
      </c>
      <c r="D496" s="286" t="s">
        <v>155</v>
      </c>
      <c r="E496" s="295">
        <v>4</v>
      </c>
      <c r="F496" s="295">
        <v>18</v>
      </c>
      <c r="G496" s="296">
        <v>0</v>
      </c>
      <c r="H496" s="296">
        <v>8960</v>
      </c>
      <c r="I496" s="296">
        <v>6303</v>
      </c>
      <c r="J496" s="296">
        <v>6492.09</v>
      </c>
      <c r="K496" s="296">
        <v>2467.91</v>
      </c>
      <c r="L496" s="296">
        <v>0</v>
      </c>
      <c r="M496" s="296">
        <v>2657</v>
      </c>
      <c r="N496" s="297">
        <v>0.29654017857142856</v>
      </c>
    </row>
    <row r="497" spans="1:14" ht="18" customHeight="1">
      <c r="A497" s="293" t="s">
        <v>2099</v>
      </c>
      <c r="B497" s="294">
        <v>46094</v>
      </c>
      <c r="C497" s="286" t="s">
        <v>168</v>
      </c>
      <c r="D497" s="286" t="s">
        <v>120</v>
      </c>
      <c r="E497" s="295">
        <v>1</v>
      </c>
      <c r="F497" s="295">
        <v>1</v>
      </c>
      <c r="G497" s="296">
        <v>0</v>
      </c>
      <c r="H497" s="296">
        <v>1900</v>
      </c>
      <c r="I497" s="296">
        <v>1100</v>
      </c>
      <c r="J497" s="296">
        <v>1155</v>
      </c>
      <c r="K497" s="296">
        <v>745</v>
      </c>
      <c r="L497" s="296">
        <v>0</v>
      </c>
      <c r="M497" s="296">
        <v>800</v>
      </c>
      <c r="N497" s="297">
        <v>0.42105263157894735</v>
      </c>
    </row>
    <row r="498" spans="1:14" ht="18" customHeight="1">
      <c r="A498" s="293" t="s">
        <v>2100</v>
      </c>
      <c r="B498" s="294">
        <v>46094</v>
      </c>
      <c r="C498" s="286" t="s">
        <v>168</v>
      </c>
      <c r="D498" s="286" t="s">
        <v>112</v>
      </c>
      <c r="E498" s="295">
        <v>6</v>
      </c>
      <c r="F498" s="295">
        <v>9.4</v>
      </c>
      <c r="G498" s="296">
        <v>0</v>
      </c>
      <c r="H498" s="296">
        <v>1800</v>
      </c>
      <c r="I498" s="296">
        <v>907.90000000000009</v>
      </c>
      <c r="J498" s="296">
        <v>935.84900000000005</v>
      </c>
      <c r="K498" s="296">
        <v>864.15099999999995</v>
      </c>
      <c r="L498" s="296">
        <v>0</v>
      </c>
      <c r="M498" s="296">
        <v>892.09999999999991</v>
      </c>
      <c r="N498" s="297">
        <v>0.49561111111111106</v>
      </c>
    </row>
    <row r="499" spans="1:14" ht="18" customHeight="1">
      <c r="A499" s="293" t="s">
        <v>2101</v>
      </c>
      <c r="B499" s="294">
        <v>46094</v>
      </c>
      <c r="C499" s="286" t="s">
        <v>353</v>
      </c>
      <c r="D499" s="286" t="s">
        <v>108</v>
      </c>
      <c r="E499" s="295">
        <v>1</v>
      </c>
      <c r="F499" s="295">
        <v>1</v>
      </c>
      <c r="G499" s="296">
        <v>0</v>
      </c>
      <c r="H499" s="296">
        <v>2100</v>
      </c>
      <c r="I499" s="296">
        <v>1200</v>
      </c>
      <c r="J499" s="296">
        <v>1260</v>
      </c>
      <c r="K499" s="296">
        <v>840</v>
      </c>
      <c r="L499" s="296">
        <v>252</v>
      </c>
      <c r="M499" s="296">
        <v>900</v>
      </c>
      <c r="N499" s="297">
        <v>0.42857142857142855</v>
      </c>
    </row>
    <row r="500" spans="1:14" ht="18" customHeight="1">
      <c r="A500" s="293" t="s">
        <v>2102</v>
      </c>
      <c r="B500" s="294">
        <v>46094</v>
      </c>
      <c r="C500" s="286" t="s">
        <v>168</v>
      </c>
      <c r="D500" s="286" t="s">
        <v>92</v>
      </c>
      <c r="E500" s="295">
        <v>2</v>
      </c>
      <c r="F500" s="295">
        <v>2</v>
      </c>
      <c r="G500" s="296">
        <v>0</v>
      </c>
      <c r="H500" s="296">
        <v>2270</v>
      </c>
      <c r="I500" s="296">
        <v>950</v>
      </c>
      <c r="J500" s="296">
        <v>997.5</v>
      </c>
      <c r="K500" s="296">
        <v>1272.5</v>
      </c>
      <c r="L500" s="296">
        <v>0</v>
      </c>
      <c r="M500" s="296">
        <v>1320</v>
      </c>
      <c r="N500" s="297">
        <v>0.58149779735682816</v>
      </c>
    </row>
    <row r="501" spans="1:14" ht="18" customHeight="1">
      <c r="A501" s="293" t="s">
        <v>2103</v>
      </c>
      <c r="B501" s="294">
        <v>46094</v>
      </c>
      <c r="C501" s="286" t="s">
        <v>353</v>
      </c>
      <c r="D501" s="286" t="s">
        <v>103</v>
      </c>
      <c r="E501" s="295">
        <v>3</v>
      </c>
      <c r="F501" s="295">
        <v>5</v>
      </c>
      <c r="G501" s="296">
        <v>0</v>
      </c>
      <c r="H501" s="296">
        <v>3142</v>
      </c>
      <c r="I501" s="296">
        <v>1580</v>
      </c>
      <c r="J501" s="296">
        <v>1659</v>
      </c>
      <c r="K501" s="296">
        <v>1483</v>
      </c>
      <c r="L501" s="296">
        <v>444.90000000000003</v>
      </c>
      <c r="M501" s="296">
        <v>1562</v>
      </c>
      <c r="N501" s="297">
        <v>0.49713558243157224</v>
      </c>
    </row>
    <row r="502" spans="1:14" ht="18" customHeight="1">
      <c r="A502" s="293" t="s">
        <v>2104</v>
      </c>
      <c r="B502" s="294">
        <v>46094</v>
      </c>
      <c r="C502" s="286" t="s">
        <v>353</v>
      </c>
      <c r="D502" s="286" t="s">
        <v>94</v>
      </c>
      <c r="E502" s="295">
        <v>1</v>
      </c>
      <c r="F502" s="295">
        <v>1</v>
      </c>
      <c r="G502" s="296">
        <v>0</v>
      </c>
      <c r="H502" s="296">
        <v>1800</v>
      </c>
      <c r="I502" s="296">
        <v>1350</v>
      </c>
      <c r="J502" s="296">
        <v>1417.5</v>
      </c>
      <c r="K502" s="296">
        <v>382.5</v>
      </c>
      <c r="L502" s="296">
        <v>114.75</v>
      </c>
      <c r="M502" s="296">
        <v>450</v>
      </c>
      <c r="N502" s="297">
        <v>0.25</v>
      </c>
    </row>
    <row r="503" spans="1:14" ht="18" customHeight="1">
      <c r="A503" s="293" t="s">
        <v>2105</v>
      </c>
      <c r="B503" s="294">
        <v>46094</v>
      </c>
      <c r="C503" s="286" t="s">
        <v>168</v>
      </c>
      <c r="D503" s="286" t="s">
        <v>115</v>
      </c>
      <c r="E503" s="295">
        <v>4</v>
      </c>
      <c r="F503" s="295">
        <v>4</v>
      </c>
      <c r="G503" s="296">
        <v>0</v>
      </c>
      <c r="H503" s="296">
        <v>1075</v>
      </c>
      <c r="I503" s="296">
        <v>542</v>
      </c>
      <c r="J503" s="296">
        <v>569.09999999999991</v>
      </c>
      <c r="K503" s="296">
        <v>505.9</v>
      </c>
      <c r="L503" s="296">
        <v>0</v>
      </c>
      <c r="M503" s="296">
        <v>533</v>
      </c>
      <c r="N503" s="297">
        <v>0.49581395348837209</v>
      </c>
    </row>
    <row r="504" spans="1:14" ht="18" customHeight="1">
      <c r="A504" s="293" t="s">
        <v>2106</v>
      </c>
      <c r="B504" s="294">
        <v>46094</v>
      </c>
      <c r="C504" s="286" t="s">
        <v>168</v>
      </c>
      <c r="D504" s="286" t="s">
        <v>124</v>
      </c>
      <c r="E504" s="295">
        <v>1</v>
      </c>
      <c r="F504" s="295">
        <v>1</v>
      </c>
      <c r="G504" s="296">
        <v>0</v>
      </c>
      <c r="H504" s="296">
        <v>1900</v>
      </c>
      <c r="I504" s="296">
        <v>800</v>
      </c>
      <c r="J504" s="296">
        <v>840</v>
      </c>
      <c r="K504" s="296">
        <v>1060</v>
      </c>
      <c r="L504" s="296">
        <v>0</v>
      </c>
      <c r="M504" s="296">
        <v>1100</v>
      </c>
      <c r="N504" s="297">
        <v>0.57894736842105265</v>
      </c>
    </row>
    <row r="505" spans="1:14" ht="18" customHeight="1">
      <c r="A505" s="293" t="s">
        <v>2107</v>
      </c>
      <c r="B505" s="294">
        <v>46094</v>
      </c>
      <c r="C505" s="286" t="s">
        <v>168</v>
      </c>
      <c r="D505" s="286" t="s">
        <v>153</v>
      </c>
      <c r="E505" s="295">
        <v>3</v>
      </c>
      <c r="F505" s="295">
        <v>4</v>
      </c>
      <c r="G505" s="296">
        <v>0</v>
      </c>
      <c r="H505" s="296">
        <v>6800</v>
      </c>
      <c r="I505" s="296">
        <v>2853</v>
      </c>
      <c r="J505" s="296">
        <v>2938.59</v>
      </c>
      <c r="K505" s="296">
        <v>3861.41</v>
      </c>
      <c r="L505" s="296">
        <v>0</v>
      </c>
      <c r="M505" s="296">
        <v>3947</v>
      </c>
      <c r="N505" s="297">
        <v>0.58044117647058824</v>
      </c>
    </row>
    <row r="506" spans="1:14" ht="18" customHeight="1">
      <c r="A506" s="293" t="s">
        <v>2108</v>
      </c>
      <c r="B506" s="294">
        <v>46094</v>
      </c>
      <c r="C506" s="286" t="s">
        <v>168</v>
      </c>
      <c r="D506" s="286" t="s">
        <v>97</v>
      </c>
      <c r="E506" s="295">
        <v>3</v>
      </c>
      <c r="F506" s="295">
        <v>3</v>
      </c>
      <c r="G506" s="296">
        <v>0</v>
      </c>
      <c r="H506" s="296">
        <v>5900</v>
      </c>
      <c r="I506" s="296">
        <v>3550</v>
      </c>
      <c r="J506" s="296">
        <v>3727.5</v>
      </c>
      <c r="K506" s="296">
        <v>2172.5</v>
      </c>
      <c r="L506" s="296">
        <v>0</v>
      </c>
      <c r="M506" s="296">
        <v>2350</v>
      </c>
      <c r="N506" s="297">
        <v>0.39830508474576271</v>
      </c>
    </row>
    <row r="507" spans="1:14" ht="18" customHeight="1">
      <c r="A507" s="293" t="s">
        <v>2109</v>
      </c>
      <c r="B507" s="294">
        <v>46094</v>
      </c>
      <c r="C507" s="286" t="s">
        <v>358</v>
      </c>
      <c r="D507" s="286" t="s">
        <v>98</v>
      </c>
      <c r="E507" s="295">
        <v>4</v>
      </c>
      <c r="F507" s="295">
        <v>13</v>
      </c>
      <c r="G507" s="296">
        <v>0</v>
      </c>
      <c r="H507" s="296">
        <v>1020</v>
      </c>
      <c r="I507" s="296">
        <v>586</v>
      </c>
      <c r="J507" s="296">
        <v>615.30000000000007</v>
      </c>
      <c r="K507" s="296">
        <v>404.69999999999993</v>
      </c>
      <c r="L507" s="296">
        <v>121.41</v>
      </c>
      <c r="M507" s="296">
        <v>434</v>
      </c>
      <c r="N507" s="297">
        <v>0.42549019607843136</v>
      </c>
    </row>
    <row r="508" spans="1:14" ht="18" customHeight="1">
      <c r="A508" s="293" t="s">
        <v>2110</v>
      </c>
      <c r="B508" s="294">
        <v>46095</v>
      </c>
      <c r="C508" s="286" t="s">
        <v>168</v>
      </c>
      <c r="D508" s="286" t="s">
        <v>121</v>
      </c>
      <c r="E508" s="295">
        <v>2</v>
      </c>
      <c r="F508" s="295">
        <v>2</v>
      </c>
      <c r="G508" s="296">
        <v>0</v>
      </c>
      <c r="H508" s="296">
        <v>2150</v>
      </c>
      <c r="I508" s="296">
        <v>1190</v>
      </c>
      <c r="J508" s="296">
        <v>1249.5</v>
      </c>
      <c r="K508" s="296">
        <v>900.5</v>
      </c>
      <c r="L508" s="296">
        <v>0</v>
      </c>
      <c r="M508" s="296">
        <v>960</v>
      </c>
      <c r="N508" s="297">
        <v>0.44651162790697674</v>
      </c>
    </row>
    <row r="509" spans="1:14" ht="18" customHeight="1">
      <c r="A509" s="293" t="s">
        <v>2111</v>
      </c>
      <c r="B509" s="294">
        <v>46095</v>
      </c>
      <c r="C509" s="286" t="s">
        <v>353</v>
      </c>
      <c r="D509" s="286" t="s">
        <v>94</v>
      </c>
      <c r="E509" s="295">
        <v>10</v>
      </c>
      <c r="F509" s="295">
        <v>15</v>
      </c>
      <c r="G509" s="296">
        <v>0</v>
      </c>
      <c r="H509" s="296">
        <v>5406</v>
      </c>
      <c r="I509" s="296">
        <v>3540</v>
      </c>
      <c r="J509" s="296">
        <v>3710.4</v>
      </c>
      <c r="K509" s="296">
        <v>1695.6</v>
      </c>
      <c r="L509" s="296">
        <v>508.67999999999995</v>
      </c>
      <c r="M509" s="296">
        <v>1866</v>
      </c>
      <c r="N509" s="297">
        <v>0.34517203107658156</v>
      </c>
    </row>
    <row r="510" spans="1:14" ht="18" customHeight="1">
      <c r="A510" s="293" t="s">
        <v>2112</v>
      </c>
      <c r="B510" s="294">
        <v>46095</v>
      </c>
      <c r="C510" s="286" t="s">
        <v>3773</v>
      </c>
      <c r="D510" s="286" t="s">
        <v>116</v>
      </c>
      <c r="E510" s="295">
        <v>1</v>
      </c>
      <c r="F510" s="295">
        <v>1</v>
      </c>
      <c r="G510" s="296">
        <v>0</v>
      </c>
      <c r="H510" s="296">
        <v>1696</v>
      </c>
      <c r="I510" s="296">
        <v>960</v>
      </c>
      <c r="J510" s="296">
        <v>1008</v>
      </c>
      <c r="K510" s="296">
        <v>688</v>
      </c>
      <c r="L510" s="296">
        <v>206.4</v>
      </c>
      <c r="M510" s="296">
        <v>736</v>
      </c>
      <c r="N510" s="297">
        <v>0.43396226415094341</v>
      </c>
    </row>
    <row r="511" spans="1:14" ht="18" customHeight="1">
      <c r="A511" s="293" t="s">
        <v>2113</v>
      </c>
      <c r="B511" s="294">
        <v>46095</v>
      </c>
      <c r="C511" s="286" t="s">
        <v>168</v>
      </c>
      <c r="D511" s="286" t="s">
        <v>115</v>
      </c>
      <c r="E511" s="295">
        <v>4</v>
      </c>
      <c r="F511" s="295">
        <v>5</v>
      </c>
      <c r="G511" s="296">
        <v>0</v>
      </c>
      <c r="H511" s="296">
        <v>9140</v>
      </c>
      <c r="I511" s="296">
        <v>8334</v>
      </c>
      <c r="J511" s="296">
        <v>8750.7000000000007</v>
      </c>
      <c r="K511" s="296">
        <v>389.29999999999927</v>
      </c>
      <c r="L511" s="296">
        <v>0</v>
      </c>
      <c r="M511" s="296">
        <v>806</v>
      </c>
      <c r="N511" s="297">
        <v>8.8183807439824943E-2</v>
      </c>
    </row>
    <row r="512" spans="1:14" ht="18" customHeight="1">
      <c r="A512" s="293" t="s">
        <v>2114</v>
      </c>
      <c r="B512" s="294">
        <v>46095</v>
      </c>
      <c r="C512" s="286" t="s">
        <v>350</v>
      </c>
      <c r="D512" s="286" t="s">
        <v>119</v>
      </c>
      <c r="E512" s="295">
        <v>1</v>
      </c>
      <c r="F512" s="295">
        <v>1</v>
      </c>
      <c r="G512" s="296">
        <v>0</v>
      </c>
      <c r="H512" s="296">
        <v>1900</v>
      </c>
      <c r="I512" s="296">
        <v>1300</v>
      </c>
      <c r="J512" s="296">
        <v>1365</v>
      </c>
      <c r="K512" s="296">
        <v>535</v>
      </c>
      <c r="L512" s="296">
        <v>160.5</v>
      </c>
      <c r="M512" s="296">
        <v>600</v>
      </c>
      <c r="N512" s="297">
        <v>0.31578947368421051</v>
      </c>
    </row>
    <row r="513" spans="1:14" ht="18" customHeight="1">
      <c r="A513" s="293" t="s">
        <v>2115</v>
      </c>
      <c r="B513" s="294">
        <v>46095</v>
      </c>
      <c r="C513" s="286" t="s">
        <v>168</v>
      </c>
      <c r="D513" s="286" t="s">
        <v>124</v>
      </c>
      <c r="E513" s="295">
        <v>4</v>
      </c>
      <c r="F513" s="295">
        <v>4</v>
      </c>
      <c r="G513" s="296">
        <v>0</v>
      </c>
      <c r="H513" s="296">
        <v>2400</v>
      </c>
      <c r="I513" s="296">
        <v>952</v>
      </c>
      <c r="J513" s="296">
        <v>999.6</v>
      </c>
      <c r="K513" s="296">
        <v>1400.4</v>
      </c>
      <c r="L513" s="296">
        <v>0</v>
      </c>
      <c r="M513" s="296">
        <v>1448</v>
      </c>
      <c r="N513" s="297">
        <v>0.60333333333333339</v>
      </c>
    </row>
    <row r="514" spans="1:14" ht="18" customHeight="1">
      <c r="A514" s="293" t="s">
        <v>2116</v>
      </c>
      <c r="B514" s="294">
        <v>46095</v>
      </c>
      <c r="C514" s="286" t="s">
        <v>168</v>
      </c>
      <c r="D514" s="286" t="s">
        <v>99</v>
      </c>
      <c r="E514" s="295">
        <v>7</v>
      </c>
      <c r="F514" s="295">
        <v>11</v>
      </c>
      <c r="G514" s="296">
        <v>0</v>
      </c>
      <c r="H514" s="296">
        <v>915</v>
      </c>
      <c r="I514" s="296">
        <v>469.5</v>
      </c>
      <c r="J514" s="296">
        <v>488.59500000000003</v>
      </c>
      <c r="K514" s="296">
        <v>426.40499999999997</v>
      </c>
      <c r="L514" s="296">
        <v>0</v>
      </c>
      <c r="M514" s="296">
        <v>445.5</v>
      </c>
      <c r="N514" s="297">
        <v>0.48688524590163934</v>
      </c>
    </row>
    <row r="515" spans="1:14" ht="18" customHeight="1">
      <c r="A515" s="293" t="s">
        <v>2117</v>
      </c>
      <c r="B515" s="294">
        <v>46095</v>
      </c>
      <c r="C515" s="286" t="s">
        <v>168</v>
      </c>
      <c r="D515" s="286" t="s">
        <v>117</v>
      </c>
      <c r="E515" s="295">
        <v>2</v>
      </c>
      <c r="F515" s="295">
        <v>3</v>
      </c>
      <c r="G515" s="296">
        <v>0</v>
      </c>
      <c r="H515" s="296">
        <v>160</v>
      </c>
      <c r="I515" s="296">
        <v>70</v>
      </c>
      <c r="J515" s="296">
        <v>73.5</v>
      </c>
      <c r="K515" s="296">
        <v>86.5</v>
      </c>
      <c r="L515" s="296">
        <v>0</v>
      </c>
      <c r="M515" s="296">
        <v>90</v>
      </c>
      <c r="N515" s="297">
        <v>0.5625</v>
      </c>
    </row>
    <row r="516" spans="1:14" ht="18" customHeight="1">
      <c r="A516" s="293" t="s">
        <v>2118</v>
      </c>
      <c r="B516" s="294">
        <v>46097</v>
      </c>
      <c r="C516" s="286" t="s">
        <v>3773</v>
      </c>
      <c r="D516" s="286" t="s">
        <v>102</v>
      </c>
      <c r="E516" s="295">
        <v>2</v>
      </c>
      <c r="F516" s="295">
        <v>2</v>
      </c>
      <c r="G516" s="296">
        <v>0</v>
      </c>
      <c r="H516" s="296">
        <v>8550</v>
      </c>
      <c r="I516" s="296">
        <v>7954</v>
      </c>
      <c r="J516" s="296">
        <v>8351.7000000000007</v>
      </c>
      <c r="K516" s="296">
        <v>198.29999999999927</v>
      </c>
      <c r="L516" s="296">
        <v>59.489999999999782</v>
      </c>
      <c r="M516" s="296">
        <v>596</v>
      </c>
      <c r="N516" s="297">
        <v>6.9707602339181288E-2</v>
      </c>
    </row>
    <row r="517" spans="1:14" ht="18" customHeight="1">
      <c r="A517" s="293" t="s">
        <v>2119</v>
      </c>
      <c r="B517" s="294">
        <v>46097</v>
      </c>
      <c r="C517" s="286" t="s">
        <v>354</v>
      </c>
      <c r="D517" s="286" t="s">
        <v>109</v>
      </c>
      <c r="E517" s="295">
        <v>1</v>
      </c>
      <c r="F517" s="295">
        <v>1</v>
      </c>
      <c r="G517" s="296">
        <v>0</v>
      </c>
      <c r="H517" s="296">
        <v>1800</v>
      </c>
      <c r="I517" s="296">
        <v>1100</v>
      </c>
      <c r="J517" s="296">
        <v>1155</v>
      </c>
      <c r="K517" s="296">
        <v>645</v>
      </c>
      <c r="L517" s="296">
        <v>193.5</v>
      </c>
      <c r="M517" s="296">
        <v>700</v>
      </c>
      <c r="N517" s="297">
        <v>0.3888888888888889</v>
      </c>
    </row>
    <row r="518" spans="1:14" ht="18" customHeight="1">
      <c r="A518" s="293" t="s">
        <v>2120</v>
      </c>
      <c r="B518" s="294">
        <v>46097</v>
      </c>
      <c r="C518" s="286" t="s">
        <v>168</v>
      </c>
      <c r="D518" s="286" t="s">
        <v>96</v>
      </c>
      <c r="E518" s="295">
        <v>1</v>
      </c>
      <c r="F518" s="295">
        <v>1</v>
      </c>
      <c r="G518" s="296">
        <v>0</v>
      </c>
      <c r="H518" s="296">
        <v>8000</v>
      </c>
      <c r="I518" s="296">
        <v>7684</v>
      </c>
      <c r="J518" s="296">
        <v>8068.2000000000007</v>
      </c>
      <c r="K518" s="296">
        <v>-68.200000000000728</v>
      </c>
      <c r="L518" s="296">
        <v>0</v>
      </c>
      <c r="M518" s="296">
        <v>316</v>
      </c>
      <c r="N518" s="297">
        <v>3.95E-2</v>
      </c>
    </row>
    <row r="519" spans="1:14" ht="18" customHeight="1">
      <c r="A519" s="293" t="s">
        <v>2121</v>
      </c>
      <c r="B519" s="294">
        <v>46097</v>
      </c>
      <c r="C519" s="286" t="s">
        <v>168</v>
      </c>
      <c r="D519" s="286" t="s">
        <v>118</v>
      </c>
      <c r="E519" s="295">
        <v>2</v>
      </c>
      <c r="F519" s="295">
        <v>2</v>
      </c>
      <c r="G519" s="296">
        <v>0</v>
      </c>
      <c r="H519" s="296">
        <v>2550</v>
      </c>
      <c r="I519" s="296">
        <v>1050</v>
      </c>
      <c r="J519" s="296">
        <v>1102.5</v>
      </c>
      <c r="K519" s="296">
        <v>1447.5</v>
      </c>
      <c r="L519" s="296">
        <v>0</v>
      </c>
      <c r="M519" s="296">
        <v>1500</v>
      </c>
      <c r="N519" s="297">
        <v>0.58823529411764708</v>
      </c>
    </row>
    <row r="520" spans="1:14" ht="18" customHeight="1">
      <c r="A520" s="293" t="s">
        <v>2122</v>
      </c>
      <c r="B520" s="294">
        <v>46097</v>
      </c>
      <c r="C520" s="286" t="s">
        <v>168</v>
      </c>
      <c r="D520" s="286" t="s">
        <v>99</v>
      </c>
      <c r="E520" s="295">
        <v>1</v>
      </c>
      <c r="F520" s="295">
        <v>1</v>
      </c>
      <c r="G520" s="296">
        <v>0</v>
      </c>
      <c r="H520" s="296">
        <v>200</v>
      </c>
      <c r="I520" s="296">
        <v>85</v>
      </c>
      <c r="J520" s="296">
        <v>89.25</v>
      </c>
      <c r="K520" s="296">
        <v>110.75</v>
      </c>
      <c r="L520" s="296">
        <v>0</v>
      </c>
      <c r="M520" s="296">
        <v>115</v>
      </c>
      <c r="N520" s="297">
        <v>0.57499999999999996</v>
      </c>
    </row>
    <row r="521" spans="1:14" ht="18" customHeight="1">
      <c r="A521" s="293" t="s">
        <v>2123</v>
      </c>
      <c r="B521" s="294">
        <v>46098</v>
      </c>
      <c r="C521" s="286" t="s">
        <v>353</v>
      </c>
      <c r="D521" s="286" t="s">
        <v>108</v>
      </c>
      <c r="E521" s="295">
        <v>2</v>
      </c>
      <c r="F521" s="295">
        <v>2</v>
      </c>
      <c r="G521" s="296">
        <v>0</v>
      </c>
      <c r="H521" s="296">
        <v>982</v>
      </c>
      <c r="I521" s="296">
        <v>540</v>
      </c>
      <c r="J521" s="296">
        <v>567</v>
      </c>
      <c r="K521" s="296">
        <v>415</v>
      </c>
      <c r="L521" s="296">
        <v>124.49999999999999</v>
      </c>
      <c r="M521" s="296">
        <v>442</v>
      </c>
      <c r="N521" s="297">
        <v>0.45010183299389001</v>
      </c>
    </row>
    <row r="522" spans="1:14" ht="18" customHeight="1">
      <c r="A522" s="293" t="s">
        <v>2124</v>
      </c>
      <c r="B522" s="294">
        <v>46098</v>
      </c>
      <c r="C522" s="286" t="s">
        <v>354</v>
      </c>
      <c r="D522" s="286" t="s">
        <v>109</v>
      </c>
      <c r="E522" s="295">
        <v>1</v>
      </c>
      <c r="F522" s="295">
        <v>1</v>
      </c>
      <c r="G522" s="296">
        <v>0</v>
      </c>
      <c r="H522" s="296">
        <v>2000</v>
      </c>
      <c r="I522" s="296">
        <v>1300</v>
      </c>
      <c r="J522" s="296">
        <v>1365</v>
      </c>
      <c r="K522" s="296">
        <v>635</v>
      </c>
      <c r="L522" s="296">
        <v>190.5</v>
      </c>
      <c r="M522" s="296">
        <v>700</v>
      </c>
      <c r="N522" s="297">
        <v>0.35</v>
      </c>
    </row>
    <row r="523" spans="1:14" ht="18" customHeight="1">
      <c r="A523" s="293" t="s">
        <v>2125</v>
      </c>
      <c r="B523" s="294">
        <v>46098</v>
      </c>
      <c r="C523" s="286" t="s">
        <v>168</v>
      </c>
      <c r="D523" s="286" t="s">
        <v>169</v>
      </c>
      <c r="E523" s="295">
        <v>4</v>
      </c>
      <c r="F523" s="295">
        <v>21</v>
      </c>
      <c r="G523" s="296">
        <v>0</v>
      </c>
      <c r="H523" s="296">
        <v>815</v>
      </c>
      <c r="I523" s="296">
        <v>405</v>
      </c>
      <c r="J523" s="296">
        <v>425.25</v>
      </c>
      <c r="K523" s="296">
        <v>389.75</v>
      </c>
      <c r="L523" s="296">
        <v>0</v>
      </c>
      <c r="M523" s="296">
        <v>410</v>
      </c>
      <c r="N523" s="297">
        <v>0.50306748466257667</v>
      </c>
    </row>
    <row r="524" spans="1:14" ht="18" customHeight="1">
      <c r="A524" s="293" t="s">
        <v>2126</v>
      </c>
      <c r="B524" s="294">
        <v>46098</v>
      </c>
      <c r="C524" s="286" t="s">
        <v>168</v>
      </c>
      <c r="D524" s="286" t="s">
        <v>121</v>
      </c>
      <c r="E524" s="295">
        <v>2</v>
      </c>
      <c r="F524" s="295">
        <v>2</v>
      </c>
      <c r="G524" s="296">
        <v>0</v>
      </c>
      <c r="H524" s="296">
        <v>9900</v>
      </c>
      <c r="I524" s="296">
        <v>8984</v>
      </c>
      <c r="J524" s="296">
        <v>9433.2000000000007</v>
      </c>
      <c r="K524" s="296">
        <v>466.79999999999927</v>
      </c>
      <c r="L524" s="296">
        <v>0</v>
      </c>
      <c r="M524" s="296">
        <v>916</v>
      </c>
      <c r="N524" s="297">
        <v>9.2525252525252524E-2</v>
      </c>
    </row>
    <row r="525" spans="1:14" ht="18" customHeight="1">
      <c r="A525" s="293" t="s">
        <v>2127</v>
      </c>
      <c r="B525" s="294">
        <v>46098</v>
      </c>
      <c r="C525" s="286" t="s">
        <v>168</v>
      </c>
      <c r="D525" s="286" t="s">
        <v>96</v>
      </c>
      <c r="E525" s="295">
        <v>2</v>
      </c>
      <c r="F525" s="295">
        <v>2</v>
      </c>
      <c r="G525" s="296">
        <v>0</v>
      </c>
      <c r="H525" s="296">
        <v>2015</v>
      </c>
      <c r="I525" s="296">
        <v>1407</v>
      </c>
      <c r="J525" s="296">
        <v>1477.21</v>
      </c>
      <c r="K525" s="296">
        <v>537.79</v>
      </c>
      <c r="L525" s="296">
        <v>0</v>
      </c>
      <c r="M525" s="296">
        <v>608</v>
      </c>
      <c r="N525" s="297">
        <v>0.30173697270471467</v>
      </c>
    </row>
    <row r="526" spans="1:14" ht="18" customHeight="1">
      <c r="A526" s="293" t="s">
        <v>2128</v>
      </c>
      <c r="B526" s="294">
        <v>46098</v>
      </c>
      <c r="C526" s="286" t="s">
        <v>168</v>
      </c>
      <c r="D526" s="286" t="s">
        <v>138</v>
      </c>
      <c r="E526" s="295">
        <v>3</v>
      </c>
      <c r="F526" s="295">
        <v>10</v>
      </c>
      <c r="G526" s="296">
        <v>0</v>
      </c>
      <c r="H526" s="296">
        <v>910</v>
      </c>
      <c r="I526" s="296">
        <v>500.8</v>
      </c>
      <c r="J526" s="296">
        <v>520.46400000000006</v>
      </c>
      <c r="K526" s="296">
        <v>389.53599999999994</v>
      </c>
      <c r="L526" s="296">
        <v>0</v>
      </c>
      <c r="M526" s="296">
        <v>409.2</v>
      </c>
      <c r="N526" s="297">
        <v>0.44967032967032966</v>
      </c>
    </row>
    <row r="527" spans="1:14" ht="18" customHeight="1">
      <c r="A527" s="293" t="s">
        <v>2129</v>
      </c>
      <c r="B527" s="294">
        <v>46098</v>
      </c>
      <c r="C527" s="286" t="s">
        <v>168</v>
      </c>
      <c r="D527" s="286" t="s">
        <v>99</v>
      </c>
      <c r="E527" s="295">
        <v>3</v>
      </c>
      <c r="F527" s="295">
        <v>22</v>
      </c>
      <c r="G527" s="296">
        <v>0</v>
      </c>
      <c r="H527" s="296">
        <v>1340</v>
      </c>
      <c r="I527" s="296">
        <v>816</v>
      </c>
      <c r="J527" s="296">
        <v>856.8</v>
      </c>
      <c r="K527" s="296">
        <v>483.2</v>
      </c>
      <c r="L527" s="296">
        <v>0</v>
      </c>
      <c r="M527" s="296">
        <v>524</v>
      </c>
      <c r="N527" s="297">
        <v>0.39104477611940297</v>
      </c>
    </row>
    <row r="528" spans="1:14" ht="18" customHeight="1">
      <c r="A528" s="293" t="s">
        <v>2130</v>
      </c>
      <c r="B528" s="294">
        <v>46099</v>
      </c>
      <c r="C528" s="286" t="s">
        <v>353</v>
      </c>
      <c r="D528" s="286" t="s">
        <v>108</v>
      </c>
      <c r="E528" s="295">
        <v>1</v>
      </c>
      <c r="F528" s="295">
        <v>1</v>
      </c>
      <c r="G528" s="296">
        <v>0</v>
      </c>
      <c r="H528" s="296">
        <v>1160</v>
      </c>
      <c r="I528" s="296">
        <v>750</v>
      </c>
      <c r="J528" s="296">
        <v>787.5</v>
      </c>
      <c r="K528" s="296">
        <v>372.5</v>
      </c>
      <c r="L528" s="296">
        <v>111.75</v>
      </c>
      <c r="M528" s="296">
        <v>410</v>
      </c>
      <c r="N528" s="297">
        <v>0.35344827586206895</v>
      </c>
    </row>
    <row r="529" spans="1:14" ht="18" customHeight="1">
      <c r="A529" s="293" t="s">
        <v>2131</v>
      </c>
      <c r="B529" s="294">
        <v>46099</v>
      </c>
      <c r="C529" s="286" t="s">
        <v>168</v>
      </c>
      <c r="D529" s="286" t="s">
        <v>92</v>
      </c>
      <c r="E529" s="295">
        <v>2</v>
      </c>
      <c r="F529" s="295">
        <v>2</v>
      </c>
      <c r="G529" s="296">
        <v>0</v>
      </c>
      <c r="H529" s="296">
        <v>10000</v>
      </c>
      <c r="I529" s="296">
        <v>8534</v>
      </c>
      <c r="J529" s="296">
        <v>8960.7000000000007</v>
      </c>
      <c r="K529" s="296">
        <v>1039.2999999999993</v>
      </c>
      <c r="L529" s="296">
        <v>0</v>
      </c>
      <c r="M529" s="296">
        <v>1466</v>
      </c>
      <c r="N529" s="297">
        <v>0.14660000000000001</v>
      </c>
    </row>
    <row r="530" spans="1:14" ht="18" customHeight="1">
      <c r="A530" s="293" t="s">
        <v>2132</v>
      </c>
      <c r="B530" s="294">
        <v>46099</v>
      </c>
      <c r="C530" s="286" t="s">
        <v>353</v>
      </c>
      <c r="D530" s="286" t="s">
        <v>94</v>
      </c>
      <c r="E530" s="295">
        <v>1</v>
      </c>
      <c r="F530" s="295">
        <v>1</v>
      </c>
      <c r="G530" s="296">
        <v>0</v>
      </c>
      <c r="H530" s="296">
        <v>420</v>
      </c>
      <c r="I530" s="296">
        <v>300</v>
      </c>
      <c r="J530" s="296">
        <v>315</v>
      </c>
      <c r="K530" s="296">
        <v>105</v>
      </c>
      <c r="L530" s="296">
        <v>31.5</v>
      </c>
      <c r="M530" s="296">
        <v>120</v>
      </c>
      <c r="N530" s="297">
        <v>0.2857142857142857</v>
      </c>
    </row>
    <row r="531" spans="1:14" ht="18" customHeight="1">
      <c r="A531" s="293" t="s">
        <v>2133</v>
      </c>
      <c r="B531" s="294">
        <v>46099</v>
      </c>
      <c r="C531" s="286" t="s">
        <v>168</v>
      </c>
      <c r="D531" s="286" t="s">
        <v>96</v>
      </c>
      <c r="E531" s="295">
        <v>2</v>
      </c>
      <c r="F531" s="295">
        <v>2</v>
      </c>
      <c r="G531" s="296">
        <v>0</v>
      </c>
      <c r="H531" s="296">
        <v>2280</v>
      </c>
      <c r="I531" s="296">
        <v>1222</v>
      </c>
      <c r="J531" s="296">
        <v>1283.0999999999999</v>
      </c>
      <c r="K531" s="296">
        <v>996.9</v>
      </c>
      <c r="L531" s="296">
        <v>0</v>
      </c>
      <c r="M531" s="296">
        <v>1058</v>
      </c>
      <c r="N531" s="297">
        <v>0.46403508771929824</v>
      </c>
    </row>
    <row r="532" spans="1:14" ht="18" customHeight="1">
      <c r="A532" s="293" t="s">
        <v>2134</v>
      </c>
      <c r="B532" s="294">
        <v>46099</v>
      </c>
      <c r="C532" s="286" t="s">
        <v>168</v>
      </c>
      <c r="D532" s="286" t="s">
        <v>170</v>
      </c>
      <c r="E532" s="295">
        <v>3</v>
      </c>
      <c r="F532" s="295">
        <v>5</v>
      </c>
      <c r="G532" s="296">
        <v>0</v>
      </c>
      <c r="H532" s="296">
        <v>6045</v>
      </c>
      <c r="I532" s="296">
        <v>3936</v>
      </c>
      <c r="J532" s="296">
        <v>4054.08</v>
      </c>
      <c r="K532" s="296">
        <v>1990.92</v>
      </c>
      <c r="L532" s="296">
        <v>0</v>
      </c>
      <c r="M532" s="296">
        <v>2109</v>
      </c>
      <c r="N532" s="297">
        <v>0.34888337468982628</v>
      </c>
    </row>
    <row r="533" spans="1:14" ht="18" customHeight="1">
      <c r="A533" s="293" t="s">
        <v>2135</v>
      </c>
      <c r="B533" s="294">
        <v>46099</v>
      </c>
      <c r="C533" s="286" t="s">
        <v>168</v>
      </c>
      <c r="D533" s="286" t="s">
        <v>127</v>
      </c>
      <c r="E533" s="295">
        <v>2</v>
      </c>
      <c r="F533" s="295">
        <v>3</v>
      </c>
      <c r="G533" s="296">
        <v>0</v>
      </c>
      <c r="H533" s="296">
        <v>430</v>
      </c>
      <c r="I533" s="296">
        <v>288</v>
      </c>
      <c r="J533" s="296">
        <v>296.64</v>
      </c>
      <c r="K533" s="296">
        <v>133.36000000000001</v>
      </c>
      <c r="L533" s="296">
        <v>0</v>
      </c>
      <c r="M533" s="296">
        <v>142</v>
      </c>
      <c r="N533" s="297">
        <v>0.33023255813953489</v>
      </c>
    </row>
    <row r="534" spans="1:14" ht="18" customHeight="1">
      <c r="A534" s="293" t="s">
        <v>2136</v>
      </c>
      <c r="B534" s="294">
        <v>46099</v>
      </c>
      <c r="C534" s="286" t="s">
        <v>168</v>
      </c>
      <c r="D534" s="286" t="s">
        <v>99</v>
      </c>
      <c r="E534" s="295">
        <v>6</v>
      </c>
      <c r="F534" s="295">
        <v>11</v>
      </c>
      <c r="G534" s="296">
        <v>0</v>
      </c>
      <c r="H534" s="296">
        <v>955</v>
      </c>
      <c r="I534" s="296">
        <v>430</v>
      </c>
      <c r="J534" s="296">
        <v>449.03999999999996</v>
      </c>
      <c r="K534" s="296">
        <v>505.96</v>
      </c>
      <c r="L534" s="296">
        <v>0</v>
      </c>
      <c r="M534" s="296">
        <v>525</v>
      </c>
      <c r="N534" s="297">
        <v>0.54973821989528793</v>
      </c>
    </row>
    <row r="535" spans="1:14" ht="18" customHeight="1">
      <c r="A535" s="293" t="s">
        <v>2137</v>
      </c>
      <c r="B535" s="294">
        <v>46100</v>
      </c>
      <c r="C535" s="286" t="s">
        <v>3773</v>
      </c>
      <c r="D535" s="286" t="s">
        <v>102</v>
      </c>
      <c r="E535" s="295">
        <v>1</v>
      </c>
      <c r="F535" s="295">
        <v>1</v>
      </c>
      <c r="G535" s="296">
        <v>0</v>
      </c>
      <c r="H535" s="296">
        <v>350</v>
      </c>
      <c r="I535" s="296">
        <v>150</v>
      </c>
      <c r="J535" s="296">
        <v>157.5</v>
      </c>
      <c r="K535" s="296">
        <v>192.5</v>
      </c>
      <c r="L535" s="296">
        <v>57.75</v>
      </c>
      <c r="M535" s="296">
        <v>200</v>
      </c>
      <c r="N535" s="297">
        <v>0.5714285714285714</v>
      </c>
    </row>
    <row r="536" spans="1:14" ht="18" customHeight="1">
      <c r="A536" s="293" t="s">
        <v>2138</v>
      </c>
      <c r="B536" s="294">
        <v>46100</v>
      </c>
      <c r="C536" s="286" t="s">
        <v>168</v>
      </c>
      <c r="D536" s="286" t="s">
        <v>112</v>
      </c>
      <c r="E536" s="295">
        <v>1</v>
      </c>
      <c r="F536" s="295">
        <v>4</v>
      </c>
      <c r="G536" s="296">
        <v>0</v>
      </c>
      <c r="H536" s="296">
        <v>100</v>
      </c>
      <c r="I536" s="296">
        <v>35.6</v>
      </c>
      <c r="J536" s="296">
        <v>37.380000000000003</v>
      </c>
      <c r="K536" s="296">
        <v>62.62</v>
      </c>
      <c r="L536" s="296">
        <v>0</v>
      </c>
      <c r="M536" s="296">
        <v>64.400000000000006</v>
      </c>
      <c r="N536" s="297">
        <v>0.64400000000000002</v>
      </c>
    </row>
    <row r="537" spans="1:14" ht="18" customHeight="1">
      <c r="A537" s="293" t="s">
        <v>2139</v>
      </c>
      <c r="B537" s="294">
        <v>46100</v>
      </c>
      <c r="C537" s="286" t="s">
        <v>353</v>
      </c>
      <c r="D537" s="286" t="s">
        <v>108</v>
      </c>
      <c r="E537" s="295">
        <v>1</v>
      </c>
      <c r="F537" s="295">
        <v>1</v>
      </c>
      <c r="G537" s="296">
        <v>0</v>
      </c>
      <c r="H537" s="296">
        <v>1300</v>
      </c>
      <c r="I537" s="296">
        <v>750</v>
      </c>
      <c r="J537" s="296">
        <v>787.5</v>
      </c>
      <c r="K537" s="296">
        <v>512.5</v>
      </c>
      <c r="L537" s="296">
        <v>153.75</v>
      </c>
      <c r="M537" s="296">
        <v>550</v>
      </c>
      <c r="N537" s="297">
        <v>0.42307692307692307</v>
      </c>
    </row>
    <row r="538" spans="1:14" ht="18" customHeight="1">
      <c r="A538" s="293" t="s">
        <v>2140</v>
      </c>
      <c r="B538" s="294">
        <v>46100</v>
      </c>
      <c r="C538" s="286" t="s">
        <v>168</v>
      </c>
      <c r="D538" s="286" t="s">
        <v>162</v>
      </c>
      <c r="E538" s="295">
        <v>1</v>
      </c>
      <c r="F538" s="295">
        <v>1</v>
      </c>
      <c r="G538" s="296">
        <v>0</v>
      </c>
      <c r="H538" s="296">
        <v>8000</v>
      </c>
      <c r="I538" s="296">
        <v>7684</v>
      </c>
      <c r="J538" s="296">
        <v>8068.2000000000007</v>
      </c>
      <c r="K538" s="296">
        <v>-68.200000000000728</v>
      </c>
      <c r="L538" s="296">
        <v>0</v>
      </c>
      <c r="M538" s="296">
        <v>316</v>
      </c>
      <c r="N538" s="297">
        <v>3.95E-2</v>
      </c>
    </row>
    <row r="539" spans="1:14" ht="18" customHeight="1">
      <c r="A539" s="293" t="s">
        <v>2141</v>
      </c>
      <c r="B539" s="294">
        <v>46100</v>
      </c>
      <c r="C539" s="286" t="s">
        <v>168</v>
      </c>
      <c r="D539" s="286" t="s">
        <v>110</v>
      </c>
      <c r="E539" s="295">
        <v>2</v>
      </c>
      <c r="F539" s="295">
        <v>6</v>
      </c>
      <c r="G539" s="296">
        <v>0</v>
      </c>
      <c r="H539" s="296">
        <v>352</v>
      </c>
      <c r="I539" s="296">
        <v>115</v>
      </c>
      <c r="J539" s="296">
        <v>120.75</v>
      </c>
      <c r="K539" s="296">
        <v>231.25</v>
      </c>
      <c r="L539" s="296">
        <v>0</v>
      </c>
      <c r="M539" s="296">
        <v>237</v>
      </c>
      <c r="N539" s="297">
        <v>0.67329545454545459</v>
      </c>
    </row>
    <row r="540" spans="1:14" ht="18" customHeight="1">
      <c r="A540" s="293" t="s">
        <v>2142</v>
      </c>
      <c r="B540" s="294">
        <v>46100</v>
      </c>
      <c r="C540" s="286" t="s">
        <v>168</v>
      </c>
      <c r="D540" s="286" t="s">
        <v>96</v>
      </c>
      <c r="E540" s="295">
        <v>1</v>
      </c>
      <c r="F540" s="295">
        <v>1</v>
      </c>
      <c r="G540" s="296">
        <v>0</v>
      </c>
      <c r="H540" s="296">
        <v>2050</v>
      </c>
      <c r="I540" s="296">
        <v>1450</v>
      </c>
      <c r="J540" s="296">
        <v>1522.5</v>
      </c>
      <c r="K540" s="296">
        <v>527.5</v>
      </c>
      <c r="L540" s="296">
        <v>0</v>
      </c>
      <c r="M540" s="296">
        <v>600</v>
      </c>
      <c r="N540" s="297">
        <v>0.29268292682926828</v>
      </c>
    </row>
    <row r="541" spans="1:14" ht="18" customHeight="1">
      <c r="A541" s="293" t="s">
        <v>2143</v>
      </c>
      <c r="B541" s="294">
        <v>46100</v>
      </c>
      <c r="C541" s="286" t="s">
        <v>168</v>
      </c>
      <c r="D541" s="286" t="s">
        <v>105</v>
      </c>
      <c r="E541" s="295">
        <v>1</v>
      </c>
      <c r="F541" s="295">
        <v>1</v>
      </c>
      <c r="G541" s="296">
        <v>0</v>
      </c>
      <c r="H541" s="296">
        <v>2000</v>
      </c>
      <c r="I541" s="296">
        <v>1100</v>
      </c>
      <c r="J541" s="296">
        <v>1155</v>
      </c>
      <c r="K541" s="296">
        <v>845</v>
      </c>
      <c r="L541" s="296">
        <v>0</v>
      </c>
      <c r="M541" s="296">
        <v>900</v>
      </c>
      <c r="N541" s="297">
        <v>0.45</v>
      </c>
    </row>
    <row r="542" spans="1:14" ht="18" customHeight="1">
      <c r="A542" s="293" t="s">
        <v>2144</v>
      </c>
      <c r="B542" s="294">
        <v>46100</v>
      </c>
      <c r="C542" s="286" t="s">
        <v>168</v>
      </c>
      <c r="D542" s="286" t="s">
        <v>124</v>
      </c>
      <c r="E542" s="295">
        <v>7</v>
      </c>
      <c r="F542" s="295">
        <v>12</v>
      </c>
      <c r="G542" s="296">
        <v>0</v>
      </c>
      <c r="H542" s="296">
        <v>5610</v>
      </c>
      <c r="I542" s="296">
        <v>3692</v>
      </c>
      <c r="J542" s="296">
        <v>3876.5999999999995</v>
      </c>
      <c r="K542" s="296">
        <v>1733.4</v>
      </c>
      <c r="L542" s="296">
        <v>0</v>
      </c>
      <c r="M542" s="296">
        <v>1918</v>
      </c>
      <c r="N542" s="297">
        <v>0.34188948306595368</v>
      </c>
    </row>
    <row r="543" spans="1:14" ht="18" customHeight="1">
      <c r="A543" s="293" t="s">
        <v>2145</v>
      </c>
      <c r="B543" s="294">
        <v>46100</v>
      </c>
      <c r="C543" s="286" t="s">
        <v>168</v>
      </c>
      <c r="D543" s="286" t="s">
        <v>144</v>
      </c>
      <c r="E543" s="295">
        <v>1</v>
      </c>
      <c r="F543" s="295">
        <v>2</v>
      </c>
      <c r="G543" s="296">
        <v>0</v>
      </c>
      <c r="H543" s="296">
        <v>892</v>
      </c>
      <c r="I543" s="296">
        <v>480</v>
      </c>
      <c r="J543" s="296">
        <v>504</v>
      </c>
      <c r="K543" s="296">
        <v>388</v>
      </c>
      <c r="L543" s="296">
        <v>0</v>
      </c>
      <c r="M543" s="296">
        <v>412</v>
      </c>
      <c r="N543" s="297">
        <v>0.46188340807174888</v>
      </c>
    </row>
    <row r="544" spans="1:14" ht="18" customHeight="1">
      <c r="A544" s="293" t="s">
        <v>2146</v>
      </c>
      <c r="B544" s="294">
        <v>46100</v>
      </c>
      <c r="C544" s="286" t="s">
        <v>358</v>
      </c>
      <c r="D544" s="286" t="s">
        <v>98</v>
      </c>
      <c r="E544" s="295">
        <v>1</v>
      </c>
      <c r="F544" s="295">
        <v>1</v>
      </c>
      <c r="G544" s="296">
        <v>0</v>
      </c>
      <c r="H544" s="296">
        <v>8000</v>
      </c>
      <c r="I544" s="296">
        <v>7684</v>
      </c>
      <c r="J544" s="296">
        <v>8068.2000000000007</v>
      </c>
      <c r="K544" s="296">
        <v>-68.200000000000728</v>
      </c>
      <c r="L544" s="296">
        <v>-20.460000000000218</v>
      </c>
      <c r="M544" s="296">
        <v>316</v>
      </c>
      <c r="N544" s="297">
        <v>3.95E-2</v>
      </c>
    </row>
    <row r="545" spans="1:14" ht="18" customHeight="1">
      <c r="A545" s="293" t="s">
        <v>2147</v>
      </c>
      <c r="B545" s="294">
        <v>46100</v>
      </c>
      <c r="C545" s="286" t="s">
        <v>168</v>
      </c>
      <c r="D545" s="286" t="s">
        <v>99</v>
      </c>
      <c r="E545" s="295">
        <v>1</v>
      </c>
      <c r="F545" s="295">
        <v>1</v>
      </c>
      <c r="G545" s="296">
        <v>0</v>
      </c>
      <c r="H545" s="296">
        <v>450</v>
      </c>
      <c r="I545" s="296">
        <v>235</v>
      </c>
      <c r="J545" s="296">
        <v>246.75</v>
      </c>
      <c r="K545" s="296">
        <v>203.25</v>
      </c>
      <c r="L545" s="296">
        <v>0</v>
      </c>
      <c r="M545" s="296">
        <v>215</v>
      </c>
      <c r="N545" s="297">
        <v>0.4777777777777778</v>
      </c>
    </row>
    <row r="546" spans="1:14" ht="18" customHeight="1">
      <c r="A546" s="293" t="s">
        <v>2148</v>
      </c>
      <c r="B546" s="294">
        <v>46101</v>
      </c>
      <c r="C546" s="286" t="s">
        <v>168</v>
      </c>
      <c r="D546" s="286" t="s">
        <v>155</v>
      </c>
      <c r="E546" s="295">
        <v>8</v>
      </c>
      <c r="F546" s="295">
        <v>61</v>
      </c>
      <c r="G546" s="296">
        <v>0</v>
      </c>
      <c r="H546" s="296">
        <v>29740</v>
      </c>
      <c r="I546" s="296">
        <v>9958</v>
      </c>
      <c r="J546" s="296">
        <v>10260.939999999999</v>
      </c>
      <c r="K546" s="296">
        <v>19479.059999999998</v>
      </c>
      <c r="L546" s="296">
        <v>0</v>
      </c>
      <c r="M546" s="296">
        <v>19782</v>
      </c>
      <c r="N546" s="297">
        <v>0.66516476126429047</v>
      </c>
    </row>
    <row r="547" spans="1:14" ht="18" customHeight="1">
      <c r="A547" s="293" t="s">
        <v>2149</v>
      </c>
      <c r="B547" s="294">
        <v>46101</v>
      </c>
      <c r="C547" s="286" t="s">
        <v>168</v>
      </c>
      <c r="D547" s="286" t="s">
        <v>118</v>
      </c>
      <c r="E547" s="295">
        <v>2</v>
      </c>
      <c r="F547" s="295">
        <v>2</v>
      </c>
      <c r="G547" s="296">
        <v>0</v>
      </c>
      <c r="H547" s="296">
        <v>2550</v>
      </c>
      <c r="I547" s="296">
        <v>1050</v>
      </c>
      <c r="J547" s="296">
        <v>1102.5</v>
      </c>
      <c r="K547" s="296">
        <v>1447.5</v>
      </c>
      <c r="L547" s="296">
        <v>0</v>
      </c>
      <c r="M547" s="296">
        <v>1500</v>
      </c>
      <c r="N547" s="297">
        <v>0.58823529411764708</v>
      </c>
    </row>
    <row r="548" spans="1:14" ht="18" customHeight="1">
      <c r="A548" s="293" t="s">
        <v>2150</v>
      </c>
      <c r="B548" s="294">
        <v>46101</v>
      </c>
      <c r="C548" s="286" t="s">
        <v>168</v>
      </c>
      <c r="D548" s="286" t="s">
        <v>105</v>
      </c>
      <c r="E548" s="295">
        <v>1</v>
      </c>
      <c r="F548" s="295">
        <v>1</v>
      </c>
      <c r="G548" s="296">
        <v>0</v>
      </c>
      <c r="H548" s="296">
        <v>8000</v>
      </c>
      <c r="I548" s="296">
        <v>7684</v>
      </c>
      <c r="J548" s="296">
        <v>8068.2000000000007</v>
      </c>
      <c r="K548" s="296">
        <v>-68.200000000000728</v>
      </c>
      <c r="L548" s="296">
        <v>0</v>
      </c>
      <c r="M548" s="296">
        <v>316</v>
      </c>
      <c r="N548" s="297">
        <v>3.95E-2</v>
      </c>
    </row>
    <row r="549" spans="1:14" ht="18" customHeight="1">
      <c r="A549" s="293" t="s">
        <v>2151</v>
      </c>
      <c r="B549" s="294">
        <v>46101</v>
      </c>
      <c r="C549" s="286" t="s">
        <v>168</v>
      </c>
      <c r="D549" s="286" t="s">
        <v>170</v>
      </c>
      <c r="E549" s="295">
        <v>3</v>
      </c>
      <c r="F549" s="295">
        <v>4</v>
      </c>
      <c r="G549" s="296">
        <v>0</v>
      </c>
      <c r="H549" s="296">
        <v>3105</v>
      </c>
      <c r="I549" s="296">
        <v>2815.8</v>
      </c>
      <c r="J549" s="296">
        <v>2900.2739999999999</v>
      </c>
      <c r="K549" s="296">
        <v>204.72599999999994</v>
      </c>
      <c r="L549" s="296">
        <v>0</v>
      </c>
      <c r="M549" s="296">
        <v>289.19999999999982</v>
      </c>
      <c r="N549" s="297">
        <v>9.3140096618357426E-2</v>
      </c>
    </row>
    <row r="550" spans="1:14" ht="18" customHeight="1">
      <c r="A550" s="293" t="s">
        <v>2152</v>
      </c>
      <c r="B550" s="294">
        <v>46101</v>
      </c>
      <c r="C550" s="286" t="s">
        <v>168</v>
      </c>
      <c r="D550" s="286" t="s">
        <v>99</v>
      </c>
      <c r="E550" s="295">
        <v>3</v>
      </c>
      <c r="F550" s="295">
        <v>3</v>
      </c>
      <c r="G550" s="296">
        <v>0</v>
      </c>
      <c r="H550" s="296">
        <v>1080</v>
      </c>
      <c r="I550" s="296">
        <v>665.25</v>
      </c>
      <c r="J550" s="296">
        <v>697.8075</v>
      </c>
      <c r="K550" s="296">
        <v>382.1925</v>
      </c>
      <c r="L550" s="296">
        <v>0</v>
      </c>
      <c r="M550" s="296">
        <v>414.75</v>
      </c>
      <c r="N550" s="297">
        <v>0.3840277777777778</v>
      </c>
    </row>
    <row r="551" spans="1:14" ht="18" customHeight="1">
      <c r="A551" s="293" t="s">
        <v>2153</v>
      </c>
      <c r="B551" s="294">
        <v>46102</v>
      </c>
      <c r="C551" s="286" t="s">
        <v>168</v>
      </c>
      <c r="D551" s="286" t="s">
        <v>141</v>
      </c>
      <c r="E551" s="295">
        <v>1</v>
      </c>
      <c r="F551" s="295">
        <v>1</v>
      </c>
      <c r="G551" s="296">
        <v>0</v>
      </c>
      <c r="H551" s="296">
        <v>8000</v>
      </c>
      <c r="I551" s="296">
        <v>7684</v>
      </c>
      <c r="J551" s="296">
        <v>8068.2000000000007</v>
      </c>
      <c r="K551" s="296">
        <v>-68.200000000000728</v>
      </c>
      <c r="L551" s="296">
        <v>0</v>
      </c>
      <c r="M551" s="296">
        <v>316</v>
      </c>
      <c r="N551" s="297">
        <v>3.95E-2</v>
      </c>
    </row>
    <row r="552" spans="1:14" ht="18" customHeight="1">
      <c r="A552" s="293" t="s">
        <v>2154</v>
      </c>
      <c r="B552" s="294">
        <v>46102</v>
      </c>
      <c r="C552" s="286" t="s">
        <v>3773</v>
      </c>
      <c r="D552" s="286" t="s">
        <v>102</v>
      </c>
      <c r="E552" s="295">
        <v>3</v>
      </c>
      <c r="F552" s="295">
        <v>3</v>
      </c>
      <c r="G552" s="296">
        <v>0</v>
      </c>
      <c r="H552" s="296">
        <v>3200</v>
      </c>
      <c r="I552" s="296">
        <v>1540</v>
      </c>
      <c r="J552" s="296">
        <v>1617</v>
      </c>
      <c r="K552" s="296">
        <v>1583</v>
      </c>
      <c r="L552" s="296">
        <v>474.9</v>
      </c>
      <c r="M552" s="296">
        <v>1660</v>
      </c>
      <c r="N552" s="297">
        <v>0.51875000000000004</v>
      </c>
    </row>
    <row r="553" spans="1:14" ht="18" customHeight="1">
      <c r="A553" s="293" t="s">
        <v>2155</v>
      </c>
      <c r="B553" s="294">
        <v>46102</v>
      </c>
      <c r="C553" s="286" t="s">
        <v>353</v>
      </c>
      <c r="D553" s="286" t="s">
        <v>108</v>
      </c>
      <c r="E553" s="295">
        <v>1</v>
      </c>
      <c r="F553" s="295">
        <v>1</v>
      </c>
      <c r="G553" s="296">
        <v>0</v>
      </c>
      <c r="H553" s="296">
        <v>1900</v>
      </c>
      <c r="I553" s="296">
        <v>1000</v>
      </c>
      <c r="J553" s="296">
        <v>1050</v>
      </c>
      <c r="K553" s="296">
        <v>850</v>
      </c>
      <c r="L553" s="296">
        <v>255</v>
      </c>
      <c r="M553" s="296">
        <v>900</v>
      </c>
      <c r="N553" s="297">
        <v>0.47368421052631576</v>
      </c>
    </row>
    <row r="554" spans="1:14" ht="18" customHeight="1">
      <c r="A554" s="293" t="s">
        <v>2156</v>
      </c>
      <c r="B554" s="294">
        <v>46102</v>
      </c>
      <c r="C554" s="286" t="s">
        <v>353</v>
      </c>
      <c r="D554" s="286" t="s">
        <v>94</v>
      </c>
      <c r="E554" s="295">
        <v>7</v>
      </c>
      <c r="F554" s="295">
        <v>12</v>
      </c>
      <c r="G554" s="296">
        <v>0</v>
      </c>
      <c r="H554" s="296">
        <v>5625</v>
      </c>
      <c r="I554" s="296">
        <v>3675</v>
      </c>
      <c r="J554" s="296">
        <v>3858.75</v>
      </c>
      <c r="K554" s="296">
        <v>1766.25</v>
      </c>
      <c r="L554" s="296">
        <v>529.875</v>
      </c>
      <c r="M554" s="296">
        <v>1950</v>
      </c>
      <c r="N554" s="297">
        <v>0.34666666666666668</v>
      </c>
    </row>
    <row r="555" spans="1:14" ht="18" customHeight="1">
      <c r="A555" s="293" t="s">
        <v>2157</v>
      </c>
      <c r="B555" s="294">
        <v>46102</v>
      </c>
      <c r="C555" s="286" t="s">
        <v>168</v>
      </c>
      <c r="D555" s="286" t="s">
        <v>110</v>
      </c>
      <c r="E555" s="295">
        <v>10</v>
      </c>
      <c r="F555" s="295">
        <v>17.2</v>
      </c>
      <c r="G555" s="296">
        <v>0</v>
      </c>
      <c r="H555" s="296">
        <v>4393</v>
      </c>
      <c r="I555" s="296">
        <v>2155.5</v>
      </c>
      <c r="J555" s="296">
        <v>2220.9449999999997</v>
      </c>
      <c r="K555" s="296">
        <v>2172.0549999999998</v>
      </c>
      <c r="L555" s="296">
        <v>0</v>
      </c>
      <c r="M555" s="296">
        <v>2237.5</v>
      </c>
      <c r="N555" s="297">
        <v>0.50933302982016848</v>
      </c>
    </row>
    <row r="556" spans="1:14" ht="18" customHeight="1">
      <c r="A556" s="293" t="s">
        <v>2158</v>
      </c>
      <c r="B556" s="294">
        <v>46102</v>
      </c>
      <c r="C556" s="286" t="s">
        <v>168</v>
      </c>
      <c r="D556" s="286" t="s">
        <v>96</v>
      </c>
      <c r="E556" s="295">
        <v>1</v>
      </c>
      <c r="F556" s="295">
        <v>1</v>
      </c>
      <c r="G556" s="296">
        <v>0</v>
      </c>
      <c r="H556" s="296">
        <v>1800</v>
      </c>
      <c r="I556" s="296">
        <v>1150</v>
      </c>
      <c r="J556" s="296">
        <v>1207.5</v>
      </c>
      <c r="K556" s="296">
        <v>592.5</v>
      </c>
      <c r="L556" s="296">
        <v>0</v>
      </c>
      <c r="M556" s="296">
        <v>650</v>
      </c>
      <c r="N556" s="297">
        <v>0.3611111111111111</v>
      </c>
    </row>
    <row r="557" spans="1:14" ht="18" customHeight="1">
      <c r="A557" s="293" t="s">
        <v>2159</v>
      </c>
      <c r="B557" s="294">
        <v>46102</v>
      </c>
      <c r="C557" s="286" t="s">
        <v>168</v>
      </c>
      <c r="D557" s="286" t="s">
        <v>171</v>
      </c>
      <c r="E557" s="295">
        <v>2</v>
      </c>
      <c r="F557" s="295">
        <v>4</v>
      </c>
      <c r="G557" s="296">
        <v>0</v>
      </c>
      <c r="H557" s="296">
        <v>200</v>
      </c>
      <c r="I557" s="296">
        <v>137.69999999999999</v>
      </c>
      <c r="J557" s="296">
        <v>141.83100000000002</v>
      </c>
      <c r="K557" s="296">
        <v>58.168999999999997</v>
      </c>
      <c r="L557" s="296">
        <v>0</v>
      </c>
      <c r="M557" s="296">
        <v>62.300000000000011</v>
      </c>
      <c r="N557" s="297">
        <v>0.31150000000000005</v>
      </c>
    </row>
    <row r="558" spans="1:14" ht="18" customHeight="1">
      <c r="A558" s="293" t="s">
        <v>2160</v>
      </c>
      <c r="B558" s="294">
        <v>46102</v>
      </c>
      <c r="C558" s="286" t="s">
        <v>168</v>
      </c>
      <c r="D558" s="286" t="s">
        <v>97</v>
      </c>
      <c r="E558" s="295">
        <v>1</v>
      </c>
      <c r="F558" s="295">
        <v>1</v>
      </c>
      <c r="G558" s="296">
        <v>0</v>
      </c>
      <c r="H558" s="296">
        <v>450</v>
      </c>
      <c r="I558" s="296">
        <v>180</v>
      </c>
      <c r="J558" s="296">
        <v>189</v>
      </c>
      <c r="K558" s="296">
        <v>261</v>
      </c>
      <c r="L558" s="296">
        <v>0</v>
      </c>
      <c r="M558" s="296">
        <v>270</v>
      </c>
      <c r="N558" s="297">
        <v>0.6</v>
      </c>
    </row>
    <row r="559" spans="1:14" ht="18" customHeight="1">
      <c r="A559" s="293" t="s">
        <v>2161</v>
      </c>
      <c r="B559" s="294">
        <v>46104</v>
      </c>
      <c r="C559" s="286" t="s">
        <v>353</v>
      </c>
      <c r="D559" s="286" t="s">
        <v>108</v>
      </c>
      <c r="E559" s="295">
        <v>3</v>
      </c>
      <c r="F559" s="295">
        <v>7</v>
      </c>
      <c r="G559" s="296">
        <v>0</v>
      </c>
      <c r="H559" s="296">
        <v>2148</v>
      </c>
      <c r="I559" s="296">
        <v>600</v>
      </c>
      <c r="J559" s="296">
        <v>630</v>
      </c>
      <c r="K559" s="296">
        <v>1518</v>
      </c>
      <c r="L559" s="296">
        <v>455.4</v>
      </c>
      <c r="M559" s="296">
        <v>1548</v>
      </c>
      <c r="N559" s="297">
        <v>0.72067039106145248</v>
      </c>
    </row>
    <row r="560" spans="1:14" ht="18" customHeight="1">
      <c r="A560" s="293" t="s">
        <v>2162</v>
      </c>
      <c r="B560" s="294">
        <v>46104</v>
      </c>
      <c r="C560" s="286" t="s">
        <v>359</v>
      </c>
      <c r="D560" s="286" t="s">
        <v>114</v>
      </c>
      <c r="E560" s="295">
        <v>1</v>
      </c>
      <c r="F560" s="295">
        <v>1</v>
      </c>
      <c r="G560" s="296">
        <v>0</v>
      </c>
      <c r="H560" s="296">
        <v>2000</v>
      </c>
      <c r="I560" s="296">
        <v>1400</v>
      </c>
      <c r="J560" s="296">
        <v>1470</v>
      </c>
      <c r="K560" s="296">
        <v>530</v>
      </c>
      <c r="L560" s="296">
        <v>159</v>
      </c>
      <c r="M560" s="296">
        <v>600</v>
      </c>
      <c r="N560" s="297">
        <v>0.3</v>
      </c>
    </row>
    <row r="561" spans="1:14" ht="18" customHeight="1">
      <c r="A561" s="293" t="s">
        <v>2163</v>
      </c>
      <c r="B561" s="294">
        <v>46104</v>
      </c>
      <c r="C561" s="286" t="s">
        <v>168</v>
      </c>
      <c r="D561" s="286" t="s">
        <v>115</v>
      </c>
      <c r="E561" s="295">
        <v>2</v>
      </c>
      <c r="F561" s="295">
        <v>6</v>
      </c>
      <c r="G561" s="296">
        <v>0</v>
      </c>
      <c r="H561" s="296">
        <v>1800</v>
      </c>
      <c r="I561" s="296">
        <v>1080</v>
      </c>
      <c r="J561" s="296">
        <v>1134</v>
      </c>
      <c r="K561" s="296">
        <v>666</v>
      </c>
      <c r="L561" s="296">
        <v>0</v>
      </c>
      <c r="M561" s="296">
        <v>720</v>
      </c>
      <c r="N561" s="297">
        <v>0.4</v>
      </c>
    </row>
    <row r="562" spans="1:14" ht="18" customHeight="1">
      <c r="A562" s="293" t="s">
        <v>2164</v>
      </c>
      <c r="B562" s="294">
        <v>46104</v>
      </c>
      <c r="C562" s="286" t="s">
        <v>168</v>
      </c>
      <c r="D562" s="286" t="s">
        <v>117</v>
      </c>
      <c r="E562" s="295">
        <v>3</v>
      </c>
      <c r="F562" s="295">
        <v>6.4</v>
      </c>
      <c r="G562" s="296">
        <v>0</v>
      </c>
      <c r="H562" s="296">
        <v>1890</v>
      </c>
      <c r="I562" s="296">
        <v>1597.6000000000001</v>
      </c>
      <c r="J562" s="296">
        <v>1645.5280000000002</v>
      </c>
      <c r="K562" s="296">
        <v>244.47199999999984</v>
      </c>
      <c r="L562" s="296">
        <v>0</v>
      </c>
      <c r="M562" s="296">
        <v>292.39999999999986</v>
      </c>
      <c r="N562" s="297">
        <v>0.15470899470899463</v>
      </c>
    </row>
    <row r="563" spans="1:14" ht="18" customHeight="1">
      <c r="A563" s="293" t="s">
        <v>2165</v>
      </c>
      <c r="B563" s="294">
        <v>46104</v>
      </c>
      <c r="C563" s="286" t="s">
        <v>168</v>
      </c>
      <c r="D563" s="286" t="s">
        <v>99</v>
      </c>
      <c r="E563" s="295">
        <v>2</v>
      </c>
      <c r="F563" s="295">
        <v>2</v>
      </c>
      <c r="G563" s="296">
        <v>0</v>
      </c>
      <c r="H563" s="296">
        <v>205</v>
      </c>
      <c r="I563" s="296">
        <v>89</v>
      </c>
      <c r="J563" s="296">
        <v>93.07</v>
      </c>
      <c r="K563" s="296">
        <v>111.93</v>
      </c>
      <c r="L563" s="296">
        <v>0</v>
      </c>
      <c r="M563" s="296">
        <v>116</v>
      </c>
      <c r="N563" s="297">
        <v>0.56585365853658531</v>
      </c>
    </row>
    <row r="564" spans="1:14" ht="18" customHeight="1">
      <c r="A564" s="293" t="s">
        <v>2166</v>
      </c>
      <c r="B564" s="294">
        <v>46105</v>
      </c>
      <c r="C564" s="286" t="s">
        <v>353</v>
      </c>
      <c r="D564" s="286" t="s">
        <v>94</v>
      </c>
      <c r="E564" s="295">
        <v>1</v>
      </c>
      <c r="F564" s="295">
        <v>2</v>
      </c>
      <c r="G564" s="296">
        <v>0</v>
      </c>
      <c r="H564" s="296">
        <v>1100</v>
      </c>
      <c r="I564" s="296">
        <v>800</v>
      </c>
      <c r="J564" s="296">
        <v>840</v>
      </c>
      <c r="K564" s="296">
        <v>260</v>
      </c>
      <c r="L564" s="296">
        <v>78</v>
      </c>
      <c r="M564" s="296">
        <v>300</v>
      </c>
      <c r="N564" s="297">
        <v>0.27272727272727271</v>
      </c>
    </row>
    <row r="565" spans="1:14" ht="18" customHeight="1">
      <c r="A565" s="293" t="s">
        <v>2167</v>
      </c>
      <c r="B565" s="294">
        <v>46105</v>
      </c>
      <c r="C565" s="286" t="s">
        <v>168</v>
      </c>
      <c r="D565" s="286" t="s">
        <v>96</v>
      </c>
      <c r="E565" s="295">
        <v>3</v>
      </c>
      <c r="F565" s="295">
        <v>4</v>
      </c>
      <c r="G565" s="296">
        <v>0</v>
      </c>
      <c r="H565" s="296">
        <v>2950</v>
      </c>
      <c r="I565" s="296">
        <v>1570</v>
      </c>
      <c r="J565" s="296">
        <v>1648.5</v>
      </c>
      <c r="K565" s="296">
        <v>1301.5</v>
      </c>
      <c r="L565" s="296">
        <v>0</v>
      </c>
      <c r="M565" s="296">
        <v>1380</v>
      </c>
      <c r="N565" s="297">
        <v>0.46779661016949153</v>
      </c>
    </row>
    <row r="566" spans="1:14" ht="18" customHeight="1">
      <c r="A566" s="293" t="s">
        <v>2168</v>
      </c>
      <c r="B566" s="294">
        <v>46105</v>
      </c>
      <c r="C566" s="286" t="s">
        <v>168</v>
      </c>
      <c r="D566" s="286" t="s">
        <v>115</v>
      </c>
      <c r="E566" s="295">
        <v>1</v>
      </c>
      <c r="F566" s="295">
        <v>1</v>
      </c>
      <c r="G566" s="296">
        <v>0</v>
      </c>
      <c r="H566" s="296">
        <v>2200</v>
      </c>
      <c r="I566" s="296">
        <v>1600</v>
      </c>
      <c r="J566" s="296">
        <v>1680</v>
      </c>
      <c r="K566" s="296">
        <v>520</v>
      </c>
      <c r="L566" s="296">
        <v>0</v>
      </c>
      <c r="M566" s="296">
        <v>600</v>
      </c>
      <c r="N566" s="297">
        <v>0.27272727272727271</v>
      </c>
    </row>
    <row r="567" spans="1:14" ht="18" customHeight="1">
      <c r="A567" s="293" t="s">
        <v>2169</v>
      </c>
      <c r="B567" s="294">
        <v>46105</v>
      </c>
      <c r="C567" s="286" t="s">
        <v>168</v>
      </c>
      <c r="D567" s="286" t="s">
        <v>117</v>
      </c>
      <c r="E567" s="295">
        <v>2</v>
      </c>
      <c r="F567" s="295">
        <v>6</v>
      </c>
      <c r="G567" s="296">
        <v>0</v>
      </c>
      <c r="H567" s="296">
        <v>250</v>
      </c>
      <c r="I567" s="296">
        <v>119.5</v>
      </c>
      <c r="J567" s="296">
        <v>123.97499999999999</v>
      </c>
      <c r="K567" s="296">
        <v>126.02500000000001</v>
      </c>
      <c r="L567" s="296">
        <v>0</v>
      </c>
      <c r="M567" s="296">
        <v>130.5</v>
      </c>
      <c r="N567" s="297">
        <v>0.52200000000000002</v>
      </c>
    </row>
    <row r="568" spans="1:14" ht="18" customHeight="1">
      <c r="A568" s="293" t="s">
        <v>2170</v>
      </c>
      <c r="B568" s="294">
        <v>46105</v>
      </c>
      <c r="C568" s="286" t="s">
        <v>168</v>
      </c>
      <c r="D568" s="286" t="s">
        <v>99</v>
      </c>
      <c r="E568" s="295">
        <v>3</v>
      </c>
      <c r="F568" s="295">
        <v>3</v>
      </c>
      <c r="G568" s="296">
        <v>0</v>
      </c>
      <c r="H568" s="296">
        <v>1430</v>
      </c>
      <c r="I568" s="296">
        <v>800</v>
      </c>
      <c r="J568" s="296">
        <v>840</v>
      </c>
      <c r="K568" s="296">
        <v>590</v>
      </c>
      <c r="L568" s="296">
        <v>0</v>
      </c>
      <c r="M568" s="296">
        <v>630</v>
      </c>
      <c r="N568" s="297">
        <v>0.44055944055944057</v>
      </c>
    </row>
    <row r="569" spans="1:14" ht="18" customHeight="1">
      <c r="A569" s="293" t="s">
        <v>2171</v>
      </c>
      <c r="B569" s="294">
        <v>46106</v>
      </c>
      <c r="C569" s="286" t="s">
        <v>3773</v>
      </c>
      <c r="D569" s="286" t="s">
        <v>102</v>
      </c>
      <c r="E569" s="295">
        <v>4</v>
      </c>
      <c r="F569" s="295">
        <v>5</v>
      </c>
      <c r="G569" s="296">
        <v>0</v>
      </c>
      <c r="H569" s="296">
        <v>1840</v>
      </c>
      <c r="I569" s="296">
        <v>850</v>
      </c>
      <c r="J569" s="296">
        <v>892.5</v>
      </c>
      <c r="K569" s="296">
        <v>947.5</v>
      </c>
      <c r="L569" s="296">
        <v>284.25</v>
      </c>
      <c r="M569" s="296">
        <v>990</v>
      </c>
      <c r="N569" s="297">
        <v>0.53804347826086951</v>
      </c>
    </row>
    <row r="570" spans="1:14" ht="18" customHeight="1">
      <c r="A570" s="293" t="s">
        <v>2172</v>
      </c>
      <c r="B570" s="294">
        <v>46106</v>
      </c>
      <c r="C570" s="286" t="s">
        <v>168</v>
      </c>
      <c r="D570" s="286" t="s">
        <v>136</v>
      </c>
      <c r="E570" s="295">
        <v>11</v>
      </c>
      <c r="F570" s="295">
        <v>16.399999999999999</v>
      </c>
      <c r="G570" s="296">
        <v>0</v>
      </c>
      <c r="H570" s="296">
        <v>4995</v>
      </c>
      <c r="I570" s="296">
        <v>1236.25</v>
      </c>
      <c r="J570" s="296">
        <v>1278.9375000000002</v>
      </c>
      <c r="K570" s="296">
        <v>3716.0625</v>
      </c>
      <c r="L570" s="296">
        <v>0</v>
      </c>
      <c r="M570" s="296">
        <v>3758.75</v>
      </c>
      <c r="N570" s="297">
        <v>0.7525025025025025</v>
      </c>
    </row>
    <row r="571" spans="1:14" ht="18" customHeight="1">
      <c r="A571" s="293" t="s">
        <v>2173</v>
      </c>
      <c r="B571" s="294">
        <v>46106</v>
      </c>
      <c r="C571" s="286" t="s">
        <v>168</v>
      </c>
      <c r="D571" s="286" t="s">
        <v>120</v>
      </c>
      <c r="E571" s="295">
        <v>1</v>
      </c>
      <c r="F571" s="295">
        <v>1</v>
      </c>
      <c r="G571" s="296">
        <v>0</v>
      </c>
      <c r="H571" s="296">
        <v>1800</v>
      </c>
      <c r="I571" s="296">
        <v>1150</v>
      </c>
      <c r="J571" s="296">
        <v>1207.5</v>
      </c>
      <c r="K571" s="296">
        <v>592.5</v>
      </c>
      <c r="L571" s="296">
        <v>0</v>
      </c>
      <c r="M571" s="296">
        <v>650</v>
      </c>
      <c r="N571" s="297">
        <v>0.3611111111111111</v>
      </c>
    </row>
    <row r="572" spans="1:14" ht="18" customHeight="1">
      <c r="A572" s="293" t="s">
        <v>2174</v>
      </c>
      <c r="B572" s="294">
        <v>46106</v>
      </c>
      <c r="C572" s="286" t="s">
        <v>168</v>
      </c>
      <c r="D572" s="286" t="s">
        <v>165</v>
      </c>
      <c r="E572" s="295">
        <v>2</v>
      </c>
      <c r="F572" s="295">
        <v>0.60000000000000009</v>
      </c>
      <c r="G572" s="296">
        <v>0</v>
      </c>
      <c r="H572" s="296">
        <v>1800</v>
      </c>
      <c r="I572" s="296">
        <v>1059.2</v>
      </c>
      <c r="J572" s="296">
        <v>1090.9760000000001</v>
      </c>
      <c r="K572" s="296">
        <v>709.02399999999989</v>
      </c>
      <c r="L572" s="296">
        <v>0</v>
      </c>
      <c r="M572" s="296">
        <v>740.8</v>
      </c>
      <c r="N572" s="297">
        <v>0.41155555555555551</v>
      </c>
    </row>
    <row r="573" spans="1:14" ht="18" customHeight="1">
      <c r="A573" s="293" t="s">
        <v>2175</v>
      </c>
      <c r="B573" s="294">
        <v>46106</v>
      </c>
      <c r="C573" s="286" t="s">
        <v>168</v>
      </c>
      <c r="D573" s="286" t="s">
        <v>121</v>
      </c>
      <c r="E573" s="295">
        <v>2</v>
      </c>
      <c r="F573" s="295">
        <v>2</v>
      </c>
      <c r="G573" s="296">
        <v>0</v>
      </c>
      <c r="H573" s="296">
        <v>1100</v>
      </c>
      <c r="I573" s="296">
        <v>460</v>
      </c>
      <c r="J573" s="296">
        <v>483</v>
      </c>
      <c r="K573" s="296">
        <v>617</v>
      </c>
      <c r="L573" s="296">
        <v>0</v>
      </c>
      <c r="M573" s="296">
        <v>640</v>
      </c>
      <c r="N573" s="297">
        <v>0.58181818181818179</v>
      </c>
    </row>
    <row r="574" spans="1:14" ht="18" customHeight="1">
      <c r="A574" s="293" t="s">
        <v>2176</v>
      </c>
      <c r="B574" s="294">
        <v>46106</v>
      </c>
      <c r="C574" s="286" t="s">
        <v>353</v>
      </c>
      <c r="D574" s="286" t="s">
        <v>94</v>
      </c>
      <c r="E574" s="295">
        <v>1</v>
      </c>
      <c r="F574" s="295">
        <v>1</v>
      </c>
      <c r="G574" s="296">
        <v>0</v>
      </c>
      <c r="H574" s="296">
        <v>1800</v>
      </c>
      <c r="I574" s="296">
        <v>1300</v>
      </c>
      <c r="J574" s="296">
        <v>1365</v>
      </c>
      <c r="K574" s="296">
        <v>435</v>
      </c>
      <c r="L574" s="296">
        <v>130.5</v>
      </c>
      <c r="M574" s="296">
        <v>500</v>
      </c>
      <c r="N574" s="297">
        <v>0.27777777777777779</v>
      </c>
    </row>
    <row r="575" spans="1:14" ht="18" customHeight="1">
      <c r="A575" s="293" t="s">
        <v>2177</v>
      </c>
      <c r="B575" s="294">
        <v>46106</v>
      </c>
      <c r="C575" s="286" t="s">
        <v>168</v>
      </c>
      <c r="D575" s="286" t="s">
        <v>115</v>
      </c>
      <c r="E575" s="295">
        <v>3</v>
      </c>
      <c r="F575" s="295">
        <v>3</v>
      </c>
      <c r="G575" s="296">
        <v>0</v>
      </c>
      <c r="H575" s="296">
        <v>3050</v>
      </c>
      <c r="I575" s="296">
        <v>1660</v>
      </c>
      <c r="J575" s="296">
        <v>1743</v>
      </c>
      <c r="K575" s="296">
        <v>1307</v>
      </c>
      <c r="L575" s="296">
        <v>0</v>
      </c>
      <c r="M575" s="296">
        <v>1390</v>
      </c>
      <c r="N575" s="297">
        <v>0.45573770491803278</v>
      </c>
    </row>
    <row r="576" spans="1:14" ht="18" customHeight="1">
      <c r="A576" s="293" t="s">
        <v>2178</v>
      </c>
      <c r="B576" s="294">
        <v>46106</v>
      </c>
      <c r="C576" s="286" t="s">
        <v>168</v>
      </c>
      <c r="D576" s="286" t="s">
        <v>124</v>
      </c>
      <c r="E576" s="295">
        <v>3</v>
      </c>
      <c r="F576" s="295">
        <v>3</v>
      </c>
      <c r="G576" s="296">
        <v>0</v>
      </c>
      <c r="H576" s="296">
        <v>4020</v>
      </c>
      <c r="I576" s="296">
        <v>2570</v>
      </c>
      <c r="J576" s="296">
        <v>2698.5</v>
      </c>
      <c r="K576" s="296">
        <v>1321.5</v>
      </c>
      <c r="L576" s="296">
        <v>0</v>
      </c>
      <c r="M576" s="296">
        <v>1450</v>
      </c>
      <c r="N576" s="297">
        <v>0.36069651741293535</v>
      </c>
    </row>
    <row r="577" spans="1:14" ht="18" customHeight="1">
      <c r="A577" s="293" t="s">
        <v>2179</v>
      </c>
      <c r="B577" s="294">
        <v>46107</v>
      </c>
      <c r="C577" s="286" t="s">
        <v>354</v>
      </c>
      <c r="D577" s="286" t="s">
        <v>172</v>
      </c>
      <c r="E577" s="295">
        <v>6</v>
      </c>
      <c r="F577" s="295">
        <v>27</v>
      </c>
      <c r="G577" s="296">
        <v>0</v>
      </c>
      <c r="H577" s="296">
        <v>10810</v>
      </c>
      <c r="I577" s="296">
        <v>7116</v>
      </c>
      <c r="J577" s="296">
        <v>7376.48</v>
      </c>
      <c r="K577" s="296">
        <v>3433.52</v>
      </c>
      <c r="L577" s="296">
        <v>1030.056</v>
      </c>
      <c r="M577" s="296">
        <v>3694</v>
      </c>
      <c r="N577" s="297">
        <v>0.34172062904717854</v>
      </c>
    </row>
    <row r="578" spans="1:14" ht="18" customHeight="1">
      <c r="A578" s="293" t="s">
        <v>2180</v>
      </c>
      <c r="B578" s="294">
        <v>46107</v>
      </c>
      <c r="C578" s="286" t="s">
        <v>353</v>
      </c>
      <c r="D578" s="286" t="s">
        <v>108</v>
      </c>
      <c r="E578" s="295">
        <v>2</v>
      </c>
      <c r="F578" s="295">
        <v>2</v>
      </c>
      <c r="G578" s="296">
        <v>0</v>
      </c>
      <c r="H578" s="296">
        <v>10000</v>
      </c>
      <c r="I578" s="296">
        <v>9034</v>
      </c>
      <c r="J578" s="296">
        <v>9485.7000000000007</v>
      </c>
      <c r="K578" s="296">
        <v>514.29999999999927</v>
      </c>
      <c r="L578" s="296">
        <v>154.28999999999979</v>
      </c>
      <c r="M578" s="296">
        <v>966</v>
      </c>
      <c r="N578" s="297">
        <v>9.6600000000000005E-2</v>
      </c>
    </row>
    <row r="579" spans="1:14" ht="18" customHeight="1">
      <c r="A579" s="293" t="s">
        <v>2181</v>
      </c>
      <c r="B579" s="294">
        <v>46107</v>
      </c>
      <c r="C579" s="286" t="s">
        <v>353</v>
      </c>
      <c r="D579" s="286" t="s">
        <v>103</v>
      </c>
      <c r="E579" s="295">
        <v>1</v>
      </c>
      <c r="F579" s="295">
        <v>1</v>
      </c>
      <c r="G579" s="296">
        <v>0</v>
      </c>
      <c r="H579" s="296">
        <v>1786</v>
      </c>
      <c r="I579" s="296">
        <v>1450</v>
      </c>
      <c r="J579" s="296">
        <v>1522.5</v>
      </c>
      <c r="K579" s="296">
        <v>263.5</v>
      </c>
      <c r="L579" s="296">
        <v>79.05</v>
      </c>
      <c r="M579" s="296">
        <v>336</v>
      </c>
      <c r="N579" s="297">
        <v>0.18812989921612541</v>
      </c>
    </row>
    <row r="580" spans="1:14" ht="18" customHeight="1">
      <c r="A580" s="293" t="s">
        <v>2182</v>
      </c>
      <c r="B580" s="294">
        <v>46107</v>
      </c>
      <c r="C580" s="286" t="s">
        <v>3773</v>
      </c>
      <c r="D580" s="286" t="s">
        <v>116</v>
      </c>
      <c r="E580" s="295">
        <v>2</v>
      </c>
      <c r="F580" s="295">
        <v>20</v>
      </c>
      <c r="G580" s="296">
        <v>0</v>
      </c>
      <c r="H580" s="296">
        <v>1100</v>
      </c>
      <c r="I580" s="296">
        <v>520</v>
      </c>
      <c r="J580" s="296">
        <v>546</v>
      </c>
      <c r="K580" s="296">
        <v>554</v>
      </c>
      <c r="L580" s="296">
        <v>166.2</v>
      </c>
      <c r="M580" s="296">
        <v>580</v>
      </c>
      <c r="N580" s="297">
        <v>0.52727272727272723</v>
      </c>
    </row>
    <row r="581" spans="1:14" ht="18" customHeight="1">
      <c r="A581" s="293" t="s">
        <v>2183</v>
      </c>
      <c r="B581" s="294">
        <v>46107</v>
      </c>
      <c r="C581" s="286" t="s">
        <v>168</v>
      </c>
      <c r="D581" s="286" t="s">
        <v>96</v>
      </c>
      <c r="E581" s="295">
        <v>3</v>
      </c>
      <c r="F581" s="295">
        <v>3</v>
      </c>
      <c r="G581" s="296">
        <v>0</v>
      </c>
      <c r="H581" s="296">
        <v>950</v>
      </c>
      <c r="I581" s="296">
        <v>390</v>
      </c>
      <c r="J581" s="296">
        <v>409.5</v>
      </c>
      <c r="K581" s="296">
        <v>540.5</v>
      </c>
      <c r="L581" s="296">
        <v>0</v>
      </c>
      <c r="M581" s="296">
        <v>560</v>
      </c>
      <c r="N581" s="297">
        <v>0.58947368421052626</v>
      </c>
    </row>
    <row r="582" spans="1:14" ht="18" customHeight="1">
      <c r="A582" s="293" t="s">
        <v>2184</v>
      </c>
      <c r="B582" s="294">
        <v>46107</v>
      </c>
      <c r="C582" s="286" t="s">
        <v>168</v>
      </c>
      <c r="D582" s="286" t="s">
        <v>142</v>
      </c>
      <c r="E582" s="295">
        <v>1</v>
      </c>
      <c r="F582" s="295">
        <v>1</v>
      </c>
      <c r="G582" s="296">
        <v>0</v>
      </c>
      <c r="H582" s="296">
        <v>1900</v>
      </c>
      <c r="I582" s="296">
        <v>1300</v>
      </c>
      <c r="J582" s="296">
        <v>1365</v>
      </c>
      <c r="K582" s="296">
        <v>535</v>
      </c>
      <c r="L582" s="296">
        <v>0</v>
      </c>
      <c r="M582" s="296">
        <v>600</v>
      </c>
      <c r="N582" s="297">
        <v>0.31578947368421051</v>
      </c>
    </row>
    <row r="583" spans="1:14" ht="18" customHeight="1">
      <c r="A583" s="293" t="s">
        <v>2185</v>
      </c>
      <c r="B583" s="294">
        <v>46107</v>
      </c>
      <c r="C583" s="286" t="s">
        <v>168</v>
      </c>
      <c r="D583" s="286" t="s">
        <v>99</v>
      </c>
      <c r="E583" s="295">
        <v>6</v>
      </c>
      <c r="F583" s="295">
        <v>21.4</v>
      </c>
      <c r="G583" s="296">
        <v>0</v>
      </c>
      <c r="H583" s="296">
        <v>1523</v>
      </c>
      <c r="I583" s="296">
        <v>146.5</v>
      </c>
      <c r="J583" s="296">
        <v>151.92500000000001</v>
      </c>
      <c r="K583" s="296">
        <v>1371.075</v>
      </c>
      <c r="L583" s="296">
        <v>0</v>
      </c>
      <c r="M583" s="296">
        <v>1376.5</v>
      </c>
      <c r="N583" s="297">
        <v>0.90380827314510837</v>
      </c>
    </row>
    <row r="584" spans="1:14" ht="18" customHeight="1">
      <c r="A584" s="293" t="s">
        <v>2186</v>
      </c>
      <c r="B584" s="294">
        <v>46108</v>
      </c>
      <c r="C584" s="286" t="s">
        <v>168</v>
      </c>
      <c r="D584" s="286" t="s">
        <v>173</v>
      </c>
      <c r="E584" s="295">
        <v>1</v>
      </c>
      <c r="F584" s="295">
        <v>1</v>
      </c>
      <c r="G584" s="296">
        <v>0</v>
      </c>
      <c r="H584" s="296">
        <v>2700</v>
      </c>
      <c r="I584" s="296">
        <v>2100</v>
      </c>
      <c r="J584" s="296">
        <v>2205</v>
      </c>
      <c r="K584" s="296">
        <v>495</v>
      </c>
      <c r="L584" s="296">
        <v>0</v>
      </c>
      <c r="M584" s="296">
        <v>600</v>
      </c>
      <c r="N584" s="297">
        <v>0.22222222222222221</v>
      </c>
    </row>
    <row r="585" spans="1:14" ht="18" customHeight="1">
      <c r="A585" s="293" t="s">
        <v>2187</v>
      </c>
      <c r="B585" s="294">
        <v>46108</v>
      </c>
      <c r="C585" s="286" t="s">
        <v>3773</v>
      </c>
      <c r="D585" s="286" t="s">
        <v>102</v>
      </c>
      <c r="E585" s="295">
        <v>1</v>
      </c>
      <c r="F585" s="295">
        <v>1</v>
      </c>
      <c r="G585" s="296">
        <v>0</v>
      </c>
      <c r="H585" s="296">
        <v>550</v>
      </c>
      <c r="I585" s="296">
        <v>280</v>
      </c>
      <c r="J585" s="296">
        <v>294</v>
      </c>
      <c r="K585" s="296">
        <v>256</v>
      </c>
      <c r="L585" s="296">
        <v>76.8</v>
      </c>
      <c r="M585" s="296">
        <v>270</v>
      </c>
      <c r="N585" s="297">
        <v>0.49090909090909091</v>
      </c>
    </row>
    <row r="586" spans="1:14" ht="18" customHeight="1">
      <c r="A586" s="293" t="s">
        <v>2188</v>
      </c>
      <c r="B586" s="294">
        <v>46108</v>
      </c>
      <c r="C586" s="286" t="s">
        <v>353</v>
      </c>
      <c r="D586" s="286" t="s">
        <v>108</v>
      </c>
      <c r="E586" s="295">
        <v>1</v>
      </c>
      <c r="F586" s="295">
        <v>1</v>
      </c>
      <c r="G586" s="296">
        <v>0</v>
      </c>
      <c r="H586" s="296">
        <v>1696</v>
      </c>
      <c r="I586" s="296">
        <v>860</v>
      </c>
      <c r="J586" s="296">
        <v>903</v>
      </c>
      <c r="K586" s="296">
        <v>793</v>
      </c>
      <c r="L586" s="296">
        <v>237.89999999999998</v>
      </c>
      <c r="M586" s="296">
        <v>836</v>
      </c>
      <c r="N586" s="297">
        <v>0.49292452830188677</v>
      </c>
    </row>
    <row r="587" spans="1:14" ht="18" customHeight="1">
      <c r="A587" s="293" t="s">
        <v>2189</v>
      </c>
      <c r="B587" s="294">
        <v>46108</v>
      </c>
      <c r="C587" s="286" t="s">
        <v>168</v>
      </c>
      <c r="D587" s="286" t="s">
        <v>162</v>
      </c>
      <c r="E587" s="295">
        <v>5</v>
      </c>
      <c r="F587" s="295">
        <v>14</v>
      </c>
      <c r="G587" s="296">
        <v>0</v>
      </c>
      <c r="H587" s="296">
        <v>9120</v>
      </c>
      <c r="I587" s="296">
        <v>840.45</v>
      </c>
      <c r="J587" s="296">
        <v>865.6635</v>
      </c>
      <c r="K587" s="296">
        <v>8254.3364999999994</v>
      </c>
      <c r="L587" s="296">
        <v>0</v>
      </c>
      <c r="M587" s="296">
        <v>8279.5499999999993</v>
      </c>
      <c r="N587" s="297">
        <v>0.907845394736842</v>
      </c>
    </row>
    <row r="588" spans="1:14" ht="18" customHeight="1">
      <c r="A588" s="293" t="s">
        <v>2190</v>
      </c>
      <c r="B588" s="294">
        <v>46108</v>
      </c>
      <c r="C588" s="286" t="s">
        <v>168</v>
      </c>
      <c r="D588" s="286" t="s">
        <v>117</v>
      </c>
      <c r="E588" s="295">
        <v>2</v>
      </c>
      <c r="F588" s="295">
        <v>2.2000000000000002</v>
      </c>
      <c r="G588" s="296">
        <v>0</v>
      </c>
      <c r="H588" s="296">
        <v>590</v>
      </c>
      <c r="I588" s="296">
        <v>67.2</v>
      </c>
      <c r="J588" s="296">
        <v>69.216000000000008</v>
      </c>
      <c r="K588" s="296">
        <v>520.78399999999999</v>
      </c>
      <c r="L588" s="296">
        <v>0</v>
      </c>
      <c r="M588" s="296">
        <v>522.79999999999995</v>
      </c>
      <c r="N588" s="297">
        <v>0.88610169491525415</v>
      </c>
    </row>
    <row r="589" spans="1:14" ht="18" customHeight="1">
      <c r="A589" s="293" t="s">
        <v>2191</v>
      </c>
      <c r="B589" s="294">
        <v>46108</v>
      </c>
      <c r="C589" s="286" t="s">
        <v>168</v>
      </c>
      <c r="D589" s="286" t="s">
        <v>144</v>
      </c>
      <c r="E589" s="295">
        <v>1</v>
      </c>
      <c r="F589" s="295">
        <v>1</v>
      </c>
      <c r="G589" s="296">
        <v>0</v>
      </c>
      <c r="H589" s="296">
        <v>650</v>
      </c>
      <c r="I589" s="296">
        <v>480</v>
      </c>
      <c r="J589" s="296">
        <v>504</v>
      </c>
      <c r="K589" s="296">
        <v>146</v>
      </c>
      <c r="L589" s="296">
        <v>0</v>
      </c>
      <c r="M589" s="296">
        <v>170</v>
      </c>
      <c r="N589" s="297">
        <v>0.26153846153846155</v>
      </c>
    </row>
    <row r="590" spans="1:14" ht="18" customHeight="1">
      <c r="A590" s="293" t="s">
        <v>2192</v>
      </c>
      <c r="B590" s="294">
        <v>46108</v>
      </c>
      <c r="C590" s="286" t="s">
        <v>353</v>
      </c>
      <c r="D590" s="286" t="s">
        <v>174</v>
      </c>
      <c r="E590" s="295">
        <v>1</v>
      </c>
      <c r="F590" s="295">
        <v>1</v>
      </c>
      <c r="G590" s="296">
        <v>0</v>
      </c>
      <c r="H590" s="296">
        <v>2000</v>
      </c>
      <c r="I590" s="296">
        <v>1200</v>
      </c>
      <c r="J590" s="296">
        <v>1260</v>
      </c>
      <c r="K590" s="296">
        <v>740</v>
      </c>
      <c r="L590" s="296">
        <v>222</v>
      </c>
      <c r="M590" s="296">
        <v>800</v>
      </c>
      <c r="N590" s="297">
        <v>0.4</v>
      </c>
    </row>
    <row r="591" spans="1:14" ht="18" customHeight="1">
      <c r="A591" s="293" t="s">
        <v>2193</v>
      </c>
      <c r="B591" s="294">
        <v>46108</v>
      </c>
      <c r="C591" s="286" t="s">
        <v>168</v>
      </c>
      <c r="D591" s="286" t="s">
        <v>97</v>
      </c>
      <c r="E591" s="295">
        <v>3</v>
      </c>
      <c r="F591" s="295">
        <v>3</v>
      </c>
      <c r="G591" s="296">
        <v>0</v>
      </c>
      <c r="H591" s="296">
        <v>6600</v>
      </c>
      <c r="I591" s="296">
        <v>4000</v>
      </c>
      <c r="J591" s="296">
        <v>4200</v>
      </c>
      <c r="K591" s="296">
        <v>2400</v>
      </c>
      <c r="L591" s="296">
        <v>0</v>
      </c>
      <c r="M591" s="296">
        <v>2600</v>
      </c>
      <c r="N591" s="297">
        <v>0.39393939393939392</v>
      </c>
    </row>
    <row r="592" spans="1:14" ht="18" customHeight="1">
      <c r="A592" s="293" t="s">
        <v>2194</v>
      </c>
      <c r="B592" s="294">
        <v>46108</v>
      </c>
      <c r="C592" s="286" t="s">
        <v>168</v>
      </c>
      <c r="D592" s="286" t="s">
        <v>99</v>
      </c>
      <c r="E592" s="295">
        <v>7</v>
      </c>
      <c r="F592" s="295">
        <v>35</v>
      </c>
      <c r="G592" s="296">
        <v>0</v>
      </c>
      <c r="H592" s="296">
        <v>2370</v>
      </c>
      <c r="I592" s="296">
        <v>1291</v>
      </c>
      <c r="J592" s="296">
        <v>1354.7900000000002</v>
      </c>
      <c r="K592" s="296">
        <v>1015.21</v>
      </c>
      <c r="L592" s="296">
        <v>0</v>
      </c>
      <c r="M592" s="296">
        <v>1079</v>
      </c>
      <c r="N592" s="297">
        <v>0.45527426160337553</v>
      </c>
    </row>
    <row r="593" spans="1:14" ht="18" customHeight="1">
      <c r="A593" s="293" t="s">
        <v>2195</v>
      </c>
      <c r="B593" s="294">
        <v>46109</v>
      </c>
      <c r="C593" s="286" t="s">
        <v>3773</v>
      </c>
      <c r="D593" s="286" t="s">
        <v>102</v>
      </c>
      <c r="E593" s="295">
        <v>1</v>
      </c>
      <c r="F593" s="295">
        <v>1</v>
      </c>
      <c r="G593" s="296">
        <v>0</v>
      </c>
      <c r="H593" s="296">
        <v>700</v>
      </c>
      <c r="I593" s="296">
        <v>320</v>
      </c>
      <c r="J593" s="296">
        <v>336</v>
      </c>
      <c r="K593" s="296">
        <v>364</v>
      </c>
      <c r="L593" s="296">
        <v>109.2</v>
      </c>
      <c r="M593" s="296">
        <v>380</v>
      </c>
      <c r="N593" s="297">
        <v>0.54285714285714282</v>
      </c>
    </row>
    <row r="594" spans="1:14" ht="18" customHeight="1">
      <c r="A594" s="293" t="s">
        <v>2196</v>
      </c>
      <c r="B594" s="294">
        <v>46109</v>
      </c>
      <c r="C594" s="286" t="s">
        <v>353</v>
      </c>
      <c r="D594" s="286" t="s">
        <v>108</v>
      </c>
      <c r="E594" s="295">
        <v>1</v>
      </c>
      <c r="F594" s="295">
        <v>1</v>
      </c>
      <c r="G594" s="296">
        <v>0</v>
      </c>
      <c r="H594" s="296">
        <v>1786</v>
      </c>
      <c r="I594" s="296">
        <v>900</v>
      </c>
      <c r="J594" s="296">
        <v>945</v>
      </c>
      <c r="K594" s="296">
        <v>841</v>
      </c>
      <c r="L594" s="296">
        <v>252.29999999999998</v>
      </c>
      <c r="M594" s="296">
        <v>886</v>
      </c>
      <c r="N594" s="297">
        <v>0.49608062709966405</v>
      </c>
    </row>
    <row r="595" spans="1:14" ht="18" customHeight="1">
      <c r="A595" s="293" t="s">
        <v>2197</v>
      </c>
      <c r="B595" s="294">
        <v>46109</v>
      </c>
      <c r="C595" s="286" t="s">
        <v>359</v>
      </c>
      <c r="D595" s="286" t="s">
        <v>114</v>
      </c>
      <c r="E595" s="295">
        <v>1</v>
      </c>
      <c r="F595" s="295">
        <v>1</v>
      </c>
      <c r="G595" s="296">
        <v>0</v>
      </c>
      <c r="H595" s="296">
        <v>2300</v>
      </c>
      <c r="I595" s="296">
        <v>1650</v>
      </c>
      <c r="J595" s="296">
        <v>1732.5</v>
      </c>
      <c r="K595" s="296">
        <v>567.5</v>
      </c>
      <c r="L595" s="296">
        <v>170.25</v>
      </c>
      <c r="M595" s="296">
        <v>650</v>
      </c>
      <c r="N595" s="297">
        <v>0.28260869565217389</v>
      </c>
    </row>
    <row r="596" spans="1:14" ht="18" customHeight="1">
      <c r="A596" s="293" t="s">
        <v>2198</v>
      </c>
      <c r="B596" s="294">
        <v>46109</v>
      </c>
      <c r="C596" s="286" t="s">
        <v>168</v>
      </c>
      <c r="D596" s="286" t="s">
        <v>121</v>
      </c>
      <c r="E596" s="295">
        <v>4</v>
      </c>
      <c r="F596" s="295">
        <v>4</v>
      </c>
      <c r="G596" s="296">
        <v>0</v>
      </c>
      <c r="H596" s="296">
        <v>12750</v>
      </c>
      <c r="I596" s="296">
        <v>9764</v>
      </c>
      <c r="J596" s="296">
        <v>10252.200000000001</v>
      </c>
      <c r="K596" s="296">
        <v>2497.7999999999993</v>
      </c>
      <c r="L596" s="296">
        <v>0</v>
      </c>
      <c r="M596" s="296">
        <v>2986</v>
      </c>
      <c r="N596" s="297">
        <v>0.23419607843137255</v>
      </c>
    </row>
    <row r="597" spans="1:14" ht="18" customHeight="1">
      <c r="A597" s="293" t="s">
        <v>2199</v>
      </c>
      <c r="B597" s="294">
        <v>46109</v>
      </c>
      <c r="C597" s="286" t="s">
        <v>353</v>
      </c>
      <c r="D597" s="286" t="s">
        <v>94</v>
      </c>
      <c r="E597" s="295">
        <v>1</v>
      </c>
      <c r="F597" s="295">
        <v>1</v>
      </c>
      <c r="G597" s="296">
        <v>0</v>
      </c>
      <c r="H597" s="296">
        <v>420</v>
      </c>
      <c r="I597" s="296">
        <v>260</v>
      </c>
      <c r="J597" s="296">
        <v>273</v>
      </c>
      <c r="K597" s="296">
        <v>147</v>
      </c>
      <c r="L597" s="296">
        <v>44.1</v>
      </c>
      <c r="M597" s="296">
        <v>160</v>
      </c>
      <c r="N597" s="297">
        <v>0.38095238095238093</v>
      </c>
    </row>
    <row r="598" spans="1:14" ht="18" customHeight="1">
      <c r="A598" s="293" t="s">
        <v>2200</v>
      </c>
      <c r="B598" s="294">
        <v>46109</v>
      </c>
      <c r="C598" s="286" t="s">
        <v>3773</v>
      </c>
      <c r="D598" s="286" t="s">
        <v>116</v>
      </c>
      <c r="E598" s="295">
        <v>1</v>
      </c>
      <c r="F598" s="295">
        <v>1</v>
      </c>
      <c r="G598" s="296">
        <v>0</v>
      </c>
      <c r="H598" s="296">
        <v>600</v>
      </c>
      <c r="I598" s="296">
        <v>340</v>
      </c>
      <c r="J598" s="296">
        <v>357</v>
      </c>
      <c r="K598" s="296">
        <v>243</v>
      </c>
      <c r="L598" s="296">
        <v>72.899999999999991</v>
      </c>
      <c r="M598" s="296">
        <v>260</v>
      </c>
      <c r="N598" s="297">
        <v>0.43333333333333335</v>
      </c>
    </row>
    <row r="599" spans="1:14" ht="18" customHeight="1">
      <c r="A599" s="293" t="s">
        <v>2201</v>
      </c>
      <c r="B599" s="294">
        <v>46109</v>
      </c>
      <c r="C599" s="286" t="s">
        <v>168</v>
      </c>
      <c r="D599" s="286" t="s">
        <v>96</v>
      </c>
      <c r="E599" s="295">
        <v>1</v>
      </c>
      <c r="F599" s="295">
        <v>1</v>
      </c>
      <c r="G599" s="296">
        <v>0</v>
      </c>
      <c r="H599" s="296">
        <v>550</v>
      </c>
      <c r="I599" s="296">
        <v>240</v>
      </c>
      <c r="J599" s="296">
        <v>252</v>
      </c>
      <c r="K599" s="296">
        <v>298</v>
      </c>
      <c r="L599" s="296">
        <v>0</v>
      </c>
      <c r="M599" s="296">
        <v>310</v>
      </c>
      <c r="N599" s="297">
        <v>0.5636363636363636</v>
      </c>
    </row>
    <row r="600" spans="1:14" ht="18" customHeight="1">
      <c r="A600" s="293" t="s">
        <v>2202</v>
      </c>
      <c r="B600" s="294">
        <v>46109</v>
      </c>
      <c r="C600" s="286" t="s">
        <v>168</v>
      </c>
      <c r="D600" s="286" t="s">
        <v>105</v>
      </c>
      <c r="E600" s="295">
        <v>1</v>
      </c>
      <c r="F600" s="295">
        <v>1</v>
      </c>
      <c r="G600" s="296">
        <v>0</v>
      </c>
      <c r="H600" s="296">
        <v>2000</v>
      </c>
      <c r="I600" s="296">
        <v>1400</v>
      </c>
      <c r="J600" s="296">
        <v>1470</v>
      </c>
      <c r="K600" s="296">
        <v>530</v>
      </c>
      <c r="L600" s="296">
        <v>0</v>
      </c>
      <c r="M600" s="296">
        <v>600</v>
      </c>
      <c r="N600" s="297">
        <v>0.3</v>
      </c>
    </row>
    <row r="601" spans="1:14" ht="18" customHeight="1">
      <c r="A601" s="293" t="s">
        <v>2203</v>
      </c>
      <c r="B601" s="294">
        <v>46109</v>
      </c>
      <c r="C601" s="286" t="s">
        <v>168</v>
      </c>
      <c r="D601" s="286" t="s">
        <v>115</v>
      </c>
      <c r="E601" s="295">
        <v>1</v>
      </c>
      <c r="F601" s="295">
        <v>1</v>
      </c>
      <c r="G601" s="296">
        <v>0</v>
      </c>
      <c r="H601" s="296">
        <v>1900</v>
      </c>
      <c r="I601" s="296">
        <v>1350</v>
      </c>
      <c r="J601" s="296">
        <v>1417.5</v>
      </c>
      <c r="K601" s="296">
        <v>482.5</v>
      </c>
      <c r="L601" s="296">
        <v>0</v>
      </c>
      <c r="M601" s="296">
        <v>550</v>
      </c>
      <c r="N601" s="297">
        <v>0.28947368421052633</v>
      </c>
    </row>
    <row r="602" spans="1:14" ht="18" customHeight="1">
      <c r="A602" s="293" t="s">
        <v>2204</v>
      </c>
      <c r="B602" s="294">
        <v>46109</v>
      </c>
      <c r="C602" s="286" t="s">
        <v>168</v>
      </c>
      <c r="D602" s="286" t="s">
        <v>124</v>
      </c>
      <c r="E602" s="295">
        <v>4</v>
      </c>
      <c r="F602" s="295">
        <v>5</v>
      </c>
      <c r="G602" s="296">
        <v>0</v>
      </c>
      <c r="H602" s="296">
        <v>2230</v>
      </c>
      <c r="I602" s="296">
        <v>1091</v>
      </c>
      <c r="J602" s="296">
        <v>1145.55</v>
      </c>
      <c r="K602" s="296">
        <v>1084.45</v>
      </c>
      <c r="L602" s="296">
        <v>0</v>
      </c>
      <c r="M602" s="296">
        <v>1139</v>
      </c>
      <c r="N602" s="297">
        <v>0.51076233183856501</v>
      </c>
    </row>
    <row r="603" spans="1:14" ht="18" customHeight="1">
      <c r="A603" s="293" t="s">
        <v>2205</v>
      </c>
      <c r="B603" s="294">
        <v>46109</v>
      </c>
      <c r="C603" s="286" t="s">
        <v>358</v>
      </c>
      <c r="D603" s="286" t="s">
        <v>98</v>
      </c>
      <c r="E603" s="295">
        <v>1</v>
      </c>
      <c r="F603" s="295">
        <v>1</v>
      </c>
      <c r="G603" s="296">
        <v>0</v>
      </c>
      <c r="H603" s="296">
        <v>450</v>
      </c>
      <c r="I603" s="296">
        <v>180</v>
      </c>
      <c r="J603" s="296">
        <v>189</v>
      </c>
      <c r="K603" s="296">
        <v>261</v>
      </c>
      <c r="L603" s="296">
        <v>78.3</v>
      </c>
      <c r="M603" s="296">
        <v>270</v>
      </c>
      <c r="N603" s="297">
        <v>0.6</v>
      </c>
    </row>
    <row r="604" spans="1:14" ht="18" customHeight="1">
      <c r="A604" s="293" t="s">
        <v>2206</v>
      </c>
      <c r="B604" s="294">
        <v>46109</v>
      </c>
      <c r="C604" s="286" t="s">
        <v>168</v>
      </c>
      <c r="D604" s="286" t="s">
        <v>99</v>
      </c>
      <c r="E604" s="295">
        <v>5</v>
      </c>
      <c r="F604" s="295">
        <v>13</v>
      </c>
      <c r="G604" s="296">
        <v>0</v>
      </c>
      <c r="H604" s="296">
        <v>1620</v>
      </c>
      <c r="I604" s="296">
        <v>1022.25</v>
      </c>
      <c r="J604" s="296">
        <v>1057.7175000000002</v>
      </c>
      <c r="K604" s="296">
        <v>562.28249999999991</v>
      </c>
      <c r="L604" s="296">
        <v>0</v>
      </c>
      <c r="M604" s="296">
        <v>597.75</v>
      </c>
      <c r="N604" s="297">
        <v>0.36898148148148147</v>
      </c>
    </row>
    <row r="605" spans="1:14" ht="18" customHeight="1">
      <c r="A605" s="293" t="s">
        <v>2207</v>
      </c>
      <c r="B605" s="294">
        <v>46110</v>
      </c>
      <c r="C605" s="286" t="s">
        <v>168</v>
      </c>
      <c r="D605" s="286" t="s">
        <v>125</v>
      </c>
      <c r="E605" s="295">
        <v>1</v>
      </c>
      <c r="F605" s="295">
        <v>1</v>
      </c>
      <c r="G605" s="296">
        <v>0</v>
      </c>
      <c r="H605" s="296">
        <v>120</v>
      </c>
      <c r="I605" s="296">
        <v>70</v>
      </c>
      <c r="J605" s="296">
        <v>73.5</v>
      </c>
      <c r="K605" s="296">
        <v>46.5</v>
      </c>
      <c r="L605" s="296">
        <v>0</v>
      </c>
      <c r="M605" s="296">
        <v>50</v>
      </c>
      <c r="N605" s="297">
        <v>0.41666666666666669</v>
      </c>
    </row>
    <row r="606" spans="1:14" ht="18" customHeight="1">
      <c r="A606" s="293" t="s">
        <v>2208</v>
      </c>
      <c r="B606" s="294">
        <v>46111</v>
      </c>
      <c r="C606" s="286" t="s">
        <v>168</v>
      </c>
      <c r="D606" s="286" t="s">
        <v>141</v>
      </c>
      <c r="E606" s="295">
        <v>1</v>
      </c>
      <c r="F606" s="295">
        <v>1</v>
      </c>
      <c r="G606" s="296">
        <v>0</v>
      </c>
      <c r="H606" s="296">
        <v>550</v>
      </c>
      <c r="I606" s="296">
        <v>245</v>
      </c>
      <c r="J606" s="296">
        <v>257.25</v>
      </c>
      <c r="K606" s="296">
        <v>292.75</v>
      </c>
      <c r="L606" s="296">
        <v>0</v>
      </c>
      <c r="M606" s="296">
        <v>305</v>
      </c>
      <c r="N606" s="297">
        <v>0.55454545454545456</v>
      </c>
    </row>
    <row r="607" spans="1:14" ht="18" customHeight="1">
      <c r="A607" s="293" t="s">
        <v>2209</v>
      </c>
      <c r="B607" s="294">
        <v>46111</v>
      </c>
      <c r="C607" s="286" t="s">
        <v>3773</v>
      </c>
      <c r="D607" s="286" t="s">
        <v>102</v>
      </c>
      <c r="E607" s="295">
        <v>2</v>
      </c>
      <c r="F607" s="295">
        <v>2</v>
      </c>
      <c r="G607" s="296">
        <v>0</v>
      </c>
      <c r="H607" s="296">
        <v>2550</v>
      </c>
      <c r="I607" s="296">
        <v>1050</v>
      </c>
      <c r="J607" s="296">
        <v>1102.5</v>
      </c>
      <c r="K607" s="296">
        <v>1447.5</v>
      </c>
      <c r="L607" s="296">
        <v>434.25</v>
      </c>
      <c r="M607" s="296">
        <v>1500</v>
      </c>
      <c r="N607" s="297">
        <v>0.58823529411764708</v>
      </c>
    </row>
    <row r="608" spans="1:14" ht="18" customHeight="1">
      <c r="A608" s="293" t="s">
        <v>2210</v>
      </c>
      <c r="B608" s="294">
        <v>46111</v>
      </c>
      <c r="C608" s="286" t="s">
        <v>354</v>
      </c>
      <c r="D608" s="286" t="s">
        <v>109</v>
      </c>
      <c r="E608" s="295">
        <v>6</v>
      </c>
      <c r="F608" s="295">
        <v>8</v>
      </c>
      <c r="G608" s="296">
        <v>0</v>
      </c>
      <c r="H608" s="296">
        <v>4030</v>
      </c>
      <c r="I608" s="296">
        <v>2350</v>
      </c>
      <c r="J608" s="296">
        <v>2467.5</v>
      </c>
      <c r="K608" s="296">
        <v>1562.5</v>
      </c>
      <c r="L608" s="296">
        <v>468.75</v>
      </c>
      <c r="M608" s="296">
        <v>1680</v>
      </c>
      <c r="N608" s="297">
        <v>0.41687344913151364</v>
      </c>
    </row>
    <row r="609" spans="1:14" ht="18" customHeight="1">
      <c r="A609" s="293" t="s">
        <v>2211</v>
      </c>
      <c r="B609" s="294">
        <v>46111</v>
      </c>
      <c r="C609" s="286" t="s">
        <v>168</v>
      </c>
      <c r="D609" s="286" t="s">
        <v>121</v>
      </c>
      <c r="E609" s="295">
        <v>1</v>
      </c>
      <c r="F609" s="295">
        <v>1</v>
      </c>
      <c r="G609" s="296">
        <v>0</v>
      </c>
      <c r="H609" s="296">
        <v>1900</v>
      </c>
      <c r="I609" s="296">
        <v>1000</v>
      </c>
      <c r="J609" s="296">
        <v>1050</v>
      </c>
      <c r="K609" s="296">
        <v>850</v>
      </c>
      <c r="L609" s="296">
        <v>0</v>
      </c>
      <c r="M609" s="296">
        <v>900</v>
      </c>
      <c r="N609" s="297">
        <v>0.47368421052631576</v>
      </c>
    </row>
    <row r="610" spans="1:14" ht="18" customHeight="1">
      <c r="A610" s="293" t="s">
        <v>2212</v>
      </c>
      <c r="B610" s="294">
        <v>46111</v>
      </c>
      <c r="C610" s="286" t="s">
        <v>168</v>
      </c>
      <c r="D610" s="286" t="s">
        <v>96</v>
      </c>
      <c r="E610" s="295">
        <v>2</v>
      </c>
      <c r="F610" s="295">
        <v>2</v>
      </c>
      <c r="G610" s="296">
        <v>0</v>
      </c>
      <c r="H610" s="296">
        <v>2300</v>
      </c>
      <c r="I610" s="296">
        <v>1300</v>
      </c>
      <c r="J610" s="296">
        <v>1365</v>
      </c>
      <c r="K610" s="296">
        <v>935</v>
      </c>
      <c r="L610" s="296">
        <v>0</v>
      </c>
      <c r="M610" s="296">
        <v>1000</v>
      </c>
      <c r="N610" s="297">
        <v>0.43478260869565216</v>
      </c>
    </row>
    <row r="611" spans="1:14" ht="18" customHeight="1">
      <c r="A611" s="293" t="s">
        <v>2213</v>
      </c>
      <c r="B611" s="294">
        <v>46111</v>
      </c>
      <c r="C611" s="286" t="s">
        <v>168</v>
      </c>
      <c r="D611" s="286" t="s">
        <v>115</v>
      </c>
      <c r="E611" s="295">
        <v>1</v>
      </c>
      <c r="F611" s="295">
        <v>1</v>
      </c>
      <c r="G611" s="296">
        <v>0</v>
      </c>
      <c r="H611" s="296">
        <v>8000</v>
      </c>
      <c r="I611" s="296">
        <v>7684</v>
      </c>
      <c r="J611" s="296">
        <v>8068.2000000000007</v>
      </c>
      <c r="K611" s="296">
        <v>-68.200000000000728</v>
      </c>
      <c r="L611" s="296">
        <v>0</v>
      </c>
      <c r="M611" s="296">
        <v>316</v>
      </c>
      <c r="N611" s="297">
        <v>3.95E-2</v>
      </c>
    </row>
    <row r="612" spans="1:14" ht="18" customHeight="1">
      <c r="A612" s="293" t="s">
        <v>2214</v>
      </c>
      <c r="B612" s="294">
        <v>46111</v>
      </c>
      <c r="C612" s="286" t="s">
        <v>168</v>
      </c>
      <c r="D612" s="286" t="s">
        <v>97</v>
      </c>
      <c r="E612" s="295">
        <v>1</v>
      </c>
      <c r="F612" s="295">
        <v>1</v>
      </c>
      <c r="G612" s="296">
        <v>0</v>
      </c>
      <c r="H612" s="296">
        <v>2100</v>
      </c>
      <c r="I612" s="296">
        <v>1100</v>
      </c>
      <c r="J612" s="296">
        <v>1155</v>
      </c>
      <c r="K612" s="296">
        <v>945</v>
      </c>
      <c r="L612" s="296">
        <v>0</v>
      </c>
      <c r="M612" s="296">
        <v>1000</v>
      </c>
      <c r="N612" s="297">
        <v>0.47619047619047616</v>
      </c>
    </row>
    <row r="613" spans="1:14" ht="18" customHeight="1">
      <c r="A613" s="293" t="s">
        <v>2215</v>
      </c>
      <c r="B613" s="294">
        <v>46111</v>
      </c>
      <c r="C613" s="286" t="s">
        <v>168</v>
      </c>
      <c r="D613" s="286" t="s">
        <v>99</v>
      </c>
      <c r="E613" s="295">
        <v>3</v>
      </c>
      <c r="F613" s="295">
        <v>6</v>
      </c>
      <c r="G613" s="296">
        <v>0</v>
      </c>
      <c r="H613" s="296">
        <v>625</v>
      </c>
      <c r="I613" s="296">
        <v>410.6</v>
      </c>
      <c r="J613" s="296">
        <v>429.63</v>
      </c>
      <c r="K613" s="296">
        <v>195.37</v>
      </c>
      <c r="L613" s="296">
        <v>0</v>
      </c>
      <c r="M613" s="296">
        <v>214.39999999999998</v>
      </c>
      <c r="N613" s="297">
        <v>0.34303999999999996</v>
      </c>
    </row>
    <row r="614" spans="1:14" ht="18" customHeight="1">
      <c r="A614" s="293" t="s">
        <v>2216</v>
      </c>
      <c r="B614" s="294">
        <v>46112</v>
      </c>
      <c r="C614" s="286" t="s">
        <v>3773</v>
      </c>
      <c r="D614" s="286" t="s">
        <v>102</v>
      </c>
      <c r="E614" s="295">
        <v>1</v>
      </c>
      <c r="F614" s="295">
        <v>1</v>
      </c>
      <c r="G614" s="296">
        <v>0</v>
      </c>
      <c r="H614" s="296">
        <v>1850</v>
      </c>
      <c r="I614" s="296">
        <v>1200</v>
      </c>
      <c r="J614" s="296">
        <v>1260</v>
      </c>
      <c r="K614" s="296">
        <v>590</v>
      </c>
      <c r="L614" s="296">
        <v>177</v>
      </c>
      <c r="M614" s="296">
        <v>650</v>
      </c>
      <c r="N614" s="297">
        <v>0.35135135135135137</v>
      </c>
    </row>
    <row r="615" spans="1:14" ht="18" customHeight="1">
      <c r="A615" s="293" t="s">
        <v>2217</v>
      </c>
      <c r="B615" s="294">
        <v>46112</v>
      </c>
      <c r="C615" s="286" t="s">
        <v>354</v>
      </c>
      <c r="D615" s="286" t="s">
        <v>109</v>
      </c>
      <c r="E615" s="295">
        <v>1</v>
      </c>
      <c r="F615" s="295">
        <v>1</v>
      </c>
      <c r="G615" s="296">
        <v>0</v>
      </c>
      <c r="H615" s="296">
        <v>600</v>
      </c>
      <c r="I615" s="296">
        <v>300</v>
      </c>
      <c r="J615" s="296">
        <v>315</v>
      </c>
      <c r="K615" s="296">
        <v>285</v>
      </c>
      <c r="L615" s="296">
        <v>85.5</v>
      </c>
      <c r="M615" s="296">
        <v>300</v>
      </c>
      <c r="N615" s="297">
        <v>0.5</v>
      </c>
    </row>
    <row r="616" spans="1:14" ht="18" customHeight="1">
      <c r="A616" s="293" t="s">
        <v>2218</v>
      </c>
      <c r="B616" s="294">
        <v>46112</v>
      </c>
      <c r="C616" s="286" t="s">
        <v>168</v>
      </c>
      <c r="D616" s="286" t="s">
        <v>121</v>
      </c>
      <c r="E616" s="295">
        <v>1</v>
      </c>
      <c r="F616" s="295">
        <v>1</v>
      </c>
      <c r="G616" s="296">
        <v>0</v>
      </c>
      <c r="H616" s="296">
        <v>1900</v>
      </c>
      <c r="I616" s="296">
        <v>800</v>
      </c>
      <c r="J616" s="296">
        <v>840</v>
      </c>
      <c r="K616" s="296">
        <v>1060</v>
      </c>
      <c r="L616" s="296">
        <v>0</v>
      </c>
      <c r="M616" s="296">
        <v>1100</v>
      </c>
      <c r="N616" s="297">
        <v>0.57894736842105265</v>
      </c>
    </row>
    <row r="617" spans="1:14" ht="18" customHeight="1">
      <c r="A617" s="293" t="s">
        <v>2219</v>
      </c>
      <c r="B617" s="294">
        <v>46112</v>
      </c>
      <c r="C617" s="286" t="s">
        <v>168</v>
      </c>
      <c r="D617" s="286" t="s">
        <v>175</v>
      </c>
      <c r="E617" s="295">
        <v>2</v>
      </c>
      <c r="F617" s="295">
        <v>3</v>
      </c>
      <c r="G617" s="296">
        <v>0</v>
      </c>
      <c r="H617" s="296">
        <v>1800</v>
      </c>
      <c r="I617" s="296">
        <v>710</v>
      </c>
      <c r="J617" s="296">
        <v>745.5</v>
      </c>
      <c r="K617" s="296">
        <v>1054.5</v>
      </c>
      <c r="L617" s="296">
        <v>0</v>
      </c>
      <c r="M617" s="296">
        <v>1090</v>
      </c>
      <c r="N617" s="297">
        <v>0.60555555555555551</v>
      </c>
    </row>
    <row r="618" spans="1:14" ht="18" customHeight="1">
      <c r="A618" s="293" t="s">
        <v>2220</v>
      </c>
      <c r="B618" s="294">
        <v>46112</v>
      </c>
      <c r="C618" s="286" t="s">
        <v>353</v>
      </c>
      <c r="D618" s="286" t="s">
        <v>94</v>
      </c>
      <c r="E618" s="295">
        <v>5</v>
      </c>
      <c r="F618" s="295">
        <v>51</v>
      </c>
      <c r="G618" s="296">
        <v>0</v>
      </c>
      <c r="H618" s="296">
        <v>2490</v>
      </c>
      <c r="I618" s="296">
        <v>1750</v>
      </c>
      <c r="J618" s="296">
        <v>1837.5</v>
      </c>
      <c r="K618" s="296">
        <v>652.5</v>
      </c>
      <c r="L618" s="296">
        <v>195.74999999999997</v>
      </c>
      <c r="M618" s="296">
        <v>740</v>
      </c>
      <c r="N618" s="297">
        <v>0.2971887550200803</v>
      </c>
    </row>
    <row r="619" spans="1:14" ht="18" customHeight="1">
      <c r="A619" s="293" t="s">
        <v>2221</v>
      </c>
      <c r="B619" s="294">
        <v>46112</v>
      </c>
      <c r="C619" s="286" t="s">
        <v>168</v>
      </c>
      <c r="D619" s="286" t="s">
        <v>96</v>
      </c>
      <c r="E619" s="295">
        <v>1</v>
      </c>
      <c r="F619" s="295">
        <v>1</v>
      </c>
      <c r="G619" s="296">
        <v>0</v>
      </c>
      <c r="H619" s="296">
        <v>350</v>
      </c>
      <c r="I619" s="296">
        <v>180</v>
      </c>
      <c r="J619" s="296">
        <v>189</v>
      </c>
      <c r="K619" s="296">
        <v>161</v>
      </c>
      <c r="L619" s="296">
        <v>0</v>
      </c>
      <c r="M619" s="296">
        <v>170</v>
      </c>
      <c r="N619" s="297">
        <v>0.48571428571428571</v>
      </c>
    </row>
    <row r="620" spans="1:14" ht="18" customHeight="1">
      <c r="A620" s="293" t="s">
        <v>2222</v>
      </c>
      <c r="B620" s="294">
        <v>46112</v>
      </c>
      <c r="C620" s="286" t="s">
        <v>168</v>
      </c>
      <c r="D620" s="286" t="s">
        <v>124</v>
      </c>
      <c r="E620" s="295">
        <v>4</v>
      </c>
      <c r="F620" s="295">
        <v>4</v>
      </c>
      <c r="G620" s="296">
        <v>0</v>
      </c>
      <c r="H620" s="296">
        <v>1500</v>
      </c>
      <c r="I620" s="296">
        <v>585</v>
      </c>
      <c r="J620" s="296">
        <v>614.25</v>
      </c>
      <c r="K620" s="296">
        <v>885.75</v>
      </c>
      <c r="L620" s="296">
        <v>0</v>
      </c>
      <c r="M620" s="296">
        <v>915</v>
      </c>
      <c r="N620" s="297">
        <v>0.61</v>
      </c>
    </row>
    <row r="621" spans="1:14" ht="18" customHeight="1">
      <c r="A621" s="293" t="s">
        <v>2223</v>
      </c>
      <c r="B621" s="294">
        <v>46112</v>
      </c>
      <c r="C621" s="286" t="s">
        <v>168</v>
      </c>
      <c r="D621" s="286" t="s">
        <v>97</v>
      </c>
      <c r="E621" s="295">
        <v>1</v>
      </c>
      <c r="F621" s="295">
        <v>1</v>
      </c>
      <c r="G621" s="296">
        <v>0</v>
      </c>
      <c r="H621" s="296">
        <v>2200</v>
      </c>
      <c r="I621" s="296">
        <v>1650</v>
      </c>
      <c r="J621" s="296">
        <v>1732.5</v>
      </c>
      <c r="K621" s="296">
        <v>467.5</v>
      </c>
      <c r="L621" s="296">
        <v>0</v>
      </c>
      <c r="M621" s="296">
        <v>550</v>
      </c>
      <c r="N621" s="297">
        <v>0.25</v>
      </c>
    </row>
    <row r="622" spans="1:14" ht="18" customHeight="1">
      <c r="A622" s="293" t="s">
        <v>2224</v>
      </c>
      <c r="B622" s="294">
        <v>46112</v>
      </c>
      <c r="C622" s="286" t="s">
        <v>168</v>
      </c>
      <c r="D622" s="286" t="s">
        <v>99</v>
      </c>
      <c r="E622" s="295">
        <v>1</v>
      </c>
      <c r="F622" s="295">
        <v>1</v>
      </c>
      <c r="G622" s="296">
        <v>0</v>
      </c>
      <c r="H622" s="296">
        <v>430</v>
      </c>
      <c r="I622" s="296">
        <v>350</v>
      </c>
      <c r="J622" s="296">
        <v>367.5</v>
      </c>
      <c r="K622" s="296">
        <v>62.5</v>
      </c>
      <c r="L622" s="296">
        <v>0</v>
      </c>
      <c r="M622" s="296">
        <v>80</v>
      </c>
      <c r="N622" s="297">
        <v>0.18604651162790697</v>
      </c>
    </row>
    <row r="623" spans="1:14" ht="18" customHeight="1">
      <c r="A623" s="293" t="s">
        <v>2225</v>
      </c>
      <c r="B623" s="294">
        <v>46113</v>
      </c>
      <c r="C623" s="286" t="s">
        <v>3773</v>
      </c>
      <c r="D623" s="286" t="s">
        <v>102</v>
      </c>
      <c r="E623" s="295">
        <v>2</v>
      </c>
      <c r="F623" s="295">
        <v>2</v>
      </c>
      <c r="G623" s="296">
        <v>0</v>
      </c>
      <c r="H623" s="296">
        <v>1250</v>
      </c>
      <c r="I623" s="296">
        <v>555</v>
      </c>
      <c r="J623" s="296">
        <v>582.75</v>
      </c>
      <c r="K623" s="296">
        <v>667.25</v>
      </c>
      <c r="L623" s="296">
        <v>200.17500000000001</v>
      </c>
      <c r="M623" s="296">
        <v>695</v>
      </c>
      <c r="N623" s="297">
        <v>0.55600000000000005</v>
      </c>
    </row>
    <row r="624" spans="1:14" ht="18" customHeight="1">
      <c r="A624" s="293" t="s">
        <v>2226</v>
      </c>
      <c r="B624" s="294">
        <v>46113</v>
      </c>
      <c r="C624" s="286" t="s">
        <v>168</v>
      </c>
      <c r="D624" s="286" t="s">
        <v>176</v>
      </c>
      <c r="E624" s="295">
        <v>1</v>
      </c>
      <c r="F624" s="295">
        <v>1</v>
      </c>
      <c r="G624" s="296">
        <v>0</v>
      </c>
      <c r="H624" s="296">
        <v>8000</v>
      </c>
      <c r="I624" s="296">
        <v>7684</v>
      </c>
      <c r="J624" s="296">
        <v>8068.2000000000007</v>
      </c>
      <c r="K624" s="296">
        <v>-68.200000000000728</v>
      </c>
      <c r="L624" s="296">
        <v>0</v>
      </c>
      <c r="M624" s="296">
        <v>316</v>
      </c>
      <c r="N624" s="297">
        <v>3.95E-2</v>
      </c>
    </row>
    <row r="625" spans="1:14" ht="18" customHeight="1">
      <c r="A625" s="293" t="s">
        <v>2227</v>
      </c>
      <c r="B625" s="294">
        <v>46113</v>
      </c>
      <c r="C625" s="286" t="s">
        <v>168</v>
      </c>
      <c r="D625" s="286" t="s">
        <v>136</v>
      </c>
      <c r="E625" s="295">
        <v>6</v>
      </c>
      <c r="F625" s="295">
        <v>16</v>
      </c>
      <c r="G625" s="296">
        <v>0</v>
      </c>
      <c r="H625" s="296">
        <v>7350</v>
      </c>
      <c r="I625" s="296">
        <v>6545</v>
      </c>
      <c r="J625" s="296">
        <v>6788.3300000000008</v>
      </c>
      <c r="K625" s="296">
        <v>561.66999999999973</v>
      </c>
      <c r="L625" s="296">
        <v>0</v>
      </c>
      <c r="M625" s="296">
        <v>805</v>
      </c>
      <c r="N625" s="297">
        <v>0.10952380952380952</v>
      </c>
    </row>
    <row r="626" spans="1:14" ht="18" customHeight="1">
      <c r="A626" s="293" t="s">
        <v>2228</v>
      </c>
      <c r="B626" s="294">
        <v>46113</v>
      </c>
      <c r="C626" s="286" t="s">
        <v>168</v>
      </c>
      <c r="D626" s="286" t="s">
        <v>112</v>
      </c>
      <c r="E626" s="295">
        <v>8</v>
      </c>
      <c r="F626" s="295">
        <v>14.4</v>
      </c>
      <c r="G626" s="296">
        <v>0</v>
      </c>
      <c r="H626" s="296">
        <v>1981</v>
      </c>
      <c r="I626" s="296">
        <v>475.02</v>
      </c>
      <c r="J626" s="296">
        <v>489.98259999999999</v>
      </c>
      <c r="K626" s="296">
        <v>1491.0173999999997</v>
      </c>
      <c r="L626" s="296">
        <v>0</v>
      </c>
      <c r="M626" s="296">
        <v>1505.98</v>
      </c>
      <c r="N626" s="297">
        <v>0.76021201413427564</v>
      </c>
    </row>
    <row r="627" spans="1:14" ht="18" customHeight="1">
      <c r="A627" s="293" t="s">
        <v>2229</v>
      </c>
      <c r="B627" s="294">
        <v>46113</v>
      </c>
      <c r="C627" s="286" t="s">
        <v>353</v>
      </c>
      <c r="D627" s="286" t="s">
        <v>108</v>
      </c>
      <c r="E627" s="295">
        <v>1</v>
      </c>
      <c r="F627" s="295">
        <v>1</v>
      </c>
      <c r="G627" s="296">
        <v>0</v>
      </c>
      <c r="H627" s="296">
        <v>1900</v>
      </c>
      <c r="I627" s="296">
        <v>1300</v>
      </c>
      <c r="J627" s="296">
        <v>1365</v>
      </c>
      <c r="K627" s="296">
        <v>535</v>
      </c>
      <c r="L627" s="296">
        <v>160.5</v>
      </c>
      <c r="M627" s="296">
        <v>600</v>
      </c>
      <c r="N627" s="297">
        <v>0.31578947368421051</v>
      </c>
    </row>
    <row r="628" spans="1:14" ht="18" customHeight="1">
      <c r="A628" s="293" t="s">
        <v>2230</v>
      </c>
      <c r="B628" s="294">
        <v>46113</v>
      </c>
      <c r="C628" s="286" t="s">
        <v>168</v>
      </c>
      <c r="D628" s="286" t="s">
        <v>92</v>
      </c>
      <c r="E628" s="295">
        <v>1</v>
      </c>
      <c r="F628" s="295">
        <v>1</v>
      </c>
      <c r="G628" s="296">
        <v>0</v>
      </c>
      <c r="H628" s="296">
        <v>2100</v>
      </c>
      <c r="I628" s="296">
        <v>1380</v>
      </c>
      <c r="J628" s="296">
        <v>1449</v>
      </c>
      <c r="K628" s="296">
        <v>651</v>
      </c>
      <c r="L628" s="296">
        <v>0</v>
      </c>
      <c r="M628" s="296">
        <v>720</v>
      </c>
      <c r="N628" s="297">
        <v>0.34285714285714286</v>
      </c>
    </row>
    <row r="629" spans="1:14" ht="18" customHeight="1">
      <c r="A629" s="293" t="s">
        <v>2231</v>
      </c>
      <c r="B629" s="294">
        <v>46113</v>
      </c>
      <c r="C629" s="286" t="s">
        <v>168</v>
      </c>
      <c r="D629" s="286" t="s">
        <v>177</v>
      </c>
      <c r="E629" s="295">
        <v>1</v>
      </c>
      <c r="F629" s="295">
        <v>1</v>
      </c>
      <c r="G629" s="296">
        <v>0</v>
      </c>
      <c r="H629" s="296">
        <v>2100</v>
      </c>
      <c r="I629" s="296">
        <v>1300</v>
      </c>
      <c r="J629" s="296">
        <v>1365</v>
      </c>
      <c r="K629" s="296">
        <v>735</v>
      </c>
      <c r="L629" s="296">
        <v>0</v>
      </c>
      <c r="M629" s="296">
        <v>800</v>
      </c>
      <c r="N629" s="297">
        <v>0.38095238095238093</v>
      </c>
    </row>
    <row r="630" spans="1:14" ht="18" customHeight="1">
      <c r="A630" s="293" t="s">
        <v>2232</v>
      </c>
      <c r="B630" s="294">
        <v>46113</v>
      </c>
      <c r="C630" s="286" t="s">
        <v>359</v>
      </c>
      <c r="D630" s="286" t="s">
        <v>114</v>
      </c>
      <c r="E630" s="295">
        <v>1</v>
      </c>
      <c r="F630" s="295">
        <v>1</v>
      </c>
      <c r="G630" s="296">
        <v>0</v>
      </c>
      <c r="H630" s="296">
        <v>1786</v>
      </c>
      <c r="I630" s="296">
        <v>780</v>
      </c>
      <c r="J630" s="296">
        <v>819</v>
      </c>
      <c r="K630" s="296">
        <v>967</v>
      </c>
      <c r="L630" s="296">
        <v>290.09999999999997</v>
      </c>
      <c r="M630" s="296">
        <v>1006</v>
      </c>
      <c r="N630" s="297">
        <v>0.56326987681970886</v>
      </c>
    </row>
    <row r="631" spans="1:14" ht="18" customHeight="1">
      <c r="A631" s="293" t="s">
        <v>2233</v>
      </c>
      <c r="B631" s="294">
        <v>46113</v>
      </c>
      <c r="C631" s="286" t="s">
        <v>353</v>
      </c>
      <c r="D631" s="286" t="s">
        <v>94</v>
      </c>
      <c r="E631" s="295">
        <v>8</v>
      </c>
      <c r="F631" s="295">
        <v>9</v>
      </c>
      <c r="G631" s="296">
        <v>0</v>
      </c>
      <c r="H631" s="296">
        <v>6605</v>
      </c>
      <c r="I631" s="296">
        <v>4395</v>
      </c>
      <c r="J631" s="296">
        <v>4608.1499999999996</v>
      </c>
      <c r="K631" s="296">
        <v>1996.85</v>
      </c>
      <c r="L631" s="296">
        <v>599.05499999999984</v>
      </c>
      <c r="M631" s="296">
        <v>2210</v>
      </c>
      <c r="N631" s="297">
        <v>0.33459500378501134</v>
      </c>
    </row>
    <row r="632" spans="1:14" ht="18" customHeight="1">
      <c r="A632" s="293" t="s">
        <v>2234</v>
      </c>
      <c r="B632" s="294">
        <v>46113</v>
      </c>
      <c r="C632" s="286" t="s">
        <v>168</v>
      </c>
      <c r="D632" s="286" t="s">
        <v>162</v>
      </c>
      <c r="E632" s="295">
        <v>1</v>
      </c>
      <c r="F632" s="295">
        <v>1</v>
      </c>
      <c r="G632" s="296">
        <v>0</v>
      </c>
      <c r="H632" s="296">
        <v>2700</v>
      </c>
      <c r="I632" s="296">
        <v>2100</v>
      </c>
      <c r="J632" s="296">
        <v>2205</v>
      </c>
      <c r="K632" s="296">
        <v>495</v>
      </c>
      <c r="L632" s="296">
        <v>0</v>
      </c>
      <c r="M632" s="296">
        <v>600</v>
      </c>
      <c r="N632" s="297">
        <v>0.22222222222222221</v>
      </c>
    </row>
    <row r="633" spans="1:14" ht="18" customHeight="1">
      <c r="A633" s="293" t="s">
        <v>2235</v>
      </c>
      <c r="B633" s="294">
        <v>46113</v>
      </c>
      <c r="C633" s="286" t="s">
        <v>168</v>
      </c>
      <c r="D633" s="286" t="s">
        <v>178</v>
      </c>
      <c r="E633" s="295">
        <v>2</v>
      </c>
      <c r="F633" s="295">
        <v>2</v>
      </c>
      <c r="G633" s="296">
        <v>0</v>
      </c>
      <c r="H633" s="296">
        <v>2055</v>
      </c>
      <c r="I633" s="296">
        <v>1425</v>
      </c>
      <c r="J633" s="296">
        <v>1496.25</v>
      </c>
      <c r="K633" s="296">
        <v>558.75</v>
      </c>
      <c r="L633" s="296">
        <v>0</v>
      </c>
      <c r="M633" s="296">
        <v>630</v>
      </c>
      <c r="N633" s="297">
        <v>0.30656934306569344</v>
      </c>
    </row>
    <row r="634" spans="1:14" ht="18" customHeight="1">
      <c r="A634" s="293" t="s">
        <v>2236</v>
      </c>
      <c r="B634" s="294">
        <v>46113</v>
      </c>
      <c r="C634" s="286" t="s">
        <v>168</v>
      </c>
      <c r="D634" s="286" t="s">
        <v>97</v>
      </c>
      <c r="E634" s="295">
        <v>2</v>
      </c>
      <c r="F634" s="295">
        <v>2</v>
      </c>
      <c r="G634" s="296">
        <v>0</v>
      </c>
      <c r="H634" s="296">
        <v>4200</v>
      </c>
      <c r="I634" s="296">
        <v>2325</v>
      </c>
      <c r="J634" s="296">
        <v>2441.25</v>
      </c>
      <c r="K634" s="296">
        <v>1758.75</v>
      </c>
      <c r="L634" s="296">
        <v>0</v>
      </c>
      <c r="M634" s="296">
        <v>1875</v>
      </c>
      <c r="N634" s="297">
        <v>0.44642857142857145</v>
      </c>
    </row>
    <row r="635" spans="1:14" ht="18" customHeight="1">
      <c r="A635" s="293" t="s">
        <v>2237</v>
      </c>
      <c r="B635" s="294">
        <v>46113</v>
      </c>
      <c r="C635" s="286" t="s">
        <v>351</v>
      </c>
      <c r="D635" s="286" t="s">
        <v>106</v>
      </c>
      <c r="E635" s="295">
        <v>2</v>
      </c>
      <c r="F635" s="295">
        <v>39</v>
      </c>
      <c r="G635" s="296">
        <v>0</v>
      </c>
      <c r="H635" s="296">
        <v>7257</v>
      </c>
      <c r="I635" s="296">
        <v>6642</v>
      </c>
      <c r="J635" s="296">
        <v>6974.1</v>
      </c>
      <c r="K635" s="296">
        <v>282.89999999999964</v>
      </c>
      <c r="L635" s="296">
        <v>84.869999999999891</v>
      </c>
      <c r="M635" s="296">
        <v>615</v>
      </c>
      <c r="N635" s="297">
        <v>8.4745762711864403E-2</v>
      </c>
    </row>
    <row r="636" spans="1:14" ht="18" customHeight="1">
      <c r="A636" s="293" t="s">
        <v>2238</v>
      </c>
      <c r="B636" s="294">
        <v>46113</v>
      </c>
      <c r="C636" s="286" t="s">
        <v>168</v>
      </c>
      <c r="D636" s="286" t="s">
        <v>99</v>
      </c>
      <c r="E636" s="295">
        <v>4</v>
      </c>
      <c r="F636" s="295">
        <v>9.6</v>
      </c>
      <c r="G636" s="296">
        <v>0</v>
      </c>
      <c r="H636" s="296">
        <v>1955</v>
      </c>
      <c r="I636" s="296">
        <v>324</v>
      </c>
      <c r="J636" s="296">
        <v>335.34</v>
      </c>
      <c r="K636" s="296">
        <v>1619.66</v>
      </c>
      <c r="L636" s="296">
        <v>0</v>
      </c>
      <c r="M636" s="296">
        <v>1631</v>
      </c>
      <c r="N636" s="297">
        <v>0.83427109974424551</v>
      </c>
    </row>
    <row r="637" spans="1:14" ht="18" customHeight="1">
      <c r="A637" s="293" t="s">
        <v>2239</v>
      </c>
      <c r="B637" s="294">
        <v>46116</v>
      </c>
      <c r="C637" s="286" t="s">
        <v>168</v>
      </c>
      <c r="D637" s="286" t="s">
        <v>156</v>
      </c>
      <c r="E637" s="295">
        <v>2</v>
      </c>
      <c r="F637" s="295">
        <v>2</v>
      </c>
      <c r="G637" s="296">
        <v>0</v>
      </c>
      <c r="H637" s="296">
        <v>2080</v>
      </c>
      <c r="I637" s="296">
        <v>860</v>
      </c>
      <c r="J637" s="296">
        <v>903</v>
      </c>
      <c r="K637" s="296">
        <v>1177</v>
      </c>
      <c r="L637" s="296">
        <v>0</v>
      </c>
      <c r="M637" s="296">
        <v>1220</v>
      </c>
      <c r="N637" s="297">
        <v>0.58653846153846156</v>
      </c>
    </row>
    <row r="638" spans="1:14" ht="18" customHeight="1">
      <c r="A638" s="293" t="s">
        <v>2240</v>
      </c>
      <c r="B638" s="294">
        <v>46116</v>
      </c>
      <c r="C638" s="286" t="s">
        <v>354</v>
      </c>
      <c r="D638" s="286" t="s">
        <v>109</v>
      </c>
      <c r="E638" s="295">
        <v>1</v>
      </c>
      <c r="F638" s="295">
        <v>1</v>
      </c>
      <c r="G638" s="296">
        <v>0</v>
      </c>
      <c r="H638" s="296">
        <v>1518</v>
      </c>
      <c r="I638" s="296">
        <v>1100</v>
      </c>
      <c r="J638" s="296">
        <v>1155</v>
      </c>
      <c r="K638" s="296">
        <v>363</v>
      </c>
      <c r="L638" s="296">
        <v>108.89999999999999</v>
      </c>
      <c r="M638" s="296">
        <v>418</v>
      </c>
      <c r="N638" s="297">
        <v>0.27536231884057971</v>
      </c>
    </row>
    <row r="639" spans="1:14" ht="18" customHeight="1">
      <c r="A639" s="293" t="s">
        <v>2241</v>
      </c>
      <c r="B639" s="294">
        <v>46116</v>
      </c>
      <c r="C639" s="286" t="s">
        <v>168</v>
      </c>
      <c r="D639" s="286" t="s">
        <v>179</v>
      </c>
      <c r="E639" s="295">
        <v>1</v>
      </c>
      <c r="F639" s="295">
        <v>1</v>
      </c>
      <c r="G639" s="296">
        <v>0</v>
      </c>
      <c r="H639" s="296">
        <v>2100</v>
      </c>
      <c r="I639" s="296">
        <v>1300</v>
      </c>
      <c r="J639" s="296">
        <v>1365</v>
      </c>
      <c r="K639" s="296">
        <v>735</v>
      </c>
      <c r="L639" s="296">
        <v>0</v>
      </c>
      <c r="M639" s="296">
        <v>800</v>
      </c>
      <c r="N639" s="297">
        <v>0.38095238095238093</v>
      </c>
    </row>
    <row r="640" spans="1:14" ht="18" customHeight="1">
      <c r="A640" s="293" t="s">
        <v>2242</v>
      </c>
      <c r="B640" s="294">
        <v>46116</v>
      </c>
      <c r="C640" s="286" t="s">
        <v>168</v>
      </c>
      <c r="D640" s="286" t="s">
        <v>115</v>
      </c>
      <c r="E640" s="295">
        <v>1</v>
      </c>
      <c r="F640" s="295">
        <v>1</v>
      </c>
      <c r="G640" s="296">
        <v>0</v>
      </c>
      <c r="H640" s="296">
        <v>2400</v>
      </c>
      <c r="I640" s="296">
        <v>1350</v>
      </c>
      <c r="J640" s="296">
        <v>1417.5</v>
      </c>
      <c r="K640" s="296">
        <v>982.5</v>
      </c>
      <c r="L640" s="296">
        <v>0</v>
      </c>
      <c r="M640" s="296">
        <v>1050</v>
      </c>
      <c r="N640" s="297">
        <v>0.4375</v>
      </c>
    </row>
    <row r="641" spans="1:14" ht="18" customHeight="1">
      <c r="A641" s="293" t="s">
        <v>2243</v>
      </c>
      <c r="B641" s="294">
        <v>46116</v>
      </c>
      <c r="C641" s="286" t="s">
        <v>168</v>
      </c>
      <c r="D641" s="286" t="s">
        <v>128</v>
      </c>
      <c r="E641" s="295">
        <v>1</v>
      </c>
      <c r="F641" s="295">
        <v>6</v>
      </c>
      <c r="G641" s="296">
        <v>0</v>
      </c>
      <c r="H641" s="296">
        <v>3300</v>
      </c>
      <c r="I641" s="296">
        <v>1620</v>
      </c>
      <c r="J641" s="296">
        <v>1701</v>
      </c>
      <c r="K641" s="296">
        <v>1599</v>
      </c>
      <c r="L641" s="296">
        <v>0</v>
      </c>
      <c r="M641" s="296">
        <v>1680</v>
      </c>
      <c r="N641" s="297">
        <v>0.50909090909090904</v>
      </c>
    </row>
    <row r="642" spans="1:14" ht="18" customHeight="1">
      <c r="A642" s="293" t="s">
        <v>2244</v>
      </c>
      <c r="B642" s="294">
        <v>46116</v>
      </c>
      <c r="C642" s="286" t="s">
        <v>168</v>
      </c>
      <c r="D642" s="286" t="s">
        <v>117</v>
      </c>
      <c r="E642" s="295">
        <v>5</v>
      </c>
      <c r="F642" s="295">
        <v>7.4</v>
      </c>
      <c r="G642" s="296">
        <v>0</v>
      </c>
      <c r="H642" s="296">
        <v>1900</v>
      </c>
      <c r="I642" s="296">
        <v>1035</v>
      </c>
      <c r="J642" s="296">
        <v>1066.7620000000002</v>
      </c>
      <c r="K642" s="296">
        <v>833.23799999999994</v>
      </c>
      <c r="L642" s="296">
        <v>0</v>
      </c>
      <c r="M642" s="296">
        <v>865</v>
      </c>
      <c r="N642" s="297">
        <v>0.45526315789473687</v>
      </c>
    </row>
    <row r="643" spans="1:14" ht="18" customHeight="1">
      <c r="A643" s="293" t="s">
        <v>2245</v>
      </c>
      <c r="B643" s="294">
        <v>46116</v>
      </c>
      <c r="C643" s="286" t="s">
        <v>168</v>
      </c>
      <c r="D643" s="286" t="s">
        <v>99</v>
      </c>
      <c r="E643" s="295">
        <v>23</v>
      </c>
      <c r="F643" s="295">
        <v>76</v>
      </c>
      <c r="G643" s="296">
        <v>0</v>
      </c>
      <c r="H643" s="296">
        <v>11359</v>
      </c>
      <c r="I643" s="296">
        <v>3379.25</v>
      </c>
      <c r="J643" s="296">
        <v>3515.4344999999998</v>
      </c>
      <c r="K643" s="296">
        <v>7843.5654999999997</v>
      </c>
      <c r="L643" s="296">
        <v>0</v>
      </c>
      <c r="M643" s="296">
        <v>7979.75</v>
      </c>
      <c r="N643" s="297">
        <v>0.70250462188572937</v>
      </c>
    </row>
    <row r="644" spans="1:14" ht="18" customHeight="1">
      <c r="A644" s="293" t="s">
        <v>2246</v>
      </c>
      <c r="B644" s="294">
        <v>46118</v>
      </c>
      <c r="C644" s="286" t="s">
        <v>3773</v>
      </c>
      <c r="D644" s="286" t="s">
        <v>102</v>
      </c>
      <c r="E644" s="295">
        <v>3</v>
      </c>
      <c r="F644" s="295">
        <v>12</v>
      </c>
      <c r="G644" s="296">
        <v>0</v>
      </c>
      <c r="H644" s="296">
        <v>1495</v>
      </c>
      <c r="I644" s="296">
        <v>786</v>
      </c>
      <c r="J644" s="296">
        <v>823.9</v>
      </c>
      <c r="K644" s="296">
        <v>671.1</v>
      </c>
      <c r="L644" s="296">
        <v>201.33</v>
      </c>
      <c r="M644" s="296">
        <v>709</v>
      </c>
      <c r="N644" s="297">
        <v>0.47424749163879598</v>
      </c>
    </row>
    <row r="645" spans="1:14" ht="18" customHeight="1">
      <c r="A645" s="293" t="s">
        <v>2247</v>
      </c>
      <c r="B645" s="294">
        <v>46118</v>
      </c>
      <c r="C645" s="286" t="s">
        <v>354</v>
      </c>
      <c r="D645" s="286" t="s">
        <v>109</v>
      </c>
      <c r="E645" s="295">
        <v>1</v>
      </c>
      <c r="F645" s="295">
        <v>1</v>
      </c>
      <c r="G645" s="296">
        <v>0</v>
      </c>
      <c r="H645" s="296">
        <v>1875</v>
      </c>
      <c r="I645" s="296">
        <v>1200</v>
      </c>
      <c r="J645" s="296">
        <v>1260</v>
      </c>
      <c r="K645" s="296">
        <v>615</v>
      </c>
      <c r="L645" s="296">
        <v>184.5</v>
      </c>
      <c r="M645" s="296">
        <v>675</v>
      </c>
      <c r="N645" s="297">
        <v>0.36</v>
      </c>
    </row>
    <row r="646" spans="1:14" ht="18" customHeight="1">
      <c r="A646" s="293" t="s">
        <v>2248</v>
      </c>
      <c r="B646" s="294">
        <v>46118</v>
      </c>
      <c r="C646" s="286" t="s">
        <v>353</v>
      </c>
      <c r="D646" s="286" t="s">
        <v>103</v>
      </c>
      <c r="E646" s="295">
        <v>3</v>
      </c>
      <c r="F646" s="295">
        <v>5</v>
      </c>
      <c r="G646" s="296">
        <v>0</v>
      </c>
      <c r="H646" s="296">
        <v>4200</v>
      </c>
      <c r="I646" s="296">
        <v>2720</v>
      </c>
      <c r="J646" s="296">
        <v>2856</v>
      </c>
      <c r="K646" s="296">
        <v>1344</v>
      </c>
      <c r="L646" s="296">
        <v>403.2</v>
      </c>
      <c r="M646" s="296">
        <v>1480</v>
      </c>
      <c r="N646" s="297">
        <v>0.35238095238095241</v>
      </c>
    </row>
    <row r="647" spans="1:14" ht="18" customHeight="1">
      <c r="A647" s="293" t="s">
        <v>2249</v>
      </c>
      <c r="B647" s="294">
        <v>46118</v>
      </c>
      <c r="C647" s="286" t="s">
        <v>359</v>
      </c>
      <c r="D647" s="286" t="s">
        <v>114</v>
      </c>
      <c r="E647" s="295">
        <v>1</v>
      </c>
      <c r="F647" s="295">
        <v>1</v>
      </c>
      <c r="G647" s="296">
        <v>0</v>
      </c>
      <c r="H647" s="296">
        <v>1786</v>
      </c>
      <c r="I647" s="296">
        <v>900</v>
      </c>
      <c r="J647" s="296">
        <v>945</v>
      </c>
      <c r="K647" s="296">
        <v>841</v>
      </c>
      <c r="L647" s="296">
        <v>252.29999999999998</v>
      </c>
      <c r="M647" s="296">
        <v>886</v>
      </c>
      <c r="N647" s="297">
        <v>0.49608062709966405</v>
      </c>
    </row>
    <row r="648" spans="1:14" ht="18" customHeight="1">
      <c r="A648" s="293" t="s">
        <v>2250</v>
      </c>
      <c r="B648" s="294">
        <v>46118</v>
      </c>
      <c r="C648" s="286" t="s">
        <v>353</v>
      </c>
      <c r="D648" s="286" t="s">
        <v>94</v>
      </c>
      <c r="E648" s="295">
        <v>3</v>
      </c>
      <c r="F648" s="295">
        <v>12</v>
      </c>
      <c r="G648" s="296">
        <v>0</v>
      </c>
      <c r="H648" s="296">
        <v>478</v>
      </c>
      <c r="I648" s="296">
        <v>190</v>
      </c>
      <c r="J648" s="296">
        <v>199.5</v>
      </c>
      <c r="K648" s="296">
        <v>278.5</v>
      </c>
      <c r="L648" s="296">
        <v>83.55</v>
      </c>
      <c r="M648" s="296">
        <v>288</v>
      </c>
      <c r="N648" s="297">
        <v>0.60251046025104604</v>
      </c>
    </row>
    <row r="649" spans="1:14" ht="18" customHeight="1">
      <c r="A649" s="293" t="s">
        <v>2251</v>
      </c>
      <c r="B649" s="294">
        <v>46118</v>
      </c>
      <c r="C649" s="286" t="s">
        <v>348</v>
      </c>
      <c r="D649" s="286" t="s">
        <v>180</v>
      </c>
      <c r="E649" s="295">
        <v>8</v>
      </c>
      <c r="F649" s="295">
        <v>16.399999999999999</v>
      </c>
      <c r="G649" s="296">
        <v>0</v>
      </c>
      <c r="H649" s="296">
        <v>2221</v>
      </c>
      <c r="I649" s="296">
        <v>1263.52</v>
      </c>
      <c r="J649" s="296">
        <v>1302.6176000000003</v>
      </c>
      <c r="K649" s="296">
        <v>918.38239999999996</v>
      </c>
      <c r="L649" s="296">
        <v>275.51471999999995</v>
      </c>
      <c r="M649" s="296">
        <v>957.48</v>
      </c>
      <c r="N649" s="297">
        <v>0.43110310670868979</v>
      </c>
    </row>
    <row r="650" spans="1:14" ht="18" customHeight="1">
      <c r="A650" s="293" t="s">
        <v>2252</v>
      </c>
      <c r="B650" s="294">
        <v>46118</v>
      </c>
      <c r="C650" s="286" t="s">
        <v>168</v>
      </c>
      <c r="D650" s="286" t="s">
        <v>105</v>
      </c>
      <c r="E650" s="295">
        <v>1</v>
      </c>
      <c r="F650" s="295">
        <v>1</v>
      </c>
      <c r="G650" s="296">
        <v>0</v>
      </c>
      <c r="H650" s="296">
        <v>8200</v>
      </c>
      <c r="I650" s="296">
        <v>7684</v>
      </c>
      <c r="J650" s="296">
        <v>8068.2000000000007</v>
      </c>
      <c r="K650" s="296">
        <v>131.79999999999927</v>
      </c>
      <c r="L650" s="296">
        <v>0</v>
      </c>
      <c r="M650" s="296">
        <v>516</v>
      </c>
      <c r="N650" s="297">
        <v>6.2926829268292683E-2</v>
      </c>
    </row>
    <row r="651" spans="1:14" ht="18" customHeight="1">
      <c r="A651" s="293" t="s">
        <v>2253</v>
      </c>
      <c r="B651" s="294">
        <v>46118</v>
      </c>
      <c r="C651" s="286" t="s">
        <v>353</v>
      </c>
      <c r="D651" s="286" t="s">
        <v>174</v>
      </c>
      <c r="E651" s="295">
        <v>3</v>
      </c>
      <c r="F651" s="295">
        <v>3</v>
      </c>
      <c r="G651" s="296">
        <v>0</v>
      </c>
      <c r="H651" s="296">
        <v>2768</v>
      </c>
      <c r="I651" s="296">
        <v>1400</v>
      </c>
      <c r="J651" s="296">
        <v>1470</v>
      </c>
      <c r="K651" s="296">
        <v>1298</v>
      </c>
      <c r="L651" s="296">
        <v>389.4</v>
      </c>
      <c r="M651" s="296">
        <v>1368</v>
      </c>
      <c r="N651" s="297">
        <v>0.49421965317919075</v>
      </c>
    </row>
    <row r="652" spans="1:14" ht="18" customHeight="1">
      <c r="A652" s="293" t="s">
        <v>2254</v>
      </c>
      <c r="B652" s="294">
        <v>46118</v>
      </c>
      <c r="C652" s="286" t="s">
        <v>168</v>
      </c>
      <c r="D652" s="286" t="s">
        <v>97</v>
      </c>
      <c r="E652" s="295">
        <v>2</v>
      </c>
      <c r="F652" s="295">
        <v>2</v>
      </c>
      <c r="G652" s="296">
        <v>0</v>
      </c>
      <c r="H652" s="296">
        <v>2900</v>
      </c>
      <c r="I652" s="296">
        <v>1310</v>
      </c>
      <c r="J652" s="296">
        <v>1375.5</v>
      </c>
      <c r="K652" s="296">
        <v>1524.5</v>
      </c>
      <c r="L652" s="296">
        <v>0</v>
      </c>
      <c r="M652" s="296">
        <v>1590</v>
      </c>
      <c r="N652" s="297">
        <v>0.5482758620689655</v>
      </c>
    </row>
    <row r="653" spans="1:14" ht="18" customHeight="1">
      <c r="A653" s="293" t="s">
        <v>2255</v>
      </c>
      <c r="B653" s="294">
        <v>46118</v>
      </c>
      <c r="C653" s="286" t="s">
        <v>351</v>
      </c>
      <c r="D653" s="286" t="s">
        <v>106</v>
      </c>
      <c r="E653" s="295">
        <v>6</v>
      </c>
      <c r="F653" s="295">
        <v>8.4</v>
      </c>
      <c r="G653" s="296">
        <v>0</v>
      </c>
      <c r="H653" s="296">
        <v>1770</v>
      </c>
      <c r="I653" s="296">
        <v>971.2</v>
      </c>
      <c r="J653" s="296">
        <v>1000.3360000000001</v>
      </c>
      <c r="K653" s="296">
        <v>769.66399999999987</v>
      </c>
      <c r="L653" s="296">
        <v>230.89919999999995</v>
      </c>
      <c r="M653" s="296">
        <v>798.8</v>
      </c>
      <c r="N653" s="297">
        <v>0.45129943502824854</v>
      </c>
    </row>
    <row r="654" spans="1:14" ht="18" customHeight="1">
      <c r="A654" s="293" t="s">
        <v>2256</v>
      </c>
      <c r="B654" s="294">
        <v>46118</v>
      </c>
      <c r="C654" s="286" t="s">
        <v>168</v>
      </c>
      <c r="D654" s="286" t="s">
        <v>166</v>
      </c>
      <c r="E654" s="295">
        <v>2</v>
      </c>
      <c r="F654" s="295">
        <v>22</v>
      </c>
      <c r="G654" s="296">
        <v>0</v>
      </c>
      <c r="H654" s="296">
        <v>2967</v>
      </c>
      <c r="I654" s="296">
        <v>1815</v>
      </c>
      <c r="J654" s="296">
        <v>1905.75</v>
      </c>
      <c r="K654" s="296">
        <v>1061.25</v>
      </c>
      <c r="L654" s="296">
        <v>0</v>
      </c>
      <c r="M654" s="296">
        <v>1152</v>
      </c>
      <c r="N654" s="297">
        <v>0.38827098078867545</v>
      </c>
    </row>
    <row r="655" spans="1:14" ht="18" customHeight="1">
      <c r="A655" s="293" t="s">
        <v>2257</v>
      </c>
      <c r="B655" s="294">
        <v>46118</v>
      </c>
      <c r="C655" s="286" t="s">
        <v>168</v>
      </c>
      <c r="D655" s="286" t="s">
        <v>99</v>
      </c>
      <c r="E655" s="295">
        <v>1</v>
      </c>
      <c r="F655" s="295">
        <v>1</v>
      </c>
      <c r="G655" s="296">
        <v>0</v>
      </c>
      <c r="H655" s="296">
        <v>125</v>
      </c>
      <c r="I655" s="296">
        <v>75</v>
      </c>
      <c r="J655" s="296">
        <v>77.25</v>
      </c>
      <c r="K655" s="296">
        <v>47.75</v>
      </c>
      <c r="L655" s="296">
        <v>0</v>
      </c>
      <c r="M655" s="296">
        <v>50</v>
      </c>
      <c r="N655" s="297">
        <v>0.4</v>
      </c>
    </row>
    <row r="656" spans="1:14" ht="18" customHeight="1">
      <c r="A656" s="293" t="s">
        <v>2258</v>
      </c>
      <c r="B656" s="294">
        <v>46119</v>
      </c>
      <c r="C656" s="286" t="s">
        <v>3773</v>
      </c>
      <c r="D656" s="286" t="s">
        <v>158</v>
      </c>
      <c r="E656" s="295">
        <v>8</v>
      </c>
      <c r="F656" s="295">
        <v>60</v>
      </c>
      <c r="G656" s="296">
        <v>0</v>
      </c>
      <c r="H656" s="296">
        <v>4002</v>
      </c>
      <c r="I656" s="296">
        <v>2192.4</v>
      </c>
      <c r="J656" s="296">
        <v>2293.5119999999997</v>
      </c>
      <c r="K656" s="296">
        <v>1708.4880000000001</v>
      </c>
      <c r="L656" s="296">
        <v>512.54639999999995</v>
      </c>
      <c r="M656" s="296">
        <v>1809.6</v>
      </c>
      <c r="N656" s="297">
        <v>0.45217391304347826</v>
      </c>
    </row>
    <row r="657" spans="1:14" ht="18" customHeight="1">
      <c r="A657" s="293" t="s">
        <v>2259</v>
      </c>
      <c r="B657" s="294">
        <v>46119</v>
      </c>
      <c r="C657" s="286" t="s">
        <v>3773</v>
      </c>
      <c r="D657" s="286" t="s">
        <v>100</v>
      </c>
      <c r="E657" s="295">
        <v>5</v>
      </c>
      <c r="F657" s="295">
        <v>9.1999999999999993</v>
      </c>
      <c r="G657" s="296">
        <v>0</v>
      </c>
      <c r="H657" s="296">
        <v>1160</v>
      </c>
      <c r="I657" s="296">
        <v>380.6</v>
      </c>
      <c r="J657" s="296">
        <v>392.73</v>
      </c>
      <c r="K657" s="296">
        <v>767.27</v>
      </c>
      <c r="L657" s="296">
        <v>230.18099999999998</v>
      </c>
      <c r="M657" s="296">
        <v>779.4</v>
      </c>
      <c r="N657" s="297">
        <v>0.67189655172413787</v>
      </c>
    </row>
    <row r="658" spans="1:14" ht="18" customHeight="1">
      <c r="A658" s="293" t="s">
        <v>2260</v>
      </c>
      <c r="B658" s="294">
        <v>46119</v>
      </c>
      <c r="C658" s="286" t="s">
        <v>168</v>
      </c>
      <c r="D658" s="286" t="s">
        <v>181</v>
      </c>
      <c r="E658" s="295">
        <v>1</v>
      </c>
      <c r="F658" s="295">
        <v>1</v>
      </c>
      <c r="G658" s="296">
        <v>0</v>
      </c>
      <c r="H658" s="296">
        <v>491</v>
      </c>
      <c r="I658" s="296">
        <v>220</v>
      </c>
      <c r="J658" s="296">
        <v>231</v>
      </c>
      <c r="K658" s="296">
        <v>260</v>
      </c>
      <c r="L658" s="296">
        <v>0</v>
      </c>
      <c r="M658" s="296">
        <v>271</v>
      </c>
      <c r="N658" s="297">
        <v>0.55193482688391038</v>
      </c>
    </row>
    <row r="659" spans="1:14" ht="18" customHeight="1">
      <c r="A659" s="293" t="s">
        <v>2261</v>
      </c>
      <c r="B659" s="294">
        <v>46119</v>
      </c>
      <c r="C659" s="286" t="s">
        <v>3773</v>
      </c>
      <c r="D659" s="286" t="s">
        <v>102</v>
      </c>
      <c r="E659" s="295">
        <v>2</v>
      </c>
      <c r="F659" s="295">
        <v>3</v>
      </c>
      <c r="G659" s="296">
        <v>0</v>
      </c>
      <c r="H659" s="296">
        <v>8440</v>
      </c>
      <c r="I659" s="296">
        <v>7814</v>
      </c>
      <c r="J659" s="296">
        <v>8204.7000000000007</v>
      </c>
      <c r="K659" s="296">
        <v>235.29999999999927</v>
      </c>
      <c r="L659" s="296">
        <v>70.589999999999776</v>
      </c>
      <c r="M659" s="296">
        <v>626</v>
      </c>
      <c r="N659" s="297">
        <v>7.4170616113744078E-2</v>
      </c>
    </row>
    <row r="660" spans="1:14" ht="18" customHeight="1">
      <c r="A660" s="293" t="s">
        <v>2262</v>
      </c>
      <c r="B660" s="294">
        <v>46119</v>
      </c>
      <c r="C660" s="286" t="s">
        <v>353</v>
      </c>
      <c r="D660" s="286" t="s">
        <v>133</v>
      </c>
      <c r="E660" s="295">
        <v>1</v>
      </c>
      <c r="F660" s="295">
        <v>1</v>
      </c>
      <c r="G660" s="296">
        <v>0</v>
      </c>
      <c r="H660" s="296">
        <v>1970</v>
      </c>
      <c r="I660" s="296">
        <v>1250</v>
      </c>
      <c r="J660" s="296">
        <v>1312.5</v>
      </c>
      <c r="K660" s="296">
        <v>657.5</v>
      </c>
      <c r="L660" s="296">
        <v>197.25</v>
      </c>
      <c r="M660" s="296">
        <v>720</v>
      </c>
      <c r="N660" s="297">
        <v>0.36548223350253806</v>
      </c>
    </row>
    <row r="661" spans="1:14" ht="18" customHeight="1">
      <c r="A661" s="293" t="s">
        <v>2263</v>
      </c>
      <c r="B661" s="294">
        <v>46119</v>
      </c>
      <c r="C661" s="286" t="s">
        <v>353</v>
      </c>
      <c r="D661" s="286" t="s">
        <v>108</v>
      </c>
      <c r="E661" s="295">
        <v>3</v>
      </c>
      <c r="F661" s="295">
        <v>3</v>
      </c>
      <c r="G661" s="296">
        <v>0</v>
      </c>
      <c r="H661" s="296">
        <v>2466</v>
      </c>
      <c r="I661" s="296">
        <v>1730</v>
      </c>
      <c r="J661" s="296">
        <v>1816.5</v>
      </c>
      <c r="K661" s="296">
        <v>649.5</v>
      </c>
      <c r="L661" s="296">
        <v>194.85</v>
      </c>
      <c r="M661" s="296">
        <v>736</v>
      </c>
      <c r="N661" s="297">
        <v>0.29845904298459042</v>
      </c>
    </row>
    <row r="662" spans="1:14" ht="18" customHeight="1">
      <c r="A662" s="293" t="s">
        <v>2264</v>
      </c>
      <c r="B662" s="294">
        <v>46119</v>
      </c>
      <c r="C662" s="286" t="s">
        <v>354</v>
      </c>
      <c r="D662" s="286" t="s">
        <v>109</v>
      </c>
      <c r="E662" s="295">
        <v>1</v>
      </c>
      <c r="F662" s="295">
        <v>1</v>
      </c>
      <c r="G662" s="296">
        <v>0</v>
      </c>
      <c r="H662" s="296">
        <v>1696</v>
      </c>
      <c r="I662" s="296">
        <v>1300</v>
      </c>
      <c r="J662" s="296">
        <v>1365</v>
      </c>
      <c r="K662" s="296">
        <v>331</v>
      </c>
      <c r="L662" s="296">
        <v>99.3</v>
      </c>
      <c r="M662" s="296">
        <v>396</v>
      </c>
      <c r="N662" s="297">
        <v>0.23349056603773585</v>
      </c>
    </row>
    <row r="663" spans="1:14" ht="18" customHeight="1">
      <c r="A663" s="293" t="s">
        <v>2265</v>
      </c>
      <c r="B663" s="294">
        <v>46119</v>
      </c>
      <c r="C663" s="286" t="s">
        <v>353</v>
      </c>
      <c r="D663" s="286" t="s">
        <v>103</v>
      </c>
      <c r="E663" s="295">
        <v>4</v>
      </c>
      <c r="F663" s="295">
        <v>66</v>
      </c>
      <c r="G663" s="296">
        <v>0</v>
      </c>
      <c r="H663" s="296">
        <v>4850</v>
      </c>
      <c r="I663" s="296">
        <v>2705</v>
      </c>
      <c r="J663" s="296">
        <v>2840.25</v>
      </c>
      <c r="K663" s="296">
        <v>2009.75</v>
      </c>
      <c r="L663" s="296">
        <v>602.92499999999995</v>
      </c>
      <c r="M663" s="296">
        <v>2145</v>
      </c>
      <c r="N663" s="297">
        <v>0.44226804123711339</v>
      </c>
    </row>
    <row r="664" spans="1:14" ht="18" customHeight="1">
      <c r="A664" s="293" t="s">
        <v>2266</v>
      </c>
      <c r="B664" s="294">
        <v>46119</v>
      </c>
      <c r="C664" s="286" t="s">
        <v>353</v>
      </c>
      <c r="D664" s="286" t="s">
        <v>94</v>
      </c>
      <c r="E664" s="295">
        <v>1</v>
      </c>
      <c r="F664" s="295">
        <v>1</v>
      </c>
      <c r="G664" s="296">
        <v>0</v>
      </c>
      <c r="H664" s="296">
        <v>1696</v>
      </c>
      <c r="I664" s="296">
        <v>800</v>
      </c>
      <c r="J664" s="296">
        <v>840</v>
      </c>
      <c r="K664" s="296">
        <v>856</v>
      </c>
      <c r="L664" s="296">
        <v>256.8</v>
      </c>
      <c r="M664" s="296">
        <v>896</v>
      </c>
      <c r="N664" s="297">
        <v>0.52830188679245282</v>
      </c>
    </row>
    <row r="665" spans="1:14" ht="18" customHeight="1">
      <c r="A665" s="293" t="s">
        <v>2267</v>
      </c>
      <c r="B665" s="294">
        <v>46119</v>
      </c>
      <c r="C665" s="286" t="s">
        <v>168</v>
      </c>
      <c r="D665" s="286" t="s">
        <v>96</v>
      </c>
      <c r="E665" s="295">
        <v>2</v>
      </c>
      <c r="F665" s="295">
        <v>2</v>
      </c>
      <c r="G665" s="296">
        <v>0</v>
      </c>
      <c r="H665" s="296">
        <v>9985</v>
      </c>
      <c r="I665" s="296">
        <v>8584</v>
      </c>
      <c r="J665" s="296">
        <v>9013.2000000000007</v>
      </c>
      <c r="K665" s="296">
        <v>971.79999999999927</v>
      </c>
      <c r="L665" s="296">
        <v>0</v>
      </c>
      <c r="M665" s="296">
        <v>1401</v>
      </c>
      <c r="N665" s="297">
        <v>0.14031046569854783</v>
      </c>
    </row>
    <row r="666" spans="1:14" ht="18" customHeight="1">
      <c r="A666" s="293" t="s">
        <v>2268</v>
      </c>
      <c r="B666" s="294">
        <v>46119</v>
      </c>
      <c r="C666" s="286" t="s">
        <v>168</v>
      </c>
      <c r="D666" s="286" t="s">
        <v>105</v>
      </c>
      <c r="E666" s="295">
        <v>2</v>
      </c>
      <c r="F666" s="295">
        <v>2</v>
      </c>
      <c r="G666" s="296">
        <v>0</v>
      </c>
      <c r="H666" s="296">
        <v>2425</v>
      </c>
      <c r="I666" s="296">
        <v>1100</v>
      </c>
      <c r="J666" s="296">
        <v>1155</v>
      </c>
      <c r="K666" s="296">
        <v>1270</v>
      </c>
      <c r="L666" s="296">
        <v>0</v>
      </c>
      <c r="M666" s="296">
        <v>1325</v>
      </c>
      <c r="N666" s="297">
        <v>0.54639175257731953</v>
      </c>
    </row>
    <row r="667" spans="1:14" ht="18" customHeight="1">
      <c r="A667" s="293" t="s">
        <v>2269</v>
      </c>
      <c r="B667" s="294">
        <v>46119</v>
      </c>
      <c r="C667" s="286" t="s">
        <v>168</v>
      </c>
      <c r="D667" s="286" t="s">
        <v>115</v>
      </c>
      <c r="E667" s="295">
        <v>1</v>
      </c>
      <c r="F667" s="295">
        <v>1</v>
      </c>
      <c r="G667" s="296">
        <v>0</v>
      </c>
      <c r="H667" s="296">
        <v>2200</v>
      </c>
      <c r="I667" s="296">
        <v>1500</v>
      </c>
      <c r="J667" s="296">
        <v>1575</v>
      </c>
      <c r="K667" s="296">
        <v>625</v>
      </c>
      <c r="L667" s="296">
        <v>0</v>
      </c>
      <c r="M667" s="296">
        <v>700</v>
      </c>
      <c r="N667" s="297">
        <v>0.31818181818181818</v>
      </c>
    </row>
    <row r="668" spans="1:14" ht="18" customHeight="1">
      <c r="A668" s="293" t="s">
        <v>2270</v>
      </c>
      <c r="B668" s="294">
        <v>46119</v>
      </c>
      <c r="C668" s="286" t="s">
        <v>168</v>
      </c>
      <c r="D668" s="286" t="s">
        <v>117</v>
      </c>
      <c r="E668" s="295">
        <v>10</v>
      </c>
      <c r="F668" s="295">
        <v>55.2</v>
      </c>
      <c r="G668" s="296">
        <v>0</v>
      </c>
      <c r="H668" s="296">
        <v>6162</v>
      </c>
      <c r="I668" s="296">
        <v>3049.1</v>
      </c>
      <c r="J668" s="296">
        <v>3179.913</v>
      </c>
      <c r="K668" s="296">
        <v>2982.087</v>
      </c>
      <c r="L668" s="296">
        <v>0</v>
      </c>
      <c r="M668" s="296">
        <v>3112.9</v>
      </c>
      <c r="N668" s="297">
        <v>0.50517689061992865</v>
      </c>
    </row>
    <row r="669" spans="1:14" ht="18" customHeight="1">
      <c r="A669" s="293" t="s">
        <v>2271</v>
      </c>
      <c r="B669" s="294">
        <v>46119</v>
      </c>
      <c r="C669" s="286" t="s">
        <v>168</v>
      </c>
      <c r="D669" s="286" t="s">
        <v>97</v>
      </c>
      <c r="E669" s="295">
        <v>2</v>
      </c>
      <c r="F669" s="295">
        <v>2</v>
      </c>
      <c r="G669" s="296">
        <v>0</v>
      </c>
      <c r="H669" s="296">
        <v>10200</v>
      </c>
      <c r="I669" s="296">
        <v>8984</v>
      </c>
      <c r="J669" s="296">
        <v>9433.2000000000007</v>
      </c>
      <c r="K669" s="296">
        <v>766.79999999999927</v>
      </c>
      <c r="L669" s="296">
        <v>0</v>
      </c>
      <c r="M669" s="296">
        <v>1216</v>
      </c>
      <c r="N669" s="297">
        <v>0.11921568627450981</v>
      </c>
    </row>
    <row r="670" spans="1:14" ht="18" customHeight="1">
      <c r="A670" s="293" t="s">
        <v>2272</v>
      </c>
      <c r="B670" s="294">
        <v>46119</v>
      </c>
      <c r="C670" s="286" t="s">
        <v>351</v>
      </c>
      <c r="D670" s="286" t="s">
        <v>106</v>
      </c>
      <c r="E670" s="295">
        <v>1</v>
      </c>
      <c r="F670" s="295">
        <v>45</v>
      </c>
      <c r="G670" s="296">
        <v>0</v>
      </c>
      <c r="H670" s="296">
        <v>2925</v>
      </c>
      <c r="I670" s="296">
        <v>1800</v>
      </c>
      <c r="J670" s="296">
        <v>1890</v>
      </c>
      <c r="K670" s="296">
        <v>1035</v>
      </c>
      <c r="L670" s="296">
        <v>310.5</v>
      </c>
      <c r="M670" s="296">
        <v>1125</v>
      </c>
      <c r="N670" s="297">
        <v>0.38461538461538464</v>
      </c>
    </row>
    <row r="671" spans="1:14" ht="18" customHeight="1">
      <c r="A671" s="293" t="s">
        <v>2273</v>
      </c>
      <c r="B671" s="294">
        <v>46119</v>
      </c>
      <c r="C671" s="286" t="s">
        <v>358</v>
      </c>
      <c r="D671" s="286" t="s">
        <v>98</v>
      </c>
      <c r="E671" s="295">
        <v>1</v>
      </c>
      <c r="F671" s="295">
        <v>1</v>
      </c>
      <c r="G671" s="296">
        <v>0</v>
      </c>
      <c r="H671" s="296">
        <v>8200</v>
      </c>
      <c r="I671" s="296">
        <v>7684</v>
      </c>
      <c r="J671" s="296">
        <v>8068.2000000000007</v>
      </c>
      <c r="K671" s="296">
        <v>131.79999999999927</v>
      </c>
      <c r="L671" s="296">
        <v>39.539999999999779</v>
      </c>
      <c r="M671" s="296">
        <v>516</v>
      </c>
      <c r="N671" s="297">
        <v>6.2926829268292683E-2</v>
      </c>
    </row>
    <row r="672" spans="1:14" ht="18" customHeight="1">
      <c r="A672" s="293" t="s">
        <v>2274</v>
      </c>
      <c r="B672" s="294">
        <v>46119</v>
      </c>
      <c r="C672" s="286" t="s">
        <v>168</v>
      </c>
      <c r="D672" s="286" t="s">
        <v>99</v>
      </c>
      <c r="E672" s="295">
        <v>2</v>
      </c>
      <c r="F672" s="295">
        <v>3</v>
      </c>
      <c r="G672" s="296">
        <v>0</v>
      </c>
      <c r="H672" s="296">
        <v>790</v>
      </c>
      <c r="I672" s="296">
        <v>390</v>
      </c>
      <c r="J672" s="296">
        <v>409.5</v>
      </c>
      <c r="K672" s="296">
        <v>380.5</v>
      </c>
      <c r="L672" s="296">
        <v>0</v>
      </c>
      <c r="M672" s="296">
        <v>400</v>
      </c>
      <c r="N672" s="297">
        <v>0.50632911392405067</v>
      </c>
    </row>
    <row r="673" spans="1:14" ht="18" customHeight="1">
      <c r="A673" s="293" t="s">
        <v>2275</v>
      </c>
      <c r="B673" s="294">
        <v>46120</v>
      </c>
      <c r="C673" s="286" t="s">
        <v>168</v>
      </c>
      <c r="D673" s="286" t="s">
        <v>92</v>
      </c>
      <c r="E673" s="295">
        <v>1</v>
      </c>
      <c r="F673" s="295">
        <v>1</v>
      </c>
      <c r="G673" s="296">
        <v>0</v>
      </c>
      <c r="H673" s="296">
        <v>8300</v>
      </c>
      <c r="I673" s="296">
        <v>0</v>
      </c>
      <c r="J673" s="296">
        <v>0</v>
      </c>
      <c r="K673" s="296">
        <v>8300</v>
      </c>
      <c r="L673" s="296">
        <v>0</v>
      </c>
      <c r="M673" s="296">
        <v>8300</v>
      </c>
      <c r="N673" s="297">
        <v>1</v>
      </c>
    </row>
    <row r="674" spans="1:14" ht="18" customHeight="1">
      <c r="A674" s="293" t="s">
        <v>2276</v>
      </c>
      <c r="B674" s="294">
        <v>46120</v>
      </c>
      <c r="C674" s="286" t="s">
        <v>168</v>
      </c>
      <c r="D674" s="286" t="s">
        <v>182</v>
      </c>
      <c r="E674" s="295">
        <v>3</v>
      </c>
      <c r="F674" s="295">
        <v>5</v>
      </c>
      <c r="G674" s="296">
        <v>0</v>
      </c>
      <c r="H674" s="296">
        <v>702</v>
      </c>
      <c r="I674" s="296">
        <v>558</v>
      </c>
      <c r="J674" s="296">
        <v>584.76</v>
      </c>
      <c r="K674" s="296">
        <v>117.24</v>
      </c>
      <c r="L674" s="296">
        <v>0</v>
      </c>
      <c r="M674" s="296">
        <v>144</v>
      </c>
      <c r="N674" s="297">
        <v>0.20512820512820512</v>
      </c>
    </row>
    <row r="675" spans="1:14" ht="18" customHeight="1">
      <c r="A675" s="293" t="s">
        <v>2277</v>
      </c>
      <c r="B675" s="294">
        <v>46120</v>
      </c>
      <c r="C675" s="286" t="s">
        <v>353</v>
      </c>
      <c r="D675" s="286" t="s">
        <v>94</v>
      </c>
      <c r="E675" s="295">
        <v>1</v>
      </c>
      <c r="F675" s="295">
        <v>1</v>
      </c>
      <c r="G675" s="296">
        <v>0</v>
      </c>
      <c r="H675" s="296">
        <v>1800</v>
      </c>
      <c r="I675" s="296">
        <v>1200</v>
      </c>
      <c r="J675" s="296">
        <v>1260</v>
      </c>
      <c r="K675" s="296">
        <v>540</v>
      </c>
      <c r="L675" s="296">
        <v>162</v>
      </c>
      <c r="M675" s="296">
        <v>600</v>
      </c>
      <c r="N675" s="297">
        <v>0.33333333333333331</v>
      </c>
    </row>
    <row r="676" spans="1:14" ht="18" customHeight="1">
      <c r="A676" s="293" t="s">
        <v>2278</v>
      </c>
      <c r="B676" s="294">
        <v>46120</v>
      </c>
      <c r="C676" s="286" t="s">
        <v>168</v>
      </c>
      <c r="D676" s="286" t="s">
        <v>96</v>
      </c>
      <c r="E676" s="295">
        <v>2</v>
      </c>
      <c r="F676" s="295">
        <v>3</v>
      </c>
      <c r="G676" s="296">
        <v>0</v>
      </c>
      <c r="H676" s="296">
        <v>420</v>
      </c>
      <c r="I676" s="296">
        <v>152</v>
      </c>
      <c r="J676" s="296">
        <v>159.6</v>
      </c>
      <c r="K676" s="296">
        <v>260.39999999999998</v>
      </c>
      <c r="L676" s="296">
        <v>0</v>
      </c>
      <c r="M676" s="296">
        <v>268</v>
      </c>
      <c r="N676" s="297">
        <v>0.63809523809523805</v>
      </c>
    </row>
    <row r="677" spans="1:14" ht="18" customHeight="1">
      <c r="A677" s="293" t="s">
        <v>2279</v>
      </c>
      <c r="B677" s="294">
        <v>46120</v>
      </c>
      <c r="C677" s="286" t="s">
        <v>168</v>
      </c>
      <c r="D677" s="286" t="s">
        <v>105</v>
      </c>
      <c r="E677" s="295">
        <v>3</v>
      </c>
      <c r="F677" s="295">
        <v>3</v>
      </c>
      <c r="G677" s="296">
        <v>0</v>
      </c>
      <c r="H677" s="296">
        <v>5268</v>
      </c>
      <c r="I677" s="296">
        <v>3250</v>
      </c>
      <c r="J677" s="296">
        <v>3412.5</v>
      </c>
      <c r="K677" s="296">
        <v>1855.5</v>
      </c>
      <c r="L677" s="296">
        <v>0</v>
      </c>
      <c r="M677" s="296">
        <v>2018</v>
      </c>
      <c r="N677" s="297">
        <v>0.3830675778283979</v>
      </c>
    </row>
    <row r="678" spans="1:14" ht="18" customHeight="1">
      <c r="A678" s="293" t="s">
        <v>2280</v>
      </c>
      <c r="B678" s="294">
        <v>46120</v>
      </c>
      <c r="C678" s="286" t="s">
        <v>168</v>
      </c>
      <c r="D678" s="286" t="s">
        <v>128</v>
      </c>
      <c r="E678" s="295">
        <v>1</v>
      </c>
      <c r="F678" s="295">
        <v>2</v>
      </c>
      <c r="G678" s="296">
        <v>0</v>
      </c>
      <c r="H678" s="296">
        <v>4018</v>
      </c>
      <c r="I678" s="296">
        <v>3000</v>
      </c>
      <c r="J678" s="296">
        <v>3150</v>
      </c>
      <c r="K678" s="296">
        <v>868</v>
      </c>
      <c r="L678" s="296">
        <v>0</v>
      </c>
      <c r="M678" s="296">
        <v>1018</v>
      </c>
      <c r="N678" s="297">
        <v>0.25335988053758091</v>
      </c>
    </row>
    <row r="679" spans="1:14" ht="18" customHeight="1">
      <c r="A679" s="293" t="s">
        <v>2281</v>
      </c>
      <c r="B679" s="294">
        <v>46120</v>
      </c>
      <c r="C679" s="286" t="s">
        <v>168</v>
      </c>
      <c r="D679" s="286" t="s">
        <v>124</v>
      </c>
      <c r="E679" s="295">
        <v>3</v>
      </c>
      <c r="F679" s="295">
        <v>3</v>
      </c>
      <c r="G679" s="296">
        <v>0</v>
      </c>
      <c r="H679" s="296">
        <v>850</v>
      </c>
      <c r="I679" s="296">
        <v>342</v>
      </c>
      <c r="J679" s="296">
        <v>359.1</v>
      </c>
      <c r="K679" s="296">
        <v>490.9</v>
      </c>
      <c r="L679" s="296">
        <v>0</v>
      </c>
      <c r="M679" s="296">
        <v>508</v>
      </c>
      <c r="N679" s="297">
        <v>0.59764705882352942</v>
      </c>
    </row>
    <row r="680" spans="1:14" ht="18" customHeight="1">
      <c r="A680" s="293" t="s">
        <v>2282</v>
      </c>
      <c r="B680" s="294">
        <v>46120</v>
      </c>
      <c r="C680" s="286" t="s">
        <v>168</v>
      </c>
      <c r="D680" s="286" t="s">
        <v>99</v>
      </c>
      <c r="E680" s="295">
        <v>5</v>
      </c>
      <c r="F680" s="295">
        <v>3.4</v>
      </c>
      <c r="G680" s="296">
        <v>0</v>
      </c>
      <c r="H680" s="296">
        <v>1905</v>
      </c>
      <c r="I680" s="296">
        <v>165.45</v>
      </c>
      <c r="J680" s="296">
        <v>170.4135</v>
      </c>
      <c r="K680" s="296">
        <v>1734.5865000000001</v>
      </c>
      <c r="L680" s="296">
        <v>0</v>
      </c>
      <c r="M680" s="296">
        <v>1739.55</v>
      </c>
      <c r="N680" s="297">
        <v>0.9131496062992126</v>
      </c>
    </row>
    <row r="681" spans="1:14" ht="18" customHeight="1">
      <c r="A681" s="293" t="s">
        <v>2283</v>
      </c>
      <c r="B681" s="294">
        <v>46121</v>
      </c>
      <c r="C681" s="286" t="s">
        <v>358</v>
      </c>
      <c r="D681" s="286" t="s">
        <v>183</v>
      </c>
      <c r="E681" s="295">
        <v>1</v>
      </c>
      <c r="F681" s="295">
        <v>1</v>
      </c>
      <c r="G681" s="296">
        <v>0</v>
      </c>
      <c r="H681" s="296">
        <v>650</v>
      </c>
      <c r="I681" s="296">
        <v>480</v>
      </c>
      <c r="J681" s="296">
        <v>504</v>
      </c>
      <c r="K681" s="296">
        <v>146</v>
      </c>
      <c r="L681" s="296">
        <v>43.8</v>
      </c>
      <c r="M681" s="296">
        <v>170</v>
      </c>
      <c r="N681" s="297">
        <v>0.26153846153846155</v>
      </c>
    </row>
    <row r="682" spans="1:14" ht="18" customHeight="1">
      <c r="A682" s="293" t="s">
        <v>2284</v>
      </c>
      <c r="B682" s="294">
        <v>46121</v>
      </c>
      <c r="C682" s="286" t="s">
        <v>3773</v>
      </c>
      <c r="D682" s="286" t="s">
        <v>102</v>
      </c>
      <c r="E682" s="295">
        <v>1</v>
      </c>
      <c r="F682" s="295">
        <v>1</v>
      </c>
      <c r="G682" s="296">
        <v>0</v>
      </c>
      <c r="H682" s="296">
        <v>804</v>
      </c>
      <c r="I682" s="296">
        <v>400</v>
      </c>
      <c r="J682" s="296">
        <v>420</v>
      </c>
      <c r="K682" s="296">
        <v>384</v>
      </c>
      <c r="L682" s="296">
        <v>115.19999999999999</v>
      </c>
      <c r="M682" s="296">
        <v>404</v>
      </c>
      <c r="N682" s="297">
        <v>0.50248756218905477</v>
      </c>
    </row>
    <row r="683" spans="1:14" ht="18" customHeight="1">
      <c r="A683" s="293" t="s">
        <v>2285</v>
      </c>
      <c r="B683" s="294">
        <v>46121</v>
      </c>
      <c r="C683" s="286" t="s">
        <v>168</v>
      </c>
      <c r="D683" s="286" t="s">
        <v>176</v>
      </c>
      <c r="E683" s="295">
        <v>1</v>
      </c>
      <c r="F683" s="295">
        <v>1</v>
      </c>
      <c r="G683" s="296">
        <v>0</v>
      </c>
      <c r="H683" s="296">
        <v>492</v>
      </c>
      <c r="I683" s="296">
        <v>260</v>
      </c>
      <c r="J683" s="296">
        <v>273</v>
      </c>
      <c r="K683" s="296">
        <v>219</v>
      </c>
      <c r="L683" s="296">
        <v>0</v>
      </c>
      <c r="M683" s="296">
        <v>232</v>
      </c>
      <c r="N683" s="297">
        <v>0.47154471544715448</v>
      </c>
    </row>
    <row r="684" spans="1:14" ht="18" customHeight="1">
      <c r="A684" s="293" t="s">
        <v>2286</v>
      </c>
      <c r="B684" s="294">
        <v>46121</v>
      </c>
      <c r="C684" s="286" t="s">
        <v>353</v>
      </c>
      <c r="D684" s="286" t="s">
        <v>108</v>
      </c>
      <c r="E684" s="295">
        <v>5</v>
      </c>
      <c r="F684" s="295">
        <v>42</v>
      </c>
      <c r="G684" s="296">
        <v>0</v>
      </c>
      <c r="H684" s="296">
        <v>11200</v>
      </c>
      <c r="I684" s="296">
        <v>9244</v>
      </c>
      <c r="J684" s="296">
        <v>9706.2000000000007</v>
      </c>
      <c r="K684" s="296">
        <v>1493.7999999999993</v>
      </c>
      <c r="L684" s="296">
        <v>448.13999999999976</v>
      </c>
      <c r="M684" s="296">
        <v>1956</v>
      </c>
      <c r="N684" s="297">
        <v>0.17464285714285716</v>
      </c>
    </row>
    <row r="685" spans="1:14" ht="18" customHeight="1">
      <c r="A685" s="293" t="s">
        <v>2287</v>
      </c>
      <c r="B685" s="294">
        <v>46121</v>
      </c>
      <c r="C685" s="286" t="s">
        <v>168</v>
      </c>
      <c r="D685" s="286" t="s">
        <v>92</v>
      </c>
      <c r="E685" s="295">
        <v>1</v>
      </c>
      <c r="F685" s="295">
        <v>1</v>
      </c>
      <c r="G685" s="296">
        <v>0</v>
      </c>
      <c r="H685" s="296">
        <v>1786</v>
      </c>
      <c r="I685" s="296">
        <v>800</v>
      </c>
      <c r="J685" s="296">
        <v>840</v>
      </c>
      <c r="K685" s="296">
        <v>946</v>
      </c>
      <c r="L685" s="296">
        <v>0</v>
      </c>
      <c r="M685" s="296">
        <v>986</v>
      </c>
      <c r="N685" s="297">
        <v>0.55207166853303469</v>
      </c>
    </row>
    <row r="686" spans="1:14" ht="18" customHeight="1">
      <c r="A686" s="293" t="s">
        <v>2288</v>
      </c>
      <c r="B686" s="294">
        <v>46121</v>
      </c>
      <c r="C686" s="286" t="s">
        <v>354</v>
      </c>
      <c r="D686" s="286" t="s">
        <v>109</v>
      </c>
      <c r="E686" s="295">
        <v>1</v>
      </c>
      <c r="F686" s="295">
        <v>1</v>
      </c>
      <c r="G686" s="296">
        <v>0</v>
      </c>
      <c r="H686" s="296">
        <v>2100</v>
      </c>
      <c r="I686" s="296">
        <v>1550</v>
      </c>
      <c r="J686" s="296">
        <v>1627.5</v>
      </c>
      <c r="K686" s="296">
        <v>472.5</v>
      </c>
      <c r="L686" s="296">
        <v>141.75</v>
      </c>
      <c r="M686" s="296">
        <v>550</v>
      </c>
      <c r="N686" s="297">
        <v>0.26190476190476192</v>
      </c>
    </row>
    <row r="687" spans="1:14" ht="18" customHeight="1">
      <c r="A687" s="293" t="s">
        <v>2289</v>
      </c>
      <c r="B687" s="294">
        <v>46121</v>
      </c>
      <c r="C687" s="286" t="s">
        <v>168</v>
      </c>
      <c r="D687" s="286" t="s">
        <v>96</v>
      </c>
      <c r="E687" s="295">
        <v>2</v>
      </c>
      <c r="F687" s="295">
        <v>2</v>
      </c>
      <c r="G687" s="296">
        <v>0</v>
      </c>
      <c r="H687" s="296">
        <v>4250</v>
      </c>
      <c r="I687" s="296">
        <v>2950</v>
      </c>
      <c r="J687" s="296">
        <v>3097.5</v>
      </c>
      <c r="K687" s="296">
        <v>1152.5</v>
      </c>
      <c r="L687" s="296">
        <v>0</v>
      </c>
      <c r="M687" s="296">
        <v>1300</v>
      </c>
      <c r="N687" s="297">
        <v>0.30588235294117649</v>
      </c>
    </row>
    <row r="688" spans="1:14" ht="18" customHeight="1">
      <c r="A688" s="293" t="s">
        <v>2290</v>
      </c>
      <c r="B688" s="294">
        <v>46121</v>
      </c>
      <c r="C688" s="286" t="s">
        <v>168</v>
      </c>
      <c r="D688" s="286" t="s">
        <v>105</v>
      </c>
      <c r="E688" s="295">
        <v>5</v>
      </c>
      <c r="F688" s="295">
        <v>8</v>
      </c>
      <c r="G688" s="296">
        <v>0</v>
      </c>
      <c r="H688" s="296">
        <v>2008</v>
      </c>
      <c r="I688" s="296">
        <v>1145</v>
      </c>
      <c r="J688" s="296">
        <v>1195.6500000000001</v>
      </c>
      <c r="K688" s="296">
        <v>812.34999999999991</v>
      </c>
      <c r="L688" s="296">
        <v>0</v>
      </c>
      <c r="M688" s="296">
        <v>863</v>
      </c>
      <c r="N688" s="297">
        <v>0.42978087649402391</v>
      </c>
    </row>
    <row r="689" spans="1:14" ht="18" customHeight="1">
      <c r="A689" s="293" t="s">
        <v>2291</v>
      </c>
      <c r="B689" s="294">
        <v>46121</v>
      </c>
      <c r="C689" s="286" t="s">
        <v>168</v>
      </c>
      <c r="D689" s="286" t="s">
        <v>115</v>
      </c>
      <c r="E689" s="295">
        <v>2</v>
      </c>
      <c r="F689" s="295">
        <v>2</v>
      </c>
      <c r="G689" s="296">
        <v>0</v>
      </c>
      <c r="H689" s="296">
        <v>3685</v>
      </c>
      <c r="I689" s="296">
        <v>2500</v>
      </c>
      <c r="J689" s="296">
        <v>2625</v>
      </c>
      <c r="K689" s="296">
        <v>1060</v>
      </c>
      <c r="L689" s="296">
        <v>0</v>
      </c>
      <c r="M689" s="296">
        <v>1185</v>
      </c>
      <c r="N689" s="297">
        <v>0.32157394843962006</v>
      </c>
    </row>
    <row r="690" spans="1:14" ht="18" customHeight="1">
      <c r="A690" s="293" t="s">
        <v>2292</v>
      </c>
      <c r="B690" s="294">
        <v>46121</v>
      </c>
      <c r="C690" s="286" t="s">
        <v>168</v>
      </c>
      <c r="D690" s="286" t="s">
        <v>124</v>
      </c>
      <c r="E690" s="295">
        <v>2</v>
      </c>
      <c r="F690" s="295">
        <v>2</v>
      </c>
      <c r="G690" s="296">
        <v>0</v>
      </c>
      <c r="H690" s="296">
        <v>3375</v>
      </c>
      <c r="I690" s="296">
        <v>2100</v>
      </c>
      <c r="J690" s="296">
        <v>2205</v>
      </c>
      <c r="K690" s="296">
        <v>1170</v>
      </c>
      <c r="L690" s="296">
        <v>0</v>
      </c>
      <c r="M690" s="296">
        <v>1275</v>
      </c>
      <c r="N690" s="297">
        <v>0.37777777777777777</v>
      </c>
    </row>
    <row r="691" spans="1:14" ht="18" customHeight="1">
      <c r="A691" s="293" t="s">
        <v>2293</v>
      </c>
      <c r="B691" s="294">
        <v>46121</v>
      </c>
      <c r="C691" s="286" t="s">
        <v>168</v>
      </c>
      <c r="D691" s="286" t="s">
        <v>129</v>
      </c>
      <c r="E691" s="295">
        <v>7</v>
      </c>
      <c r="F691" s="295">
        <v>25.2</v>
      </c>
      <c r="G691" s="296">
        <v>0</v>
      </c>
      <c r="H691" s="296">
        <v>4740</v>
      </c>
      <c r="I691" s="296">
        <v>2787.0499999999997</v>
      </c>
      <c r="J691" s="296">
        <v>2894.6115000000004</v>
      </c>
      <c r="K691" s="296">
        <v>1845.3884999999998</v>
      </c>
      <c r="L691" s="296">
        <v>0</v>
      </c>
      <c r="M691" s="296">
        <v>1952.9500000000003</v>
      </c>
      <c r="N691" s="297">
        <v>0.41201476793248953</v>
      </c>
    </row>
    <row r="692" spans="1:14" ht="18" customHeight="1">
      <c r="A692" s="293" t="s">
        <v>2294</v>
      </c>
      <c r="B692" s="294">
        <v>46121</v>
      </c>
      <c r="C692" s="286" t="s">
        <v>351</v>
      </c>
      <c r="D692" s="286" t="s">
        <v>106</v>
      </c>
      <c r="E692" s="295">
        <v>1</v>
      </c>
      <c r="F692" s="295">
        <v>50</v>
      </c>
      <c r="G692" s="296">
        <v>0</v>
      </c>
      <c r="H692" s="296">
        <v>2600</v>
      </c>
      <c r="I692" s="296">
        <v>1350</v>
      </c>
      <c r="J692" s="296">
        <v>1417.5</v>
      </c>
      <c r="K692" s="296">
        <v>1182.5</v>
      </c>
      <c r="L692" s="296">
        <v>354.75</v>
      </c>
      <c r="M692" s="296">
        <v>1250</v>
      </c>
      <c r="N692" s="297">
        <v>0.48076923076923078</v>
      </c>
    </row>
    <row r="693" spans="1:14" ht="18" customHeight="1">
      <c r="A693" s="293" t="s">
        <v>2295</v>
      </c>
      <c r="B693" s="294">
        <v>46121</v>
      </c>
      <c r="C693" s="286" t="s">
        <v>168</v>
      </c>
      <c r="D693" s="286" t="s">
        <v>131</v>
      </c>
      <c r="E693" s="295">
        <v>1</v>
      </c>
      <c r="F693" s="295">
        <v>10</v>
      </c>
      <c r="G693" s="296">
        <v>0</v>
      </c>
      <c r="H693" s="296">
        <v>1400</v>
      </c>
      <c r="I693" s="296">
        <v>900</v>
      </c>
      <c r="J693" s="296">
        <v>927</v>
      </c>
      <c r="K693" s="296">
        <v>473</v>
      </c>
      <c r="L693" s="296">
        <v>0</v>
      </c>
      <c r="M693" s="296">
        <v>500</v>
      </c>
      <c r="N693" s="297">
        <v>0.35714285714285715</v>
      </c>
    </row>
    <row r="694" spans="1:14" ht="18" customHeight="1">
      <c r="A694" s="293" t="s">
        <v>2296</v>
      </c>
      <c r="B694" s="294">
        <v>46121</v>
      </c>
      <c r="C694" s="286" t="s">
        <v>168</v>
      </c>
      <c r="D694" s="286" t="s">
        <v>166</v>
      </c>
      <c r="E694" s="295">
        <v>7</v>
      </c>
      <c r="F694" s="295">
        <v>10.4</v>
      </c>
      <c r="G694" s="296">
        <v>0</v>
      </c>
      <c r="H694" s="296">
        <v>1873</v>
      </c>
      <c r="I694" s="296">
        <v>232.7</v>
      </c>
      <c r="J694" s="296">
        <v>239.68100000000001</v>
      </c>
      <c r="K694" s="296">
        <v>1633.319</v>
      </c>
      <c r="L694" s="296">
        <v>0</v>
      </c>
      <c r="M694" s="296">
        <v>1640.3</v>
      </c>
      <c r="N694" s="297">
        <v>0.87576081153230112</v>
      </c>
    </row>
    <row r="695" spans="1:14" ht="18" customHeight="1">
      <c r="A695" s="293" t="s">
        <v>2297</v>
      </c>
      <c r="B695" s="294">
        <v>46121</v>
      </c>
      <c r="C695" s="286" t="s">
        <v>168</v>
      </c>
      <c r="D695" s="286" t="s">
        <v>99</v>
      </c>
      <c r="E695" s="295">
        <v>1</v>
      </c>
      <c r="F695" s="295">
        <v>1</v>
      </c>
      <c r="G695" s="296">
        <v>0</v>
      </c>
      <c r="H695" s="296">
        <v>312</v>
      </c>
      <c r="I695" s="296">
        <v>0</v>
      </c>
      <c r="J695" s="296">
        <v>0</v>
      </c>
      <c r="K695" s="296">
        <v>312</v>
      </c>
      <c r="L695" s="296">
        <v>0</v>
      </c>
      <c r="M695" s="296">
        <v>312</v>
      </c>
      <c r="N695" s="297">
        <v>1</v>
      </c>
    </row>
    <row r="696" spans="1:14" ht="18" customHeight="1">
      <c r="A696" s="293" t="s">
        <v>2298</v>
      </c>
      <c r="B696" s="294">
        <v>46122</v>
      </c>
      <c r="C696" s="286" t="s">
        <v>3773</v>
      </c>
      <c r="D696" s="286" t="s">
        <v>102</v>
      </c>
      <c r="E696" s="295">
        <v>2</v>
      </c>
      <c r="F696" s="295">
        <v>2</v>
      </c>
      <c r="G696" s="296">
        <v>0</v>
      </c>
      <c r="H696" s="296">
        <v>2550</v>
      </c>
      <c r="I696" s="296">
        <v>1600</v>
      </c>
      <c r="J696" s="296">
        <v>1680</v>
      </c>
      <c r="K696" s="296">
        <v>870</v>
      </c>
      <c r="L696" s="296">
        <v>261</v>
      </c>
      <c r="M696" s="296">
        <v>950</v>
      </c>
      <c r="N696" s="297">
        <v>0.37254901960784315</v>
      </c>
    </row>
    <row r="697" spans="1:14" ht="18" customHeight="1">
      <c r="A697" s="293" t="s">
        <v>2299</v>
      </c>
      <c r="B697" s="294">
        <v>46122</v>
      </c>
      <c r="C697" s="286" t="s">
        <v>168</v>
      </c>
      <c r="D697" s="286" t="s">
        <v>184</v>
      </c>
      <c r="E697" s="295">
        <v>4</v>
      </c>
      <c r="F697" s="295">
        <v>24</v>
      </c>
      <c r="G697" s="296">
        <v>0</v>
      </c>
      <c r="H697" s="296">
        <v>5440</v>
      </c>
      <c r="I697" s="296">
        <v>1460</v>
      </c>
      <c r="J697" s="296">
        <v>1503.8</v>
      </c>
      <c r="K697" s="296">
        <v>3936.2</v>
      </c>
      <c r="L697" s="296">
        <v>0</v>
      </c>
      <c r="M697" s="296">
        <v>3980</v>
      </c>
      <c r="N697" s="297">
        <v>0.73161764705882348</v>
      </c>
    </row>
    <row r="698" spans="1:14" ht="18" customHeight="1">
      <c r="A698" s="293" t="s">
        <v>2300</v>
      </c>
      <c r="B698" s="294">
        <v>46122</v>
      </c>
      <c r="C698" s="286" t="s">
        <v>168</v>
      </c>
      <c r="D698" s="286" t="s">
        <v>112</v>
      </c>
      <c r="E698" s="295">
        <v>1</v>
      </c>
      <c r="F698" s="295">
        <v>2</v>
      </c>
      <c r="G698" s="296">
        <v>0</v>
      </c>
      <c r="H698" s="296">
        <v>1300</v>
      </c>
      <c r="I698" s="296">
        <v>960</v>
      </c>
      <c r="J698" s="296">
        <v>1008</v>
      </c>
      <c r="K698" s="296">
        <v>292</v>
      </c>
      <c r="L698" s="296">
        <v>0</v>
      </c>
      <c r="M698" s="296">
        <v>340</v>
      </c>
      <c r="N698" s="297">
        <v>0.26153846153846155</v>
      </c>
    </row>
    <row r="699" spans="1:14" ht="18" customHeight="1">
      <c r="A699" s="293" t="s">
        <v>2301</v>
      </c>
      <c r="B699" s="294">
        <v>46122</v>
      </c>
      <c r="C699" s="286" t="s">
        <v>168</v>
      </c>
      <c r="D699" s="286" t="s">
        <v>92</v>
      </c>
      <c r="E699" s="295">
        <v>1</v>
      </c>
      <c r="F699" s="295">
        <v>1</v>
      </c>
      <c r="G699" s="296">
        <v>0</v>
      </c>
      <c r="H699" s="296">
        <v>2200</v>
      </c>
      <c r="I699" s="296">
        <v>1500</v>
      </c>
      <c r="J699" s="296">
        <v>1575</v>
      </c>
      <c r="K699" s="296">
        <v>625</v>
      </c>
      <c r="L699" s="296">
        <v>0</v>
      </c>
      <c r="M699" s="296">
        <v>700</v>
      </c>
      <c r="N699" s="297">
        <v>0.31818181818181818</v>
      </c>
    </row>
    <row r="700" spans="1:14" ht="18" customHeight="1">
      <c r="A700" s="293" t="s">
        <v>2302</v>
      </c>
      <c r="B700" s="294">
        <v>46122</v>
      </c>
      <c r="C700" s="286" t="s">
        <v>353</v>
      </c>
      <c r="D700" s="286" t="s">
        <v>103</v>
      </c>
      <c r="E700" s="295">
        <v>2</v>
      </c>
      <c r="F700" s="295">
        <v>3</v>
      </c>
      <c r="G700" s="296">
        <v>0</v>
      </c>
      <c r="H700" s="296">
        <v>2890</v>
      </c>
      <c r="I700" s="296">
        <v>1420</v>
      </c>
      <c r="J700" s="296">
        <v>1491</v>
      </c>
      <c r="K700" s="296">
        <v>1399</v>
      </c>
      <c r="L700" s="296">
        <v>419.7</v>
      </c>
      <c r="M700" s="296">
        <v>1470</v>
      </c>
      <c r="N700" s="297">
        <v>0.50865051903114189</v>
      </c>
    </row>
    <row r="701" spans="1:14" ht="18" customHeight="1">
      <c r="A701" s="293" t="s">
        <v>2303</v>
      </c>
      <c r="B701" s="294">
        <v>46122</v>
      </c>
      <c r="C701" s="286" t="s">
        <v>168</v>
      </c>
      <c r="D701" s="286" t="s">
        <v>121</v>
      </c>
      <c r="E701" s="295">
        <v>3</v>
      </c>
      <c r="F701" s="295">
        <v>3</v>
      </c>
      <c r="G701" s="296">
        <v>0</v>
      </c>
      <c r="H701" s="296">
        <v>10770</v>
      </c>
      <c r="I701" s="296">
        <v>1830</v>
      </c>
      <c r="J701" s="296">
        <v>1914.9</v>
      </c>
      <c r="K701" s="296">
        <v>8855.1</v>
      </c>
      <c r="L701" s="296">
        <v>0</v>
      </c>
      <c r="M701" s="296">
        <v>8940</v>
      </c>
      <c r="N701" s="297">
        <v>0.83008356545961004</v>
      </c>
    </row>
    <row r="702" spans="1:14" ht="18" customHeight="1">
      <c r="A702" s="293" t="s">
        <v>2304</v>
      </c>
      <c r="B702" s="294">
        <v>46122</v>
      </c>
      <c r="C702" s="286" t="s">
        <v>353</v>
      </c>
      <c r="D702" s="286" t="s">
        <v>94</v>
      </c>
      <c r="E702" s="295">
        <v>1</v>
      </c>
      <c r="F702" s="295">
        <v>1</v>
      </c>
      <c r="G702" s="296">
        <v>0</v>
      </c>
      <c r="H702" s="296">
        <v>2100</v>
      </c>
      <c r="I702" s="296">
        <v>1500</v>
      </c>
      <c r="J702" s="296">
        <v>1575</v>
      </c>
      <c r="K702" s="296">
        <v>525</v>
      </c>
      <c r="L702" s="296">
        <v>157.5</v>
      </c>
      <c r="M702" s="296">
        <v>600</v>
      </c>
      <c r="N702" s="297">
        <v>0.2857142857142857</v>
      </c>
    </row>
    <row r="703" spans="1:14" ht="18" customHeight="1">
      <c r="A703" s="293" t="s">
        <v>2305</v>
      </c>
      <c r="B703" s="294">
        <v>46122</v>
      </c>
      <c r="C703" s="286" t="s">
        <v>3773</v>
      </c>
      <c r="D703" s="286" t="s">
        <v>116</v>
      </c>
      <c r="E703" s="295">
        <v>1</v>
      </c>
      <c r="F703" s="295">
        <v>1</v>
      </c>
      <c r="G703" s="296">
        <v>0</v>
      </c>
      <c r="H703" s="296">
        <v>1607</v>
      </c>
      <c r="I703" s="296">
        <v>1150</v>
      </c>
      <c r="J703" s="296">
        <v>1207.5</v>
      </c>
      <c r="K703" s="296">
        <v>399.5</v>
      </c>
      <c r="L703" s="296">
        <v>119.85</v>
      </c>
      <c r="M703" s="296">
        <v>457</v>
      </c>
      <c r="N703" s="297">
        <v>0.28438083385189794</v>
      </c>
    </row>
    <row r="704" spans="1:14" ht="18" customHeight="1">
      <c r="A704" s="293" t="s">
        <v>2306</v>
      </c>
      <c r="B704" s="294">
        <v>46122</v>
      </c>
      <c r="C704" s="286" t="s">
        <v>168</v>
      </c>
      <c r="D704" s="286" t="s">
        <v>96</v>
      </c>
      <c r="E704" s="295">
        <v>2</v>
      </c>
      <c r="F704" s="295">
        <v>2</v>
      </c>
      <c r="G704" s="296">
        <v>0</v>
      </c>
      <c r="H704" s="296">
        <v>3900</v>
      </c>
      <c r="I704" s="296">
        <v>2100</v>
      </c>
      <c r="J704" s="296">
        <v>2205</v>
      </c>
      <c r="K704" s="296">
        <v>1695</v>
      </c>
      <c r="L704" s="296">
        <v>0</v>
      </c>
      <c r="M704" s="296">
        <v>1800</v>
      </c>
      <c r="N704" s="297">
        <v>0.46153846153846156</v>
      </c>
    </row>
    <row r="705" spans="1:14" ht="18" customHeight="1">
      <c r="A705" s="293" t="s">
        <v>2307</v>
      </c>
      <c r="B705" s="294">
        <v>46122</v>
      </c>
      <c r="C705" s="286" t="s">
        <v>168</v>
      </c>
      <c r="D705" s="286" t="s">
        <v>115</v>
      </c>
      <c r="E705" s="295">
        <v>1</v>
      </c>
      <c r="F705" s="295">
        <v>1</v>
      </c>
      <c r="G705" s="296">
        <v>0</v>
      </c>
      <c r="H705" s="296">
        <v>8300</v>
      </c>
      <c r="I705" s="296">
        <v>0</v>
      </c>
      <c r="J705" s="296">
        <v>0</v>
      </c>
      <c r="K705" s="296">
        <v>8300</v>
      </c>
      <c r="L705" s="296">
        <v>0</v>
      </c>
      <c r="M705" s="296">
        <v>8300</v>
      </c>
      <c r="N705" s="297">
        <v>1</v>
      </c>
    </row>
    <row r="706" spans="1:14" ht="18" customHeight="1">
      <c r="A706" s="293" t="s">
        <v>2308</v>
      </c>
      <c r="B706" s="294">
        <v>46122</v>
      </c>
      <c r="C706" s="286" t="s">
        <v>168</v>
      </c>
      <c r="D706" s="286" t="s">
        <v>145</v>
      </c>
      <c r="E706" s="295">
        <v>8</v>
      </c>
      <c r="F706" s="295">
        <v>41</v>
      </c>
      <c r="G706" s="296">
        <v>0</v>
      </c>
      <c r="H706" s="296">
        <v>4365</v>
      </c>
      <c r="I706" s="296">
        <v>2224.9</v>
      </c>
      <c r="J706" s="296">
        <v>2334.645</v>
      </c>
      <c r="K706" s="296">
        <v>2030.355</v>
      </c>
      <c r="L706" s="296">
        <v>0</v>
      </c>
      <c r="M706" s="296">
        <v>2140.1</v>
      </c>
      <c r="N706" s="297">
        <v>0.49028636884306986</v>
      </c>
    </row>
    <row r="707" spans="1:14" ht="18" customHeight="1">
      <c r="A707" s="293" t="s">
        <v>2309</v>
      </c>
      <c r="B707" s="294">
        <v>46122</v>
      </c>
      <c r="C707" s="286" t="s">
        <v>168</v>
      </c>
      <c r="D707" s="286" t="s">
        <v>117</v>
      </c>
      <c r="E707" s="295">
        <v>1</v>
      </c>
      <c r="F707" s="295">
        <v>1</v>
      </c>
      <c r="G707" s="296">
        <v>0</v>
      </c>
      <c r="H707" s="296">
        <v>405</v>
      </c>
      <c r="I707" s="296">
        <v>180</v>
      </c>
      <c r="J707" s="296">
        <v>189</v>
      </c>
      <c r="K707" s="296">
        <v>216</v>
      </c>
      <c r="L707" s="296">
        <v>0</v>
      </c>
      <c r="M707" s="296">
        <v>225</v>
      </c>
      <c r="N707" s="297">
        <v>0.55555555555555558</v>
      </c>
    </row>
    <row r="708" spans="1:14" ht="18" customHeight="1">
      <c r="A708" s="293" t="s">
        <v>2310</v>
      </c>
      <c r="B708" s="294">
        <v>46122</v>
      </c>
      <c r="C708" s="286" t="s">
        <v>358</v>
      </c>
      <c r="D708" s="286" t="s">
        <v>98</v>
      </c>
      <c r="E708" s="295">
        <v>2</v>
      </c>
      <c r="F708" s="295">
        <v>11</v>
      </c>
      <c r="G708" s="296">
        <v>0</v>
      </c>
      <c r="H708" s="296">
        <v>850</v>
      </c>
      <c r="I708" s="296">
        <v>490</v>
      </c>
      <c r="J708" s="296">
        <v>513.1</v>
      </c>
      <c r="K708" s="296">
        <v>336.9</v>
      </c>
      <c r="L708" s="296">
        <v>101.07</v>
      </c>
      <c r="M708" s="296">
        <v>360</v>
      </c>
      <c r="N708" s="297">
        <v>0.42352941176470588</v>
      </c>
    </row>
    <row r="709" spans="1:14" ht="18" customHeight="1">
      <c r="A709" s="293" t="s">
        <v>2311</v>
      </c>
      <c r="B709" s="294">
        <v>46122</v>
      </c>
      <c r="C709" s="286" t="s">
        <v>168</v>
      </c>
      <c r="D709" s="286" t="s">
        <v>99</v>
      </c>
      <c r="E709" s="295">
        <v>5</v>
      </c>
      <c r="F709" s="295">
        <v>8</v>
      </c>
      <c r="G709" s="296">
        <v>0</v>
      </c>
      <c r="H709" s="296">
        <v>1500</v>
      </c>
      <c r="I709" s="296">
        <v>863.6</v>
      </c>
      <c r="J709" s="296">
        <v>899.94799999999998</v>
      </c>
      <c r="K709" s="296">
        <v>600.05200000000002</v>
      </c>
      <c r="L709" s="296">
        <v>0</v>
      </c>
      <c r="M709" s="296">
        <v>636.4</v>
      </c>
      <c r="N709" s="297">
        <v>0.42426666666666663</v>
      </c>
    </row>
    <row r="710" spans="1:14" ht="18" customHeight="1">
      <c r="A710" s="293" t="s">
        <v>2312</v>
      </c>
      <c r="B710" s="294">
        <v>46123</v>
      </c>
      <c r="C710" s="286" t="s">
        <v>3773</v>
      </c>
      <c r="D710" s="286" t="s">
        <v>102</v>
      </c>
      <c r="E710" s="295">
        <v>1</v>
      </c>
      <c r="F710" s="295">
        <v>1</v>
      </c>
      <c r="G710" s="296">
        <v>0</v>
      </c>
      <c r="H710" s="296">
        <v>200</v>
      </c>
      <c r="I710" s="296">
        <v>85</v>
      </c>
      <c r="J710" s="296">
        <v>89.25</v>
      </c>
      <c r="K710" s="296">
        <v>110.75</v>
      </c>
      <c r="L710" s="296">
        <v>33.225000000000001</v>
      </c>
      <c r="M710" s="296">
        <v>115</v>
      </c>
      <c r="N710" s="297">
        <v>0.57499999999999996</v>
      </c>
    </row>
    <row r="711" spans="1:14" ht="18" customHeight="1">
      <c r="A711" s="293" t="s">
        <v>2313</v>
      </c>
      <c r="B711" s="294">
        <v>46123</v>
      </c>
      <c r="C711" s="286" t="s">
        <v>354</v>
      </c>
      <c r="D711" s="286" t="s">
        <v>109</v>
      </c>
      <c r="E711" s="295">
        <v>2</v>
      </c>
      <c r="F711" s="295">
        <v>4</v>
      </c>
      <c r="G711" s="296">
        <v>0</v>
      </c>
      <c r="H711" s="296">
        <v>812</v>
      </c>
      <c r="I711" s="296">
        <v>465</v>
      </c>
      <c r="J711" s="296">
        <v>488.25</v>
      </c>
      <c r="K711" s="296">
        <v>323.75</v>
      </c>
      <c r="L711" s="296">
        <v>97.125</v>
      </c>
      <c r="M711" s="296">
        <v>347</v>
      </c>
      <c r="N711" s="297">
        <v>0.42733990147783252</v>
      </c>
    </row>
    <row r="712" spans="1:14" ht="18" customHeight="1">
      <c r="A712" s="293" t="s">
        <v>2314</v>
      </c>
      <c r="B712" s="294">
        <v>46123</v>
      </c>
      <c r="C712" s="286" t="s">
        <v>353</v>
      </c>
      <c r="D712" s="286" t="s">
        <v>103</v>
      </c>
      <c r="E712" s="295">
        <v>2</v>
      </c>
      <c r="F712" s="295">
        <v>2</v>
      </c>
      <c r="G712" s="296">
        <v>0</v>
      </c>
      <c r="H712" s="296">
        <v>2380</v>
      </c>
      <c r="I712" s="296">
        <v>1820</v>
      </c>
      <c r="J712" s="296">
        <v>1911</v>
      </c>
      <c r="K712" s="296">
        <v>469</v>
      </c>
      <c r="L712" s="296">
        <v>140.69999999999999</v>
      </c>
      <c r="M712" s="296">
        <v>560</v>
      </c>
      <c r="N712" s="297">
        <v>0.23529411764705882</v>
      </c>
    </row>
    <row r="713" spans="1:14" ht="18" customHeight="1">
      <c r="A713" s="293" t="s">
        <v>2315</v>
      </c>
      <c r="B713" s="294">
        <v>46123</v>
      </c>
      <c r="C713" s="286" t="s">
        <v>353</v>
      </c>
      <c r="D713" s="286" t="s">
        <v>94</v>
      </c>
      <c r="E713" s="295">
        <v>7</v>
      </c>
      <c r="F713" s="295">
        <v>21</v>
      </c>
      <c r="G713" s="296">
        <v>0</v>
      </c>
      <c r="H713" s="296">
        <v>5370</v>
      </c>
      <c r="I713" s="296">
        <v>2340</v>
      </c>
      <c r="J713" s="296">
        <v>2457</v>
      </c>
      <c r="K713" s="296">
        <v>2913</v>
      </c>
      <c r="L713" s="296">
        <v>873.89999999999986</v>
      </c>
      <c r="M713" s="296">
        <v>3030</v>
      </c>
      <c r="N713" s="297">
        <v>0.56424581005586594</v>
      </c>
    </row>
    <row r="714" spans="1:14" ht="18" customHeight="1">
      <c r="A714" s="293" t="s">
        <v>2316</v>
      </c>
      <c r="B714" s="294">
        <v>46123</v>
      </c>
      <c r="C714" s="286" t="s">
        <v>3773</v>
      </c>
      <c r="D714" s="286" t="s">
        <v>116</v>
      </c>
      <c r="E714" s="295">
        <v>3</v>
      </c>
      <c r="F714" s="295">
        <v>3</v>
      </c>
      <c r="G714" s="296">
        <v>0</v>
      </c>
      <c r="H714" s="296">
        <v>1473</v>
      </c>
      <c r="I714" s="296">
        <v>850</v>
      </c>
      <c r="J714" s="296">
        <v>892.5</v>
      </c>
      <c r="K714" s="296">
        <v>580.5</v>
      </c>
      <c r="L714" s="296">
        <v>174.14999999999998</v>
      </c>
      <c r="M714" s="296">
        <v>623</v>
      </c>
      <c r="N714" s="297">
        <v>0.42294636795655127</v>
      </c>
    </row>
    <row r="715" spans="1:14" ht="18" customHeight="1">
      <c r="A715" s="293" t="s">
        <v>2317</v>
      </c>
      <c r="B715" s="294">
        <v>46123</v>
      </c>
      <c r="C715" s="286" t="s">
        <v>168</v>
      </c>
      <c r="D715" s="286" t="s">
        <v>178</v>
      </c>
      <c r="E715" s="295">
        <v>1</v>
      </c>
      <c r="F715" s="295">
        <v>1</v>
      </c>
      <c r="G715" s="296">
        <v>0</v>
      </c>
      <c r="H715" s="296">
        <v>1830</v>
      </c>
      <c r="I715" s="296">
        <v>1380</v>
      </c>
      <c r="J715" s="296">
        <v>1449</v>
      </c>
      <c r="K715" s="296">
        <v>381</v>
      </c>
      <c r="L715" s="296">
        <v>0</v>
      </c>
      <c r="M715" s="296">
        <v>450</v>
      </c>
      <c r="N715" s="297">
        <v>0.24590163934426229</v>
      </c>
    </row>
    <row r="716" spans="1:14" ht="18" customHeight="1">
      <c r="A716" s="293" t="s">
        <v>2318</v>
      </c>
      <c r="B716" s="294">
        <v>46123</v>
      </c>
      <c r="C716" s="286" t="s">
        <v>168</v>
      </c>
      <c r="D716" s="286" t="s">
        <v>96</v>
      </c>
      <c r="E716" s="295">
        <v>3</v>
      </c>
      <c r="F716" s="295">
        <v>4</v>
      </c>
      <c r="G716" s="296">
        <v>0</v>
      </c>
      <c r="H716" s="296">
        <v>688</v>
      </c>
      <c r="I716" s="296">
        <v>290</v>
      </c>
      <c r="J716" s="296">
        <v>304.5</v>
      </c>
      <c r="K716" s="296">
        <v>383.5</v>
      </c>
      <c r="L716" s="296">
        <v>0</v>
      </c>
      <c r="M716" s="296">
        <v>398</v>
      </c>
      <c r="N716" s="297">
        <v>0.57848837209302328</v>
      </c>
    </row>
    <row r="717" spans="1:14" ht="18" customHeight="1">
      <c r="A717" s="293" t="s">
        <v>2319</v>
      </c>
      <c r="B717" s="294">
        <v>46123</v>
      </c>
      <c r="C717" s="286" t="s">
        <v>168</v>
      </c>
      <c r="D717" s="286" t="s">
        <v>129</v>
      </c>
      <c r="E717" s="295">
        <v>9</v>
      </c>
      <c r="F717" s="295">
        <v>19.399999999999999</v>
      </c>
      <c r="G717" s="296">
        <v>0</v>
      </c>
      <c r="H717" s="296">
        <v>3063</v>
      </c>
      <c r="I717" s="296">
        <v>1717.6000000000001</v>
      </c>
      <c r="J717" s="296">
        <v>1774.308</v>
      </c>
      <c r="K717" s="296">
        <v>1288.692</v>
      </c>
      <c r="L717" s="296">
        <v>0</v>
      </c>
      <c r="M717" s="296">
        <v>1345.3999999999999</v>
      </c>
      <c r="N717" s="297">
        <v>0.43924257264120137</v>
      </c>
    </row>
    <row r="718" spans="1:14" ht="18" customHeight="1">
      <c r="A718" s="293" t="s">
        <v>2320</v>
      </c>
      <c r="B718" s="294">
        <v>46123</v>
      </c>
      <c r="C718" s="286" t="s">
        <v>168</v>
      </c>
      <c r="D718" s="286" t="s">
        <v>97</v>
      </c>
      <c r="E718" s="295">
        <v>8</v>
      </c>
      <c r="F718" s="295">
        <v>8</v>
      </c>
      <c r="G718" s="296">
        <v>0</v>
      </c>
      <c r="H718" s="296">
        <v>7505</v>
      </c>
      <c r="I718" s="296">
        <v>3850</v>
      </c>
      <c r="J718" s="296">
        <v>4042.5</v>
      </c>
      <c r="K718" s="296">
        <v>3462.5</v>
      </c>
      <c r="L718" s="296">
        <v>0</v>
      </c>
      <c r="M718" s="296">
        <v>3655</v>
      </c>
      <c r="N718" s="297">
        <v>0.4870086608927382</v>
      </c>
    </row>
    <row r="719" spans="1:14" ht="18" customHeight="1">
      <c r="A719" s="293" t="s">
        <v>2321</v>
      </c>
      <c r="B719" s="294">
        <v>46123</v>
      </c>
      <c r="C719" s="286" t="s">
        <v>168</v>
      </c>
      <c r="D719" s="286" t="s">
        <v>123</v>
      </c>
      <c r="E719" s="295">
        <v>1</v>
      </c>
      <c r="F719" s="295">
        <v>1</v>
      </c>
      <c r="G719" s="296">
        <v>0</v>
      </c>
      <c r="H719" s="296">
        <v>2200</v>
      </c>
      <c r="I719" s="296">
        <v>1500</v>
      </c>
      <c r="J719" s="296">
        <v>1575</v>
      </c>
      <c r="K719" s="296">
        <v>625</v>
      </c>
      <c r="L719" s="296">
        <v>0</v>
      </c>
      <c r="M719" s="296">
        <v>700</v>
      </c>
      <c r="N719" s="297">
        <v>0.31818181818181818</v>
      </c>
    </row>
    <row r="720" spans="1:14" ht="18" customHeight="1">
      <c r="A720" s="293" t="s">
        <v>2322</v>
      </c>
      <c r="B720" s="294">
        <v>46123</v>
      </c>
      <c r="C720" s="286" t="s">
        <v>168</v>
      </c>
      <c r="D720" s="286" t="s">
        <v>185</v>
      </c>
      <c r="E720" s="295">
        <v>7</v>
      </c>
      <c r="F720" s="295">
        <v>21.4</v>
      </c>
      <c r="G720" s="296">
        <v>0</v>
      </c>
      <c r="H720" s="296">
        <v>2580</v>
      </c>
      <c r="I720" s="296">
        <v>1462.2</v>
      </c>
      <c r="J720" s="296">
        <v>1512.366</v>
      </c>
      <c r="K720" s="296">
        <v>1067.634</v>
      </c>
      <c r="L720" s="296">
        <v>0</v>
      </c>
      <c r="M720" s="296">
        <v>1117.8</v>
      </c>
      <c r="N720" s="297">
        <v>0.43325581395348833</v>
      </c>
    </row>
    <row r="721" spans="1:14" ht="18" customHeight="1">
      <c r="A721" s="293" t="s">
        <v>2323</v>
      </c>
      <c r="B721" s="294">
        <v>46125</v>
      </c>
      <c r="C721" s="286" t="s">
        <v>168</v>
      </c>
      <c r="D721" s="286" t="s">
        <v>120</v>
      </c>
      <c r="E721" s="295">
        <v>1</v>
      </c>
      <c r="F721" s="295">
        <v>1</v>
      </c>
      <c r="G721" s="296">
        <v>0</v>
      </c>
      <c r="H721" s="296">
        <v>2000</v>
      </c>
      <c r="I721" s="296">
        <v>1350</v>
      </c>
      <c r="J721" s="296">
        <v>1417.5</v>
      </c>
      <c r="K721" s="296">
        <v>582.5</v>
      </c>
      <c r="L721" s="296">
        <v>0</v>
      </c>
      <c r="M721" s="296">
        <v>650</v>
      </c>
      <c r="N721" s="297">
        <v>0.32500000000000001</v>
      </c>
    </row>
    <row r="722" spans="1:14" ht="18" customHeight="1">
      <c r="A722" s="293" t="s">
        <v>2324</v>
      </c>
      <c r="B722" s="294">
        <v>46125</v>
      </c>
      <c r="C722" s="286" t="s">
        <v>168</v>
      </c>
      <c r="D722" s="286" t="s">
        <v>92</v>
      </c>
      <c r="E722" s="295">
        <v>1</v>
      </c>
      <c r="F722" s="295">
        <v>1</v>
      </c>
      <c r="G722" s="296">
        <v>0</v>
      </c>
      <c r="H722" s="296">
        <v>2100</v>
      </c>
      <c r="I722" s="296">
        <v>1400</v>
      </c>
      <c r="J722" s="296">
        <v>1470</v>
      </c>
      <c r="K722" s="296">
        <v>630</v>
      </c>
      <c r="L722" s="296">
        <v>0</v>
      </c>
      <c r="M722" s="296">
        <v>700</v>
      </c>
      <c r="N722" s="297">
        <v>0.33333333333333331</v>
      </c>
    </row>
    <row r="723" spans="1:14" ht="18" customHeight="1">
      <c r="A723" s="293" t="s">
        <v>2325</v>
      </c>
      <c r="B723" s="294">
        <v>46125</v>
      </c>
      <c r="C723" s="286" t="s">
        <v>353</v>
      </c>
      <c r="D723" s="286" t="s">
        <v>94</v>
      </c>
      <c r="E723" s="295">
        <v>1</v>
      </c>
      <c r="F723" s="295">
        <v>1</v>
      </c>
      <c r="G723" s="296">
        <v>0</v>
      </c>
      <c r="H723" s="296">
        <v>1700</v>
      </c>
      <c r="I723" s="296">
        <v>1100</v>
      </c>
      <c r="J723" s="296">
        <v>1155</v>
      </c>
      <c r="K723" s="296">
        <v>545</v>
      </c>
      <c r="L723" s="296">
        <v>163.5</v>
      </c>
      <c r="M723" s="296">
        <v>600</v>
      </c>
      <c r="N723" s="297">
        <v>0.35294117647058826</v>
      </c>
    </row>
    <row r="724" spans="1:14" ht="18" customHeight="1">
      <c r="A724" s="293" t="s">
        <v>2326</v>
      </c>
      <c r="B724" s="294">
        <v>46125</v>
      </c>
      <c r="C724" s="286" t="s">
        <v>168</v>
      </c>
      <c r="D724" s="286" t="s">
        <v>186</v>
      </c>
      <c r="E724" s="295">
        <v>1</v>
      </c>
      <c r="F724" s="295">
        <v>1</v>
      </c>
      <c r="G724" s="296">
        <v>0</v>
      </c>
      <c r="H724" s="296">
        <v>370</v>
      </c>
      <c r="I724" s="296">
        <v>330</v>
      </c>
      <c r="J724" s="296">
        <v>339.90000000000003</v>
      </c>
      <c r="K724" s="296">
        <v>30.099999999999966</v>
      </c>
      <c r="L724" s="296">
        <v>0</v>
      </c>
      <c r="M724" s="296">
        <v>40</v>
      </c>
      <c r="N724" s="297">
        <v>0.10810810810810811</v>
      </c>
    </row>
    <row r="725" spans="1:14" ht="18" customHeight="1">
      <c r="A725" s="293" t="s">
        <v>2327</v>
      </c>
      <c r="B725" s="294">
        <v>46125</v>
      </c>
      <c r="C725" s="286" t="s">
        <v>358</v>
      </c>
      <c r="D725" s="286" t="s">
        <v>98</v>
      </c>
      <c r="E725" s="295">
        <v>1</v>
      </c>
      <c r="F725" s="295">
        <v>1</v>
      </c>
      <c r="G725" s="296">
        <v>0</v>
      </c>
      <c r="H725" s="296">
        <v>8300</v>
      </c>
      <c r="I725" s="296">
        <v>7684</v>
      </c>
      <c r="J725" s="296">
        <v>8068.2000000000007</v>
      </c>
      <c r="K725" s="296">
        <v>231.79999999999927</v>
      </c>
      <c r="L725" s="296">
        <v>69.539999999999779</v>
      </c>
      <c r="M725" s="296">
        <v>616</v>
      </c>
      <c r="N725" s="297">
        <v>7.4216867469879516E-2</v>
      </c>
    </row>
    <row r="726" spans="1:14" ht="18" customHeight="1">
      <c r="A726" s="293" t="s">
        <v>2328</v>
      </c>
      <c r="B726" s="294">
        <v>46125</v>
      </c>
      <c r="C726" s="286" t="s">
        <v>168</v>
      </c>
      <c r="D726" s="286" t="s">
        <v>99</v>
      </c>
      <c r="E726" s="295">
        <v>4</v>
      </c>
      <c r="F726" s="295">
        <v>9</v>
      </c>
      <c r="G726" s="296">
        <v>0</v>
      </c>
      <c r="H726" s="296">
        <v>930</v>
      </c>
      <c r="I726" s="296">
        <v>415</v>
      </c>
      <c r="J726" s="296">
        <v>432.05</v>
      </c>
      <c r="K726" s="296">
        <v>497.95</v>
      </c>
      <c r="L726" s="296">
        <v>0</v>
      </c>
      <c r="M726" s="296">
        <v>515</v>
      </c>
      <c r="N726" s="297">
        <v>0.55376344086021501</v>
      </c>
    </row>
    <row r="727" spans="1:14" ht="18" customHeight="1">
      <c r="A727" s="293" t="s">
        <v>2329</v>
      </c>
      <c r="B727" s="294">
        <v>46126</v>
      </c>
      <c r="C727" s="286" t="s">
        <v>168</v>
      </c>
      <c r="D727" s="286" t="s">
        <v>187</v>
      </c>
      <c r="E727" s="295">
        <v>1</v>
      </c>
      <c r="F727" s="295">
        <v>1</v>
      </c>
      <c r="G727" s="296">
        <v>0</v>
      </c>
      <c r="H727" s="296">
        <v>2500</v>
      </c>
      <c r="I727" s="296">
        <v>1500</v>
      </c>
      <c r="J727" s="296">
        <v>1575</v>
      </c>
      <c r="K727" s="296">
        <v>925</v>
      </c>
      <c r="L727" s="296">
        <v>0</v>
      </c>
      <c r="M727" s="296">
        <v>1000</v>
      </c>
      <c r="N727" s="297">
        <v>0.4</v>
      </c>
    </row>
    <row r="728" spans="1:14" ht="18" customHeight="1">
      <c r="A728" s="293" t="s">
        <v>2330</v>
      </c>
      <c r="B728" s="294">
        <v>46126</v>
      </c>
      <c r="C728" s="286" t="s">
        <v>3773</v>
      </c>
      <c r="D728" s="286" t="s">
        <v>102</v>
      </c>
      <c r="E728" s="295">
        <v>6</v>
      </c>
      <c r="F728" s="295">
        <v>6</v>
      </c>
      <c r="G728" s="296">
        <v>0</v>
      </c>
      <c r="H728" s="296">
        <v>1830</v>
      </c>
      <c r="I728" s="296">
        <v>778</v>
      </c>
      <c r="J728" s="296">
        <v>816.89999999999986</v>
      </c>
      <c r="K728" s="296">
        <v>1013.1000000000001</v>
      </c>
      <c r="L728" s="296">
        <v>303.92999999999989</v>
      </c>
      <c r="M728" s="296">
        <v>1052</v>
      </c>
      <c r="N728" s="297">
        <v>0.57486338797814207</v>
      </c>
    </row>
    <row r="729" spans="1:14" ht="18" customHeight="1">
      <c r="A729" s="293" t="s">
        <v>2331</v>
      </c>
      <c r="B729" s="294">
        <v>46126</v>
      </c>
      <c r="C729" s="286" t="s">
        <v>168</v>
      </c>
      <c r="D729" s="286" t="s">
        <v>184</v>
      </c>
      <c r="E729" s="295">
        <v>2</v>
      </c>
      <c r="F729" s="295">
        <v>3</v>
      </c>
      <c r="G729" s="296">
        <v>0</v>
      </c>
      <c r="H729" s="296">
        <v>3020</v>
      </c>
      <c r="I729" s="296">
        <v>1750</v>
      </c>
      <c r="J729" s="296">
        <v>1832.5</v>
      </c>
      <c r="K729" s="296">
        <v>1187.5</v>
      </c>
      <c r="L729" s="296">
        <v>0</v>
      </c>
      <c r="M729" s="296">
        <v>1270</v>
      </c>
      <c r="N729" s="297">
        <v>0.42052980132450329</v>
      </c>
    </row>
    <row r="730" spans="1:14" ht="18" customHeight="1">
      <c r="A730" s="293" t="s">
        <v>2332</v>
      </c>
      <c r="B730" s="294">
        <v>46126</v>
      </c>
      <c r="C730" s="286" t="s">
        <v>353</v>
      </c>
      <c r="D730" s="286" t="s">
        <v>108</v>
      </c>
      <c r="E730" s="295">
        <v>1</v>
      </c>
      <c r="F730" s="295">
        <v>1</v>
      </c>
      <c r="G730" s="296">
        <v>0</v>
      </c>
      <c r="H730" s="296">
        <v>1786</v>
      </c>
      <c r="I730" s="296">
        <v>800</v>
      </c>
      <c r="J730" s="296">
        <v>840</v>
      </c>
      <c r="K730" s="296">
        <v>946</v>
      </c>
      <c r="L730" s="296">
        <v>283.8</v>
      </c>
      <c r="M730" s="296">
        <v>986</v>
      </c>
      <c r="N730" s="297">
        <v>0.55207166853303469</v>
      </c>
    </row>
    <row r="731" spans="1:14" ht="18" customHeight="1">
      <c r="A731" s="293" t="s">
        <v>2333</v>
      </c>
      <c r="B731" s="294">
        <v>46126</v>
      </c>
      <c r="C731" s="286" t="s">
        <v>168</v>
      </c>
      <c r="D731" s="286" t="s">
        <v>113</v>
      </c>
      <c r="E731" s="295">
        <v>1</v>
      </c>
      <c r="F731" s="295">
        <v>4</v>
      </c>
      <c r="G731" s="296">
        <v>0</v>
      </c>
      <c r="H731" s="296">
        <v>100</v>
      </c>
      <c r="I731" s="296">
        <v>36</v>
      </c>
      <c r="J731" s="296">
        <v>37.800000000000004</v>
      </c>
      <c r="K731" s="296">
        <v>62.199999999999996</v>
      </c>
      <c r="L731" s="296">
        <v>0</v>
      </c>
      <c r="M731" s="296">
        <v>64</v>
      </c>
      <c r="N731" s="297">
        <v>0.64</v>
      </c>
    </row>
    <row r="732" spans="1:14" ht="18" customHeight="1">
      <c r="A732" s="293" t="s">
        <v>2334</v>
      </c>
      <c r="B732" s="294">
        <v>46126</v>
      </c>
      <c r="C732" s="286" t="s">
        <v>168</v>
      </c>
      <c r="D732" s="286" t="s">
        <v>92</v>
      </c>
      <c r="E732" s="295">
        <v>1</v>
      </c>
      <c r="F732" s="295">
        <v>1</v>
      </c>
      <c r="G732" s="296">
        <v>0</v>
      </c>
      <c r="H732" s="296">
        <v>1900</v>
      </c>
      <c r="I732" s="296">
        <v>1300</v>
      </c>
      <c r="J732" s="296">
        <v>1365</v>
      </c>
      <c r="K732" s="296">
        <v>535</v>
      </c>
      <c r="L732" s="296">
        <v>0</v>
      </c>
      <c r="M732" s="296">
        <v>600</v>
      </c>
      <c r="N732" s="297">
        <v>0.31578947368421051</v>
      </c>
    </row>
    <row r="733" spans="1:14" ht="18" customHeight="1">
      <c r="A733" s="293" t="s">
        <v>2335</v>
      </c>
      <c r="B733" s="294">
        <v>46126</v>
      </c>
      <c r="C733" s="286" t="s">
        <v>354</v>
      </c>
      <c r="D733" s="286" t="s">
        <v>109</v>
      </c>
      <c r="E733" s="295">
        <v>1</v>
      </c>
      <c r="F733" s="295">
        <v>1</v>
      </c>
      <c r="G733" s="296">
        <v>0</v>
      </c>
      <c r="H733" s="296">
        <v>1786</v>
      </c>
      <c r="I733" s="296">
        <v>1300</v>
      </c>
      <c r="J733" s="296">
        <v>1365</v>
      </c>
      <c r="K733" s="296">
        <v>421</v>
      </c>
      <c r="L733" s="296">
        <v>126.3</v>
      </c>
      <c r="M733" s="296">
        <v>486</v>
      </c>
      <c r="N733" s="297">
        <v>0.27211646136618139</v>
      </c>
    </row>
    <row r="734" spans="1:14" ht="18" customHeight="1">
      <c r="A734" s="293" t="s">
        <v>2336</v>
      </c>
      <c r="B734" s="294">
        <v>46126</v>
      </c>
      <c r="C734" s="286" t="s">
        <v>353</v>
      </c>
      <c r="D734" s="286" t="s">
        <v>94</v>
      </c>
      <c r="E734" s="295">
        <v>2</v>
      </c>
      <c r="F734" s="295">
        <v>2</v>
      </c>
      <c r="G734" s="296">
        <v>0</v>
      </c>
      <c r="H734" s="296">
        <v>2178</v>
      </c>
      <c r="I734" s="296">
        <v>1460</v>
      </c>
      <c r="J734" s="296">
        <v>1533</v>
      </c>
      <c r="K734" s="296">
        <v>645</v>
      </c>
      <c r="L734" s="296">
        <v>193.5</v>
      </c>
      <c r="M734" s="296">
        <v>718</v>
      </c>
      <c r="N734" s="297">
        <v>0.32966023875114786</v>
      </c>
    </row>
    <row r="735" spans="1:14" ht="18" customHeight="1">
      <c r="A735" s="293" t="s">
        <v>2337</v>
      </c>
      <c r="B735" s="294">
        <v>46126</v>
      </c>
      <c r="C735" s="286" t="s">
        <v>168</v>
      </c>
      <c r="D735" s="286" t="s">
        <v>178</v>
      </c>
      <c r="E735" s="295">
        <v>1</v>
      </c>
      <c r="F735" s="295">
        <v>1</v>
      </c>
      <c r="G735" s="296">
        <v>0</v>
      </c>
      <c r="H735" s="296">
        <v>2000</v>
      </c>
      <c r="I735" s="296">
        <v>1300</v>
      </c>
      <c r="J735" s="296">
        <v>1365</v>
      </c>
      <c r="K735" s="296">
        <v>635</v>
      </c>
      <c r="L735" s="296">
        <v>0</v>
      </c>
      <c r="M735" s="296">
        <v>700</v>
      </c>
      <c r="N735" s="297">
        <v>0.35</v>
      </c>
    </row>
    <row r="736" spans="1:14" ht="18" customHeight="1">
      <c r="A736" s="293" t="s">
        <v>2338</v>
      </c>
      <c r="B736" s="294">
        <v>46126</v>
      </c>
      <c r="C736" s="286" t="s">
        <v>168</v>
      </c>
      <c r="D736" s="286" t="s">
        <v>96</v>
      </c>
      <c r="E736" s="295">
        <v>1</v>
      </c>
      <c r="F736" s="295">
        <v>1</v>
      </c>
      <c r="G736" s="296">
        <v>0</v>
      </c>
      <c r="H736" s="296">
        <v>2100</v>
      </c>
      <c r="I736" s="296">
        <v>1350</v>
      </c>
      <c r="J736" s="296">
        <v>1417.5</v>
      </c>
      <c r="K736" s="296">
        <v>682.5</v>
      </c>
      <c r="L736" s="296">
        <v>0</v>
      </c>
      <c r="M736" s="296">
        <v>750</v>
      </c>
      <c r="N736" s="297">
        <v>0.35714285714285715</v>
      </c>
    </row>
    <row r="737" spans="1:14" ht="18" customHeight="1">
      <c r="A737" s="293" t="s">
        <v>2339</v>
      </c>
      <c r="B737" s="294">
        <v>46126</v>
      </c>
      <c r="C737" s="286" t="s">
        <v>168</v>
      </c>
      <c r="D737" s="286" t="s">
        <v>115</v>
      </c>
      <c r="E737" s="295">
        <v>1</v>
      </c>
      <c r="F737" s="295">
        <v>1</v>
      </c>
      <c r="G737" s="296">
        <v>0</v>
      </c>
      <c r="H737" s="296">
        <v>2000</v>
      </c>
      <c r="I737" s="296">
        <v>900</v>
      </c>
      <c r="J737" s="296">
        <v>945</v>
      </c>
      <c r="K737" s="296">
        <v>1055</v>
      </c>
      <c r="L737" s="296">
        <v>0</v>
      </c>
      <c r="M737" s="296">
        <v>1100</v>
      </c>
      <c r="N737" s="297">
        <v>0.55000000000000004</v>
      </c>
    </row>
    <row r="738" spans="1:14" ht="18" customHeight="1">
      <c r="A738" s="293" t="s">
        <v>2340</v>
      </c>
      <c r="B738" s="294">
        <v>46126</v>
      </c>
      <c r="C738" s="286" t="s">
        <v>168</v>
      </c>
      <c r="D738" s="286" t="s">
        <v>124</v>
      </c>
      <c r="E738" s="295">
        <v>3</v>
      </c>
      <c r="F738" s="295">
        <v>3</v>
      </c>
      <c r="G738" s="296">
        <v>0</v>
      </c>
      <c r="H738" s="296">
        <v>3450</v>
      </c>
      <c r="I738" s="296">
        <v>1680</v>
      </c>
      <c r="J738" s="296">
        <v>1764</v>
      </c>
      <c r="K738" s="296">
        <v>1686</v>
      </c>
      <c r="L738" s="296">
        <v>0</v>
      </c>
      <c r="M738" s="296">
        <v>1770</v>
      </c>
      <c r="N738" s="297">
        <v>0.5130434782608696</v>
      </c>
    </row>
    <row r="739" spans="1:14" ht="18" customHeight="1">
      <c r="A739" s="293" t="s">
        <v>2341</v>
      </c>
      <c r="B739" s="294">
        <v>46126</v>
      </c>
      <c r="C739" s="286" t="s">
        <v>168</v>
      </c>
      <c r="D739" s="286" t="s">
        <v>99</v>
      </c>
      <c r="E739" s="295">
        <v>8</v>
      </c>
      <c r="F739" s="295">
        <v>10.4</v>
      </c>
      <c r="G739" s="296">
        <v>0</v>
      </c>
      <c r="H739" s="296">
        <v>3205</v>
      </c>
      <c r="I739" s="296">
        <v>1460.7</v>
      </c>
      <c r="J739" s="296">
        <v>1523.7210000000002</v>
      </c>
      <c r="K739" s="296">
        <v>1681.2789999999998</v>
      </c>
      <c r="L739" s="296">
        <v>0</v>
      </c>
      <c r="M739" s="296">
        <v>1744.3</v>
      </c>
      <c r="N739" s="297">
        <v>0.54424336973478937</v>
      </c>
    </row>
    <row r="740" spans="1:14" ht="18" customHeight="1">
      <c r="A740" s="293" t="s">
        <v>2342</v>
      </c>
      <c r="B740" s="294">
        <v>46127</v>
      </c>
      <c r="C740" s="286" t="s">
        <v>168</v>
      </c>
      <c r="D740" s="286" t="s">
        <v>188</v>
      </c>
      <c r="E740" s="295">
        <v>2</v>
      </c>
      <c r="F740" s="295">
        <v>3</v>
      </c>
      <c r="G740" s="296">
        <v>0</v>
      </c>
      <c r="H740" s="296">
        <v>900</v>
      </c>
      <c r="I740" s="296">
        <v>630</v>
      </c>
      <c r="J740" s="296">
        <v>658.5</v>
      </c>
      <c r="K740" s="296">
        <v>241.5</v>
      </c>
      <c r="L740" s="296">
        <v>0</v>
      </c>
      <c r="M740" s="296">
        <v>270</v>
      </c>
      <c r="N740" s="297">
        <v>0.3</v>
      </c>
    </row>
    <row r="741" spans="1:14" ht="18" customHeight="1">
      <c r="A741" s="293" t="s">
        <v>2343</v>
      </c>
      <c r="B741" s="294">
        <v>46127</v>
      </c>
      <c r="C741" s="286" t="s">
        <v>358</v>
      </c>
      <c r="D741" s="286" t="s">
        <v>189</v>
      </c>
      <c r="E741" s="295">
        <v>32</v>
      </c>
      <c r="F741" s="295">
        <v>149</v>
      </c>
      <c r="G741" s="296">
        <v>0</v>
      </c>
      <c r="H741" s="296">
        <v>83899</v>
      </c>
      <c r="I741" s="296">
        <v>62644</v>
      </c>
      <c r="J741" s="296">
        <v>65769.600000000006</v>
      </c>
      <c r="K741" s="296">
        <v>18129.399999999998</v>
      </c>
      <c r="L741" s="296">
        <v>5438.8199999999988</v>
      </c>
      <c r="M741" s="296">
        <v>21255</v>
      </c>
      <c r="N741" s="297">
        <v>0.25334032586800798</v>
      </c>
    </row>
    <row r="742" spans="1:14" ht="18" customHeight="1">
      <c r="A742" s="293" t="s">
        <v>2344</v>
      </c>
      <c r="B742" s="294">
        <v>46127</v>
      </c>
      <c r="C742" s="286" t="s">
        <v>352</v>
      </c>
      <c r="D742" s="286" t="s">
        <v>190</v>
      </c>
      <c r="E742" s="295">
        <v>1</v>
      </c>
      <c r="F742" s="295">
        <v>1</v>
      </c>
      <c r="G742" s="296">
        <v>0</v>
      </c>
      <c r="H742" s="296">
        <v>2500</v>
      </c>
      <c r="I742" s="296">
        <v>1500</v>
      </c>
      <c r="J742" s="296">
        <v>1575</v>
      </c>
      <c r="K742" s="296">
        <v>925</v>
      </c>
      <c r="L742" s="296">
        <v>277.5</v>
      </c>
      <c r="M742" s="296">
        <v>1000</v>
      </c>
      <c r="N742" s="297">
        <v>0.4</v>
      </c>
    </row>
    <row r="743" spans="1:14" ht="18" customHeight="1">
      <c r="A743" s="293" t="s">
        <v>2345</v>
      </c>
      <c r="B743" s="294">
        <v>46127</v>
      </c>
      <c r="C743" s="286" t="s">
        <v>168</v>
      </c>
      <c r="D743" s="286" t="s">
        <v>120</v>
      </c>
      <c r="E743" s="295">
        <v>1</v>
      </c>
      <c r="F743" s="295">
        <v>1</v>
      </c>
      <c r="G743" s="296">
        <v>0</v>
      </c>
      <c r="H743" s="296">
        <v>8300</v>
      </c>
      <c r="I743" s="296">
        <v>0</v>
      </c>
      <c r="J743" s="296">
        <v>0</v>
      </c>
      <c r="K743" s="296">
        <v>8300</v>
      </c>
      <c r="L743" s="296">
        <v>0</v>
      </c>
      <c r="M743" s="296">
        <v>8300</v>
      </c>
      <c r="N743" s="297">
        <v>1</v>
      </c>
    </row>
    <row r="744" spans="1:14" ht="18" customHeight="1">
      <c r="A744" s="293" t="s">
        <v>2346</v>
      </c>
      <c r="B744" s="294">
        <v>46127</v>
      </c>
      <c r="C744" s="286" t="s">
        <v>168</v>
      </c>
      <c r="D744" s="286" t="s">
        <v>112</v>
      </c>
      <c r="E744" s="295">
        <v>3</v>
      </c>
      <c r="F744" s="295">
        <v>4</v>
      </c>
      <c r="G744" s="296">
        <v>0</v>
      </c>
      <c r="H744" s="296">
        <v>450</v>
      </c>
      <c r="I744" s="296">
        <v>187</v>
      </c>
      <c r="J744" s="296">
        <v>195.35</v>
      </c>
      <c r="K744" s="296">
        <v>254.65</v>
      </c>
      <c r="L744" s="296">
        <v>0</v>
      </c>
      <c r="M744" s="296">
        <v>263</v>
      </c>
      <c r="N744" s="297">
        <v>0.58444444444444443</v>
      </c>
    </row>
    <row r="745" spans="1:14" ht="18" customHeight="1">
      <c r="A745" s="293" t="s">
        <v>2347</v>
      </c>
      <c r="B745" s="294">
        <v>46127</v>
      </c>
      <c r="C745" s="286" t="s">
        <v>168</v>
      </c>
      <c r="D745" s="286" t="s">
        <v>121</v>
      </c>
      <c r="E745" s="295">
        <v>1</v>
      </c>
      <c r="F745" s="295">
        <v>1</v>
      </c>
      <c r="G745" s="296">
        <v>0</v>
      </c>
      <c r="H745" s="296">
        <v>2100</v>
      </c>
      <c r="I745" s="296">
        <v>1450</v>
      </c>
      <c r="J745" s="296">
        <v>1522.5</v>
      </c>
      <c r="K745" s="296">
        <v>577.5</v>
      </c>
      <c r="L745" s="296">
        <v>0</v>
      </c>
      <c r="M745" s="296">
        <v>650</v>
      </c>
      <c r="N745" s="297">
        <v>0.30952380952380953</v>
      </c>
    </row>
    <row r="746" spans="1:14" ht="18" customHeight="1">
      <c r="A746" s="293" t="s">
        <v>2348</v>
      </c>
      <c r="B746" s="294">
        <v>46127</v>
      </c>
      <c r="C746" s="286" t="s">
        <v>353</v>
      </c>
      <c r="D746" s="286" t="s">
        <v>94</v>
      </c>
      <c r="E746" s="295">
        <v>1</v>
      </c>
      <c r="F746" s="295">
        <v>1</v>
      </c>
      <c r="G746" s="296">
        <v>0</v>
      </c>
      <c r="H746" s="296">
        <v>1900</v>
      </c>
      <c r="I746" s="296">
        <v>1350</v>
      </c>
      <c r="J746" s="296">
        <v>1417.5</v>
      </c>
      <c r="K746" s="296">
        <v>482.5</v>
      </c>
      <c r="L746" s="296">
        <v>144.75</v>
      </c>
      <c r="M746" s="296">
        <v>550</v>
      </c>
      <c r="N746" s="297">
        <v>0.28947368421052633</v>
      </c>
    </row>
    <row r="747" spans="1:14" ht="18" customHeight="1">
      <c r="A747" s="293" t="s">
        <v>2349</v>
      </c>
      <c r="B747" s="294">
        <v>46127</v>
      </c>
      <c r="C747" s="286" t="s">
        <v>3773</v>
      </c>
      <c r="D747" s="286" t="s">
        <v>116</v>
      </c>
      <c r="E747" s="295">
        <v>1</v>
      </c>
      <c r="F747" s="295">
        <v>1</v>
      </c>
      <c r="G747" s="296">
        <v>0</v>
      </c>
      <c r="H747" s="296">
        <v>2000</v>
      </c>
      <c r="I747" s="296">
        <v>1100</v>
      </c>
      <c r="J747" s="296">
        <v>1155</v>
      </c>
      <c r="K747" s="296">
        <v>845</v>
      </c>
      <c r="L747" s="296">
        <v>253.5</v>
      </c>
      <c r="M747" s="296">
        <v>900</v>
      </c>
      <c r="N747" s="297">
        <v>0.45</v>
      </c>
    </row>
    <row r="748" spans="1:14" ht="18" customHeight="1">
      <c r="A748" s="293" t="s">
        <v>2350</v>
      </c>
      <c r="B748" s="294">
        <v>46127</v>
      </c>
      <c r="C748" s="286" t="s">
        <v>168</v>
      </c>
      <c r="D748" s="286" t="s">
        <v>162</v>
      </c>
      <c r="E748" s="295">
        <v>1</v>
      </c>
      <c r="F748" s="295">
        <v>1</v>
      </c>
      <c r="G748" s="296">
        <v>0</v>
      </c>
      <c r="H748" s="296">
        <v>6700</v>
      </c>
      <c r="I748" s="296">
        <v>5014</v>
      </c>
      <c r="J748" s="296">
        <v>5264.7</v>
      </c>
      <c r="K748" s="296">
        <v>1435.3000000000002</v>
      </c>
      <c r="L748" s="296">
        <v>0</v>
      </c>
      <c r="M748" s="296">
        <v>1686</v>
      </c>
      <c r="N748" s="297">
        <v>0.25164179104477613</v>
      </c>
    </row>
    <row r="749" spans="1:14" ht="18" customHeight="1">
      <c r="A749" s="293" t="s">
        <v>2351</v>
      </c>
      <c r="B749" s="294">
        <v>46127</v>
      </c>
      <c r="C749" s="286" t="s">
        <v>168</v>
      </c>
      <c r="D749" s="286" t="s">
        <v>105</v>
      </c>
      <c r="E749" s="295">
        <v>2</v>
      </c>
      <c r="F749" s="295">
        <v>2</v>
      </c>
      <c r="G749" s="296">
        <v>0</v>
      </c>
      <c r="H749" s="296">
        <v>10500</v>
      </c>
      <c r="I749" s="296">
        <v>1500</v>
      </c>
      <c r="J749" s="296">
        <v>1575</v>
      </c>
      <c r="K749" s="296">
        <v>8925</v>
      </c>
      <c r="L749" s="296">
        <v>0</v>
      </c>
      <c r="M749" s="296">
        <v>9000</v>
      </c>
      <c r="N749" s="297">
        <v>0.8571428571428571</v>
      </c>
    </row>
    <row r="750" spans="1:14" ht="18" customHeight="1">
      <c r="A750" s="293" t="s">
        <v>2352</v>
      </c>
      <c r="B750" s="294">
        <v>46127</v>
      </c>
      <c r="C750" s="286" t="s">
        <v>168</v>
      </c>
      <c r="D750" s="286" t="s">
        <v>124</v>
      </c>
      <c r="E750" s="295">
        <v>1</v>
      </c>
      <c r="F750" s="295">
        <v>1</v>
      </c>
      <c r="G750" s="296">
        <v>0</v>
      </c>
      <c r="H750" s="296">
        <v>350</v>
      </c>
      <c r="I750" s="296">
        <v>85</v>
      </c>
      <c r="J750" s="296">
        <v>89.25</v>
      </c>
      <c r="K750" s="296">
        <v>260.75</v>
      </c>
      <c r="L750" s="296">
        <v>0</v>
      </c>
      <c r="M750" s="296">
        <v>265</v>
      </c>
      <c r="N750" s="297">
        <v>0.75714285714285712</v>
      </c>
    </row>
    <row r="751" spans="1:14" ht="18" customHeight="1">
      <c r="A751" s="293" t="s">
        <v>2353</v>
      </c>
      <c r="B751" s="294">
        <v>46127</v>
      </c>
      <c r="C751" s="286" t="s">
        <v>168</v>
      </c>
      <c r="D751" s="286" t="s">
        <v>117</v>
      </c>
      <c r="E751" s="295">
        <v>4</v>
      </c>
      <c r="F751" s="295">
        <v>14.2</v>
      </c>
      <c r="G751" s="296">
        <v>0</v>
      </c>
      <c r="H751" s="296">
        <v>1200</v>
      </c>
      <c r="I751" s="296">
        <v>347.7</v>
      </c>
      <c r="J751" s="296">
        <v>362.33100000000002</v>
      </c>
      <c r="K751" s="296">
        <v>837.66899999999998</v>
      </c>
      <c r="L751" s="296">
        <v>0</v>
      </c>
      <c r="M751" s="296">
        <v>852.3</v>
      </c>
      <c r="N751" s="297">
        <v>0.71024999999999994</v>
      </c>
    </row>
    <row r="752" spans="1:14" ht="18" customHeight="1">
      <c r="A752" s="293" t="s">
        <v>2354</v>
      </c>
      <c r="B752" s="294">
        <v>46127</v>
      </c>
      <c r="C752" s="286" t="s">
        <v>168</v>
      </c>
      <c r="D752" s="286" t="s">
        <v>99</v>
      </c>
      <c r="E752" s="295">
        <v>2</v>
      </c>
      <c r="F752" s="295">
        <v>7</v>
      </c>
      <c r="G752" s="296">
        <v>0</v>
      </c>
      <c r="H752" s="296">
        <v>860</v>
      </c>
      <c r="I752" s="296">
        <v>564</v>
      </c>
      <c r="J752" s="296">
        <v>590.52</v>
      </c>
      <c r="K752" s="296">
        <v>269.48</v>
      </c>
      <c r="L752" s="296">
        <v>0</v>
      </c>
      <c r="M752" s="296">
        <v>296</v>
      </c>
      <c r="N752" s="297">
        <v>0.34418604651162793</v>
      </c>
    </row>
    <row r="753" spans="1:14" ht="18" customHeight="1">
      <c r="A753" s="293" t="s">
        <v>2355</v>
      </c>
      <c r="B753" s="294">
        <v>46128</v>
      </c>
      <c r="C753" s="286" t="s">
        <v>168</v>
      </c>
      <c r="D753" s="286" t="s">
        <v>92</v>
      </c>
      <c r="E753" s="295">
        <v>1</v>
      </c>
      <c r="F753" s="295">
        <v>1</v>
      </c>
      <c r="G753" s="296">
        <v>0</v>
      </c>
      <c r="H753" s="296">
        <v>1875</v>
      </c>
      <c r="I753" s="296">
        <v>780</v>
      </c>
      <c r="J753" s="296">
        <v>819</v>
      </c>
      <c r="K753" s="296">
        <v>1056</v>
      </c>
      <c r="L753" s="296">
        <v>0</v>
      </c>
      <c r="M753" s="296">
        <v>1095</v>
      </c>
      <c r="N753" s="297">
        <v>0.58399999999999996</v>
      </c>
    </row>
    <row r="754" spans="1:14" ht="18" customHeight="1">
      <c r="A754" s="293" t="s">
        <v>2356</v>
      </c>
      <c r="B754" s="294">
        <v>46128</v>
      </c>
      <c r="C754" s="286" t="s">
        <v>353</v>
      </c>
      <c r="D754" s="286" t="s">
        <v>94</v>
      </c>
      <c r="E754" s="295">
        <v>1</v>
      </c>
      <c r="F754" s="295">
        <v>1</v>
      </c>
      <c r="G754" s="296">
        <v>0</v>
      </c>
      <c r="H754" s="296">
        <v>2000</v>
      </c>
      <c r="I754" s="296">
        <v>1450</v>
      </c>
      <c r="J754" s="296">
        <v>1522.5</v>
      </c>
      <c r="K754" s="296">
        <v>477.5</v>
      </c>
      <c r="L754" s="296">
        <v>143.25</v>
      </c>
      <c r="M754" s="296">
        <v>550</v>
      </c>
      <c r="N754" s="297">
        <v>0.27500000000000002</v>
      </c>
    </row>
    <row r="755" spans="1:14" ht="18" customHeight="1">
      <c r="A755" s="293" t="s">
        <v>2357</v>
      </c>
      <c r="B755" s="294">
        <v>46128</v>
      </c>
      <c r="C755" s="286" t="s">
        <v>3773</v>
      </c>
      <c r="D755" s="286" t="s">
        <v>116</v>
      </c>
      <c r="E755" s="295">
        <v>1</v>
      </c>
      <c r="F755" s="295">
        <v>1</v>
      </c>
      <c r="G755" s="296">
        <v>0</v>
      </c>
      <c r="H755" s="296">
        <v>1875</v>
      </c>
      <c r="I755" s="296">
        <v>1050</v>
      </c>
      <c r="J755" s="296">
        <v>1102.5</v>
      </c>
      <c r="K755" s="296">
        <v>772.5</v>
      </c>
      <c r="L755" s="296">
        <v>231.75</v>
      </c>
      <c r="M755" s="296">
        <v>825</v>
      </c>
      <c r="N755" s="297">
        <v>0.44</v>
      </c>
    </row>
    <row r="756" spans="1:14" ht="18" customHeight="1">
      <c r="A756" s="293" t="s">
        <v>2358</v>
      </c>
      <c r="B756" s="294">
        <v>46128</v>
      </c>
      <c r="C756" s="286" t="s">
        <v>168</v>
      </c>
      <c r="D756" s="286" t="s">
        <v>110</v>
      </c>
      <c r="E756" s="295">
        <v>4</v>
      </c>
      <c r="F756" s="295">
        <v>16</v>
      </c>
      <c r="G756" s="296">
        <v>0</v>
      </c>
      <c r="H756" s="296">
        <v>568</v>
      </c>
      <c r="I756" s="296">
        <v>65.25</v>
      </c>
      <c r="J756" s="296">
        <v>68.112500000000011</v>
      </c>
      <c r="K756" s="296">
        <v>499.88749999999999</v>
      </c>
      <c r="L756" s="296">
        <v>0</v>
      </c>
      <c r="M756" s="296">
        <v>502.75</v>
      </c>
      <c r="N756" s="297">
        <v>0.88512323943661975</v>
      </c>
    </row>
    <row r="757" spans="1:14" ht="18" customHeight="1">
      <c r="A757" s="293" t="s">
        <v>2359</v>
      </c>
      <c r="B757" s="294">
        <v>46128</v>
      </c>
      <c r="C757" s="286" t="s">
        <v>168</v>
      </c>
      <c r="D757" s="286" t="s">
        <v>132</v>
      </c>
      <c r="E757" s="295">
        <v>4</v>
      </c>
      <c r="F757" s="295">
        <v>9</v>
      </c>
      <c r="G757" s="296">
        <v>0</v>
      </c>
      <c r="H757" s="296">
        <v>1056</v>
      </c>
      <c r="I757" s="296">
        <v>607</v>
      </c>
      <c r="J757" s="296">
        <v>627.69000000000005</v>
      </c>
      <c r="K757" s="296">
        <v>428.30999999999995</v>
      </c>
      <c r="L757" s="296">
        <v>0</v>
      </c>
      <c r="M757" s="296">
        <v>449</v>
      </c>
      <c r="N757" s="297">
        <v>0.42518939393939392</v>
      </c>
    </row>
    <row r="758" spans="1:14" ht="18" customHeight="1">
      <c r="A758" s="293" t="s">
        <v>2360</v>
      </c>
      <c r="B758" s="294">
        <v>46128</v>
      </c>
      <c r="C758" s="286" t="s">
        <v>168</v>
      </c>
      <c r="D758" s="286" t="s">
        <v>124</v>
      </c>
      <c r="E758" s="295">
        <v>2</v>
      </c>
      <c r="F758" s="295">
        <v>2</v>
      </c>
      <c r="G758" s="296">
        <v>0</v>
      </c>
      <c r="H758" s="296">
        <v>3900</v>
      </c>
      <c r="I758" s="296">
        <v>2500</v>
      </c>
      <c r="J758" s="296">
        <v>2625</v>
      </c>
      <c r="K758" s="296">
        <v>1275</v>
      </c>
      <c r="L758" s="296">
        <v>0</v>
      </c>
      <c r="M758" s="296">
        <v>1400</v>
      </c>
      <c r="N758" s="297">
        <v>0.35897435897435898</v>
      </c>
    </row>
    <row r="759" spans="1:14" ht="18" customHeight="1">
      <c r="A759" s="293" t="s">
        <v>2361</v>
      </c>
      <c r="B759" s="294">
        <v>46128</v>
      </c>
      <c r="C759" s="286" t="s">
        <v>168</v>
      </c>
      <c r="D759" s="286" t="s">
        <v>129</v>
      </c>
      <c r="E759" s="295">
        <v>6</v>
      </c>
      <c r="F759" s="295">
        <v>24</v>
      </c>
      <c r="G759" s="296">
        <v>0</v>
      </c>
      <c r="H759" s="296">
        <v>914</v>
      </c>
      <c r="I759" s="296">
        <v>518.74</v>
      </c>
      <c r="J759" s="296">
        <v>541.52300000000014</v>
      </c>
      <c r="K759" s="296">
        <v>372.47699999999998</v>
      </c>
      <c r="L759" s="296">
        <v>0</v>
      </c>
      <c r="M759" s="296">
        <v>395.26</v>
      </c>
      <c r="N759" s="297">
        <v>0.43245076586433262</v>
      </c>
    </row>
    <row r="760" spans="1:14" ht="18" customHeight="1">
      <c r="A760" s="293" t="s">
        <v>2362</v>
      </c>
      <c r="B760" s="294">
        <v>46128</v>
      </c>
      <c r="C760" s="286" t="s">
        <v>168</v>
      </c>
      <c r="D760" s="286" t="s">
        <v>138</v>
      </c>
      <c r="E760" s="295">
        <v>1</v>
      </c>
      <c r="F760" s="295">
        <v>1</v>
      </c>
      <c r="G760" s="296">
        <v>0</v>
      </c>
      <c r="H760" s="296">
        <v>402</v>
      </c>
      <c r="I760" s="296">
        <v>180</v>
      </c>
      <c r="J760" s="296">
        <v>189</v>
      </c>
      <c r="K760" s="296">
        <v>213</v>
      </c>
      <c r="L760" s="296">
        <v>0</v>
      </c>
      <c r="M760" s="296">
        <v>222</v>
      </c>
      <c r="N760" s="297">
        <v>0.55223880597014929</v>
      </c>
    </row>
    <row r="761" spans="1:14" ht="18" customHeight="1">
      <c r="A761" s="293" t="s">
        <v>2363</v>
      </c>
      <c r="B761" s="294">
        <v>46128</v>
      </c>
      <c r="C761" s="286" t="s">
        <v>168</v>
      </c>
      <c r="D761" s="286" t="s">
        <v>99</v>
      </c>
      <c r="E761" s="295">
        <v>4</v>
      </c>
      <c r="F761" s="295">
        <v>13</v>
      </c>
      <c r="G761" s="296">
        <v>0</v>
      </c>
      <c r="H761" s="296">
        <v>695</v>
      </c>
      <c r="I761" s="296">
        <v>426.65</v>
      </c>
      <c r="J761" s="296">
        <v>444.84950000000003</v>
      </c>
      <c r="K761" s="296">
        <v>250.15049999999999</v>
      </c>
      <c r="L761" s="296">
        <v>0</v>
      </c>
      <c r="M761" s="296">
        <v>268.35000000000002</v>
      </c>
      <c r="N761" s="297">
        <v>0.3861151079136691</v>
      </c>
    </row>
    <row r="762" spans="1:14" ht="18" customHeight="1">
      <c r="A762" s="293" t="s">
        <v>2364</v>
      </c>
      <c r="B762" s="294">
        <v>46129</v>
      </c>
      <c r="C762" s="286" t="s">
        <v>3773</v>
      </c>
      <c r="D762" s="286" t="s">
        <v>100</v>
      </c>
      <c r="E762" s="295">
        <v>2</v>
      </c>
      <c r="F762" s="295">
        <v>3</v>
      </c>
      <c r="G762" s="296">
        <v>0</v>
      </c>
      <c r="H762" s="296">
        <v>176</v>
      </c>
      <c r="I762" s="296">
        <v>108</v>
      </c>
      <c r="J762" s="296">
        <v>112.64</v>
      </c>
      <c r="K762" s="296">
        <v>63.36</v>
      </c>
      <c r="L762" s="296">
        <v>19.007999999999999</v>
      </c>
      <c r="M762" s="296">
        <v>68</v>
      </c>
      <c r="N762" s="297">
        <v>0.38636363636363635</v>
      </c>
    </row>
    <row r="763" spans="1:14" ht="18" customHeight="1">
      <c r="A763" s="293" t="s">
        <v>2365</v>
      </c>
      <c r="B763" s="294">
        <v>46129</v>
      </c>
      <c r="C763" s="286" t="s">
        <v>168</v>
      </c>
      <c r="D763" s="286" t="s">
        <v>125</v>
      </c>
      <c r="E763" s="295">
        <v>1</v>
      </c>
      <c r="F763" s="295">
        <v>1</v>
      </c>
      <c r="G763" s="296">
        <v>0</v>
      </c>
      <c r="H763" s="296">
        <v>2200</v>
      </c>
      <c r="I763" s="296">
        <v>1450</v>
      </c>
      <c r="J763" s="296">
        <v>1522.5</v>
      </c>
      <c r="K763" s="296">
        <v>677.5</v>
      </c>
      <c r="L763" s="296">
        <v>0</v>
      </c>
      <c r="M763" s="296">
        <v>750</v>
      </c>
      <c r="N763" s="297">
        <v>0.34090909090909088</v>
      </c>
    </row>
    <row r="764" spans="1:14" ht="18" customHeight="1">
      <c r="A764" s="293" t="s">
        <v>2366</v>
      </c>
      <c r="B764" s="294">
        <v>46129</v>
      </c>
      <c r="C764" s="286" t="s">
        <v>348</v>
      </c>
      <c r="D764" s="286" t="s">
        <v>101</v>
      </c>
      <c r="E764" s="295">
        <v>4</v>
      </c>
      <c r="F764" s="295">
        <v>4.4000000000000004</v>
      </c>
      <c r="G764" s="296">
        <v>0</v>
      </c>
      <c r="H764" s="296">
        <v>2140</v>
      </c>
      <c r="I764" s="296">
        <v>810</v>
      </c>
      <c r="J764" s="296">
        <v>834.30000000000007</v>
      </c>
      <c r="K764" s="296">
        <v>1305.6999999999998</v>
      </c>
      <c r="L764" s="296">
        <v>391.70999999999992</v>
      </c>
      <c r="M764" s="296">
        <v>1330</v>
      </c>
      <c r="N764" s="297">
        <v>0.62149532710280375</v>
      </c>
    </row>
    <row r="765" spans="1:14" ht="18" customHeight="1">
      <c r="A765" s="293" t="s">
        <v>2367</v>
      </c>
      <c r="B765" s="294">
        <v>46129</v>
      </c>
      <c r="C765" s="286" t="s">
        <v>3773</v>
      </c>
      <c r="D765" s="286" t="s">
        <v>102</v>
      </c>
      <c r="E765" s="295">
        <v>1</v>
      </c>
      <c r="F765" s="295">
        <v>1</v>
      </c>
      <c r="G765" s="296">
        <v>0</v>
      </c>
      <c r="H765" s="296">
        <v>550</v>
      </c>
      <c r="I765" s="296">
        <v>260</v>
      </c>
      <c r="J765" s="296">
        <v>273</v>
      </c>
      <c r="K765" s="296">
        <v>277</v>
      </c>
      <c r="L765" s="296">
        <v>83.1</v>
      </c>
      <c r="M765" s="296">
        <v>290</v>
      </c>
      <c r="N765" s="297">
        <v>0.52727272727272723</v>
      </c>
    </row>
    <row r="766" spans="1:14" ht="18" customHeight="1">
      <c r="A766" s="293" t="s">
        <v>2368</v>
      </c>
      <c r="B766" s="294">
        <v>46129</v>
      </c>
      <c r="C766" s="286" t="s">
        <v>168</v>
      </c>
      <c r="D766" s="286" t="s">
        <v>112</v>
      </c>
      <c r="E766" s="295">
        <v>3</v>
      </c>
      <c r="F766" s="295">
        <v>4</v>
      </c>
      <c r="G766" s="296">
        <v>0</v>
      </c>
      <c r="H766" s="296">
        <v>400</v>
      </c>
      <c r="I766" s="296">
        <v>177</v>
      </c>
      <c r="J766" s="296">
        <v>185.85</v>
      </c>
      <c r="K766" s="296">
        <v>214.15</v>
      </c>
      <c r="L766" s="296">
        <v>0</v>
      </c>
      <c r="M766" s="296">
        <v>223</v>
      </c>
      <c r="N766" s="297">
        <v>0.5575</v>
      </c>
    </row>
    <row r="767" spans="1:14" ht="18" customHeight="1">
      <c r="A767" s="293" t="s">
        <v>2369</v>
      </c>
      <c r="B767" s="294">
        <v>46129</v>
      </c>
      <c r="C767" s="286" t="s">
        <v>353</v>
      </c>
      <c r="D767" s="286" t="s">
        <v>108</v>
      </c>
      <c r="E767" s="295">
        <v>1</v>
      </c>
      <c r="F767" s="295">
        <v>1</v>
      </c>
      <c r="G767" s="296">
        <v>0</v>
      </c>
      <c r="H767" s="296">
        <v>1786</v>
      </c>
      <c r="I767" s="296">
        <v>1050</v>
      </c>
      <c r="J767" s="296">
        <v>1102.5</v>
      </c>
      <c r="K767" s="296">
        <v>683.5</v>
      </c>
      <c r="L767" s="296">
        <v>205.04999999999998</v>
      </c>
      <c r="M767" s="296">
        <v>736</v>
      </c>
      <c r="N767" s="297">
        <v>0.41209406494960804</v>
      </c>
    </row>
    <row r="768" spans="1:14" ht="18" customHeight="1">
      <c r="A768" s="293" t="s">
        <v>2370</v>
      </c>
      <c r="B768" s="294">
        <v>46129</v>
      </c>
      <c r="C768" s="286" t="s">
        <v>359</v>
      </c>
      <c r="D768" s="286" t="s">
        <v>114</v>
      </c>
      <c r="E768" s="295">
        <v>1</v>
      </c>
      <c r="F768" s="295">
        <v>1</v>
      </c>
      <c r="G768" s="296">
        <v>0</v>
      </c>
      <c r="H768" s="296">
        <v>1875</v>
      </c>
      <c r="I768" s="296">
        <v>1100</v>
      </c>
      <c r="J768" s="296">
        <v>1155</v>
      </c>
      <c r="K768" s="296">
        <v>720</v>
      </c>
      <c r="L768" s="296">
        <v>216</v>
      </c>
      <c r="M768" s="296">
        <v>775</v>
      </c>
      <c r="N768" s="297">
        <v>0.41333333333333333</v>
      </c>
    </row>
    <row r="769" spans="1:14" ht="18" customHeight="1">
      <c r="A769" s="293" t="s">
        <v>2371</v>
      </c>
      <c r="B769" s="294">
        <v>46129</v>
      </c>
      <c r="C769" s="286" t="s">
        <v>3773</v>
      </c>
      <c r="D769" s="286" t="s">
        <v>116</v>
      </c>
      <c r="E769" s="295">
        <v>2</v>
      </c>
      <c r="F769" s="295">
        <v>2</v>
      </c>
      <c r="G769" s="296">
        <v>0</v>
      </c>
      <c r="H769" s="296">
        <v>2101</v>
      </c>
      <c r="I769" s="296">
        <v>1450</v>
      </c>
      <c r="J769" s="296">
        <v>1522.5</v>
      </c>
      <c r="K769" s="296">
        <v>578.5</v>
      </c>
      <c r="L769" s="296">
        <v>173.55</v>
      </c>
      <c r="M769" s="296">
        <v>651</v>
      </c>
      <c r="N769" s="297">
        <v>0.30985245121370775</v>
      </c>
    </row>
    <row r="770" spans="1:14" ht="18" customHeight="1">
      <c r="A770" s="293" t="s">
        <v>2372</v>
      </c>
      <c r="B770" s="294">
        <v>46129</v>
      </c>
      <c r="C770" s="286" t="s">
        <v>168</v>
      </c>
      <c r="D770" s="286" t="s">
        <v>105</v>
      </c>
      <c r="E770" s="295">
        <v>4</v>
      </c>
      <c r="F770" s="295">
        <v>4</v>
      </c>
      <c r="G770" s="296">
        <v>0</v>
      </c>
      <c r="H770" s="296">
        <v>5300</v>
      </c>
      <c r="I770" s="296">
        <v>3050</v>
      </c>
      <c r="J770" s="296">
        <v>3202.5</v>
      </c>
      <c r="K770" s="296">
        <v>2097.5</v>
      </c>
      <c r="L770" s="296">
        <v>0</v>
      </c>
      <c r="M770" s="296">
        <v>2250</v>
      </c>
      <c r="N770" s="297">
        <v>0.42452830188679247</v>
      </c>
    </row>
    <row r="771" spans="1:14" ht="18" customHeight="1">
      <c r="A771" s="293" t="s">
        <v>2373</v>
      </c>
      <c r="B771" s="294">
        <v>46129</v>
      </c>
      <c r="C771" s="286" t="s">
        <v>168</v>
      </c>
      <c r="D771" s="286" t="s">
        <v>124</v>
      </c>
      <c r="E771" s="295">
        <v>2</v>
      </c>
      <c r="F771" s="295">
        <v>2</v>
      </c>
      <c r="G771" s="296">
        <v>0</v>
      </c>
      <c r="H771" s="296">
        <v>4000</v>
      </c>
      <c r="I771" s="296">
        <v>2200</v>
      </c>
      <c r="J771" s="296">
        <v>2310</v>
      </c>
      <c r="K771" s="296">
        <v>1690</v>
      </c>
      <c r="L771" s="296">
        <v>0</v>
      </c>
      <c r="M771" s="296">
        <v>1800</v>
      </c>
      <c r="N771" s="297">
        <v>0.45</v>
      </c>
    </row>
    <row r="772" spans="1:14" ht="18" customHeight="1">
      <c r="A772" s="293" t="s">
        <v>2374</v>
      </c>
      <c r="B772" s="294">
        <v>46130</v>
      </c>
      <c r="C772" s="286" t="s">
        <v>3773</v>
      </c>
      <c r="D772" s="286" t="s">
        <v>102</v>
      </c>
      <c r="E772" s="295">
        <v>2</v>
      </c>
      <c r="F772" s="295">
        <v>2</v>
      </c>
      <c r="G772" s="296">
        <v>0</v>
      </c>
      <c r="H772" s="296">
        <v>3571</v>
      </c>
      <c r="I772" s="296">
        <v>2250</v>
      </c>
      <c r="J772" s="296">
        <v>2362.5</v>
      </c>
      <c r="K772" s="296">
        <v>1208.5</v>
      </c>
      <c r="L772" s="296">
        <v>362.54999999999995</v>
      </c>
      <c r="M772" s="296">
        <v>1321</v>
      </c>
      <c r="N772" s="297">
        <v>0.36992439092691121</v>
      </c>
    </row>
    <row r="773" spans="1:14" ht="18" customHeight="1">
      <c r="A773" s="293" t="s">
        <v>2375</v>
      </c>
      <c r="B773" s="294">
        <v>46130</v>
      </c>
      <c r="C773" s="286" t="s">
        <v>168</v>
      </c>
      <c r="D773" s="286" t="s">
        <v>112</v>
      </c>
      <c r="E773" s="295">
        <v>1</v>
      </c>
      <c r="F773" s="295">
        <v>2</v>
      </c>
      <c r="G773" s="296">
        <v>0</v>
      </c>
      <c r="H773" s="296">
        <v>120</v>
      </c>
      <c r="I773" s="296">
        <v>56</v>
      </c>
      <c r="J773" s="296">
        <v>58.800000000000004</v>
      </c>
      <c r="K773" s="296">
        <v>61.199999999999996</v>
      </c>
      <c r="L773" s="296">
        <v>0</v>
      </c>
      <c r="M773" s="296">
        <v>64</v>
      </c>
      <c r="N773" s="297">
        <v>0.53333333333333333</v>
      </c>
    </row>
    <row r="774" spans="1:14" ht="18" customHeight="1">
      <c r="A774" s="293" t="s">
        <v>2376</v>
      </c>
      <c r="B774" s="294">
        <v>46130</v>
      </c>
      <c r="C774" s="286" t="s">
        <v>168</v>
      </c>
      <c r="D774" s="286" t="s">
        <v>92</v>
      </c>
      <c r="E774" s="295">
        <v>1</v>
      </c>
      <c r="F774" s="295">
        <v>1</v>
      </c>
      <c r="G774" s="296">
        <v>0</v>
      </c>
      <c r="H774" s="296">
        <v>2100</v>
      </c>
      <c r="I774" s="296">
        <v>1050</v>
      </c>
      <c r="J774" s="296">
        <v>1102.5</v>
      </c>
      <c r="K774" s="296">
        <v>997.5</v>
      </c>
      <c r="L774" s="296">
        <v>0</v>
      </c>
      <c r="M774" s="296">
        <v>1050</v>
      </c>
      <c r="N774" s="297">
        <v>0.5</v>
      </c>
    </row>
    <row r="775" spans="1:14" ht="18" customHeight="1">
      <c r="A775" s="293" t="s">
        <v>2377</v>
      </c>
      <c r="B775" s="294">
        <v>46130</v>
      </c>
      <c r="C775" s="286" t="s">
        <v>354</v>
      </c>
      <c r="D775" s="286" t="s">
        <v>109</v>
      </c>
      <c r="E775" s="295">
        <v>2</v>
      </c>
      <c r="F775" s="295">
        <v>3</v>
      </c>
      <c r="G775" s="296">
        <v>0</v>
      </c>
      <c r="H775" s="296">
        <v>750</v>
      </c>
      <c r="I775" s="296">
        <v>470</v>
      </c>
      <c r="J775" s="296">
        <v>493.5</v>
      </c>
      <c r="K775" s="296">
        <v>256.5</v>
      </c>
      <c r="L775" s="296">
        <v>76.949999999999989</v>
      </c>
      <c r="M775" s="296">
        <v>280</v>
      </c>
      <c r="N775" s="297">
        <v>0.37333333333333335</v>
      </c>
    </row>
    <row r="776" spans="1:14" ht="18" customHeight="1">
      <c r="A776" s="293" t="s">
        <v>2378</v>
      </c>
      <c r="B776" s="294">
        <v>46130</v>
      </c>
      <c r="C776" s="286" t="s">
        <v>353</v>
      </c>
      <c r="D776" s="286" t="s">
        <v>94</v>
      </c>
      <c r="E776" s="295">
        <v>6</v>
      </c>
      <c r="F776" s="295">
        <v>8</v>
      </c>
      <c r="G776" s="296">
        <v>0</v>
      </c>
      <c r="H776" s="296">
        <v>4567</v>
      </c>
      <c r="I776" s="296">
        <v>3115</v>
      </c>
      <c r="J776" s="296">
        <v>3270.75</v>
      </c>
      <c r="K776" s="296">
        <v>1296.25</v>
      </c>
      <c r="L776" s="296">
        <v>388.875</v>
      </c>
      <c r="M776" s="296">
        <v>1452</v>
      </c>
      <c r="N776" s="297">
        <v>0.31793299759141669</v>
      </c>
    </row>
    <row r="777" spans="1:14" ht="18" customHeight="1">
      <c r="A777" s="293" t="s">
        <v>2379</v>
      </c>
      <c r="B777" s="294">
        <v>46130</v>
      </c>
      <c r="C777" s="286" t="s">
        <v>348</v>
      </c>
      <c r="D777" s="286" t="s">
        <v>180</v>
      </c>
      <c r="E777" s="295">
        <v>1</v>
      </c>
      <c r="F777" s="295">
        <v>1</v>
      </c>
      <c r="G777" s="296">
        <v>0</v>
      </c>
      <c r="H777" s="296">
        <v>315</v>
      </c>
      <c r="I777" s="296">
        <v>150</v>
      </c>
      <c r="J777" s="296">
        <v>157.5</v>
      </c>
      <c r="K777" s="296">
        <v>157.5</v>
      </c>
      <c r="L777" s="296">
        <v>47.25</v>
      </c>
      <c r="M777" s="296">
        <v>165</v>
      </c>
      <c r="N777" s="297">
        <v>0.52380952380952384</v>
      </c>
    </row>
    <row r="778" spans="1:14" ht="18" customHeight="1">
      <c r="A778" s="293" t="s">
        <v>2380</v>
      </c>
      <c r="B778" s="294">
        <v>46130</v>
      </c>
      <c r="C778" s="286" t="s">
        <v>168</v>
      </c>
      <c r="D778" s="286" t="s">
        <v>142</v>
      </c>
      <c r="E778" s="295">
        <v>1</v>
      </c>
      <c r="F778" s="295">
        <v>1</v>
      </c>
      <c r="G778" s="296">
        <v>0</v>
      </c>
      <c r="H778" s="296">
        <v>1900</v>
      </c>
      <c r="I778" s="296">
        <v>1300</v>
      </c>
      <c r="J778" s="296">
        <v>1365</v>
      </c>
      <c r="K778" s="296">
        <v>535</v>
      </c>
      <c r="L778" s="296">
        <v>0</v>
      </c>
      <c r="M778" s="296">
        <v>600</v>
      </c>
      <c r="N778" s="297">
        <v>0.31578947368421051</v>
      </c>
    </row>
    <row r="779" spans="1:14" ht="18" customHeight="1">
      <c r="A779" s="293" t="s">
        <v>2381</v>
      </c>
      <c r="B779" s="294">
        <v>46130</v>
      </c>
      <c r="C779" s="286" t="s">
        <v>168</v>
      </c>
      <c r="D779" s="286" t="s">
        <v>171</v>
      </c>
      <c r="E779" s="295">
        <v>4</v>
      </c>
      <c r="F779" s="295">
        <v>12</v>
      </c>
      <c r="G779" s="296">
        <v>0</v>
      </c>
      <c r="H779" s="296">
        <v>618</v>
      </c>
      <c r="I779" s="296">
        <v>343.15</v>
      </c>
      <c r="J779" s="296">
        <v>355.10450000000003</v>
      </c>
      <c r="K779" s="296">
        <v>262.89549999999997</v>
      </c>
      <c r="L779" s="296">
        <v>0</v>
      </c>
      <c r="M779" s="296">
        <v>274.85000000000002</v>
      </c>
      <c r="N779" s="297">
        <v>0.44474110032362463</v>
      </c>
    </row>
    <row r="780" spans="1:14" ht="18" customHeight="1">
      <c r="A780" s="293" t="s">
        <v>2382</v>
      </c>
      <c r="B780" s="294">
        <v>46130</v>
      </c>
      <c r="C780" s="286" t="s">
        <v>168</v>
      </c>
      <c r="D780" s="286" t="s">
        <v>124</v>
      </c>
      <c r="E780" s="295">
        <v>1</v>
      </c>
      <c r="F780" s="295">
        <v>1</v>
      </c>
      <c r="G780" s="296">
        <v>0</v>
      </c>
      <c r="H780" s="296">
        <v>492</v>
      </c>
      <c r="I780" s="296">
        <v>195</v>
      </c>
      <c r="J780" s="296">
        <v>204.75</v>
      </c>
      <c r="K780" s="296">
        <v>287.25</v>
      </c>
      <c r="L780" s="296">
        <v>0</v>
      </c>
      <c r="M780" s="296">
        <v>297</v>
      </c>
      <c r="N780" s="297">
        <v>0.60365853658536583</v>
      </c>
    </row>
    <row r="781" spans="1:14" ht="18" customHeight="1">
      <c r="A781" s="293" t="s">
        <v>2383</v>
      </c>
      <c r="B781" s="294">
        <v>46130</v>
      </c>
      <c r="C781" s="286" t="s">
        <v>351</v>
      </c>
      <c r="D781" s="286" t="s">
        <v>106</v>
      </c>
      <c r="E781" s="295">
        <v>1</v>
      </c>
      <c r="F781" s="295">
        <v>49</v>
      </c>
      <c r="G781" s="296">
        <v>0</v>
      </c>
      <c r="H781" s="296">
        <v>2205</v>
      </c>
      <c r="I781" s="296">
        <v>1323</v>
      </c>
      <c r="J781" s="296">
        <v>1389.15</v>
      </c>
      <c r="K781" s="296">
        <v>815.84999999999991</v>
      </c>
      <c r="L781" s="296">
        <v>244.75499999999997</v>
      </c>
      <c r="M781" s="296">
        <v>882</v>
      </c>
      <c r="N781" s="297">
        <v>0.4</v>
      </c>
    </row>
    <row r="782" spans="1:14" ht="18" customHeight="1">
      <c r="A782" s="293" t="s">
        <v>2384</v>
      </c>
      <c r="B782" s="294">
        <v>46130</v>
      </c>
      <c r="C782" s="286" t="s">
        <v>168</v>
      </c>
      <c r="D782" s="286" t="s">
        <v>131</v>
      </c>
      <c r="E782" s="295">
        <v>2</v>
      </c>
      <c r="F782" s="295">
        <v>12</v>
      </c>
      <c r="G782" s="296">
        <v>0</v>
      </c>
      <c r="H782" s="296">
        <v>1920</v>
      </c>
      <c r="I782" s="296">
        <v>1150</v>
      </c>
      <c r="J782" s="296">
        <v>1184.5</v>
      </c>
      <c r="K782" s="296">
        <v>735.5</v>
      </c>
      <c r="L782" s="296">
        <v>0</v>
      </c>
      <c r="M782" s="296">
        <v>770</v>
      </c>
      <c r="N782" s="297">
        <v>0.40104166666666669</v>
      </c>
    </row>
    <row r="783" spans="1:14" ht="18" customHeight="1">
      <c r="A783" s="293" t="s">
        <v>2385</v>
      </c>
      <c r="B783" s="294">
        <v>46130</v>
      </c>
      <c r="C783" s="286" t="s">
        <v>168</v>
      </c>
      <c r="D783" s="286" t="s">
        <v>185</v>
      </c>
      <c r="E783" s="295">
        <v>7</v>
      </c>
      <c r="F783" s="295">
        <v>22.4</v>
      </c>
      <c r="G783" s="296">
        <v>0</v>
      </c>
      <c r="H783" s="296">
        <v>2175</v>
      </c>
      <c r="I783" s="296">
        <v>644.70000000000005</v>
      </c>
      <c r="J783" s="296">
        <v>671.18100000000004</v>
      </c>
      <c r="K783" s="296">
        <v>1503.819</v>
      </c>
      <c r="L783" s="296">
        <v>0</v>
      </c>
      <c r="M783" s="296">
        <v>1530.3</v>
      </c>
      <c r="N783" s="297">
        <v>0.70358620689655171</v>
      </c>
    </row>
    <row r="784" spans="1:14" ht="18" customHeight="1">
      <c r="A784" s="293" t="s">
        <v>2386</v>
      </c>
      <c r="B784" s="294">
        <v>46130</v>
      </c>
      <c r="C784" s="286" t="s">
        <v>358</v>
      </c>
      <c r="D784" s="286" t="s">
        <v>191</v>
      </c>
      <c r="E784" s="295">
        <v>2</v>
      </c>
      <c r="F784" s="295">
        <v>18</v>
      </c>
      <c r="G784" s="296">
        <v>0</v>
      </c>
      <c r="H784" s="296">
        <v>540</v>
      </c>
      <c r="I784" s="296">
        <v>315</v>
      </c>
      <c r="J784" s="296">
        <v>330.75</v>
      </c>
      <c r="K784" s="296">
        <v>209.25</v>
      </c>
      <c r="L784" s="296">
        <v>62.774999999999991</v>
      </c>
      <c r="M784" s="296">
        <v>225</v>
      </c>
      <c r="N784" s="297">
        <v>0.41666666666666669</v>
      </c>
    </row>
    <row r="785" spans="1:14" ht="18" customHeight="1">
      <c r="A785" s="293" t="s">
        <v>2387</v>
      </c>
      <c r="B785" s="294">
        <v>46131</v>
      </c>
      <c r="C785" s="286" t="s">
        <v>168</v>
      </c>
      <c r="D785" s="286" t="s">
        <v>99</v>
      </c>
      <c r="E785" s="295">
        <v>1</v>
      </c>
      <c r="F785" s="295">
        <v>1</v>
      </c>
      <c r="G785" s="296">
        <v>0</v>
      </c>
      <c r="H785" s="296">
        <v>350</v>
      </c>
      <c r="I785" s="296">
        <v>140</v>
      </c>
      <c r="J785" s="296">
        <v>147</v>
      </c>
      <c r="K785" s="296">
        <v>203</v>
      </c>
      <c r="L785" s="296">
        <v>0</v>
      </c>
      <c r="M785" s="296">
        <v>210</v>
      </c>
      <c r="N785" s="297">
        <v>0.6</v>
      </c>
    </row>
    <row r="786" spans="1:14" ht="18" customHeight="1">
      <c r="A786" s="293" t="s">
        <v>2388</v>
      </c>
      <c r="B786" s="294">
        <v>46132</v>
      </c>
      <c r="C786" s="286" t="s">
        <v>3773</v>
      </c>
      <c r="D786" s="286" t="s">
        <v>102</v>
      </c>
      <c r="E786" s="295">
        <v>1</v>
      </c>
      <c r="F786" s="295">
        <v>4</v>
      </c>
      <c r="G786" s="296">
        <v>0</v>
      </c>
      <c r="H786" s="296">
        <v>480</v>
      </c>
      <c r="I786" s="296">
        <v>260</v>
      </c>
      <c r="J786" s="296">
        <v>273</v>
      </c>
      <c r="K786" s="296">
        <v>207</v>
      </c>
      <c r="L786" s="296">
        <v>62.099999999999994</v>
      </c>
      <c r="M786" s="296">
        <v>220</v>
      </c>
      <c r="N786" s="297">
        <v>0.45833333333333331</v>
      </c>
    </row>
    <row r="787" spans="1:14" ht="18" customHeight="1">
      <c r="A787" s="293" t="s">
        <v>2389</v>
      </c>
      <c r="B787" s="294">
        <v>46132</v>
      </c>
      <c r="C787" s="286" t="s">
        <v>168</v>
      </c>
      <c r="D787" s="286" t="s">
        <v>92</v>
      </c>
      <c r="E787" s="295">
        <v>1</v>
      </c>
      <c r="F787" s="295">
        <v>1</v>
      </c>
      <c r="G787" s="296">
        <v>0</v>
      </c>
      <c r="H787" s="296">
        <v>1900</v>
      </c>
      <c r="I787" s="296">
        <v>1250</v>
      </c>
      <c r="J787" s="296">
        <v>1312.5</v>
      </c>
      <c r="K787" s="296">
        <v>587.5</v>
      </c>
      <c r="L787" s="296">
        <v>0</v>
      </c>
      <c r="M787" s="296">
        <v>650</v>
      </c>
      <c r="N787" s="297">
        <v>0.34210526315789475</v>
      </c>
    </row>
    <row r="788" spans="1:14" ht="18" customHeight="1">
      <c r="A788" s="293" t="s">
        <v>2390</v>
      </c>
      <c r="B788" s="294">
        <v>46132</v>
      </c>
      <c r="C788" s="286" t="s">
        <v>168</v>
      </c>
      <c r="D788" s="286" t="s">
        <v>178</v>
      </c>
      <c r="E788" s="295">
        <v>1</v>
      </c>
      <c r="F788" s="295">
        <v>1</v>
      </c>
      <c r="G788" s="296">
        <v>0</v>
      </c>
      <c r="H788" s="296">
        <v>2100</v>
      </c>
      <c r="I788" s="296">
        <v>1200</v>
      </c>
      <c r="J788" s="296">
        <v>1260</v>
      </c>
      <c r="K788" s="296">
        <v>840</v>
      </c>
      <c r="L788" s="296">
        <v>0</v>
      </c>
      <c r="M788" s="296">
        <v>900</v>
      </c>
      <c r="N788" s="297">
        <v>0.42857142857142855</v>
      </c>
    </row>
    <row r="789" spans="1:14" ht="18" customHeight="1">
      <c r="A789" s="293" t="s">
        <v>2391</v>
      </c>
      <c r="B789" s="294">
        <v>46132</v>
      </c>
      <c r="C789" s="286" t="s">
        <v>168</v>
      </c>
      <c r="D789" s="286" t="s">
        <v>105</v>
      </c>
      <c r="E789" s="295">
        <v>1</v>
      </c>
      <c r="F789" s="295">
        <v>1</v>
      </c>
      <c r="G789" s="296">
        <v>0</v>
      </c>
      <c r="H789" s="296">
        <v>2000</v>
      </c>
      <c r="I789" s="296">
        <v>900</v>
      </c>
      <c r="J789" s="296">
        <v>945</v>
      </c>
      <c r="K789" s="296">
        <v>1055</v>
      </c>
      <c r="L789" s="296">
        <v>0</v>
      </c>
      <c r="M789" s="296">
        <v>1100</v>
      </c>
      <c r="N789" s="297">
        <v>0.55000000000000004</v>
      </c>
    </row>
    <row r="790" spans="1:14" ht="18" customHeight="1">
      <c r="A790" s="293" t="s">
        <v>2392</v>
      </c>
      <c r="B790" s="294">
        <v>46132</v>
      </c>
      <c r="C790" s="286" t="s">
        <v>168</v>
      </c>
      <c r="D790" s="286" t="s">
        <v>138</v>
      </c>
      <c r="E790" s="295">
        <v>1</v>
      </c>
      <c r="F790" s="295">
        <v>5</v>
      </c>
      <c r="G790" s="296">
        <v>0</v>
      </c>
      <c r="H790" s="296">
        <v>225</v>
      </c>
      <c r="I790" s="296">
        <v>168</v>
      </c>
      <c r="J790" s="296">
        <v>173.04</v>
      </c>
      <c r="K790" s="296">
        <v>51.960000000000008</v>
      </c>
      <c r="L790" s="296">
        <v>0</v>
      </c>
      <c r="M790" s="296">
        <v>57</v>
      </c>
      <c r="N790" s="297">
        <v>0.25333333333333335</v>
      </c>
    </row>
    <row r="791" spans="1:14" ht="18" customHeight="1">
      <c r="A791" s="293" t="s">
        <v>2393</v>
      </c>
      <c r="B791" s="294">
        <v>46132</v>
      </c>
      <c r="C791" s="286" t="s">
        <v>351</v>
      </c>
      <c r="D791" s="286" t="s">
        <v>106</v>
      </c>
      <c r="E791" s="295">
        <v>3</v>
      </c>
      <c r="F791" s="295">
        <v>12</v>
      </c>
      <c r="G791" s="296">
        <v>0</v>
      </c>
      <c r="H791" s="296">
        <v>9600</v>
      </c>
      <c r="I791" s="296">
        <v>2749</v>
      </c>
      <c r="J791" s="296">
        <v>2886.4500000000003</v>
      </c>
      <c r="K791" s="296">
        <v>6713.5499999999993</v>
      </c>
      <c r="L791" s="296">
        <v>2014.0649999999998</v>
      </c>
      <c r="M791" s="296">
        <v>6851</v>
      </c>
      <c r="N791" s="297">
        <v>0.71364583333333331</v>
      </c>
    </row>
    <row r="792" spans="1:14" ht="18" customHeight="1">
      <c r="A792" s="293" t="s">
        <v>2394</v>
      </c>
      <c r="B792" s="294">
        <v>46132</v>
      </c>
      <c r="C792" s="286" t="s">
        <v>348</v>
      </c>
      <c r="D792" s="286" t="s">
        <v>157</v>
      </c>
      <c r="E792" s="295">
        <v>1</v>
      </c>
      <c r="F792" s="295">
        <v>1</v>
      </c>
      <c r="G792" s="296">
        <v>0</v>
      </c>
      <c r="H792" s="296">
        <v>2500</v>
      </c>
      <c r="I792" s="296">
        <v>1500</v>
      </c>
      <c r="J792" s="296">
        <v>1575</v>
      </c>
      <c r="K792" s="296">
        <v>925</v>
      </c>
      <c r="L792" s="296">
        <v>277.5</v>
      </c>
      <c r="M792" s="296">
        <v>1000</v>
      </c>
      <c r="N792" s="297">
        <v>0.4</v>
      </c>
    </row>
    <row r="793" spans="1:14" ht="18" customHeight="1">
      <c r="A793" s="293" t="s">
        <v>2395</v>
      </c>
      <c r="B793" s="294">
        <v>46133</v>
      </c>
      <c r="C793" s="286" t="s">
        <v>168</v>
      </c>
      <c r="D793" s="286" t="s">
        <v>155</v>
      </c>
      <c r="E793" s="295">
        <v>8</v>
      </c>
      <c r="F793" s="295">
        <v>33</v>
      </c>
      <c r="G793" s="296">
        <v>0</v>
      </c>
      <c r="H793" s="296">
        <v>8070</v>
      </c>
      <c r="I793" s="296">
        <v>5348.5</v>
      </c>
      <c r="J793" s="296">
        <v>5515.2549999999992</v>
      </c>
      <c r="K793" s="296">
        <v>2554.7450000000003</v>
      </c>
      <c r="L793" s="296">
        <v>0</v>
      </c>
      <c r="M793" s="296">
        <v>2721.5</v>
      </c>
      <c r="N793" s="297">
        <v>0.3372366790582404</v>
      </c>
    </row>
    <row r="794" spans="1:14" ht="18" customHeight="1">
      <c r="A794" s="293" t="s">
        <v>2396</v>
      </c>
      <c r="B794" s="294">
        <v>46133</v>
      </c>
      <c r="C794" s="286" t="s">
        <v>168</v>
      </c>
      <c r="D794" s="286" t="s">
        <v>136</v>
      </c>
      <c r="E794" s="295">
        <v>9</v>
      </c>
      <c r="F794" s="295">
        <v>30</v>
      </c>
      <c r="G794" s="296">
        <v>0</v>
      </c>
      <c r="H794" s="296">
        <v>8232</v>
      </c>
      <c r="I794" s="296">
        <v>1876.54</v>
      </c>
      <c r="J794" s="296">
        <v>1950.8361999999997</v>
      </c>
      <c r="K794" s="296">
        <v>6281.1637999999994</v>
      </c>
      <c r="L794" s="296">
        <v>0</v>
      </c>
      <c r="M794" s="296">
        <v>6355.46</v>
      </c>
      <c r="N794" s="297">
        <v>0.77204324586977646</v>
      </c>
    </row>
    <row r="795" spans="1:14" ht="18" customHeight="1">
      <c r="A795" s="293" t="s">
        <v>2397</v>
      </c>
      <c r="B795" s="294">
        <v>46133</v>
      </c>
      <c r="C795" s="286" t="s">
        <v>168</v>
      </c>
      <c r="D795" s="286" t="s">
        <v>192</v>
      </c>
      <c r="E795" s="295">
        <v>10</v>
      </c>
      <c r="F795" s="295">
        <v>19.399999999999999</v>
      </c>
      <c r="G795" s="296">
        <v>0</v>
      </c>
      <c r="H795" s="296">
        <v>2822</v>
      </c>
      <c r="I795" s="296">
        <v>710.92000000000007</v>
      </c>
      <c r="J795" s="296">
        <v>739.75960000000009</v>
      </c>
      <c r="K795" s="296">
        <v>2082.2404000000001</v>
      </c>
      <c r="L795" s="296">
        <v>0</v>
      </c>
      <c r="M795" s="296">
        <v>2111.08</v>
      </c>
      <c r="N795" s="297">
        <v>0.7480793763288448</v>
      </c>
    </row>
    <row r="796" spans="1:14" ht="18" customHeight="1">
      <c r="A796" s="293" t="s">
        <v>2398</v>
      </c>
      <c r="B796" s="294">
        <v>46133</v>
      </c>
      <c r="C796" s="286" t="s">
        <v>353</v>
      </c>
      <c r="D796" s="286" t="s">
        <v>108</v>
      </c>
      <c r="E796" s="295">
        <v>5</v>
      </c>
      <c r="F796" s="295">
        <v>5</v>
      </c>
      <c r="G796" s="296">
        <v>0</v>
      </c>
      <c r="H796" s="296">
        <v>4000</v>
      </c>
      <c r="I796" s="296">
        <v>2310</v>
      </c>
      <c r="J796" s="296">
        <v>2425.5</v>
      </c>
      <c r="K796" s="296">
        <v>1574.5</v>
      </c>
      <c r="L796" s="296">
        <v>472.35</v>
      </c>
      <c r="M796" s="296">
        <v>1690</v>
      </c>
      <c r="N796" s="297">
        <v>0.42249999999999999</v>
      </c>
    </row>
    <row r="797" spans="1:14" ht="18" customHeight="1">
      <c r="A797" s="293" t="s">
        <v>2399</v>
      </c>
      <c r="B797" s="294">
        <v>46133</v>
      </c>
      <c r="C797" s="286" t="s">
        <v>168</v>
      </c>
      <c r="D797" s="286" t="s">
        <v>121</v>
      </c>
      <c r="E797" s="295">
        <v>1</v>
      </c>
      <c r="F797" s="295">
        <v>1</v>
      </c>
      <c r="G797" s="296">
        <v>0</v>
      </c>
      <c r="H797" s="296">
        <v>8300</v>
      </c>
      <c r="I797" s="296">
        <v>0</v>
      </c>
      <c r="J797" s="296">
        <v>0</v>
      </c>
      <c r="K797" s="296">
        <v>8300</v>
      </c>
      <c r="L797" s="296">
        <v>0</v>
      </c>
      <c r="M797" s="296">
        <v>8300</v>
      </c>
      <c r="N797" s="297">
        <v>1</v>
      </c>
    </row>
    <row r="798" spans="1:14" ht="18" customHeight="1">
      <c r="A798" s="293" t="s">
        <v>2400</v>
      </c>
      <c r="B798" s="294">
        <v>46133</v>
      </c>
      <c r="C798" s="286" t="s">
        <v>353</v>
      </c>
      <c r="D798" s="286" t="s">
        <v>94</v>
      </c>
      <c r="E798" s="295">
        <v>1</v>
      </c>
      <c r="F798" s="295">
        <v>1</v>
      </c>
      <c r="G798" s="296">
        <v>0</v>
      </c>
      <c r="H798" s="296">
        <v>2000</v>
      </c>
      <c r="I798" s="296">
        <v>1500</v>
      </c>
      <c r="J798" s="296">
        <v>1575</v>
      </c>
      <c r="K798" s="296">
        <v>425</v>
      </c>
      <c r="L798" s="296">
        <v>127.5</v>
      </c>
      <c r="M798" s="296">
        <v>500</v>
      </c>
      <c r="N798" s="297">
        <v>0.25</v>
      </c>
    </row>
    <row r="799" spans="1:14" ht="18" customHeight="1">
      <c r="A799" s="293" t="s">
        <v>2401</v>
      </c>
      <c r="B799" s="294">
        <v>46133</v>
      </c>
      <c r="C799" s="286" t="s">
        <v>168</v>
      </c>
      <c r="D799" s="286" t="s">
        <v>162</v>
      </c>
      <c r="E799" s="295">
        <v>4</v>
      </c>
      <c r="F799" s="295">
        <v>12</v>
      </c>
      <c r="G799" s="296">
        <v>0</v>
      </c>
      <c r="H799" s="296">
        <v>6220</v>
      </c>
      <c r="I799" s="296">
        <v>4036</v>
      </c>
      <c r="J799" s="296">
        <v>4157.08</v>
      </c>
      <c r="K799" s="296">
        <v>2062.92</v>
      </c>
      <c r="L799" s="296">
        <v>0</v>
      </c>
      <c r="M799" s="296">
        <v>2184</v>
      </c>
      <c r="N799" s="297">
        <v>0.35112540192926045</v>
      </c>
    </row>
    <row r="800" spans="1:14" ht="18" customHeight="1">
      <c r="A800" s="293" t="s">
        <v>2402</v>
      </c>
      <c r="B800" s="294">
        <v>46133</v>
      </c>
      <c r="C800" s="286" t="s">
        <v>168</v>
      </c>
      <c r="D800" s="286" t="s">
        <v>178</v>
      </c>
      <c r="E800" s="295">
        <v>1</v>
      </c>
      <c r="F800" s="295">
        <v>1</v>
      </c>
      <c r="G800" s="296">
        <v>0</v>
      </c>
      <c r="H800" s="296">
        <v>1964</v>
      </c>
      <c r="I800" s="296">
        <v>1250</v>
      </c>
      <c r="J800" s="296">
        <v>1312.5</v>
      </c>
      <c r="K800" s="296">
        <v>651.5</v>
      </c>
      <c r="L800" s="296">
        <v>0</v>
      </c>
      <c r="M800" s="296">
        <v>714</v>
      </c>
      <c r="N800" s="297">
        <v>0.36354378818737271</v>
      </c>
    </row>
    <row r="801" spans="1:14" ht="18" customHeight="1">
      <c r="A801" s="293" t="s">
        <v>2403</v>
      </c>
      <c r="B801" s="294">
        <v>46133</v>
      </c>
      <c r="C801" s="286" t="s">
        <v>168</v>
      </c>
      <c r="D801" s="286" t="s">
        <v>96</v>
      </c>
      <c r="E801" s="295">
        <v>4</v>
      </c>
      <c r="F801" s="295">
        <v>5</v>
      </c>
      <c r="G801" s="296">
        <v>0</v>
      </c>
      <c r="H801" s="296">
        <v>3400</v>
      </c>
      <c r="I801" s="296">
        <v>1510</v>
      </c>
      <c r="J801" s="296">
        <v>1585.5</v>
      </c>
      <c r="K801" s="296">
        <v>1814.5</v>
      </c>
      <c r="L801" s="296">
        <v>0</v>
      </c>
      <c r="M801" s="296">
        <v>1890</v>
      </c>
      <c r="N801" s="297">
        <v>0.55588235294117649</v>
      </c>
    </row>
    <row r="802" spans="1:14" ht="18" customHeight="1">
      <c r="A802" s="293" t="s">
        <v>2404</v>
      </c>
      <c r="B802" s="294">
        <v>46133</v>
      </c>
      <c r="C802" s="286" t="s">
        <v>3773</v>
      </c>
      <c r="D802" s="286" t="s">
        <v>193</v>
      </c>
      <c r="E802" s="295">
        <v>2</v>
      </c>
      <c r="F802" s="295">
        <v>1.2</v>
      </c>
      <c r="G802" s="296">
        <v>0</v>
      </c>
      <c r="H802" s="296">
        <v>975</v>
      </c>
      <c r="I802" s="296">
        <v>802.2</v>
      </c>
      <c r="J802" s="296">
        <v>826.26600000000008</v>
      </c>
      <c r="K802" s="296">
        <v>148.73399999999992</v>
      </c>
      <c r="L802" s="296">
        <v>44.620199999999976</v>
      </c>
      <c r="M802" s="296">
        <v>172.79999999999995</v>
      </c>
      <c r="N802" s="297">
        <v>0.17723076923076919</v>
      </c>
    </row>
    <row r="803" spans="1:14" ht="18" customHeight="1">
      <c r="A803" s="293" t="s">
        <v>2405</v>
      </c>
      <c r="B803" s="294">
        <v>46133</v>
      </c>
      <c r="C803" s="286" t="s">
        <v>168</v>
      </c>
      <c r="D803" s="286" t="s">
        <v>104</v>
      </c>
      <c r="E803" s="295">
        <v>2</v>
      </c>
      <c r="F803" s="295">
        <v>3</v>
      </c>
      <c r="G803" s="296">
        <v>0</v>
      </c>
      <c r="H803" s="296">
        <v>1550</v>
      </c>
      <c r="I803" s="296">
        <v>695</v>
      </c>
      <c r="J803" s="296">
        <v>729.75</v>
      </c>
      <c r="K803" s="296">
        <v>820.25</v>
      </c>
      <c r="L803" s="296">
        <v>0</v>
      </c>
      <c r="M803" s="296">
        <v>855</v>
      </c>
      <c r="N803" s="297">
        <v>0.55161290322580647</v>
      </c>
    </row>
    <row r="804" spans="1:14" ht="18" customHeight="1">
      <c r="A804" s="293" t="s">
        <v>2406</v>
      </c>
      <c r="B804" s="294">
        <v>46133</v>
      </c>
      <c r="C804" s="286" t="s">
        <v>168</v>
      </c>
      <c r="D804" s="286" t="s">
        <v>171</v>
      </c>
      <c r="E804" s="295">
        <v>2</v>
      </c>
      <c r="F804" s="295">
        <v>2</v>
      </c>
      <c r="G804" s="296">
        <v>0</v>
      </c>
      <c r="H804" s="296">
        <v>545</v>
      </c>
      <c r="I804" s="296">
        <v>235</v>
      </c>
      <c r="J804" s="296">
        <v>245.75</v>
      </c>
      <c r="K804" s="296">
        <v>299.25</v>
      </c>
      <c r="L804" s="296">
        <v>0</v>
      </c>
      <c r="M804" s="296">
        <v>310</v>
      </c>
      <c r="N804" s="297">
        <v>0.56880733944954132</v>
      </c>
    </row>
    <row r="805" spans="1:14" ht="18" customHeight="1">
      <c r="A805" s="293" t="s">
        <v>2407</v>
      </c>
      <c r="B805" s="294">
        <v>46133</v>
      </c>
      <c r="C805" s="286" t="s">
        <v>168</v>
      </c>
      <c r="D805" s="286" t="s">
        <v>115</v>
      </c>
      <c r="E805" s="295">
        <v>1</v>
      </c>
      <c r="F805" s="295">
        <v>1</v>
      </c>
      <c r="G805" s="296">
        <v>0</v>
      </c>
      <c r="H805" s="296">
        <v>1900</v>
      </c>
      <c r="I805" s="296">
        <v>1300</v>
      </c>
      <c r="J805" s="296">
        <v>1365</v>
      </c>
      <c r="K805" s="296">
        <v>535</v>
      </c>
      <c r="L805" s="296">
        <v>0</v>
      </c>
      <c r="M805" s="296">
        <v>600</v>
      </c>
      <c r="N805" s="297">
        <v>0.31578947368421051</v>
      </c>
    </row>
    <row r="806" spans="1:14" ht="18" customHeight="1">
      <c r="A806" s="293" t="s">
        <v>2408</v>
      </c>
      <c r="B806" s="294">
        <v>46133</v>
      </c>
      <c r="C806" s="286" t="s">
        <v>168</v>
      </c>
      <c r="D806" s="286" t="s">
        <v>117</v>
      </c>
      <c r="E806" s="295">
        <v>3</v>
      </c>
      <c r="F806" s="295">
        <v>4.2</v>
      </c>
      <c r="G806" s="296">
        <v>0</v>
      </c>
      <c r="H806" s="296">
        <v>1006</v>
      </c>
      <c r="I806" s="296">
        <v>807.2</v>
      </c>
      <c r="J806" s="296">
        <v>832.25600000000009</v>
      </c>
      <c r="K806" s="296">
        <v>173.74399999999991</v>
      </c>
      <c r="L806" s="296">
        <v>0</v>
      </c>
      <c r="M806" s="296">
        <v>198.79999999999995</v>
      </c>
      <c r="N806" s="297">
        <v>0.19761431411530811</v>
      </c>
    </row>
    <row r="807" spans="1:14" ht="18" customHeight="1">
      <c r="A807" s="293" t="s">
        <v>2409</v>
      </c>
      <c r="B807" s="294">
        <v>46133</v>
      </c>
      <c r="C807" s="286" t="s">
        <v>168</v>
      </c>
      <c r="D807" s="286" t="s">
        <v>97</v>
      </c>
      <c r="E807" s="295">
        <v>2</v>
      </c>
      <c r="F807" s="295">
        <v>3</v>
      </c>
      <c r="G807" s="296">
        <v>0</v>
      </c>
      <c r="H807" s="296">
        <v>6400</v>
      </c>
      <c r="I807" s="296">
        <v>3200</v>
      </c>
      <c r="J807" s="296">
        <v>3360</v>
      </c>
      <c r="K807" s="296">
        <v>3040</v>
      </c>
      <c r="L807" s="296">
        <v>0</v>
      </c>
      <c r="M807" s="296">
        <v>3200</v>
      </c>
      <c r="N807" s="297">
        <v>0.5</v>
      </c>
    </row>
    <row r="808" spans="1:14" ht="18" customHeight="1">
      <c r="A808" s="293" t="s">
        <v>2410</v>
      </c>
      <c r="B808" s="294">
        <v>46133</v>
      </c>
      <c r="C808" s="286" t="s">
        <v>351</v>
      </c>
      <c r="D808" s="286" t="s">
        <v>106</v>
      </c>
      <c r="E808" s="295">
        <v>1</v>
      </c>
      <c r="F808" s="295">
        <v>1</v>
      </c>
      <c r="G808" s="296">
        <v>0</v>
      </c>
      <c r="H808" s="296">
        <v>4000</v>
      </c>
      <c r="I808" s="296">
        <v>2349</v>
      </c>
      <c r="J808" s="296">
        <v>2466.4500000000003</v>
      </c>
      <c r="K808" s="296">
        <v>1533.5499999999997</v>
      </c>
      <c r="L808" s="296">
        <v>460.06499999999988</v>
      </c>
      <c r="M808" s="296">
        <v>1651</v>
      </c>
      <c r="N808" s="297">
        <v>0.41275000000000001</v>
      </c>
    </row>
    <row r="809" spans="1:14" ht="18" customHeight="1">
      <c r="A809" s="293" t="s">
        <v>2411</v>
      </c>
      <c r="B809" s="294">
        <v>46133</v>
      </c>
      <c r="C809" s="286" t="s">
        <v>168</v>
      </c>
      <c r="D809" s="286" t="s">
        <v>99</v>
      </c>
      <c r="E809" s="295">
        <v>9</v>
      </c>
      <c r="F809" s="295">
        <v>13</v>
      </c>
      <c r="G809" s="296">
        <v>0</v>
      </c>
      <c r="H809" s="296">
        <v>6710</v>
      </c>
      <c r="I809" s="296">
        <v>2738.9</v>
      </c>
      <c r="J809" s="296">
        <v>2846.567</v>
      </c>
      <c r="K809" s="296">
        <v>3863.4330000000004</v>
      </c>
      <c r="L809" s="296">
        <v>0</v>
      </c>
      <c r="M809" s="296">
        <v>3971.1</v>
      </c>
      <c r="N809" s="297">
        <v>0.5918181818181818</v>
      </c>
    </row>
    <row r="810" spans="1:14" ht="18" customHeight="1">
      <c r="A810" s="293" t="s">
        <v>2412</v>
      </c>
      <c r="B810" s="294">
        <v>46134</v>
      </c>
      <c r="C810" s="286" t="s">
        <v>3773</v>
      </c>
      <c r="D810" s="286" t="s">
        <v>102</v>
      </c>
      <c r="E810" s="295">
        <v>3</v>
      </c>
      <c r="F810" s="295">
        <v>3</v>
      </c>
      <c r="G810" s="296">
        <v>0</v>
      </c>
      <c r="H810" s="296">
        <v>3250</v>
      </c>
      <c r="I810" s="296">
        <v>1880</v>
      </c>
      <c r="J810" s="296">
        <v>1974</v>
      </c>
      <c r="K810" s="296">
        <v>1276</v>
      </c>
      <c r="L810" s="296">
        <v>382.79999999999995</v>
      </c>
      <c r="M810" s="296">
        <v>1370</v>
      </c>
      <c r="N810" s="297">
        <v>0.42153846153846153</v>
      </c>
    </row>
    <row r="811" spans="1:14" ht="18" customHeight="1">
      <c r="A811" s="293" t="s">
        <v>2413</v>
      </c>
      <c r="B811" s="294">
        <v>46134</v>
      </c>
      <c r="C811" s="286" t="s">
        <v>168</v>
      </c>
      <c r="D811" s="286" t="s">
        <v>112</v>
      </c>
      <c r="E811" s="295">
        <v>3</v>
      </c>
      <c r="F811" s="295">
        <v>5</v>
      </c>
      <c r="G811" s="296">
        <v>0</v>
      </c>
      <c r="H811" s="296">
        <v>400</v>
      </c>
      <c r="I811" s="296">
        <v>168</v>
      </c>
      <c r="J811" s="296">
        <v>176.4</v>
      </c>
      <c r="K811" s="296">
        <v>223.6</v>
      </c>
      <c r="L811" s="296">
        <v>0</v>
      </c>
      <c r="M811" s="296">
        <v>232</v>
      </c>
      <c r="N811" s="297">
        <v>0.57999999999999996</v>
      </c>
    </row>
    <row r="812" spans="1:14" ht="18" customHeight="1">
      <c r="A812" s="293" t="s">
        <v>2414</v>
      </c>
      <c r="B812" s="294">
        <v>46134</v>
      </c>
      <c r="C812" s="286" t="s">
        <v>353</v>
      </c>
      <c r="D812" s="286" t="s">
        <v>108</v>
      </c>
      <c r="E812" s="295">
        <v>5</v>
      </c>
      <c r="F812" s="295">
        <v>5</v>
      </c>
      <c r="G812" s="296">
        <v>0</v>
      </c>
      <c r="H812" s="296">
        <v>12900</v>
      </c>
      <c r="I812" s="296">
        <v>2895</v>
      </c>
      <c r="J812" s="296">
        <v>3039.75</v>
      </c>
      <c r="K812" s="296">
        <v>9860.25</v>
      </c>
      <c r="L812" s="296">
        <v>2958.0749999999998</v>
      </c>
      <c r="M812" s="296">
        <v>10005</v>
      </c>
      <c r="N812" s="297">
        <v>0.77558139534883719</v>
      </c>
    </row>
    <row r="813" spans="1:14" ht="18" customHeight="1">
      <c r="A813" s="293" t="s">
        <v>2415</v>
      </c>
      <c r="B813" s="294">
        <v>46134</v>
      </c>
      <c r="C813" s="286" t="s">
        <v>168</v>
      </c>
      <c r="D813" s="286" t="s">
        <v>92</v>
      </c>
      <c r="E813" s="295">
        <v>2</v>
      </c>
      <c r="F813" s="295">
        <v>3</v>
      </c>
      <c r="G813" s="296">
        <v>0</v>
      </c>
      <c r="H813" s="296">
        <v>3200</v>
      </c>
      <c r="I813" s="296">
        <v>2200</v>
      </c>
      <c r="J813" s="296">
        <v>2310</v>
      </c>
      <c r="K813" s="296">
        <v>890</v>
      </c>
      <c r="L813" s="296">
        <v>0</v>
      </c>
      <c r="M813" s="296">
        <v>1000</v>
      </c>
      <c r="N813" s="297">
        <v>0.3125</v>
      </c>
    </row>
    <row r="814" spans="1:14" ht="18" customHeight="1">
      <c r="A814" s="293" t="s">
        <v>2416</v>
      </c>
      <c r="B814" s="294">
        <v>46134</v>
      </c>
      <c r="C814" s="286" t="s">
        <v>168</v>
      </c>
      <c r="D814" s="286" t="s">
        <v>121</v>
      </c>
      <c r="E814" s="295">
        <v>1</v>
      </c>
      <c r="F814" s="295">
        <v>1</v>
      </c>
      <c r="G814" s="296">
        <v>0</v>
      </c>
      <c r="H814" s="296">
        <v>1900</v>
      </c>
      <c r="I814" s="296">
        <v>1000</v>
      </c>
      <c r="J814" s="296">
        <v>1050</v>
      </c>
      <c r="K814" s="296">
        <v>850</v>
      </c>
      <c r="L814" s="296">
        <v>0</v>
      </c>
      <c r="M814" s="296">
        <v>900</v>
      </c>
      <c r="N814" s="297">
        <v>0.47368421052631576</v>
      </c>
    </row>
    <row r="815" spans="1:14" ht="18" customHeight="1">
      <c r="A815" s="293" t="s">
        <v>2417</v>
      </c>
      <c r="B815" s="294">
        <v>46134</v>
      </c>
      <c r="C815" s="286" t="s">
        <v>3773</v>
      </c>
      <c r="D815" s="286" t="s">
        <v>116</v>
      </c>
      <c r="E815" s="295">
        <v>2</v>
      </c>
      <c r="F815" s="295">
        <v>2</v>
      </c>
      <c r="G815" s="296">
        <v>0</v>
      </c>
      <c r="H815" s="296">
        <v>2500</v>
      </c>
      <c r="I815" s="296">
        <v>1850</v>
      </c>
      <c r="J815" s="296">
        <v>1942.5</v>
      </c>
      <c r="K815" s="296">
        <v>557.5</v>
      </c>
      <c r="L815" s="296">
        <v>167.25</v>
      </c>
      <c r="M815" s="296">
        <v>650</v>
      </c>
      <c r="N815" s="297">
        <v>0.26</v>
      </c>
    </row>
    <row r="816" spans="1:14" ht="18" customHeight="1">
      <c r="A816" s="293" t="s">
        <v>2418</v>
      </c>
      <c r="B816" s="294">
        <v>46134</v>
      </c>
      <c r="C816" s="286" t="s">
        <v>168</v>
      </c>
      <c r="D816" s="286" t="s">
        <v>96</v>
      </c>
      <c r="E816" s="295">
        <v>2</v>
      </c>
      <c r="F816" s="295">
        <v>3</v>
      </c>
      <c r="G816" s="296">
        <v>0</v>
      </c>
      <c r="H816" s="296">
        <v>490</v>
      </c>
      <c r="I816" s="296">
        <v>220</v>
      </c>
      <c r="J816" s="296">
        <v>231</v>
      </c>
      <c r="K816" s="296">
        <v>259</v>
      </c>
      <c r="L816" s="296">
        <v>0</v>
      </c>
      <c r="M816" s="296">
        <v>270</v>
      </c>
      <c r="N816" s="297">
        <v>0.55102040816326525</v>
      </c>
    </row>
    <row r="817" spans="1:14" ht="18" customHeight="1">
      <c r="A817" s="293" t="s">
        <v>2419</v>
      </c>
      <c r="B817" s="294">
        <v>46134</v>
      </c>
      <c r="C817" s="286" t="s">
        <v>168</v>
      </c>
      <c r="D817" s="286" t="s">
        <v>171</v>
      </c>
      <c r="E817" s="295">
        <v>3</v>
      </c>
      <c r="F817" s="295">
        <v>11</v>
      </c>
      <c r="G817" s="296">
        <v>0</v>
      </c>
      <c r="H817" s="296">
        <v>558</v>
      </c>
      <c r="I817" s="296">
        <v>59</v>
      </c>
      <c r="J817" s="296">
        <v>61.550000000000004</v>
      </c>
      <c r="K817" s="296">
        <v>496.45</v>
      </c>
      <c r="L817" s="296">
        <v>0</v>
      </c>
      <c r="M817" s="296">
        <v>499</v>
      </c>
      <c r="N817" s="297">
        <v>0.89426523297491034</v>
      </c>
    </row>
    <row r="818" spans="1:14" ht="18" customHeight="1">
      <c r="A818" s="293" t="s">
        <v>2420</v>
      </c>
      <c r="B818" s="294">
        <v>46134</v>
      </c>
      <c r="C818" s="286" t="s">
        <v>168</v>
      </c>
      <c r="D818" s="286" t="s">
        <v>124</v>
      </c>
      <c r="E818" s="295">
        <v>4</v>
      </c>
      <c r="F818" s="295">
        <v>7</v>
      </c>
      <c r="G818" s="296">
        <v>0</v>
      </c>
      <c r="H818" s="296">
        <v>1480</v>
      </c>
      <c r="I818" s="296">
        <v>652</v>
      </c>
      <c r="J818" s="296">
        <v>684.6</v>
      </c>
      <c r="K818" s="296">
        <v>795.4</v>
      </c>
      <c r="L818" s="296">
        <v>0</v>
      </c>
      <c r="M818" s="296">
        <v>828</v>
      </c>
      <c r="N818" s="297">
        <v>0.55945945945945941</v>
      </c>
    </row>
    <row r="819" spans="1:14" ht="18" customHeight="1">
      <c r="A819" s="293" t="s">
        <v>2421</v>
      </c>
      <c r="B819" s="294">
        <v>46134</v>
      </c>
      <c r="C819" s="286" t="s">
        <v>168</v>
      </c>
      <c r="D819" s="286" t="s">
        <v>131</v>
      </c>
      <c r="E819" s="295">
        <v>2</v>
      </c>
      <c r="F819" s="295">
        <v>8</v>
      </c>
      <c r="G819" s="296">
        <v>0</v>
      </c>
      <c r="H819" s="296">
        <v>5210</v>
      </c>
      <c r="I819" s="296">
        <v>3090</v>
      </c>
      <c r="J819" s="296">
        <v>3244.5</v>
      </c>
      <c r="K819" s="296">
        <v>1965.5</v>
      </c>
      <c r="L819" s="296">
        <v>0</v>
      </c>
      <c r="M819" s="296">
        <v>2120</v>
      </c>
      <c r="N819" s="297">
        <v>0.40690978886756241</v>
      </c>
    </row>
    <row r="820" spans="1:14" ht="18" customHeight="1">
      <c r="A820" s="293" t="s">
        <v>2422</v>
      </c>
      <c r="B820" s="294">
        <v>46134</v>
      </c>
      <c r="C820" s="286" t="s">
        <v>352</v>
      </c>
      <c r="D820" s="286" t="s">
        <v>143</v>
      </c>
      <c r="E820" s="295">
        <v>4</v>
      </c>
      <c r="F820" s="295">
        <v>14</v>
      </c>
      <c r="G820" s="296">
        <v>0</v>
      </c>
      <c r="H820" s="296">
        <v>5250</v>
      </c>
      <c r="I820" s="296">
        <v>413.1</v>
      </c>
      <c r="J820" s="296">
        <v>425.49300000000005</v>
      </c>
      <c r="K820" s="296">
        <v>4824.5069999999996</v>
      </c>
      <c r="L820" s="296">
        <v>1447.3521000000001</v>
      </c>
      <c r="M820" s="296">
        <v>4836.8999999999996</v>
      </c>
      <c r="N820" s="297">
        <v>0.92131428571428564</v>
      </c>
    </row>
    <row r="821" spans="1:14" ht="18" customHeight="1">
      <c r="A821" s="293" t="s">
        <v>2423</v>
      </c>
      <c r="B821" s="294">
        <v>46134</v>
      </c>
      <c r="C821" s="286" t="s">
        <v>168</v>
      </c>
      <c r="D821" s="286" t="s">
        <v>99</v>
      </c>
      <c r="E821" s="295">
        <v>5</v>
      </c>
      <c r="F821" s="295">
        <v>7</v>
      </c>
      <c r="G821" s="296">
        <v>0</v>
      </c>
      <c r="H821" s="296">
        <v>1146</v>
      </c>
      <c r="I821" s="296">
        <v>877.7</v>
      </c>
      <c r="J821" s="296">
        <v>913.63099999999997</v>
      </c>
      <c r="K821" s="296">
        <v>232.36899999999997</v>
      </c>
      <c r="L821" s="296">
        <v>0</v>
      </c>
      <c r="M821" s="296">
        <v>268.29999999999995</v>
      </c>
      <c r="N821" s="297">
        <v>0.23411867364746941</v>
      </c>
    </row>
    <row r="822" spans="1:14" ht="18" customHeight="1">
      <c r="A822" s="293" t="s">
        <v>2424</v>
      </c>
      <c r="B822" s="294">
        <v>46135</v>
      </c>
      <c r="C822" s="286" t="s">
        <v>353</v>
      </c>
      <c r="D822" s="286" t="s">
        <v>94</v>
      </c>
      <c r="E822" s="295">
        <v>1</v>
      </c>
      <c r="F822" s="295">
        <v>1</v>
      </c>
      <c r="G822" s="296">
        <v>0</v>
      </c>
      <c r="H822" s="296">
        <v>1800</v>
      </c>
      <c r="I822" s="296">
        <v>1150</v>
      </c>
      <c r="J822" s="296">
        <v>1207.5</v>
      </c>
      <c r="K822" s="296">
        <v>592.5</v>
      </c>
      <c r="L822" s="296">
        <v>177.75</v>
      </c>
      <c r="M822" s="296">
        <v>650</v>
      </c>
      <c r="N822" s="297">
        <v>0.3611111111111111</v>
      </c>
    </row>
    <row r="823" spans="1:14" ht="18" customHeight="1">
      <c r="A823" s="293" t="s">
        <v>2425</v>
      </c>
      <c r="B823" s="294">
        <v>46135</v>
      </c>
      <c r="C823" s="286" t="s">
        <v>3773</v>
      </c>
      <c r="D823" s="286" t="s">
        <v>116</v>
      </c>
      <c r="E823" s="295">
        <v>1</v>
      </c>
      <c r="F823" s="295">
        <v>1</v>
      </c>
      <c r="G823" s="296">
        <v>0</v>
      </c>
      <c r="H823" s="296">
        <v>538</v>
      </c>
      <c r="I823" s="296">
        <v>340</v>
      </c>
      <c r="J823" s="296">
        <v>357</v>
      </c>
      <c r="K823" s="296">
        <v>181</v>
      </c>
      <c r="L823" s="296">
        <v>54.3</v>
      </c>
      <c r="M823" s="296">
        <v>198</v>
      </c>
      <c r="N823" s="297">
        <v>0.36802973977695169</v>
      </c>
    </row>
    <row r="824" spans="1:14" ht="18" customHeight="1">
      <c r="A824" s="293" t="s">
        <v>2426</v>
      </c>
      <c r="B824" s="294">
        <v>46135</v>
      </c>
      <c r="C824" s="286" t="s">
        <v>168</v>
      </c>
      <c r="D824" s="286" t="s">
        <v>142</v>
      </c>
      <c r="E824" s="295">
        <v>1</v>
      </c>
      <c r="F824" s="295">
        <v>1</v>
      </c>
      <c r="G824" s="296">
        <v>0</v>
      </c>
      <c r="H824" s="296">
        <v>1900</v>
      </c>
      <c r="I824" s="296">
        <v>1300</v>
      </c>
      <c r="J824" s="296">
        <v>1365</v>
      </c>
      <c r="K824" s="296">
        <v>535</v>
      </c>
      <c r="L824" s="296">
        <v>0</v>
      </c>
      <c r="M824" s="296">
        <v>600</v>
      </c>
      <c r="N824" s="297">
        <v>0.31578947368421051</v>
      </c>
    </row>
    <row r="825" spans="1:14" ht="18" customHeight="1">
      <c r="A825" s="293" t="s">
        <v>2427</v>
      </c>
      <c r="B825" s="294">
        <v>46135</v>
      </c>
      <c r="C825" s="286" t="s">
        <v>168</v>
      </c>
      <c r="D825" s="286" t="s">
        <v>115</v>
      </c>
      <c r="E825" s="295">
        <v>1</v>
      </c>
      <c r="F825" s="295">
        <v>1</v>
      </c>
      <c r="G825" s="296">
        <v>0</v>
      </c>
      <c r="H825" s="296">
        <v>2000</v>
      </c>
      <c r="I825" s="296">
        <v>900</v>
      </c>
      <c r="J825" s="296">
        <v>945</v>
      </c>
      <c r="K825" s="296">
        <v>1055</v>
      </c>
      <c r="L825" s="296">
        <v>0</v>
      </c>
      <c r="M825" s="296">
        <v>1100</v>
      </c>
      <c r="N825" s="297">
        <v>0.55000000000000004</v>
      </c>
    </row>
    <row r="826" spans="1:14" ht="18" customHeight="1">
      <c r="A826" s="293" t="s">
        <v>2428</v>
      </c>
      <c r="B826" s="294">
        <v>46135</v>
      </c>
      <c r="C826" s="286" t="s">
        <v>168</v>
      </c>
      <c r="D826" s="286" t="s">
        <v>124</v>
      </c>
      <c r="E826" s="295">
        <v>1</v>
      </c>
      <c r="F826" s="295">
        <v>1</v>
      </c>
      <c r="G826" s="296">
        <v>0</v>
      </c>
      <c r="H826" s="296">
        <v>2200</v>
      </c>
      <c r="I826" s="296">
        <v>1250</v>
      </c>
      <c r="J826" s="296">
        <v>1312.5</v>
      </c>
      <c r="K826" s="296">
        <v>887.5</v>
      </c>
      <c r="L826" s="296">
        <v>0</v>
      </c>
      <c r="M826" s="296">
        <v>950</v>
      </c>
      <c r="N826" s="297">
        <v>0.43181818181818182</v>
      </c>
    </row>
    <row r="827" spans="1:14" ht="18" customHeight="1">
      <c r="A827" s="293" t="s">
        <v>2429</v>
      </c>
      <c r="B827" s="294">
        <v>46135</v>
      </c>
      <c r="C827" s="286" t="s">
        <v>168</v>
      </c>
      <c r="D827" s="286" t="s">
        <v>99</v>
      </c>
      <c r="E827" s="295">
        <v>1</v>
      </c>
      <c r="F827" s="295">
        <v>1</v>
      </c>
      <c r="G827" s="296">
        <v>0</v>
      </c>
      <c r="H827" s="296">
        <v>580</v>
      </c>
      <c r="I827" s="296">
        <v>480</v>
      </c>
      <c r="J827" s="296">
        <v>504</v>
      </c>
      <c r="K827" s="296">
        <v>76</v>
      </c>
      <c r="L827" s="296">
        <v>0</v>
      </c>
      <c r="M827" s="296">
        <v>100</v>
      </c>
      <c r="N827" s="297">
        <v>0.17241379310344829</v>
      </c>
    </row>
    <row r="828" spans="1:14" ht="18" customHeight="1">
      <c r="A828" s="293" t="s">
        <v>2430</v>
      </c>
      <c r="B828" s="294">
        <v>46136</v>
      </c>
      <c r="C828" s="286" t="s">
        <v>168</v>
      </c>
      <c r="D828" s="286" t="s">
        <v>112</v>
      </c>
      <c r="E828" s="295">
        <v>4</v>
      </c>
      <c r="F828" s="295">
        <v>4.4000000000000004</v>
      </c>
      <c r="G828" s="296">
        <v>0</v>
      </c>
      <c r="H828" s="296">
        <v>1350</v>
      </c>
      <c r="I828" s="296">
        <v>137.69999999999999</v>
      </c>
      <c r="J828" s="296">
        <v>141.83100000000002</v>
      </c>
      <c r="K828" s="296">
        <v>1208.1689999999999</v>
      </c>
      <c r="L828" s="296">
        <v>0</v>
      </c>
      <c r="M828" s="296">
        <v>1212.3</v>
      </c>
      <c r="N828" s="297">
        <v>0.89800000000000002</v>
      </c>
    </row>
    <row r="829" spans="1:14" ht="18" customHeight="1">
      <c r="A829" s="293" t="s">
        <v>2431</v>
      </c>
      <c r="B829" s="294">
        <v>46136</v>
      </c>
      <c r="C829" s="286" t="s">
        <v>353</v>
      </c>
      <c r="D829" s="286" t="s">
        <v>108</v>
      </c>
      <c r="E829" s="295">
        <v>1</v>
      </c>
      <c r="F829" s="295">
        <v>1</v>
      </c>
      <c r="G829" s="296">
        <v>0</v>
      </c>
      <c r="H829" s="296">
        <v>491</v>
      </c>
      <c r="I829" s="296">
        <v>290</v>
      </c>
      <c r="J829" s="296">
        <v>304.5</v>
      </c>
      <c r="K829" s="296">
        <v>186.5</v>
      </c>
      <c r="L829" s="296">
        <v>55.949999999999996</v>
      </c>
      <c r="M829" s="296">
        <v>201</v>
      </c>
      <c r="N829" s="297">
        <v>0.40936863543788188</v>
      </c>
    </row>
    <row r="830" spans="1:14" ht="18" customHeight="1">
      <c r="A830" s="293" t="s">
        <v>2432</v>
      </c>
      <c r="B830" s="294">
        <v>46136</v>
      </c>
      <c r="C830" s="286" t="s">
        <v>354</v>
      </c>
      <c r="D830" s="286" t="s">
        <v>109</v>
      </c>
      <c r="E830" s="295">
        <v>1</v>
      </c>
      <c r="F830" s="295">
        <v>1</v>
      </c>
      <c r="G830" s="296">
        <v>0</v>
      </c>
      <c r="H830" s="296">
        <v>312</v>
      </c>
      <c r="I830" s="296">
        <v>100</v>
      </c>
      <c r="J830" s="296">
        <v>105</v>
      </c>
      <c r="K830" s="296">
        <v>207</v>
      </c>
      <c r="L830" s="296">
        <v>62.099999999999994</v>
      </c>
      <c r="M830" s="296">
        <v>212</v>
      </c>
      <c r="N830" s="297">
        <v>0.67948717948717952</v>
      </c>
    </row>
    <row r="831" spans="1:14" ht="18" customHeight="1">
      <c r="A831" s="293" t="s">
        <v>2433</v>
      </c>
      <c r="B831" s="294">
        <v>46136</v>
      </c>
      <c r="C831" s="286" t="s">
        <v>359</v>
      </c>
      <c r="D831" s="286" t="s">
        <v>114</v>
      </c>
      <c r="E831" s="295">
        <v>1</v>
      </c>
      <c r="F831" s="295">
        <v>1</v>
      </c>
      <c r="G831" s="296">
        <v>0</v>
      </c>
      <c r="H831" s="296">
        <v>1786</v>
      </c>
      <c r="I831" s="296">
        <v>900</v>
      </c>
      <c r="J831" s="296">
        <v>945</v>
      </c>
      <c r="K831" s="296">
        <v>841</v>
      </c>
      <c r="L831" s="296">
        <v>252.29999999999998</v>
      </c>
      <c r="M831" s="296">
        <v>886</v>
      </c>
      <c r="N831" s="297">
        <v>0.49608062709966405</v>
      </c>
    </row>
    <row r="832" spans="1:14" ht="18" customHeight="1">
      <c r="A832" s="293" t="s">
        <v>2434</v>
      </c>
      <c r="B832" s="294">
        <v>46136</v>
      </c>
      <c r="C832" s="286" t="s">
        <v>3773</v>
      </c>
      <c r="D832" s="286" t="s">
        <v>194</v>
      </c>
      <c r="E832" s="295">
        <v>3</v>
      </c>
      <c r="F832" s="295">
        <v>15</v>
      </c>
      <c r="G832" s="296">
        <v>0</v>
      </c>
      <c r="H832" s="296">
        <v>1828</v>
      </c>
      <c r="I832" s="296">
        <v>1022.5</v>
      </c>
      <c r="J832" s="296">
        <v>1073.2249999999999</v>
      </c>
      <c r="K832" s="296">
        <v>754.77499999999998</v>
      </c>
      <c r="L832" s="296">
        <v>226.4325</v>
      </c>
      <c r="M832" s="296">
        <v>805.5</v>
      </c>
      <c r="N832" s="297">
        <v>0.44064551422319476</v>
      </c>
    </row>
    <row r="833" spans="1:14" ht="18" customHeight="1">
      <c r="A833" s="293" t="s">
        <v>2435</v>
      </c>
      <c r="B833" s="294">
        <v>46136</v>
      </c>
      <c r="C833" s="286" t="s">
        <v>3773</v>
      </c>
      <c r="D833" s="286" t="s">
        <v>116</v>
      </c>
      <c r="E833" s="295">
        <v>1</v>
      </c>
      <c r="F833" s="295">
        <v>1</v>
      </c>
      <c r="G833" s="296">
        <v>0</v>
      </c>
      <c r="H833" s="296">
        <v>1875</v>
      </c>
      <c r="I833" s="296">
        <v>1600</v>
      </c>
      <c r="J833" s="296">
        <v>1680</v>
      </c>
      <c r="K833" s="296">
        <v>195</v>
      </c>
      <c r="L833" s="296">
        <v>58.5</v>
      </c>
      <c r="M833" s="296">
        <v>275</v>
      </c>
      <c r="N833" s="297">
        <v>0.14666666666666667</v>
      </c>
    </row>
    <row r="834" spans="1:14" ht="18" customHeight="1">
      <c r="A834" s="293" t="s">
        <v>2436</v>
      </c>
      <c r="B834" s="294">
        <v>46136</v>
      </c>
      <c r="C834" s="286" t="s">
        <v>168</v>
      </c>
      <c r="D834" s="286" t="s">
        <v>195</v>
      </c>
      <c r="E834" s="295">
        <v>1</v>
      </c>
      <c r="F834" s="295">
        <v>1</v>
      </c>
      <c r="G834" s="296">
        <v>0</v>
      </c>
      <c r="H834" s="296">
        <v>360</v>
      </c>
      <c r="I834" s="296">
        <v>200</v>
      </c>
      <c r="J834" s="296">
        <v>210</v>
      </c>
      <c r="K834" s="296">
        <v>150</v>
      </c>
      <c r="L834" s="296">
        <v>0</v>
      </c>
      <c r="M834" s="296">
        <v>160</v>
      </c>
      <c r="N834" s="297">
        <v>0.44444444444444442</v>
      </c>
    </row>
    <row r="835" spans="1:14" ht="18" customHeight="1">
      <c r="A835" s="293" t="s">
        <v>2437</v>
      </c>
      <c r="B835" s="294">
        <v>46136</v>
      </c>
      <c r="C835" s="286" t="s">
        <v>168</v>
      </c>
      <c r="D835" s="286" t="s">
        <v>162</v>
      </c>
      <c r="E835" s="295">
        <v>2</v>
      </c>
      <c r="F835" s="295">
        <v>2</v>
      </c>
      <c r="G835" s="296">
        <v>0</v>
      </c>
      <c r="H835" s="296">
        <v>7740</v>
      </c>
      <c r="I835" s="296">
        <v>4255</v>
      </c>
      <c r="J835" s="296">
        <v>4382.6500000000005</v>
      </c>
      <c r="K835" s="296">
        <v>3357.3499999999995</v>
      </c>
      <c r="L835" s="296">
        <v>0</v>
      </c>
      <c r="M835" s="296">
        <v>3485</v>
      </c>
      <c r="N835" s="297">
        <v>0.45025839793281652</v>
      </c>
    </row>
    <row r="836" spans="1:14" ht="18" customHeight="1">
      <c r="A836" s="293" t="s">
        <v>2438</v>
      </c>
      <c r="B836" s="294">
        <v>46136</v>
      </c>
      <c r="C836" s="286" t="s">
        <v>168</v>
      </c>
      <c r="D836" s="286" t="s">
        <v>96</v>
      </c>
      <c r="E836" s="295">
        <v>2</v>
      </c>
      <c r="F836" s="295">
        <v>2</v>
      </c>
      <c r="G836" s="296">
        <v>0</v>
      </c>
      <c r="H836" s="296">
        <v>3386</v>
      </c>
      <c r="I836" s="296">
        <v>1800</v>
      </c>
      <c r="J836" s="296">
        <v>1890</v>
      </c>
      <c r="K836" s="296">
        <v>1496</v>
      </c>
      <c r="L836" s="296">
        <v>0</v>
      </c>
      <c r="M836" s="296">
        <v>1586</v>
      </c>
      <c r="N836" s="297">
        <v>0.46839929119905493</v>
      </c>
    </row>
    <row r="837" spans="1:14" ht="18" customHeight="1">
      <c r="A837" s="293" t="s">
        <v>2439</v>
      </c>
      <c r="B837" s="294">
        <v>46136</v>
      </c>
      <c r="C837" s="286" t="s">
        <v>168</v>
      </c>
      <c r="D837" s="286" t="s">
        <v>105</v>
      </c>
      <c r="E837" s="295">
        <v>2</v>
      </c>
      <c r="F837" s="295">
        <v>2</v>
      </c>
      <c r="G837" s="296">
        <v>0</v>
      </c>
      <c r="H837" s="296">
        <v>2277</v>
      </c>
      <c r="I837" s="296">
        <v>1050</v>
      </c>
      <c r="J837" s="296">
        <v>1102.5</v>
      </c>
      <c r="K837" s="296">
        <v>1174.5</v>
      </c>
      <c r="L837" s="296">
        <v>0</v>
      </c>
      <c r="M837" s="296">
        <v>1227</v>
      </c>
      <c r="N837" s="297">
        <v>0.53886693017127796</v>
      </c>
    </row>
    <row r="838" spans="1:14" ht="18" customHeight="1">
      <c r="A838" s="293" t="s">
        <v>2440</v>
      </c>
      <c r="B838" s="294">
        <v>46136</v>
      </c>
      <c r="C838" s="286" t="s">
        <v>168</v>
      </c>
      <c r="D838" s="286" t="s">
        <v>115</v>
      </c>
      <c r="E838" s="295">
        <v>1</v>
      </c>
      <c r="F838" s="295">
        <v>1</v>
      </c>
      <c r="G838" s="296">
        <v>0</v>
      </c>
      <c r="H838" s="296">
        <v>2000</v>
      </c>
      <c r="I838" s="296">
        <v>1350</v>
      </c>
      <c r="J838" s="296">
        <v>1417.5</v>
      </c>
      <c r="K838" s="296">
        <v>582.5</v>
      </c>
      <c r="L838" s="296">
        <v>0</v>
      </c>
      <c r="M838" s="296">
        <v>650</v>
      </c>
      <c r="N838" s="297">
        <v>0.32500000000000001</v>
      </c>
    </row>
    <row r="839" spans="1:14" ht="18" customHeight="1">
      <c r="A839" s="293" t="s">
        <v>2441</v>
      </c>
      <c r="B839" s="294">
        <v>46136</v>
      </c>
      <c r="C839" s="286" t="s">
        <v>168</v>
      </c>
      <c r="D839" s="286" t="s">
        <v>97</v>
      </c>
      <c r="E839" s="295">
        <v>1</v>
      </c>
      <c r="F839" s="295">
        <v>1</v>
      </c>
      <c r="G839" s="296">
        <v>0</v>
      </c>
      <c r="H839" s="296">
        <v>2200</v>
      </c>
      <c r="I839" s="296">
        <v>1250</v>
      </c>
      <c r="J839" s="296">
        <v>1312.5</v>
      </c>
      <c r="K839" s="296">
        <v>887.5</v>
      </c>
      <c r="L839" s="296">
        <v>0</v>
      </c>
      <c r="M839" s="296">
        <v>950</v>
      </c>
      <c r="N839" s="297">
        <v>0.43181818181818182</v>
      </c>
    </row>
    <row r="840" spans="1:14" ht="18" customHeight="1">
      <c r="A840" s="293" t="s">
        <v>2442</v>
      </c>
      <c r="B840" s="294">
        <v>46136</v>
      </c>
      <c r="C840" s="286" t="s">
        <v>168</v>
      </c>
      <c r="D840" s="286" t="s">
        <v>99</v>
      </c>
      <c r="E840" s="295">
        <v>1</v>
      </c>
      <c r="F840" s="295">
        <v>1</v>
      </c>
      <c r="G840" s="296">
        <v>0</v>
      </c>
      <c r="H840" s="296">
        <v>300</v>
      </c>
      <c r="I840" s="296">
        <v>85</v>
      </c>
      <c r="J840" s="296">
        <v>89.25</v>
      </c>
      <c r="K840" s="296">
        <v>210.75</v>
      </c>
      <c r="L840" s="296">
        <v>0</v>
      </c>
      <c r="M840" s="296">
        <v>215</v>
      </c>
      <c r="N840" s="297">
        <v>0.71666666666666667</v>
      </c>
    </row>
    <row r="841" spans="1:14" ht="18" customHeight="1">
      <c r="A841" s="293" t="s">
        <v>2443</v>
      </c>
      <c r="B841" s="294">
        <v>46137</v>
      </c>
      <c r="C841" s="286" t="s">
        <v>3773</v>
      </c>
      <c r="D841" s="286" t="s">
        <v>102</v>
      </c>
      <c r="E841" s="295">
        <v>2</v>
      </c>
      <c r="F841" s="295">
        <v>2</v>
      </c>
      <c r="G841" s="296">
        <v>0</v>
      </c>
      <c r="H841" s="296">
        <v>10086</v>
      </c>
      <c r="I841" s="296">
        <v>800</v>
      </c>
      <c r="J841" s="296">
        <v>840</v>
      </c>
      <c r="K841" s="296">
        <v>9246</v>
      </c>
      <c r="L841" s="296">
        <v>2773.8</v>
      </c>
      <c r="M841" s="296">
        <v>9286</v>
      </c>
      <c r="N841" s="297">
        <v>0.92068213365060481</v>
      </c>
    </row>
    <row r="842" spans="1:14" ht="18" customHeight="1">
      <c r="A842" s="293" t="s">
        <v>2444</v>
      </c>
      <c r="B842" s="294">
        <v>46137</v>
      </c>
      <c r="C842" s="286" t="s">
        <v>353</v>
      </c>
      <c r="D842" s="286" t="s">
        <v>94</v>
      </c>
      <c r="E842" s="295">
        <v>8</v>
      </c>
      <c r="F842" s="295">
        <v>11</v>
      </c>
      <c r="G842" s="296">
        <v>0</v>
      </c>
      <c r="H842" s="296">
        <v>6875</v>
      </c>
      <c r="I842" s="296">
        <v>4125</v>
      </c>
      <c r="J842" s="296">
        <v>4331.25</v>
      </c>
      <c r="K842" s="296">
        <v>2543.75</v>
      </c>
      <c r="L842" s="296">
        <v>763.125</v>
      </c>
      <c r="M842" s="296">
        <v>2750</v>
      </c>
      <c r="N842" s="297">
        <v>0.4</v>
      </c>
    </row>
    <row r="843" spans="1:14" ht="18" customHeight="1">
      <c r="A843" s="293" t="s">
        <v>2445</v>
      </c>
      <c r="B843" s="294">
        <v>46137</v>
      </c>
      <c r="C843" s="286" t="s">
        <v>168</v>
      </c>
      <c r="D843" s="286" t="s">
        <v>96</v>
      </c>
      <c r="E843" s="295">
        <v>3</v>
      </c>
      <c r="F843" s="295">
        <v>3</v>
      </c>
      <c r="G843" s="296">
        <v>0</v>
      </c>
      <c r="H843" s="296">
        <v>3567</v>
      </c>
      <c r="I843" s="296">
        <v>1902</v>
      </c>
      <c r="J843" s="296">
        <v>1997.1</v>
      </c>
      <c r="K843" s="296">
        <v>1569.9</v>
      </c>
      <c r="L843" s="296">
        <v>0</v>
      </c>
      <c r="M843" s="296">
        <v>1665</v>
      </c>
      <c r="N843" s="297">
        <v>0.46677880571909169</v>
      </c>
    </row>
    <row r="844" spans="1:14" ht="18" customHeight="1">
      <c r="A844" s="293" t="s">
        <v>2446</v>
      </c>
      <c r="B844" s="294">
        <v>46137</v>
      </c>
      <c r="C844" s="286" t="s">
        <v>168</v>
      </c>
      <c r="D844" s="286" t="s">
        <v>142</v>
      </c>
      <c r="E844" s="295">
        <v>1</v>
      </c>
      <c r="F844" s="295">
        <v>1</v>
      </c>
      <c r="G844" s="296">
        <v>0</v>
      </c>
      <c r="H844" s="296">
        <v>1900</v>
      </c>
      <c r="I844" s="296">
        <v>1150</v>
      </c>
      <c r="J844" s="296">
        <v>1207.5</v>
      </c>
      <c r="K844" s="296">
        <v>692.5</v>
      </c>
      <c r="L844" s="296">
        <v>0</v>
      </c>
      <c r="M844" s="296">
        <v>750</v>
      </c>
      <c r="N844" s="297">
        <v>0.39473684210526316</v>
      </c>
    </row>
    <row r="845" spans="1:14" ht="18" customHeight="1">
      <c r="A845" s="293" t="s">
        <v>2447</v>
      </c>
      <c r="B845" s="294">
        <v>46137</v>
      </c>
      <c r="C845" s="286" t="s">
        <v>168</v>
      </c>
      <c r="D845" s="286" t="s">
        <v>97</v>
      </c>
      <c r="E845" s="295">
        <v>1</v>
      </c>
      <c r="F845" s="295">
        <v>1</v>
      </c>
      <c r="G845" s="296">
        <v>0</v>
      </c>
      <c r="H845" s="296">
        <v>2000</v>
      </c>
      <c r="I845" s="296">
        <v>1400</v>
      </c>
      <c r="J845" s="296">
        <v>1470</v>
      </c>
      <c r="K845" s="296">
        <v>530</v>
      </c>
      <c r="L845" s="296">
        <v>0</v>
      </c>
      <c r="M845" s="296">
        <v>600</v>
      </c>
      <c r="N845" s="297">
        <v>0.3</v>
      </c>
    </row>
    <row r="846" spans="1:14" ht="18" customHeight="1">
      <c r="A846" s="293" t="s">
        <v>2448</v>
      </c>
      <c r="B846" s="294">
        <v>46137</v>
      </c>
      <c r="C846" s="286" t="s">
        <v>358</v>
      </c>
      <c r="D846" s="286" t="s">
        <v>98</v>
      </c>
      <c r="E846" s="295">
        <v>1</v>
      </c>
      <c r="F846" s="295">
        <v>1</v>
      </c>
      <c r="G846" s="296">
        <v>0</v>
      </c>
      <c r="H846" s="296">
        <v>8300</v>
      </c>
      <c r="I846" s="296">
        <v>0</v>
      </c>
      <c r="J846" s="296">
        <v>0</v>
      </c>
      <c r="K846" s="296">
        <v>8300</v>
      </c>
      <c r="L846" s="296">
        <v>2490</v>
      </c>
      <c r="M846" s="296">
        <v>8300</v>
      </c>
      <c r="N846" s="297">
        <v>1</v>
      </c>
    </row>
    <row r="847" spans="1:14" ht="18" customHeight="1">
      <c r="A847" s="293" t="s">
        <v>2449</v>
      </c>
      <c r="B847" s="294">
        <v>46137</v>
      </c>
      <c r="C847" s="286" t="s">
        <v>168</v>
      </c>
      <c r="D847" s="286" t="s">
        <v>99</v>
      </c>
      <c r="E847" s="295">
        <v>4</v>
      </c>
      <c r="F847" s="295">
        <v>3.4</v>
      </c>
      <c r="G847" s="296">
        <v>0</v>
      </c>
      <c r="H847" s="296">
        <v>2940</v>
      </c>
      <c r="I847" s="296">
        <v>2105.4</v>
      </c>
      <c r="J847" s="296">
        <v>2181.5820000000003</v>
      </c>
      <c r="K847" s="296">
        <v>758.41799999999989</v>
      </c>
      <c r="L847" s="296">
        <v>0</v>
      </c>
      <c r="M847" s="296">
        <v>834.59999999999991</v>
      </c>
      <c r="N847" s="297">
        <v>0.28387755102040813</v>
      </c>
    </row>
    <row r="848" spans="1:14" ht="18" customHeight="1">
      <c r="A848" s="293" t="s">
        <v>2450</v>
      </c>
      <c r="B848" s="294">
        <v>46139</v>
      </c>
      <c r="C848" s="286" t="s">
        <v>168</v>
      </c>
      <c r="D848" s="286" t="s">
        <v>196</v>
      </c>
      <c r="E848" s="295">
        <v>2</v>
      </c>
      <c r="F848" s="295">
        <v>3</v>
      </c>
      <c r="G848" s="296">
        <v>0</v>
      </c>
      <c r="H848" s="296">
        <v>420</v>
      </c>
      <c r="I848" s="296">
        <v>155</v>
      </c>
      <c r="J848" s="296">
        <v>162.75</v>
      </c>
      <c r="K848" s="296">
        <v>257.25</v>
      </c>
      <c r="L848" s="296">
        <v>0</v>
      </c>
      <c r="M848" s="296">
        <v>265</v>
      </c>
      <c r="N848" s="297">
        <v>0.63095238095238093</v>
      </c>
    </row>
    <row r="849" spans="1:14" ht="18" customHeight="1">
      <c r="A849" s="293" t="s">
        <v>2451</v>
      </c>
      <c r="B849" s="294">
        <v>46139</v>
      </c>
      <c r="C849" s="286" t="s">
        <v>3773</v>
      </c>
      <c r="D849" s="286" t="s">
        <v>102</v>
      </c>
      <c r="E849" s="295">
        <v>2</v>
      </c>
      <c r="F849" s="295">
        <v>2</v>
      </c>
      <c r="G849" s="296">
        <v>0</v>
      </c>
      <c r="H849" s="296">
        <v>2600</v>
      </c>
      <c r="I849" s="296">
        <v>1740</v>
      </c>
      <c r="J849" s="296">
        <v>1827</v>
      </c>
      <c r="K849" s="296">
        <v>773</v>
      </c>
      <c r="L849" s="296">
        <v>231.89999999999998</v>
      </c>
      <c r="M849" s="296">
        <v>860</v>
      </c>
      <c r="N849" s="297">
        <v>0.33076923076923076</v>
      </c>
    </row>
    <row r="850" spans="1:14" ht="18" customHeight="1">
      <c r="A850" s="293" t="s">
        <v>2452</v>
      </c>
      <c r="B850" s="294">
        <v>46139</v>
      </c>
      <c r="C850" s="286" t="s">
        <v>168</v>
      </c>
      <c r="D850" s="286" t="s">
        <v>197</v>
      </c>
      <c r="E850" s="295">
        <v>9</v>
      </c>
      <c r="F850" s="295">
        <v>17.399999999999999</v>
      </c>
      <c r="G850" s="296">
        <v>0</v>
      </c>
      <c r="H850" s="296">
        <v>2478</v>
      </c>
      <c r="I850" s="296">
        <v>888.30000000000007</v>
      </c>
      <c r="J850" s="296">
        <v>915.59900000000005</v>
      </c>
      <c r="K850" s="296">
        <v>1562.4009999999998</v>
      </c>
      <c r="L850" s="296">
        <v>0</v>
      </c>
      <c r="M850" s="296">
        <v>1589.6999999999998</v>
      </c>
      <c r="N850" s="297">
        <v>0.64152542372881349</v>
      </c>
    </row>
    <row r="851" spans="1:14" ht="18" customHeight="1">
      <c r="A851" s="293" t="s">
        <v>2453</v>
      </c>
      <c r="B851" s="294">
        <v>46139</v>
      </c>
      <c r="C851" s="286" t="s">
        <v>3773</v>
      </c>
      <c r="D851" s="286" t="s">
        <v>116</v>
      </c>
      <c r="E851" s="295">
        <v>1</v>
      </c>
      <c r="F851" s="295">
        <v>1</v>
      </c>
      <c r="G851" s="296">
        <v>0</v>
      </c>
      <c r="H851" s="296">
        <v>1800</v>
      </c>
      <c r="I851" s="296">
        <v>1150</v>
      </c>
      <c r="J851" s="296">
        <v>1207.5</v>
      </c>
      <c r="K851" s="296">
        <v>592.5</v>
      </c>
      <c r="L851" s="296">
        <v>177.75</v>
      </c>
      <c r="M851" s="296">
        <v>650</v>
      </c>
      <c r="N851" s="297">
        <v>0.3611111111111111</v>
      </c>
    </row>
    <row r="852" spans="1:14" ht="18" customHeight="1">
      <c r="A852" s="293" t="s">
        <v>2454</v>
      </c>
      <c r="B852" s="294">
        <v>46139</v>
      </c>
      <c r="C852" s="286" t="s">
        <v>168</v>
      </c>
      <c r="D852" s="286" t="s">
        <v>96</v>
      </c>
      <c r="E852" s="295">
        <v>1</v>
      </c>
      <c r="F852" s="295">
        <v>1</v>
      </c>
      <c r="G852" s="296">
        <v>0</v>
      </c>
      <c r="H852" s="296">
        <v>1500</v>
      </c>
      <c r="I852" s="296">
        <v>650</v>
      </c>
      <c r="J852" s="296">
        <v>682.5</v>
      </c>
      <c r="K852" s="296">
        <v>817.5</v>
      </c>
      <c r="L852" s="296">
        <v>0</v>
      </c>
      <c r="M852" s="296">
        <v>850</v>
      </c>
      <c r="N852" s="297">
        <v>0.56666666666666665</v>
      </c>
    </row>
    <row r="853" spans="1:14" ht="18" customHeight="1">
      <c r="A853" s="293" t="s">
        <v>2455</v>
      </c>
      <c r="B853" s="294">
        <v>46139</v>
      </c>
      <c r="C853" s="286" t="s">
        <v>168</v>
      </c>
      <c r="D853" s="286" t="s">
        <v>142</v>
      </c>
      <c r="E853" s="295">
        <v>1</v>
      </c>
      <c r="F853" s="295">
        <v>1</v>
      </c>
      <c r="G853" s="296">
        <v>0</v>
      </c>
      <c r="H853" s="296">
        <v>2000</v>
      </c>
      <c r="I853" s="296">
        <v>1300</v>
      </c>
      <c r="J853" s="296">
        <v>1365</v>
      </c>
      <c r="K853" s="296">
        <v>635</v>
      </c>
      <c r="L853" s="296">
        <v>0</v>
      </c>
      <c r="M853" s="296">
        <v>700</v>
      </c>
      <c r="N853" s="297">
        <v>0.35</v>
      </c>
    </row>
    <row r="854" spans="1:14" ht="18" customHeight="1">
      <c r="A854" s="293" t="s">
        <v>2456</v>
      </c>
      <c r="B854" s="294">
        <v>46139</v>
      </c>
      <c r="C854" s="286" t="s">
        <v>168</v>
      </c>
      <c r="D854" s="286" t="s">
        <v>115</v>
      </c>
      <c r="E854" s="295">
        <v>1</v>
      </c>
      <c r="F854" s="295">
        <v>1</v>
      </c>
      <c r="G854" s="296">
        <v>0</v>
      </c>
      <c r="H854" s="296">
        <v>2000</v>
      </c>
      <c r="I854" s="296">
        <v>800</v>
      </c>
      <c r="J854" s="296">
        <v>840</v>
      </c>
      <c r="K854" s="296">
        <v>1160</v>
      </c>
      <c r="L854" s="296">
        <v>0</v>
      </c>
      <c r="M854" s="296">
        <v>1200</v>
      </c>
      <c r="N854" s="297">
        <v>0.6</v>
      </c>
    </row>
    <row r="855" spans="1:14" ht="18" customHeight="1">
      <c r="A855" s="293" t="s">
        <v>2457</v>
      </c>
      <c r="B855" s="294">
        <v>46139</v>
      </c>
      <c r="C855" s="286" t="s">
        <v>168</v>
      </c>
      <c r="D855" s="286" t="s">
        <v>124</v>
      </c>
      <c r="E855" s="295">
        <v>5</v>
      </c>
      <c r="F855" s="295">
        <v>5</v>
      </c>
      <c r="G855" s="296">
        <v>0</v>
      </c>
      <c r="H855" s="296">
        <v>1160</v>
      </c>
      <c r="I855" s="296">
        <v>565</v>
      </c>
      <c r="J855" s="296">
        <v>586.65000000000009</v>
      </c>
      <c r="K855" s="296">
        <v>573.34999999999991</v>
      </c>
      <c r="L855" s="296">
        <v>0</v>
      </c>
      <c r="M855" s="296">
        <v>595</v>
      </c>
      <c r="N855" s="297">
        <v>0.51293103448275867</v>
      </c>
    </row>
    <row r="856" spans="1:14" ht="18" customHeight="1">
      <c r="A856" s="293" t="s">
        <v>2458</v>
      </c>
      <c r="B856" s="294">
        <v>46139</v>
      </c>
      <c r="C856" s="286" t="s">
        <v>168</v>
      </c>
      <c r="D856" s="286" t="s">
        <v>129</v>
      </c>
      <c r="E856" s="295">
        <v>4</v>
      </c>
      <c r="F856" s="295">
        <v>21</v>
      </c>
      <c r="G856" s="296">
        <v>0</v>
      </c>
      <c r="H856" s="296">
        <v>904</v>
      </c>
      <c r="I856" s="296">
        <v>520.4</v>
      </c>
      <c r="J856" s="296">
        <v>536.01199999999994</v>
      </c>
      <c r="K856" s="296">
        <v>367.988</v>
      </c>
      <c r="L856" s="296">
        <v>0</v>
      </c>
      <c r="M856" s="296">
        <v>383.6</v>
      </c>
      <c r="N856" s="297">
        <v>0.42433628318584071</v>
      </c>
    </row>
    <row r="857" spans="1:14" ht="18" customHeight="1">
      <c r="A857" s="293" t="s">
        <v>2459</v>
      </c>
      <c r="B857" s="294">
        <v>46139</v>
      </c>
      <c r="C857" s="286" t="s">
        <v>351</v>
      </c>
      <c r="D857" s="286" t="s">
        <v>106</v>
      </c>
      <c r="E857" s="295">
        <v>1</v>
      </c>
      <c r="F857" s="295">
        <v>10</v>
      </c>
      <c r="G857" s="296">
        <v>0</v>
      </c>
      <c r="H857" s="296">
        <v>450</v>
      </c>
      <c r="I857" s="296">
        <v>270</v>
      </c>
      <c r="J857" s="296">
        <v>283.5</v>
      </c>
      <c r="K857" s="296">
        <v>166.5</v>
      </c>
      <c r="L857" s="296">
        <v>49.949999999999996</v>
      </c>
      <c r="M857" s="296">
        <v>180</v>
      </c>
      <c r="N857" s="297">
        <v>0.4</v>
      </c>
    </row>
    <row r="858" spans="1:14" ht="18" customHeight="1">
      <c r="A858" s="293" t="s">
        <v>2460</v>
      </c>
      <c r="B858" s="294">
        <v>46139</v>
      </c>
      <c r="C858" s="286" t="s">
        <v>168</v>
      </c>
      <c r="D858" s="286" t="s">
        <v>99</v>
      </c>
      <c r="E858" s="295">
        <v>3</v>
      </c>
      <c r="F858" s="295">
        <v>4</v>
      </c>
      <c r="G858" s="296">
        <v>0</v>
      </c>
      <c r="H858" s="296">
        <v>666</v>
      </c>
      <c r="I858" s="296">
        <v>293</v>
      </c>
      <c r="J858" s="296">
        <v>303.19</v>
      </c>
      <c r="K858" s="296">
        <v>362.81</v>
      </c>
      <c r="L858" s="296">
        <v>0</v>
      </c>
      <c r="M858" s="296">
        <v>373</v>
      </c>
      <c r="N858" s="297">
        <v>0.56006006006006004</v>
      </c>
    </row>
    <row r="859" spans="1:14" ht="18" customHeight="1">
      <c r="A859" s="293" t="s">
        <v>2461</v>
      </c>
      <c r="B859" s="294">
        <v>46140</v>
      </c>
      <c r="C859" s="286" t="s">
        <v>168</v>
      </c>
      <c r="D859" s="286" t="s">
        <v>196</v>
      </c>
      <c r="E859" s="295">
        <v>1</v>
      </c>
      <c r="F859" s="295">
        <v>1</v>
      </c>
      <c r="G859" s="296">
        <v>0</v>
      </c>
      <c r="H859" s="296">
        <v>650</v>
      </c>
      <c r="I859" s="296">
        <v>480</v>
      </c>
      <c r="J859" s="296">
        <v>504</v>
      </c>
      <c r="K859" s="296">
        <v>146</v>
      </c>
      <c r="L859" s="296">
        <v>0</v>
      </c>
      <c r="M859" s="296">
        <v>170</v>
      </c>
      <c r="N859" s="297">
        <v>0.26153846153846155</v>
      </c>
    </row>
    <row r="860" spans="1:14" ht="18" customHeight="1">
      <c r="A860" s="293" t="s">
        <v>2462</v>
      </c>
      <c r="B860" s="294">
        <v>46140</v>
      </c>
      <c r="C860" s="286" t="s">
        <v>3773</v>
      </c>
      <c r="D860" s="286" t="s">
        <v>102</v>
      </c>
      <c r="E860" s="295">
        <v>1</v>
      </c>
      <c r="F860" s="295">
        <v>1</v>
      </c>
      <c r="G860" s="296">
        <v>0</v>
      </c>
      <c r="H860" s="296">
        <v>2100</v>
      </c>
      <c r="I860" s="296">
        <v>1100</v>
      </c>
      <c r="J860" s="296">
        <v>1155</v>
      </c>
      <c r="K860" s="296">
        <v>945</v>
      </c>
      <c r="L860" s="296">
        <v>283.5</v>
      </c>
      <c r="M860" s="296">
        <v>1000</v>
      </c>
      <c r="N860" s="297">
        <v>0.47619047619047616</v>
      </c>
    </row>
    <row r="861" spans="1:14" ht="18" customHeight="1">
      <c r="A861" s="293" t="s">
        <v>2463</v>
      </c>
      <c r="B861" s="294">
        <v>46140</v>
      </c>
      <c r="C861" s="286" t="s">
        <v>3773</v>
      </c>
      <c r="D861" s="286" t="s">
        <v>126</v>
      </c>
      <c r="E861" s="295">
        <v>2</v>
      </c>
      <c r="F861" s="295">
        <v>2</v>
      </c>
      <c r="G861" s="296">
        <v>0</v>
      </c>
      <c r="H861" s="296">
        <v>2800</v>
      </c>
      <c r="I861" s="296">
        <v>1500</v>
      </c>
      <c r="J861" s="296">
        <v>1575</v>
      </c>
      <c r="K861" s="296">
        <v>1225</v>
      </c>
      <c r="L861" s="296">
        <v>367.5</v>
      </c>
      <c r="M861" s="296">
        <v>1300</v>
      </c>
      <c r="N861" s="297">
        <v>0.4642857142857143</v>
      </c>
    </row>
    <row r="862" spans="1:14" ht="18" customHeight="1">
      <c r="A862" s="293" t="s">
        <v>2464</v>
      </c>
      <c r="B862" s="294">
        <v>46140</v>
      </c>
      <c r="C862" s="286" t="s">
        <v>353</v>
      </c>
      <c r="D862" s="286" t="s">
        <v>108</v>
      </c>
      <c r="E862" s="295">
        <v>1</v>
      </c>
      <c r="F862" s="295">
        <v>1</v>
      </c>
      <c r="G862" s="296">
        <v>0</v>
      </c>
      <c r="H862" s="296">
        <v>1900</v>
      </c>
      <c r="I862" s="296">
        <v>1100</v>
      </c>
      <c r="J862" s="296">
        <v>1155</v>
      </c>
      <c r="K862" s="296">
        <v>745</v>
      </c>
      <c r="L862" s="296">
        <v>223.5</v>
      </c>
      <c r="M862" s="296">
        <v>800</v>
      </c>
      <c r="N862" s="297">
        <v>0.42105263157894735</v>
      </c>
    </row>
    <row r="863" spans="1:14" ht="18" customHeight="1">
      <c r="A863" s="293" t="s">
        <v>2465</v>
      </c>
      <c r="B863" s="294">
        <v>46140</v>
      </c>
      <c r="C863" s="286" t="s">
        <v>168</v>
      </c>
      <c r="D863" s="286" t="s">
        <v>197</v>
      </c>
      <c r="E863" s="295">
        <v>2</v>
      </c>
      <c r="F863" s="295">
        <v>7</v>
      </c>
      <c r="G863" s="296">
        <v>0</v>
      </c>
      <c r="H863" s="296">
        <v>340</v>
      </c>
      <c r="I863" s="296">
        <v>162.5</v>
      </c>
      <c r="J863" s="296">
        <v>170.625</v>
      </c>
      <c r="K863" s="296">
        <v>169.375</v>
      </c>
      <c r="L863" s="296">
        <v>0</v>
      </c>
      <c r="M863" s="296">
        <v>177.5</v>
      </c>
      <c r="N863" s="297">
        <v>0.5220588235294118</v>
      </c>
    </row>
    <row r="864" spans="1:14" ht="18" customHeight="1">
      <c r="A864" s="293" t="s">
        <v>2466</v>
      </c>
      <c r="B864" s="294">
        <v>46140</v>
      </c>
      <c r="C864" s="286" t="s">
        <v>359</v>
      </c>
      <c r="D864" s="286" t="s">
        <v>114</v>
      </c>
      <c r="E864" s="295">
        <v>4</v>
      </c>
      <c r="F864" s="295">
        <v>18</v>
      </c>
      <c r="G864" s="296">
        <v>0</v>
      </c>
      <c r="H864" s="296">
        <v>2191</v>
      </c>
      <c r="I864" s="296">
        <v>1373</v>
      </c>
      <c r="J864" s="296">
        <v>1440.9499999999998</v>
      </c>
      <c r="K864" s="296">
        <v>750.05000000000007</v>
      </c>
      <c r="L864" s="296">
        <v>225.01499999999999</v>
      </c>
      <c r="M864" s="296">
        <v>818</v>
      </c>
      <c r="N864" s="297">
        <v>0.37334550433591968</v>
      </c>
    </row>
    <row r="865" spans="1:14" ht="18" customHeight="1">
      <c r="A865" s="293" t="s">
        <v>2467</v>
      </c>
      <c r="B865" s="294">
        <v>46140</v>
      </c>
      <c r="C865" s="286" t="s">
        <v>168</v>
      </c>
      <c r="D865" s="286" t="s">
        <v>121</v>
      </c>
      <c r="E865" s="295">
        <v>3</v>
      </c>
      <c r="F865" s="295">
        <v>3</v>
      </c>
      <c r="G865" s="296">
        <v>0</v>
      </c>
      <c r="H865" s="296">
        <v>11300</v>
      </c>
      <c r="I865" s="296">
        <v>1250</v>
      </c>
      <c r="J865" s="296">
        <v>1312.5</v>
      </c>
      <c r="K865" s="296">
        <v>9987.5</v>
      </c>
      <c r="L865" s="296">
        <v>0</v>
      </c>
      <c r="M865" s="296">
        <v>10050</v>
      </c>
      <c r="N865" s="297">
        <v>0.88938053097345138</v>
      </c>
    </row>
    <row r="866" spans="1:14" ht="18" customHeight="1">
      <c r="A866" s="293" t="s">
        <v>2468</v>
      </c>
      <c r="B866" s="294">
        <v>46140</v>
      </c>
      <c r="C866" s="286" t="s">
        <v>168</v>
      </c>
      <c r="D866" s="286" t="s">
        <v>198</v>
      </c>
      <c r="E866" s="295">
        <v>1</v>
      </c>
      <c r="F866" s="295">
        <v>5</v>
      </c>
      <c r="G866" s="296">
        <v>0</v>
      </c>
      <c r="H866" s="296">
        <v>175</v>
      </c>
      <c r="I866" s="296">
        <v>70</v>
      </c>
      <c r="J866" s="296">
        <v>72.100000000000009</v>
      </c>
      <c r="K866" s="296">
        <v>102.89999999999999</v>
      </c>
      <c r="L866" s="296">
        <v>0</v>
      </c>
      <c r="M866" s="296">
        <v>105</v>
      </c>
      <c r="N866" s="297">
        <v>0.6</v>
      </c>
    </row>
    <row r="867" spans="1:14" ht="18" customHeight="1">
      <c r="A867" s="293" t="s">
        <v>2469</v>
      </c>
      <c r="B867" s="294">
        <v>46140</v>
      </c>
      <c r="C867" s="286" t="s">
        <v>353</v>
      </c>
      <c r="D867" s="286" t="s">
        <v>94</v>
      </c>
      <c r="E867" s="295">
        <v>1</v>
      </c>
      <c r="F867" s="295">
        <v>1</v>
      </c>
      <c r="G867" s="296">
        <v>0</v>
      </c>
      <c r="H867" s="296">
        <v>700</v>
      </c>
      <c r="I867" s="296">
        <v>350</v>
      </c>
      <c r="J867" s="296">
        <v>367.5</v>
      </c>
      <c r="K867" s="296">
        <v>332.5</v>
      </c>
      <c r="L867" s="296">
        <v>99.75</v>
      </c>
      <c r="M867" s="296">
        <v>350</v>
      </c>
      <c r="N867" s="297">
        <v>0.5</v>
      </c>
    </row>
    <row r="868" spans="1:14" ht="18" customHeight="1">
      <c r="A868" s="293" t="s">
        <v>2470</v>
      </c>
      <c r="B868" s="294">
        <v>46140</v>
      </c>
      <c r="C868" s="286" t="s">
        <v>3773</v>
      </c>
      <c r="D868" s="286" t="s">
        <v>116</v>
      </c>
      <c r="E868" s="295">
        <v>2</v>
      </c>
      <c r="F868" s="295">
        <v>2</v>
      </c>
      <c r="G868" s="296">
        <v>0</v>
      </c>
      <c r="H868" s="296">
        <v>1150</v>
      </c>
      <c r="I868" s="296">
        <v>620</v>
      </c>
      <c r="J868" s="296">
        <v>651</v>
      </c>
      <c r="K868" s="296">
        <v>499</v>
      </c>
      <c r="L868" s="296">
        <v>149.69999999999999</v>
      </c>
      <c r="M868" s="296">
        <v>530</v>
      </c>
      <c r="N868" s="297">
        <v>0.46086956521739131</v>
      </c>
    </row>
    <row r="869" spans="1:14" ht="18" customHeight="1">
      <c r="A869" s="293" t="s">
        <v>2471</v>
      </c>
      <c r="B869" s="294">
        <v>46140</v>
      </c>
      <c r="C869" s="286" t="s">
        <v>168</v>
      </c>
      <c r="D869" s="286" t="s">
        <v>199</v>
      </c>
      <c r="E869" s="295">
        <v>1</v>
      </c>
      <c r="F869" s="295">
        <v>1</v>
      </c>
      <c r="G869" s="296">
        <v>0</v>
      </c>
      <c r="H869" s="296">
        <v>1900</v>
      </c>
      <c r="I869" s="296">
        <v>1200</v>
      </c>
      <c r="J869" s="296">
        <v>1260</v>
      </c>
      <c r="K869" s="296">
        <v>640</v>
      </c>
      <c r="L869" s="296">
        <v>0</v>
      </c>
      <c r="M869" s="296">
        <v>700</v>
      </c>
      <c r="N869" s="297">
        <v>0.36842105263157893</v>
      </c>
    </row>
    <row r="870" spans="1:14" ht="18" customHeight="1">
      <c r="A870" s="293" t="s">
        <v>2472</v>
      </c>
      <c r="B870" s="294">
        <v>46140</v>
      </c>
      <c r="C870" s="286" t="s">
        <v>168</v>
      </c>
      <c r="D870" s="286" t="s">
        <v>96</v>
      </c>
      <c r="E870" s="295">
        <v>3</v>
      </c>
      <c r="F870" s="295">
        <v>3</v>
      </c>
      <c r="G870" s="296">
        <v>0</v>
      </c>
      <c r="H870" s="296">
        <v>9650</v>
      </c>
      <c r="I870" s="296">
        <v>620</v>
      </c>
      <c r="J870" s="296">
        <v>651</v>
      </c>
      <c r="K870" s="296">
        <v>8999</v>
      </c>
      <c r="L870" s="296">
        <v>0</v>
      </c>
      <c r="M870" s="296">
        <v>9030</v>
      </c>
      <c r="N870" s="297">
        <v>0.93575129533678758</v>
      </c>
    </row>
    <row r="871" spans="1:14" ht="18" customHeight="1">
      <c r="A871" s="293" t="s">
        <v>2473</v>
      </c>
      <c r="B871" s="294">
        <v>46140</v>
      </c>
      <c r="C871" s="286" t="s">
        <v>168</v>
      </c>
      <c r="D871" s="286" t="s">
        <v>104</v>
      </c>
      <c r="E871" s="295">
        <v>3</v>
      </c>
      <c r="F871" s="295">
        <v>4</v>
      </c>
      <c r="G871" s="296">
        <v>0</v>
      </c>
      <c r="H871" s="296">
        <v>905</v>
      </c>
      <c r="I871" s="296">
        <v>611</v>
      </c>
      <c r="J871" s="296">
        <v>638.92999999999995</v>
      </c>
      <c r="K871" s="296">
        <v>266.07</v>
      </c>
      <c r="L871" s="296">
        <v>0</v>
      </c>
      <c r="M871" s="296">
        <v>294</v>
      </c>
      <c r="N871" s="297">
        <v>0.32486187845303865</v>
      </c>
    </row>
    <row r="872" spans="1:14" ht="18" customHeight="1">
      <c r="A872" s="293" t="s">
        <v>2474</v>
      </c>
      <c r="B872" s="294">
        <v>46140</v>
      </c>
      <c r="C872" s="286" t="s">
        <v>168</v>
      </c>
      <c r="D872" s="286" t="s">
        <v>105</v>
      </c>
      <c r="E872" s="295">
        <v>1</v>
      </c>
      <c r="F872" s="295">
        <v>1</v>
      </c>
      <c r="G872" s="296">
        <v>0</v>
      </c>
      <c r="H872" s="296">
        <v>8300</v>
      </c>
      <c r="I872" s="296">
        <v>0</v>
      </c>
      <c r="J872" s="296">
        <v>0</v>
      </c>
      <c r="K872" s="296">
        <v>8300</v>
      </c>
      <c r="L872" s="296">
        <v>0</v>
      </c>
      <c r="M872" s="296">
        <v>8300</v>
      </c>
      <c r="N872" s="297">
        <v>1</v>
      </c>
    </row>
    <row r="873" spans="1:14" ht="18" customHeight="1">
      <c r="A873" s="293" t="s">
        <v>2475</v>
      </c>
      <c r="B873" s="294">
        <v>46140</v>
      </c>
      <c r="C873" s="286" t="s">
        <v>168</v>
      </c>
      <c r="D873" s="286" t="s">
        <v>124</v>
      </c>
      <c r="E873" s="295">
        <v>2</v>
      </c>
      <c r="F873" s="295">
        <v>2</v>
      </c>
      <c r="G873" s="296">
        <v>0</v>
      </c>
      <c r="H873" s="296">
        <v>2400</v>
      </c>
      <c r="I873" s="296">
        <v>950</v>
      </c>
      <c r="J873" s="296">
        <v>997.5</v>
      </c>
      <c r="K873" s="296">
        <v>1402.5</v>
      </c>
      <c r="L873" s="296">
        <v>0</v>
      </c>
      <c r="M873" s="296">
        <v>1450</v>
      </c>
      <c r="N873" s="297">
        <v>0.60416666666666663</v>
      </c>
    </row>
    <row r="874" spans="1:14" ht="18" customHeight="1">
      <c r="A874" s="293" t="s">
        <v>2476</v>
      </c>
      <c r="B874" s="294">
        <v>46140</v>
      </c>
      <c r="C874" s="286" t="s">
        <v>168</v>
      </c>
      <c r="D874" s="286" t="s">
        <v>144</v>
      </c>
      <c r="E874" s="295">
        <v>2</v>
      </c>
      <c r="F874" s="295">
        <v>7</v>
      </c>
      <c r="G874" s="296">
        <v>0</v>
      </c>
      <c r="H874" s="296">
        <v>2677</v>
      </c>
      <c r="I874" s="296">
        <v>1590</v>
      </c>
      <c r="J874" s="296">
        <v>1669.5</v>
      </c>
      <c r="K874" s="296">
        <v>1007.5</v>
      </c>
      <c r="L874" s="296">
        <v>0</v>
      </c>
      <c r="M874" s="296">
        <v>1087</v>
      </c>
      <c r="N874" s="297">
        <v>0.40605155024280909</v>
      </c>
    </row>
    <row r="875" spans="1:14" ht="18" customHeight="1">
      <c r="A875" s="293" t="s">
        <v>2477</v>
      </c>
      <c r="B875" s="294">
        <v>46140</v>
      </c>
      <c r="C875" s="286" t="s">
        <v>168</v>
      </c>
      <c r="D875" s="286" t="s">
        <v>99</v>
      </c>
      <c r="E875" s="295">
        <v>7</v>
      </c>
      <c r="F875" s="295">
        <v>16</v>
      </c>
      <c r="G875" s="296">
        <v>0</v>
      </c>
      <c r="H875" s="296">
        <v>2711</v>
      </c>
      <c r="I875" s="296">
        <v>1838.32</v>
      </c>
      <c r="J875" s="296">
        <v>1924.6016</v>
      </c>
      <c r="K875" s="296">
        <v>786.39840000000004</v>
      </c>
      <c r="L875" s="296">
        <v>0</v>
      </c>
      <c r="M875" s="296">
        <v>872.68000000000006</v>
      </c>
      <c r="N875" s="297">
        <v>0.32190335669494652</v>
      </c>
    </row>
    <row r="876" spans="1:14" ht="18" customHeight="1">
      <c r="A876" s="293" t="s">
        <v>2478</v>
      </c>
      <c r="B876" s="294">
        <v>46141</v>
      </c>
      <c r="C876" s="286" t="s">
        <v>3773</v>
      </c>
      <c r="D876" s="286" t="s">
        <v>102</v>
      </c>
      <c r="E876" s="295">
        <v>1</v>
      </c>
      <c r="F876" s="295">
        <v>1</v>
      </c>
      <c r="G876" s="296">
        <v>0</v>
      </c>
      <c r="H876" s="296">
        <v>2000</v>
      </c>
      <c r="I876" s="296">
        <v>0</v>
      </c>
      <c r="J876" s="296">
        <v>0</v>
      </c>
      <c r="K876" s="296">
        <v>2000</v>
      </c>
      <c r="L876" s="296">
        <v>600</v>
      </c>
      <c r="M876" s="296">
        <v>2000</v>
      </c>
      <c r="N876" s="297">
        <v>1</v>
      </c>
    </row>
    <row r="877" spans="1:14" ht="18" customHeight="1">
      <c r="A877" s="293" t="s">
        <v>2479</v>
      </c>
      <c r="B877" s="294">
        <v>46141</v>
      </c>
      <c r="C877" s="286" t="s">
        <v>353</v>
      </c>
      <c r="D877" s="286" t="s">
        <v>108</v>
      </c>
      <c r="E877" s="295">
        <v>2</v>
      </c>
      <c r="F877" s="295">
        <v>2</v>
      </c>
      <c r="G877" s="296">
        <v>0</v>
      </c>
      <c r="H877" s="296">
        <v>3800</v>
      </c>
      <c r="I877" s="296">
        <v>2000</v>
      </c>
      <c r="J877" s="296">
        <v>2100</v>
      </c>
      <c r="K877" s="296">
        <v>1700</v>
      </c>
      <c r="L877" s="296">
        <v>510</v>
      </c>
      <c r="M877" s="296">
        <v>1800</v>
      </c>
      <c r="N877" s="297">
        <v>0.47368421052631576</v>
      </c>
    </row>
    <row r="878" spans="1:14" ht="18" customHeight="1">
      <c r="A878" s="293" t="s">
        <v>2480</v>
      </c>
      <c r="B878" s="294">
        <v>46141</v>
      </c>
      <c r="C878" s="286" t="s">
        <v>168</v>
      </c>
      <c r="D878" s="286" t="s">
        <v>92</v>
      </c>
      <c r="E878" s="295">
        <v>1</v>
      </c>
      <c r="F878" s="295">
        <v>1</v>
      </c>
      <c r="G878" s="296">
        <v>0</v>
      </c>
      <c r="H878" s="296">
        <v>8500</v>
      </c>
      <c r="I878" s="296">
        <v>0</v>
      </c>
      <c r="J878" s="296">
        <v>0</v>
      </c>
      <c r="K878" s="296">
        <v>8500</v>
      </c>
      <c r="L878" s="296">
        <v>0</v>
      </c>
      <c r="M878" s="296">
        <v>8500</v>
      </c>
      <c r="N878" s="297">
        <v>1</v>
      </c>
    </row>
    <row r="879" spans="1:14" ht="18" customHeight="1">
      <c r="A879" s="293" t="s">
        <v>2481</v>
      </c>
      <c r="B879" s="294">
        <v>46141</v>
      </c>
      <c r="C879" s="286" t="s">
        <v>168</v>
      </c>
      <c r="D879" s="286" t="s">
        <v>175</v>
      </c>
      <c r="E879" s="295">
        <v>1</v>
      </c>
      <c r="F879" s="295">
        <v>4</v>
      </c>
      <c r="G879" s="296">
        <v>0</v>
      </c>
      <c r="H879" s="296">
        <v>2800</v>
      </c>
      <c r="I879" s="296">
        <v>1520</v>
      </c>
      <c r="J879" s="296">
        <v>1596</v>
      </c>
      <c r="K879" s="296">
        <v>1204</v>
      </c>
      <c r="L879" s="296">
        <v>0</v>
      </c>
      <c r="M879" s="296">
        <v>1280</v>
      </c>
      <c r="N879" s="297">
        <v>0.45714285714285713</v>
      </c>
    </row>
    <row r="880" spans="1:14" ht="18" customHeight="1">
      <c r="A880" s="293" t="s">
        <v>2482</v>
      </c>
      <c r="B880" s="294">
        <v>46141</v>
      </c>
      <c r="C880" s="286" t="s">
        <v>353</v>
      </c>
      <c r="D880" s="286" t="s">
        <v>94</v>
      </c>
      <c r="E880" s="295">
        <v>2</v>
      </c>
      <c r="F880" s="295">
        <v>2</v>
      </c>
      <c r="G880" s="296">
        <v>0</v>
      </c>
      <c r="H880" s="296">
        <v>3700</v>
      </c>
      <c r="I880" s="296">
        <v>2450</v>
      </c>
      <c r="J880" s="296">
        <v>2572.5</v>
      </c>
      <c r="K880" s="296">
        <v>1127.5</v>
      </c>
      <c r="L880" s="296">
        <v>338.25</v>
      </c>
      <c r="M880" s="296">
        <v>1250</v>
      </c>
      <c r="N880" s="297">
        <v>0.33783783783783783</v>
      </c>
    </row>
    <row r="881" spans="1:14" ht="18" customHeight="1">
      <c r="A881" s="293" t="s">
        <v>2483</v>
      </c>
      <c r="B881" s="294">
        <v>46141</v>
      </c>
      <c r="C881" s="286" t="s">
        <v>356</v>
      </c>
      <c r="D881" s="286" t="s">
        <v>200</v>
      </c>
      <c r="E881" s="295">
        <v>1</v>
      </c>
      <c r="F881" s="295">
        <v>1</v>
      </c>
      <c r="G881" s="296">
        <v>0</v>
      </c>
      <c r="H881" s="296">
        <v>5600</v>
      </c>
      <c r="I881" s="296">
        <v>3200</v>
      </c>
      <c r="J881" s="296">
        <v>3360</v>
      </c>
      <c r="K881" s="296">
        <v>2240</v>
      </c>
      <c r="L881" s="296">
        <v>672</v>
      </c>
      <c r="M881" s="296">
        <v>2400</v>
      </c>
      <c r="N881" s="297">
        <v>0.42857142857142855</v>
      </c>
    </row>
    <row r="882" spans="1:14" ht="18" customHeight="1">
      <c r="A882" s="293" t="s">
        <v>2484</v>
      </c>
      <c r="B882" s="294">
        <v>46141</v>
      </c>
      <c r="C882" s="286" t="s">
        <v>168</v>
      </c>
      <c r="D882" s="286" t="s">
        <v>96</v>
      </c>
      <c r="E882" s="295">
        <v>4</v>
      </c>
      <c r="F882" s="295">
        <v>4</v>
      </c>
      <c r="G882" s="296">
        <v>0</v>
      </c>
      <c r="H882" s="296">
        <v>2790</v>
      </c>
      <c r="I882" s="296">
        <v>1300</v>
      </c>
      <c r="J882" s="296">
        <v>1365</v>
      </c>
      <c r="K882" s="296">
        <v>1425</v>
      </c>
      <c r="L882" s="296">
        <v>0</v>
      </c>
      <c r="M882" s="296">
        <v>1490</v>
      </c>
      <c r="N882" s="297">
        <v>0.53405017921146958</v>
      </c>
    </row>
    <row r="883" spans="1:14" ht="18" customHeight="1">
      <c r="A883" s="293" t="s">
        <v>2485</v>
      </c>
      <c r="B883" s="294">
        <v>46141</v>
      </c>
      <c r="C883" s="286" t="s">
        <v>168</v>
      </c>
      <c r="D883" s="286" t="s">
        <v>124</v>
      </c>
      <c r="E883" s="295">
        <v>3</v>
      </c>
      <c r="F883" s="295">
        <v>4</v>
      </c>
      <c r="G883" s="296">
        <v>0</v>
      </c>
      <c r="H883" s="296">
        <v>970</v>
      </c>
      <c r="I883" s="296">
        <v>425</v>
      </c>
      <c r="J883" s="296">
        <v>446.25</v>
      </c>
      <c r="K883" s="296">
        <v>523.75</v>
      </c>
      <c r="L883" s="296">
        <v>0</v>
      </c>
      <c r="M883" s="296">
        <v>545</v>
      </c>
      <c r="N883" s="297">
        <v>0.56185567010309279</v>
      </c>
    </row>
    <row r="884" spans="1:14" ht="18" customHeight="1">
      <c r="A884" s="293" t="s">
        <v>2486</v>
      </c>
      <c r="B884" s="294">
        <v>46141</v>
      </c>
      <c r="C884" s="286" t="s">
        <v>168</v>
      </c>
      <c r="D884" s="286" t="s">
        <v>97</v>
      </c>
      <c r="E884" s="295">
        <v>1</v>
      </c>
      <c r="F884" s="295">
        <v>1</v>
      </c>
      <c r="G884" s="296">
        <v>0</v>
      </c>
      <c r="H884" s="296">
        <v>2000</v>
      </c>
      <c r="I884" s="296">
        <v>780</v>
      </c>
      <c r="J884" s="296">
        <v>819</v>
      </c>
      <c r="K884" s="296">
        <v>1181</v>
      </c>
      <c r="L884" s="296">
        <v>0</v>
      </c>
      <c r="M884" s="296">
        <v>1220</v>
      </c>
      <c r="N884" s="297">
        <v>0.61</v>
      </c>
    </row>
    <row r="885" spans="1:14" ht="18" customHeight="1">
      <c r="A885" s="293" t="s">
        <v>2487</v>
      </c>
      <c r="B885" s="294">
        <v>46141</v>
      </c>
      <c r="C885" s="286" t="s">
        <v>168</v>
      </c>
      <c r="D885" s="286" t="s">
        <v>185</v>
      </c>
      <c r="E885" s="295">
        <v>6</v>
      </c>
      <c r="F885" s="295">
        <v>20.399999999999999</v>
      </c>
      <c r="G885" s="296">
        <v>0</v>
      </c>
      <c r="H885" s="296">
        <v>2000</v>
      </c>
      <c r="I885" s="296">
        <v>527.70000000000005</v>
      </c>
      <c r="J885" s="296">
        <v>549.83100000000002</v>
      </c>
      <c r="K885" s="296">
        <v>1450.1689999999999</v>
      </c>
      <c r="L885" s="296">
        <v>0</v>
      </c>
      <c r="M885" s="296">
        <v>1472.3</v>
      </c>
      <c r="N885" s="297">
        <v>0.73614999999999997</v>
      </c>
    </row>
    <row r="886" spans="1:14" ht="18" customHeight="1">
      <c r="A886" s="293" t="s">
        <v>2488</v>
      </c>
      <c r="B886" s="294">
        <v>46141</v>
      </c>
      <c r="C886" s="286" t="s">
        <v>168</v>
      </c>
      <c r="D886" s="286" t="s">
        <v>99</v>
      </c>
      <c r="E886" s="295">
        <v>2</v>
      </c>
      <c r="F886" s="295">
        <v>2</v>
      </c>
      <c r="G886" s="296">
        <v>0</v>
      </c>
      <c r="H886" s="296">
        <v>235</v>
      </c>
      <c r="I886" s="296">
        <v>94</v>
      </c>
      <c r="J886" s="296">
        <v>98.22</v>
      </c>
      <c r="K886" s="296">
        <v>136.78</v>
      </c>
      <c r="L886" s="296">
        <v>0</v>
      </c>
      <c r="M886" s="296">
        <v>141</v>
      </c>
      <c r="N886" s="297">
        <v>0.6</v>
      </c>
    </row>
    <row r="887" spans="1:14" ht="18" customHeight="1">
      <c r="A887" s="293" t="s">
        <v>2489</v>
      </c>
      <c r="B887" s="294">
        <v>46142</v>
      </c>
      <c r="C887" s="286" t="s">
        <v>168</v>
      </c>
      <c r="D887" s="286" t="s">
        <v>141</v>
      </c>
      <c r="E887" s="295">
        <v>1</v>
      </c>
      <c r="F887" s="295">
        <v>1</v>
      </c>
      <c r="G887" s="296">
        <v>0</v>
      </c>
      <c r="H887" s="296">
        <v>8500</v>
      </c>
      <c r="I887" s="296">
        <v>0</v>
      </c>
      <c r="J887" s="296">
        <v>0</v>
      </c>
      <c r="K887" s="296">
        <v>8500</v>
      </c>
      <c r="L887" s="296">
        <v>0</v>
      </c>
      <c r="M887" s="296">
        <v>8500</v>
      </c>
      <c r="N887" s="297">
        <v>1</v>
      </c>
    </row>
    <row r="888" spans="1:14" ht="18" customHeight="1">
      <c r="A888" s="293" t="s">
        <v>2490</v>
      </c>
      <c r="B888" s="294">
        <v>46142</v>
      </c>
      <c r="C888" s="286" t="s">
        <v>354</v>
      </c>
      <c r="D888" s="286" t="s">
        <v>109</v>
      </c>
      <c r="E888" s="295">
        <v>1</v>
      </c>
      <c r="F888" s="295">
        <v>1</v>
      </c>
      <c r="G888" s="296">
        <v>0</v>
      </c>
      <c r="H888" s="296">
        <v>1696</v>
      </c>
      <c r="I888" s="296">
        <v>1250</v>
      </c>
      <c r="J888" s="296">
        <v>1312.5</v>
      </c>
      <c r="K888" s="296">
        <v>383.5</v>
      </c>
      <c r="L888" s="296">
        <v>115.05</v>
      </c>
      <c r="M888" s="296">
        <v>446</v>
      </c>
      <c r="N888" s="297">
        <v>0.26297169811320753</v>
      </c>
    </row>
    <row r="889" spans="1:14" ht="18" customHeight="1">
      <c r="A889" s="293" t="s">
        <v>2491</v>
      </c>
      <c r="B889" s="294">
        <v>46142</v>
      </c>
      <c r="C889" s="286" t="s">
        <v>353</v>
      </c>
      <c r="D889" s="286" t="s">
        <v>103</v>
      </c>
      <c r="E889" s="295">
        <v>3</v>
      </c>
      <c r="F889" s="295">
        <v>4</v>
      </c>
      <c r="G889" s="296">
        <v>0</v>
      </c>
      <c r="H889" s="296">
        <v>3260</v>
      </c>
      <c r="I889" s="296">
        <v>2130</v>
      </c>
      <c r="J889" s="296">
        <v>2236.5</v>
      </c>
      <c r="K889" s="296">
        <v>1023.5</v>
      </c>
      <c r="L889" s="296">
        <v>307.05</v>
      </c>
      <c r="M889" s="296">
        <v>1130</v>
      </c>
      <c r="N889" s="297">
        <v>0.34662576687116564</v>
      </c>
    </row>
    <row r="890" spans="1:14" ht="18" customHeight="1">
      <c r="A890" s="293" t="s">
        <v>2492</v>
      </c>
      <c r="B890" s="294">
        <v>46142</v>
      </c>
      <c r="C890" s="286" t="s">
        <v>3773</v>
      </c>
      <c r="D890" s="286" t="s">
        <v>116</v>
      </c>
      <c r="E890" s="295">
        <v>1</v>
      </c>
      <c r="F890" s="295">
        <v>2</v>
      </c>
      <c r="G890" s="296">
        <v>0</v>
      </c>
      <c r="H890" s="296">
        <v>600</v>
      </c>
      <c r="I890" s="296">
        <v>200</v>
      </c>
      <c r="J890" s="296">
        <v>210</v>
      </c>
      <c r="K890" s="296">
        <v>390</v>
      </c>
      <c r="L890" s="296">
        <v>117</v>
      </c>
      <c r="M890" s="296">
        <v>400</v>
      </c>
      <c r="N890" s="297">
        <v>0.66666666666666663</v>
      </c>
    </row>
    <row r="891" spans="1:14" ht="18" customHeight="1">
      <c r="A891" s="293" t="s">
        <v>2493</v>
      </c>
      <c r="B891" s="294">
        <v>46142</v>
      </c>
      <c r="C891" s="286" t="s">
        <v>168</v>
      </c>
      <c r="D891" s="286" t="s">
        <v>96</v>
      </c>
      <c r="E891" s="295">
        <v>3</v>
      </c>
      <c r="F891" s="295">
        <v>3</v>
      </c>
      <c r="G891" s="296">
        <v>0</v>
      </c>
      <c r="H891" s="296">
        <v>620</v>
      </c>
      <c r="I891" s="296">
        <v>195</v>
      </c>
      <c r="J891" s="296">
        <v>204.75</v>
      </c>
      <c r="K891" s="296">
        <v>415.25</v>
      </c>
      <c r="L891" s="296">
        <v>0</v>
      </c>
      <c r="M891" s="296">
        <v>425</v>
      </c>
      <c r="N891" s="297">
        <v>0.68548387096774188</v>
      </c>
    </row>
    <row r="892" spans="1:14" ht="18" customHeight="1">
      <c r="A892" s="293" t="s">
        <v>2494</v>
      </c>
      <c r="B892" s="294">
        <v>46142</v>
      </c>
      <c r="C892" s="286" t="s">
        <v>168</v>
      </c>
      <c r="D892" s="286" t="s">
        <v>115</v>
      </c>
      <c r="E892" s="295">
        <v>1</v>
      </c>
      <c r="F892" s="295">
        <v>1</v>
      </c>
      <c r="G892" s="296">
        <v>0</v>
      </c>
      <c r="H892" s="296">
        <v>2100</v>
      </c>
      <c r="I892" s="296">
        <v>1400</v>
      </c>
      <c r="J892" s="296">
        <v>1470</v>
      </c>
      <c r="K892" s="296">
        <v>630</v>
      </c>
      <c r="L892" s="296">
        <v>0</v>
      </c>
      <c r="M892" s="296">
        <v>700</v>
      </c>
      <c r="N892" s="297">
        <v>0.33333333333333331</v>
      </c>
    </row>
    <row r="893" spans="1:14" ht="18" customHeight="1">
      <c r="A893" s="293" t="s">
        <v>2495</v>
      </c>
      <c r="B893" s="294">
        <v>46142</v>
      </c>
      <c r="C893" s="286" t="s">
        <v>168</v>
      </c>
      <c r="D893" s="286" t="s">
        <v>124</v>
      </c>
      <c r="E893" s="295">
        <v>4</v>
      </c>
      <c r="F893" s="295">
        <v>7</v>
      </c>
      <c r="G893" s="296">
        <v>0</v>
      </c>
      <c r="H893" s="296">
        <v>680</v>
      </c>
      <c r="I893" s="296">
        <v>386</v>
      </c>
      <c r="J893" s="296">
        <v>400.3</v>
      </c>
      <c r="K893" s="296">
        <v>279.7</v>
      </c>
      <c r="L893" s="296">
        <v>0</v>
      </c>
      <c r="M893" s="296">
        <v>294</v>
      </c>
      <c r="N893" s="297">
        <v>0.43235294117647061</v>
      </c>
    </row>
    <row r="894" spans="1:14" ht="18" customHeight="1">
      <c r="A894" s="293" t="s">
        <v>2496</v>
      </c>
      <c r="B894" s="294">
        <v>46142</v>
      </c>
      <c r="C894" s="286" t="s">
        <v>168</v>
      </c>
      <c r="D894" s="286" t="s">
        <v>117</v>
      </c>
      <c r="E894" s="295">
        <v>1</v>
      </c>
      <c r="F894" s="295">
        <v>1</v>
      </c>
      <c r="G894" s="296">
        <v>0</v>
      </c>
      <c r="H894" s="296">
        <v>470</v>
      </c>
      <c r="I894" s="296">
        <v>200</v>
      </c>
      <c r="J894" s="296">
        <v>210</v>
      </c>
      <c r="K894" s="296">
        <v>260</v>
      </c>
      <c r="L894" s="296">
        <v>0</v>
      </c>
      <c r="M894" s="296">
        <v>270</v>
      </c>
      <c r="N894" s="297">
        <v>0.57446808510638303</v>
      </c>
    </row>
    <row r="895" spans="1:14" ht="18" customHeight="1">
      <c r="A895" s="293" t="s">
        <v>2497</v>
      </c>
      <c r="B895" s="294">
        <v>46142</v>
      </c>
      <c r="C895" s="286" t="s">
        <v>168</v>
      </c>
      <c r="D895" s="286" t="s">
        <v>201</v>
      </c>
      <c r="E895" s="295">
        <v>1</v>
      </c>
      <c r="F895" s="295">
        <v>1</v>
      </c>
      <c r="G895" s="296">
        <v>0</v>
      </c>
      <c r="H895" s="296">
        <v>6700</v>
      </c>
      <c r="I895" s="296">
        <v>5014</v>
      </c>
      <c r="J895" s="296">
        <v>5264.7</v>
      </c>
      <c r="K895" s="296">
        <v>1435.3000000000002</v>
      </c>
      <c r="L895" s="296">
        <v>0</v>
      </c>
      <c r="M895" s="296">
        <v>1686</v>
      </c>
      <c r="N895" s="297">
        <v>0.25164179104477613</v>
      </c>
    </row>
    <row r="896" spans="1:14" ht="18" customHeight="1">
      <c r="A896" s="293" t="s">
        <v>2498</v>
      </c>
      <c r="B896" s="294">
        <v>46144</v>
      </c>
      <c r="C896" s="286" t="s">
        <v>348</v>
      </c>
      <c r="D896" s="286" t="s">
        <v>101</v>
      </c>
      <c r="E896" s="295">
        <v>2</v>
      </c>
      <c r="F896" s="295">
        <v>12</v>
      </c>
      <c r="G896" s="296">
        <v>0</v>
      </c>
      <c r="H896" s="296">
        <v>1040</v>
      </c>
      <c r="I896" s="296">
        <v>690</v>
      </c>
      <c r="J896" s="296">
        <v>710.7</v>
      </c>
      <c r="K896" s="296">
        <v>329.29999999999995</v>
      </c>
      <c r="L896" s="296">
        <v>98.789999999999992</v>
      </c>
      <c r="M896" s="296">
        <v>350</v>
      </c>
      <c r="N896" s="297">
        <v>0.33653846153846156</v>
      </c>
    </row>
    <row r="897" spans="1:14" ht="18" customHeight="1">
      <c r="A897" s="293" t="s">
        <v>2499</v>
      </c>
      <c r="B897" s="294">
        <v>46144</v>
      </c>
      <c r="C897" s="286" t="s">
        <v>3773</v>
      </c>
      <c r="D897" s="286" t="s">
        <v>102</v>
      </c>
      <c r="E897" s="295">
        <v>5</v>
      </c>
      <c r="F897" s="295">
        <v>6</v>
      </c>
      <c r="G897" s="296">
        <v>0</v>
      </c>
      <c r="H897" s="296">
        <v>2490</v>
      </c>
      <c r="I897" s="296">
        <v>1225</v>
      </c>
      <c r="J897" s="296">
        <v>1286.25</v>
      </c>
      <c r="K897" s="296">
        <v>1203.75</v>
      </c>
      <c r="L897" s="296">
        <v>361.125</v>
      </c>
      <c r="M897" s="296">
        <v>1265</v>
      </c>
      <c r="N897" s="297">
        <v>0.50803212851405621</v>
      </c>
    </row>
    <row r="898" spans="1:14" ht="18" customHeight="1">
      <c r="A898" s="293" t="s">
        <v>2500</v>
      </c>
      <c r="B898" s="294">
        <v>46144</v>
      </c>
      <c r="C898" s="286" t="s">
        <v>168</v>
      </c>
      <c r="D898" s="286" t="s">
        <v>155</v>
      </c>
      <c r="E898" s="295">
        <v>6</v>
      </c>
      <c r="F898" s="295">
        <v>29</v>
      </c>
      <c r="G898" s="296">
        <v>0</v>
      </c>
      <c r="H898" s="296">
        <v>5450</v>
      </c>
      <c r="I898" s="296">
        <v>1430</v>
      </c>
      <c r="J898" s="296">
        <v>1477.1</v>
      </c>
      <c r="K898" s="296">
        <v>3972.9</v>
      </c>
      <c r="L898" s="296">
        <v>0</v>
      </c>
      <c r="M898" s="296">
        <v>4020</v>
      </c>
      <c r="N898" s="297">
        <v>0.73761467889908261</v>
      </c>
    </row>
    <row r="899" spans="1:14" ht="18" customHeight="1">
      <c r="A899" s="293" t="s">
        <v>2501</v>
      </c>
      <c r="B899" s="294">
        <v>46144</v>
      </c>
      <c r="C899" s="286" t="s">
        <v>353</v>
      </c>
      <c r="D899" s="286" t="s">
        <v>94</v>
      </c>
      <c r="E899" s="295">
        <v>7</v>
      </c>
      <c r="F899" s="295">
        <v>7</v>
      </c>
      <c r="G899" s="296">
        <v>0</v>
      </c>
      <c r="H899" s="296">
        <v>2054</v>
      </c>
      <c r="I899" s="296">
        <v>1260</v>
      </c>
      <c r="J899" s="296">
        <v>1323</v>
      </c>
      <c r="K899" s="296">
        <v>731</v>
      </c>
      <c r="L899" s="296">
        <v>219.29999999999998</v>
      </c>
      <c r="M899" s="296">
        <v>794</v>
      </c>
      <c r="N899" s="297">
        <v>0.38656280428432327</v>
      </c>
    </row>
    <row r="900" spans="1:14" ht="18" customHeight="1">
      <c r="A900" s="293" t="s">
        <v>2502</v>
      </c>
      <c r="B900" s="294">
        <v>46144</v>
      </c>
      <c r="C900" s="286" t="s">
        <v>3773</v>
      </c>
      <c r="D900" s="286" t="s">
        <v>116</v>
      </c>
      <c r="E900" s="295">
        <v>3</v>
      </c>
      <c r="F900" s="295">
        <v>4</v>
      </c>
      <c r="G900" s="296">
        <v>0</v>
      </c>
      <c r="H900" s="296">
        <v>3106</v>
      </c>
      <c r="I900" s="296">
        <v>2000</v>
      </c>
      <c r="J900" s="296">
        <v>2100</v>
      </c>
      <c r="K900" s="296">
        <v>1006</v>
      </c>
      <c r="L900" s="296">
        <v>301.79999999999995</v>
      </c>
      <c r="M900" s="296">
        <v>1106</v>
      </c>
      <c r="N900" s="297">
        <v>0.35608499678042499</v>
      </c>
    </row>
    <row r="901" spans="1:14" ht="18" customHeight="1">
      <c r="A901" s="293" t="s">
        <v>2503</v>
      </c>
      <c r="B901" s="294">
        <v>46144</v>
      </c>
      <c r="C901" s="286" t="s">
        <v>168</v>
      </c>
      <c r="D901" s="286" t="s">
        <v>104</v>
      </c>
      <c r="E901" s="295">
        <v>11</v>
      </c>
      <c r="F901" s="295">
        <v>37</v>
      </c>
      <c r="G901" s="296">
        <v>0</v>
      </c>
      <c r="H901" s="296">
        <v>9520</v>
      </c>
      <c r="I901" s="296">
        <v>3417.25</v>
      </c>
      <c r="J901" s="296">
        <v>3568.8874999999998</v>
      </c>
      <c r="K901" s="296">
        <v>5951.1124999999984</v>
      </c>
      <c r="L901" s="296">
        <v>0</v>
      </c>
      <c r="M901" s="296">
        <v>6102.75</v>
      </c>
      <c r="N901" s="297">
        <v>0.64104516806722689</v>
      </c>
    </row>
    <row r="902" spans="1:14" ht="18" customHeight="1">
      <c r="A902" s="293" t="s">
        <v>2504</v>
      </c>
      <c r="B902" s="294">
        <v>46144</v>
      </c>
      <c r="C902" s="286" t="s">
        <v>168</v>
      </c>
      <c r="D902" s="286" t="s">
        <v>128</v>
      </c>
      <c r="E902" s="295">
        <v>2</v>
      </c>
      <c r="F902" s="295">
        <v>2</v>
      </c>
      <c r="G902" s="296">
        <v>0</v>
      </c>
      <c r="H902" s="296">
        <v>1200</v>
      </c>
      <c r="I902" s="296">
        <v>820</v>
      </c>
      <c r="J902" s="296">
        <v>861</v>
      </c>
      <c r="K902" s="296">
        <v>339</v>
      </c>
      <c r="L902" s="296">
        <v>0</v>
      </c>
      <c r="M902" s="296">
        <v>380</v>
      </c>
      <c r="N902" s="297">
        <v>0.31666666666666665</v>
      </c>
    </row>
    <row r="903" spans="1:14" ht="18" customHeight="1">
      <c r="A903" s="293" t="s">
        <v>2505</v>
      </c>
      <c r="B903" s="294">
        <v>46144</v>
      </c>
      <c r="C903" s="286" t="s">
        <v>168</v>
      </c>
      <c r="D903" s="286" t="s">
        <v>202</v>
      </c>
      <c r="E903" s="295">
        <v>2</v>
      </c>
      <c r="F903" s="295">
        <v>2</v>
      </c>
      <c r="G903" s="296">
        <v>0</v>
      </c>
      <c r="H903" s="296">
        <v>2550</v>
      </c>
      <c r="I903" s="296">
        <v>1535</v>
      </c>
      <c r="J903" s="296">
        <v>1611.75</v>
      </c>
      <c r="K903" s="296">
        <v>938.25</v>
      </c>
      <c r="L903" s="296">
        <v>0</v>
      </c>
      <c r="M903" s="296">
        <v>1015</v>
      </c>
      <c r="N903" s="297">
        <v>0.39803921568627448</v>
      </c>
    </row>
    <row r="904" spans="1:14" ht="18" customHeight="1">
      <c r="A904" s="293" t="s">
        <v>2506</v>
      </c>
      <c r="B904" s="294">
        <v>46144</v>
      </c>
      <c r="C904" s="286" t="s">
        <v>168</v>
      </c>
      <c r="D904" s="286" t="s">
        <v>131</v>
      </c>
      <c r="E904" s="295">
        <v>1</v>
      </c>
      <c r="F904" s="295">
        <v>10</v>
      </c>
      <c r="G904" s="296">
        <v>0</v>
      </c>
      <c r="H904" s="296">
        <v>1400</v>
      </c>
      <c r="I904" s="296">
        <v>900</v>
      </c>
      <c r="J904" s="296">
        <v>927</v>
      </c>
      <c r="K904" s="296">
        <v>473</v>
      </c>
      <c r="L904" s="296">
        <v>0</v>
      </c>
      <c r="M904" s="296">
        <v>500</v>
      </c>
      <c r="N904" s="297">
        <v>0.35714285714285715</v>
      </c>
    </row>
    <row r="905" spans="1:14" ht="18" customHeight="1">
      <c r="A905" s="293" t="s">
        <v>2507</v>
      </c>
      <c r="B905" s="294">
        <v>46144</v>
      </c>
      <c r="C905" s="286" t="s">
        <v>168</v>
      </c>
      <c r="D905" s="286" t="s">
        <v>99</v>
      </c>
      <c r="E905" s="295">
        <v>11</v>
      </c>
      <c r="F905" s="295">
        <v>62</v>
      </c>
      <c r="G905" s="296">
        <v>0</v>
      </c>
      <c r="H905" s="296">
        <v>2514</v>
      </c>
      <c r="I905" s="296">
        <v>1302</v>
      </c>
      <c r="J905" s="296">
        <v>1362.12</v>
      </c>
      <c r="K905" s="296">
        <v>1151.8800000000001</v>
      </c>
      <c r="L905" s="296">
        <v>0</v>
      </c>
      <c r="M905" s="296">
        <v>1212</v>
      </c>
      <c r="N905" s="297">
        <v>0.4821002386634845</v>
      </c>
    </row>
    <row r="906" spans="1:14" ht="18" customHeight="1">
      <c r="A906" s="293" t="s">
        <v>2508</v>
      </c>
      <c r="B906" s="294">
        <v>46146</v>
      </c>
      <c r="C906" s="286" t="s">
        <v>168</v>
      </c>
      <c r="D906" s="286" t="s">
        <v>112</v>
      </c>
      <c r="E906" s="295">
        <v>5</v>
      </c>
      <c r="F906" s="295">
        <v>9</v>
      </c>
      <c r="G906" s="296">
        <v>0</v>
      </c>
      <c r="H906" s="296">
        <v>6510</v>
      </c>
      <c r="I906" s="296">
        <v>4171</v>
      </c>
      <c r="J906" s="296">
        <v>4296.1299999999992</v>
      </c>
      <c r="K906" s="296">
        <v>2213.87</v>
      </c>
      <c r="L906" s="296">
        <v>0</v>
      </c>
      <c r="M906" s="296">
        <v>2339</v>
      </c>
      <c r="N906" s="297">
        <v>0.35929339477726574</v>
      </c>
    </row>
    <row r="907" spans="1:14" ht="18" customHeight="1">
      <c r="A907" s="293" t="s">
        <v>2509</v>
      </c>
      <c r="B907" s="294">
        <v>46146</v>
      </c>
      <c r="C907" s="286" t="s">
        <v>353</v>
      </c>
      <c r="D907" s="286" t="s">
        <v>108</v>
      </c>
      <c r="E907" s="295">
        <v>1</v>
      </c>
      <c r="F907" s="295">
        <v>1</v>
      </c>
      <c r="G907" s="296">
        <v>0</v>
      </c>
      <c r="H907" s="296">
        <v>8500</v>
      </c>
      <c r="I907" s="296">
        <v>0</v>
      </c>
      <c r="J907" s="296">
        <v>0</v>
      </c>
      <c r="K907" s="296">
        <v>8500</v>
      </c>
      <c r="L907" s="296">
        <v>2550</v>
      </c>
      <c r="M907" s="296">
        <v>8500</v>
      </c>
      <c r="N907" s="297">
        <v>1</v>
      </c>
    </row>
    <row r="908" spans="1:14" ht="18" customHeight="1">
      <c r="A908" s="293" t="s">
        <v>2510</v>
      </c>
      <c r="B908" s="294">
        <v>46146</v>
      </c>
      <c r="C908" s="286" t="s">
        <v>3773</v>
      </c>
      <c r="D908" s="286" t="s">
        <v>116</v>
      </c>
      <c r="E908" s="295">
        <v>1</v>
      </c>
      <c r="F908" s="295">
        <v>1</v>
      </c>
      <c r="G908" s="296">
        <v>0</v>
      </c>
      <c r="H908" s="296">
        <v>491</v>
      </c>
      <c r="I908" s="296">
        <v>270</v>
      </c>
      <c r="J908" s="296">
        <v>283.5</v>
      </c>
      <c r="K908" s="296">
        <v>207.5</v>
      </c>
      <c r="L908" s="296">
        <v>62.25</v>
      </c>
      <c r="M908" s="296">
        <v>221</v>
      </c>
      <c r="N908" s="297">
        <v>0.45010183299389001</v>
      </c>
    </row>
    <row r="909" spans="1:14" ht="18" customHeight="1">
      <c r="A909" s="293" t="s">
        <v>2511</v>
      </c>
      <c r="B909" s="294">
        <v>46146</v>
      </c>
      <c r="C909" s="286" t="s">
        <v>168</v>
      </c>
      <c r="D909" s="286" t="s">
        <v>96</v>
      </c>
      <c r="E909" s="295">
        <v>1</v>
      </c>
      <c r="F909" s="295">
        <v>1</v>
      </c>
      <c r="G909" s="296">
        <v>0</v>
      </c>
      <c r="H909" s="296">
        <v>2200</v>
      </c>
      <c r="I909" s="296">
        <v>1500</v>
      </c>
      <c r="J909" s="296">
        <v>1575</v>
      </c>
      <c r="K909" s="296">
        <v>625</v>
      </c>
      <c r="L909" s="296">
        <v>0</v>
      </c>
      <c r="M909" s="296">
        <v>700</v>
      </c>
      <c r="N909" s="297">
        <v>0.31818181818181818</v>
      </c>
    </row>
    <row r="910" spans="1:14" ht="18" customHeight="1">
      <c r="A910" s="293" t="s">
        <v>2512</v>
      </c>
      <c r="B910" s="294">
        <v>46146</v>
      </c>
      <c r="C910" s="286" t="s">
        <v>168</v>
      </c>
      <c r="D910" s="286" t="s">
        <v>104</v>
      </c>
      <c r="E910" s="295">
        <v>2</v>
      </c>
      <c r="F910" s="295">
        <v>2</v>
      </c>
      <c r="G910" s="296">
        <v>0</v>
      </c>
      <c r="H910" s="296">
        <v>1160</v>
      </c>
      <c r="I910" s="296">
        <v>780</v>
      </c>
      <c r="J910" s="296">
        <v>819</v>
      </c>
      <c r="K910" s="296">
        <v>341</v>
      </c>
      <c r="L910" s="296">
        <v>0</v>
      </c>
      <c r="M910" s="296">
        <v>380</v>
      </c>
      <c r="N910" s="297">
        <v>0.32758620689655171</v>
      </c>
    </row>
    <row r="911" spans="1:14" ht="18" customHeight="1">
      <c r="A911" s="293" t="s">
        <v>2513</v>
      </c>
      <c r="B911" s="294">
        <v>46146</v>
      </c>
      <c r="C911" s="286" t="s">
        <v>350</v>
      </c>
      <c r="D911" s="286" t="s">
        <v>119</v>
      </c>
      <c r="E911" s="295">
        <v>1</v>
      </c>
      <c r="F911" s="295">
        <v>1</v>
      </c>
      <c r="G911" s="296">
        <v>0</v>
      </c>
      <c r="H911" s="296">
        <v>1430</v>
      </c>
      <c r="I911" s="296">
        <v>1000</v>
      </c>
      <c r="J911" s="296">
        <v>1050</v>
      </c>
      <c r="K911" s="296">
        <v>380</v>
      </c>
      <c r="L911" s="296">
        <v>114</v>
      </c>
      <c r="M911" s="296">
        <v>430</v>
      </c>
      <c r="N911" s="297">
        <v>0.30069930069930068</v>
      </c>
    </row>
    <row r="912" spans="1:14" ht="18" customHeight="1">
      <c r="A912" s="293" t="s">
        <v>2514</v>
      </c>
      <c r="B912" s="294">
        <v>46146</v>
      </c>
      <c r="C912" s="286" t="s">
        <v>168</v>
      </c>
      <c r="D912" s="286" t="s">
        <v>129</v>
      </c>
      <c r="E912" s="295">
        <v>3</v>
      </c>
      <c r="F912" s="295">
        <v>14</v>
      </c>
      <c r="G912" s="296">
        <v>0</v>
      </c>
      <c r="H912" s="296">
        <v>4460</v>
      </c>
      <c r="I912" s="296">
        <v>2659</v>
      </c>
      <c r="J912" s="296">
        <v>2786.0499999999997</v>
      </c>
      <c r="K912" s="296">
        <v>1673.9499999999998</v>
      </c>
      <c r="L912" s="296">
        <v>0</v>
      </c>
      <c r="M912" s="296">
        <v>1801</v>
      </c>
      <c r="N912" s="297">
        <v>0.40381165919282513</v>
      </c>
    </row>
    <row r="913" spans="1:14" ht="18" customHeight="1">
      <c r="A913" s="293" t="s">
        <v>2515</v>
      </c>
      <c r="B913" s="294">
        <v>46146</v>
      </c>
      <c r="C913" s="286" t="s">
        <v>168</v>
      </c>
      <c r="D913" s="286" t="s">
        <v>97</v>
      </c>
      <c r="E913" s="295">
        <v>1</v>
      </c>
      <c r="F913" s="295">
        <v>1</v>
      </c>
      <c r="G913" s="296">
        <v>0</v>
      </c>
      <c r="H913" s="296">
        <v>1964</v>
      </c>
      <c r="I913" s="296">
        <v>1050</v>
      </c>
      <c r="J913" s="296">
        <v>1102.5</v>
      </c>
      <c r="K913" s="296">
        <v>861.5</v>
      </c>
      <c r="L913" s="296">
        <v>0</v>
      </c>
      <c r="M913" s="296">
        <v>914</v>
      </c>
      <c r="N913" s="297">
        <v>0.46537678207739308</v>
      </c>
    </row>
    <row r="914" spans="1:14" ht="18" customHeight="1">
      <c r="A914" s="293" t="s">
        <v>2516</v>
      </c>
      <c r="B914" s="294">
        <v>46146</v>
      </c>
      <c r="C914" s="286" t="s">
        <v>358</v>
      </c>
      <c r="D914" s="286" t="s">
        <v>191</v>
      </c>
      <c r="E914" s="295">
        <v>13</v>
      </c>
      <c r="F914" s="295">
        <v>45.6</v>
      </c>
      <c r="G914" s="296">
        <v>0</v>
      </c>
      <c r="H914" s="296">
        <v>8663</v>
      </c>
      <c r="I914" s="296">
        <v>4582</v>
      </c>
      <c r="J914" s="296">
        <v>4744.9199999999992</v>
      </c>
      <c r="K914" s="296">
        <v>3918.079999999999</v>
      </c>
      <c r="L914" s="296">
        <v>1175.4239999999998</v>
      </c>
      <c r="M914" s="296">
        <v>4081</v>
      </c>
      <c r="N914" s="297">
        <v>0.47108392012005079</v>
      </c>
    </row>
    <row r="915" spans="1:14" ht="18" customHeight="1">
      <c r="A915" s="293" t="s">
        <v>2517</v>
      </c>
      <c r="B915" s="294">
        <v>46146</v>
      </c>
      <c r="C915" s="286" t="s">
        <v>168</v>
      </c>
      <c r="D915" s="286" t="s">
        <v>99</v>
      </c>
      <c r="E915" s="295">
        <v>10</v>
      </c>
      <c r="F915" s="295">
        <v>21.4</v>
      </c>
      <c r="G915" s="296">
        <v>0</v>
      </c>
      <c r="H915" s="296">
        <v>2831</v>
      </c>
      <c r="I915" s="296">
        <v>994.7</v>
      </c>
      <c r="J915" s="296">
        <v>1033.3010000000002</v>
      </c>
      <c r="K915" s="296">
        <v>1797.6989999999996</v>
      </c>
      <c r="L915" s="296">
        <v>0</v>
      </c>
      <c r="M915" s="296">
        <v>1836.3</v>
      </c>
      <c r="N915" s="297">
        <v>0.64864005651713175</v>
      </c>
    </row>
    <row r="916" spans="1:14" ht="18" customHeight="1">
      <c r="A916" s="293" t="s">
        <v>2518</v>
      </c>
      <c r="B916" s="294">
        <v>46147</v>
      </c>
      <c r="C916" s="286" t="s">
        <v>3773</v>
      </c>
      <c r="D916" s="286" t="s">
        <v>102</v>
      </c>
      <c r="E916" s="295">
        <v>2</v>
      </c>
      <c r="F916" s="295">
        <v>2</v>
      </c>
      <c r="G916" s="296">
        <v>0</v>
      </c>
      <c r="H916" s="296">
        <v>1100</v>
      </c>
      <c r="I916" s="296">
        <v>500</v>
      </c>
      <c r="J916" s="296">
        <v>525</v>
      </c>
      <c r="K916" s="296">
        <v>575</v>
      </c>
      <c r="L916" s="296">
        <v>172.5</v>
      </c>
      <c r="M916" s="296">
        <v>600</v>
      </c>
      <c r="N916" s="297">
        <v>0.54545454545454541</v>
      </c>
    </row>
    <row r="917" spans="1:14" ht="18" customHeight="1">
      <c r="A917" s="293" t="s">
        <v>2519</v>
      </c>
      <c r="B917" s="294">
        <v>46147</v>
      </c>
      <c r="C917" s="286" t="s">
        <v>168</v>
      </c>
      <c r="D917" s="286" t="s">
        <v>92</v>
      </c>
      <c r="E917" s="295">
        <v>2</v>
      </c>
      <c r="F917" s="295">
        <v>2</v>
      </c>
      <c r="G917" s="296">
        <v>0</v>
      </c>
      <c r="H917" s="296">
        <v>2400</v>
      </c>
      <c r="I917" s="296">
        <v>1495</v>
      </c>
      <c r="J917" s="296">
        <v>1569.75</v>
      </c>
      <c r="K917" s="296">
        <v>830.25</v>
      </c>
      <c r="L917" s="296">
        <v>0</v>
      </c>
      <c r="M917" s="296">
        <v>905</v>
      </c>
      <c r="N917" s="297">
        <v>0.37708333333333333</v>
      </c>
    </row>
    <row r="918" spans="1:14" ht="18" customHeight="1">
      <c r="A918" s="293" t="s">
        <v>2520</v>
      </c>
      <c r="B918" s="294">
        <v>46147</v>
      </c>
      <c r="C918" s="286" t="s">
        <v>353</v>
      </c>
      <c r="D918" s="286" t="s">
        <v>94</v>
      </c>
      <c r="E918" s="295">
        <v>2</v>
      </c>
      <c r="F918" s="295">
        <v>2</v>
      </c>
      <c r="G918" s="296">
        <v>0</v>
      </c>
      <c r="H918" s="296">
        <v>3300</v>
      </c>
      <c r="I918" s="296">
        <v>2300</v>
      </c>
      <c r="J918" s="296">
        <v>2415</v>
      </c>
      <c r="K918" s="296">
        <v>885</v>
      </c>
      <c r="L918" s="296">
        <v>265.5</v>
      </c>
      <c r="M918" s="296">
        <v>1000</v>
      </c>
      <c r="N918" s="297">
        <v>0.30303030303030304</v>
      </c>
    </row>
    <row r="919" spans="1:14" ht="18" customHeight="1">
      <c r="A919" s="293" t="s">
        <v>2521</v>
      </c>
      <c r="B919" s="294">
        <v>46147</v>
      </c>
      <c r="C919" s="286" t="s">
        <v>168</v>
      </c>
      <c r="D919" s="286" t="s">
        <v>115</v>
      </c>
      <c r="E919" s="295">
        <v>1</v>
      </c>
      <c r="F919" s="295">
        <v>1</v>
      </c>
      <c r="G919" s="296">
        <v>0</v>
      </c>
      <c r="H919" s="296">
        <v>1900</v>
      </c>
      <c r="I919" s="296">
        <v>1050</v>
      </c>
      <c r="J919" s="296">
        <v>1102.5</v>
      </c>
      <c r="K919" s="296">
        <v>797.5</v>
      </c>
      <c r="L919" s="296">
        <v>0</v>
      </c>
      <c r="M919" s="296">
        <v>850</v>
      </c>
      <c r="N919" s="297">
        <v>0.44736842105263158</v>
      </c>
    </row>
    <row r="920" spans="1:14" ht="18" customHeight="1">
      <c r="A920" s="293" t="s">
        <v>2522</v>
      </c>
      <c r="B920" s="294">
        <v>46147</v>
      </c>
      <c r="C920" s="286" t="s">
        <v>168</v>
      </c>
      <c r="D920" s="286" t="s">
        <v>128</v>
      </c>
      <c r="E920" s="295">
        <v>2</v>
      </c>
      <c r="F920" s="295">
        <v>5</v>
      </c>
      <c r="G920" s="296">
        <v>0</v>
      </c>
      <c r="H920" s="296">
        <v>1880</v>
      </c>
      <c r="I920" s="296">
        <v>1650</v>
      </c>
      <c r="J920" s="296">
        <v>1699.5</v>
      </c>
      <c r="K920" s="296">
        <v>180.49999999999989</v>
      </c>
      <c r="L920" s="296">
        <v>0</v>
      </c>
      <c r="M920" s="296">
        <v>230</v>
      </c>
      <c r="N920" s="297">
        <v>0.12234042553191489</v>
      </c>
    </row>
    <row r="921" spans="1:14" ht="18" customHeight="1">
      <c r="A921" s="293" t="s">
        <v>2523</v>
      </c>
      <c r="B921" s="294">
        <v>46147</v>
      </c>
      <c r="C921" s="286" t="s">
        <v>168</v>
      </c>
      <c r="D921" s="286" t="s">
        <v>97</v>
      </c>
      <c r="E921" s="295">
        <v>1</v>
      </c>
      <c r="F921" s="295">
        <v>1</v>
      </c>
      <c r="G921" s="296">
        <v>0</v>
      </c>
      <c r="H921" s="296">
        <v>4375</v>
      </c>
      <c r="I921" s="296">
        <v>2700</v>
      </c>
      <c r="J921" s="296">
        <v>2835</v>
      </c>
      <c r="K921" s="296">
        <v>1540</v>
      </c>
      <c r="L921" s="296">
        <v>0</v>
      </c>
      <c r="M921" s="296">
        <v>1675</v>
      </c>
      <c r="N921" s="297">
        <v>0.38285714285714284</v>
      </c>
    </row>
    <row r="922" spans="1:14" ht="18" customHeight="1">
      <c r="A922" s="293" t="s">
        <v>2524</v>
      </c>
      <c r="B922" s="294">
        <v>46147</v>
      </c>
      <c r="C922" s="286" t="s">
        <v>168</v>
      </c>
      <c r="D922" s="286" t="s">
        <v>99</v>
      </c>
      <c r="E922" s="295">
        <v>13</v>
      </c>
      <c r="F922" s="295">
        <v>46.4</v>
      </c>
      <c r="G922" s="296">
        <v>0</v>
      </c>
      <c r="H922" s="296">
        <v>6321</v>
      </c>
      <c r="I922" s="296">
        <v>3497.5199999999995</v>
      </c>
      <c r="J922" s="296">
        <v>3664.0075999999999</v>
      </c>
      <c r="K922" s="296">
        <v>2656.9924000000001</v>
      </c>
      <c r="L922" s="296">
        <v>0</v>
      </c>
      <c r="M922" s="296">
        <v>2823.4800000000005</v>
      </c>
      <c r="N922" s="297">
        <v>0.44668248694826773</v>
      </c>
    </row>
    <row r="923" spans="1:14" ht="18" customHeight="1">
      <c r="A923" s="293" t="s">
        <v>2525</v>
      </c>
      <c r="B923" s="294">
        <v>46148</v>
      </c>
      <c r="C923" s="286" t="s">
        <v>3773</v>
      </c>
      <c r="D923" s="286" t="s">
        <v>100</v>
      </c>
      <c r="E923" s="295">
        <v>5</v>
      </c>
      <c r="F923" s="295">
        <v>10</v>
      </c>
      <c r="G923" s="296">
        <v>0</v>
      </c>
      <c r="H923" s="296">
        <v>493</v>
      </c>
      <c r="I923" s="296">
        <v>256.85000000000002</v>
      </c>
      <c r="J923" s="296">
        <v>266.41550000000001</v>
      </c>
      <c r="K923" s="296">
        <v>226.58449999999999</v>
      </c>
      <c r="L923" s="296">
        <v>67.975349999999992</v>
      </c>
      <c r="M923" s="296">
        <v>236.14999999999998</v>
      </c>
      <c r="N923" s="297">
        <v>0.47900608519269772</v>
      </c>
    </row>
    <row r="924" spans="1:14" ht="18" customHeight="1">
      <c r="A924" s="293" t="s">
        <v>2526</v>
      </c>
      <c r="B924" s="294">
        <v>46148</v>
      </c>
      <c r="C924" s="286" t="s">
        <v>3773</v>
      </c>
      <c r="D924" s="286" t="s">
        <v>102</v>
      </c>
      <c r="E924" s="295">
        <v>1</v>
      </c>
      <c r="F924" s="295">
        <v>1</v>
      </c>
      <c r="G924" s="296">
        <v>0</v>
      </c>
      <c r="H924" s="296">
        <v>900</v>
      </c>
      <c r="I924" s="296">
        <v>400</v>
      </c>
      <c r="J924" s="296">
        <v>420</v>
      </c>
      <c r="K924" s="296">
        <v>480</v>
      </c>
      <c r="L924" s="296">
        <v>144</v>
      </c>
      <c r="M924" s="296">
        <v>500</v>
      </c>
      <c r="N924" s="297">
        <v>0.55555555555555558</v>
      </c>
    </row>
    <row r="925" spans="1:14" ht="18" customHeight="1">
      <c r="A925" s="293" t="s">
        <v>2527</v>
      </c>
      <c r="B925" s="294">
        <v>46148</v>
      </c>
      <c r="C925" s="286" t="s">
        <v>354</v>
      </c>
      <c r="D925" s="286" t="s">
        <v>109</v>
      </c>
      <c r="E925" s="295">
        <v>1</v>
      </c>
      <c r="F925" s="295">
        <v>1</v>
      </c>
      <c r="G925" s="296">
        <v>0</v>
      </c>
      <c r="H925" s="296">
        <v>1786</v>
      </c>
      <c r="I925" s="296">
        <v>1300</v>
      </c>
      <c r="J925" s="296">
        <v>1365</v>
      </c>
      <c r="K925" s="296">
        <v>421</v>
      </c>
      <c r="L925" s="296">
        <v>126.3</v>
      </c>
      <c r="M925" s="296">
        <v>486</v>
      </c>
      <c r="N925" s="297">
        <v>0.27211646136618139</v>
      </c>
    </row>
    <row r="926" spans="1:14" ht="18" customHeight="1">
      <c r="A926" s="293" t="s">
        <v>2528</v>
      </c>
      <c r="B926" s="294">
        <v>46148</v>
      </c>
      <c r="C926" s="286" t="s">
        <v>168</v>
      </c>
      <c r="D926" s="286" t="s">
        <v>197</v>
      </c>
      <c r="E926" s="295">
        <v>9</v>
      </c>
      <c r="F926" s="295">
        <v>20.399999999999999</v>
      </c>
      <c r="G926" s="296">
        <v>0</v>
      </c>
      <c r="H926" s="296">
        <v>2078</v>
      </c>
      <c r="I926" s="296">
        <v>1019.8000000000001</v>
      </c>
      <c r="J926" s="296">
        <v>1051.8440000000001</v>
      </c>
      <c r="K926" s="296">
        <v>1026.1559999999999</v>
      </c>
      <c r="L926" s="296">
        <v>0</v>
      </c>
      <c r="M926" s="296">
        <v>1058.1999999999998</v>
      </c>
      <c r="N926" s="297">
        <v>0.50923965351299316</v>
      </c>
    </row>
    <row r="927" spans="1:14" ht="18" customHeight="1">
      <c r="A927" s="293" t="s">
        <v>2529</v>
      </c>
      <c r="B927" s="294">
        <v>46148</v>
      </c>
      <c r="C927" s="286" t="s">
        <v>353</v>
      </c>
      <c r="D927" s="286" t="s">
        <v>103</v>
      </c>
      <c r="E927" s="295">
        <v>2</v>
      </c>
      <c r="F927" s="295">
        <v>2</v>
      </c>
      <c r="G927" s="296">
        <v>0</v>
      </c>
      <c r="H927" s="296">
        <v>2475</v>
      </c>
      <c r="I927" s="296">
        <v>1500</v>
      </c>
      <c r="J927" s="296">
        <v>1575</v>
      </c>
      <c r="K927" s="296">
        <v>900</v>
      </c>
      <c r="L927" s="296">
        <v>270</v>
      </c>
      <c r="M927" s="296">
        <v>975</v>
      </c>
      <c r="N927" s="297">
        <v>0.39393939393939392</v>
      </c>
    </row>
    <row r="928" spans="1:14" ht="18" customHeight="1">
      <c r="A928" s="293" t="s">
        <v>2530</v>
      </c>
      <c r="B928" s="294">
        <v>46148</v>
      </c>
      <c r="C928" s="286" t="s">
        <v>168</v>
      </c>
      <c r="D928" s="286" t="s">
        <v>121</v>
      </c>
      <c r="E928" s="295">
        <v>2</v>
      </c>
      <c r="F928" s="295">
        <v>2</v>
      </c>
      <c r="G928" s="296">
        <v>0</v>
      </c>
      <c r="H928" s="296">
        <v>9050</v>
      </c>
      <c r="I928" s="296">
        <v>240</v>
      </c>
      <c r="J928" s="296">
        <v>252</v>
      </c>
      <c r="K928" s="296">
        <v>8798</v>
      </c>
      <c r="L928" s="296">
        <v>0</v>
      </c>
      <c r="M928" s="296">
        <v>8810</v>
      </c>
      <c r="N928" s="297">
        <v>0.97348066298342539</v>
      </c>
    </row>
    <row r="929" spans="1:14" ht="18" customHeight="1">
      <c r="A929" s="293" t="s">
        <v>2531</v>
      </c>
      <c r="B929" s="294">
        <v>46148</v>
      </c>
      <c r="C929" s="286" t="s">
        <v>353</v>
      </c>
      <c r="D929" s="286" t="s">
        <v>94</v>
      </c>
      <c r="E929" s="295">
        <v>1</v>
      </c>
      <c r="F929" s="295">
        <v>1</v>
      </c>
      <c r="G929" s="296">
        <v>0</v>
      </c>
      <c r="H929" s="296">
        <v>1607</v>
      </c>
      <c r="I929" s="296">
        <v>1200</v>
      </c>
      <c r="J929" s="296">
        <v>1260</v>
      </c>
      <c r="K929" s="296">
        <v>347</v>
      </c>
      <c r="L929" s="296">
        <v>104.1</v>
      </c>
      <c r="M929" s="296">
        <v>407</v>
      </c>
      <c r="N929" s="297">
        <v>0.25326695706285002</v>
      </c>
    </row>
    <row r="930" spans="1:14" ht="18" customHeight="1">
      <c r="A930" s="293" t="s">
        <v>2532</v>
      </c>
      <c r="B930" s="294">
        <v>46148</v>
      </c>
      <c r="C930" s="286" t="s">
        <v>3773</v>
      </c>
      <c r="D930" s="286" t="s">
        <v>116</v>
      </c>
      <c r="E930" s="295">
        <v>1</v>
      </c>
      <c r="F930" s="295">
        <v>1</v>
      </c>
      <c r="G930" s="296">
        <v>0</v>
      </c>
      <c r="H930" s="296">
        <v>3482</v>
      </c>
      <c r="I930" s="296">
        <v>2650</v>
      </c>
      <c r="J930" s="296">
        <v>2782.5</v>
      </c>
      <c r="K930" s="296">
        <v>699.5</v>
      </c>
      <c r="L930" s="296">
        <v>209.85</v>
      </c>
      <c r="M930" s="296">
        <v>832</v>
      </c>
      <c r="N930" s="297">
        <v>0.23894313612866169</v>
      </c>
    </row>
    <row r="931" spans="1:14" ht="18" customHeight="1">
      <c r="A931" s="293" t="s">
        <v>2533</v>
      </c>
      <c r="B931" s="294">
        <v>46148</v>
      </c>
      <c r="C931" s="286" t="s">
        <v>168</v>
      </c>
      <c r="D931" s="286" t="s">
        <v>203</v>
      </c>
      <c r="E931" s="295">
        <v>8</v>
      </c>
      <c r="F931" s="295">
        <v>43</v>
      </c>
      <c r="G931" s="296">
        <v>0</v>
      </c>
      <c r="H931" s="296">
        <v>2026</v>
      </c>
      <c r="I931" s="296">
        <v>1165.8699999999999</v>
      </c>
      <c r="J931" s="296">
        <v>1212.8980999999999</v>
      </c>
      <c r="K931" s="296">
        <v>813.10190000000011</v>
      </c>
      <c r="L931" s="296">
        <v>0</v>
      </c>
      <c r="M931" s="296">
        <v>860.13000000000011</v>
      </c>
      <c r="N931" s="297">
        <v>0.42454590325765057</v>
      </c>
    </row>
    <row r="932" spans="1:14" ht="18" customHeight="1">
      <c r="A932" s="293" t="s">
        <v>2534</v>
      </c>
      <c r="B932" s="294">
        <v>46148</v>
      </c>
      <c r="C932" s="286" t="s">
        <v>168</v>
      </c>
      <c r="D932" s="286" t="s">
        <v>96</v>
      </c>
      <c r="E932" s="295">
        <v>1</v>
      </c>
      <c r="F932" s="295">
        <v>1</v>
      </c>
      <c r="G932" s="296">
        <v>0</v>
      </c>
      <c r="H932" s="296">
        <v>2000</v>
      </c>
      <c r="I932" s="296">
        <v>1200</v>
      </c>
      <c r="J932" s="296">
        <v>1260</v>
      </c>
      <c r="K932" s="296">
        <v>740</v>
      </c>
      <c r="L932" s="296">
        <v>0</v>
      </c>
      <c r="M932" s="296">
        <v>800</v>
      </c>
      <c r="N932" s="297">
        <v>0.4</v>
      </c>
    </row>
    <row r="933" spans="1:14" ht="18" customHeight="1">
      <c r="A933" s="293" t="s">
        <v>2535</v>
      </c>
      <c r="B933" s="294">
        <v>46148</v>
      </c>
      <c r="C933" s="286" t="s">
        <v>168</v>
      </c>
      <c r="D933" s="286" t="s">
        <v>115</v>
      </c>
      <c r="E933" s="295">
        <v>5</v>
      </c>
      <c r="F933" s="295">
        <v>8</v>
      </c>
      <c r="G933" s="296">
        <v>0</v>
      </c>
      <c r="H933" s="296">
        <v>2630</v>
      </c>
      <c r="I933" s="296">
        <v>1390</v>
      </c>
      <c r="J933" s="296">
        <v>1459.5</v>
      </c>
      <c r="K933" s="296">
        <v>1170.5</v>
      </c>
      <c r="L933" s="296">
        <v>0</v>
      </c>
      <c r="M933" s="296">
        <v>1240</v>
      </c>
      <c r="N933" s="297">
        <v>0.47148288973384028</v>
      </c>
    </row>
    <row r="934" spans="1:14" ht="18" customHeight="1">
      <c r="A934" s="293" t="s">
        <v>2536</v>
      </c>
      <c r="B934" s="294">
        <v>46148</v>
      </c>
      <c r="C934" s="286" t="s">
        <v>350</v>
      </c>
      <c r="D934" s="286" t="s">
        <v>119</v>
      </c>
      <c r="E934" s="295">
        <v>1</v>
      </c>
      <c r="F934" s="295">
        <v>1</v>
      </c>
      <c r="G934" s="296">
        <v>0</v>
      </c>
      <c r="H934" s="296">
        <v>1786</v>
      </c>
      <c r="I934" s="296">
        <v>1350</v>
      </c>
      <c r="J934" s="296">
        <v>1417.5</v>
      </c>
      <c r="K934" s="296">
        <v>368.5</v>
      </c>
      <c r="L934" s="296">
        <v>110.55</v>
      </c>
      <c r="M934" s="296">
        <v>436</v>
      </c>
      <c r="N934" s="297">
        <v>0.24412094064949608</v>
      </c>
    </row>
    <row r="935" spans="1:14" ht="18" customHeight="1">
      <c r="A935" s="293" t="s">
        <v>2537</v>
      </c>
      <c r="B935" s="294">
        <v>46148</v>
      </c>
      <c r="C935" s="286" t="s">
        <v>168</v>
      </c>
      <c r="D935" s="286" t="s">
        <v>132</v>
      </c>
      <c r="E935" s="295">
        <v>5</v>
      </c>
      <c r="F935" s="295">
        <v>12</v>
      </c>
      <c r="G935" s="296">
        <v>0</v>
      </c>
      <c r="H935" s="296">
        <v>3755</v>
      </c>
      <c r="I935" s="296">
        <v>3273.2000000000003</v>
      </c>
      <c r="J935" s="296">
        <v>3371.3959999999997</v>
      </c>
      <c r="K935" s="296">
        <v>383.60399999999993</v>
      </c>
      <c r="L935" s="296">
        <v>0</v>
      </c>
      <c r="M935" s="296">
        <v>481.79999999999973</v>
      </c>
      <c r="N935" s="297">
        <v>0.12830892143808248</v>
      </c>
    </row>
    <row r="936" spans="1:14" ht="18" customHeight="1">
      <c r="A936" s="293" t="s">
        <v>2538</v>
      </c>
      <c r="B936" s="294">
        <v>46148</v>
      </c>
      <c r="C936" s="286" t="s">
        <v>168</v>
      </c>
      <c r="D936" s="286" t="s">
        <v>124</v>
      </c>
      <c r="E936" s="295">
        <v>1</v>
      </c>
      <c r="F936" s="295">
        <v>1</v>
      </c>
      <c r="G936" s="296">
        <v>0</v>
      </c>
      <c r="H936" s="296">
        <v>2000</v>
      </c>
      <c r="I936" s="296">
        <v>960</v>
      </c>
      <c r="J936" s="296">
        <v>1008</v>
      </c>
      <c r="K936" s="296">
        <v>992</v>
      </c>
      <c r="L936" s="296">
        <v>0</v>
      </c>
      <c r="M936" s="296">
        <v>1040</v>
      </c>
      <c r="N936" s="297">
        <v>0.52</v>
      </c>
    </row>
    <row r="937" spans="1:14" ht="18" customHeight="1">
      <c r="A937" s="293" t="s">
        <v>2539</v>
      </c>
      <c r="B937" s="294">
        <v>46148</v>
      </c>
      <c r="C937" s="286" t="s">
        <v>168</v>
      </c>
      <c r="D937" s="286" t="s">
        <v>99</v>
      </c>
      <c r="E937" s="295">
        <v>10</v>
      </c>
      <c r="F937" s="295">
        <v>38.799999999999997</v>
      </c>
      <c r="G937" s="296">
        <v>0</v>
      </c>
      <c r="H937" s="296">
        <v>4151</v>
      </c>
      <c r="I937" s="296">
        <v>2110.4699999999998</v>
      </c>
      <c r="J937" s="296">
        <v>2183.5441000000001</v>
      </c>
      <c r="K937" s="296">
        <v>1967.4559000000002</v>
      </c>
      <c r="L937" s="296">
        <v>0</v>
      </c>
      <c r="M937" s="296">
        <v>2040.5300000000002</v>
      </c>
      <c r="N937" s="297">
        <v>0.49157552397012771</v>
      </c>
    </row>
    <row r="938" spans="1:14" ht="18" customHeight="1">
      <c r="A938" s="293" t="s">
        <v>2540</v>
      </c>
      <c r="B938" s="294">
        <v>46149</v>
      </c>
      <c r="C938" s="286" t="s">
        <v>3773</v>
      </c>
      <c r="D938" s="286" t="s">
        <v>102</v>
      </c>
      <c r="E938" s="295">
        <v>1</v>
      </c>
      <c r="F938" s="295">
        <v>1</v>
      </c>
      <c r="G938" s="296">
        <v>0</v>
      </c>
      <c r="H938" s="296">
        <v>491</v>
      </c>
      <c r="I938" s="296">
        <v>280</v>
      </c>
      <c r="J938" s="296">
        <v>294</v>
      </c>
      <c r="K938" s="296">
        <v>197</v>
      </c>
      <c r="L938" s="296">
        <v>59.099999999999994</v>
      </c>
      <c r="M938" s="296">
        <v>211</v>
      </c>
      <c r="N938" s="297">
        <v>0.42973523421588594</v>
      </c>
    </row>
    <row r="939" spans="1:14" ht="18" customHeight="1">
      <c r="A939" s="293" t="s">
        <v>2541</v>
      </c>
      <c r="B939" s="294">
        <v>46149</v>
      </c>
      <c r="C939" s="286" t="s">
        <v>353</v>
      </c>
      <c r="D939" s="286" t="s">
        <v>108</v>
      </c>
      <c r="E939" s="295">
        <v>7</v>
      </c>
      <c r="F939" s="295">
        <v>12</v>
      </c>
      <c r="G939" s="296">
        <v>0</v>
      </c>
      <c r="H939" s="296">
        <v>3342</v>
      </c>
      <c r="I939" s="296">
        <v>1570</v>
      </c>
      <c r="J939" s="296">
        <v>1641.9</v>
      </c>
      <c r="K939" s="296">
        <v>1700.1</v>
      </c>
      <c r="L939" s="296">
        <v>510.03</v>
      </c>
      <c r="M939" s="296">
        <v>1772</v>
      </c>
      <c r="N939" s="297">
        <v>0.53022142429682828</v>
      </c>
    </row>
    <row r="940" spans="1:14" ht="18" customHeight="1">
      <c r="A940" s="293" t="s">
        <v>2542</v>
      </c>
      <c r="B940" s="294">
        <v>46149</v>
      </c>
      <c r="C940" s="286" t="s">
        <v>168</v>
      </c>
      <c r="D940" s="286" t="s">
        <v>204</v>
      </c>
      <c r="E940" s="295">
        <v>1</v>
      </c>
      <c r="F940" s="295">
        <v>1</v>
      </c>
      <c r="G940" s="296">
        <v>0</v>
      </c>
      <c r="H940" s="296">
        <v>4800</v>
      </c>
      <c r="I940" s="296">
        <v>2299</v>
      </c>
      <c r="J940" s="296">
        <v>2413.9500000000003</v>
      </c>
      <c r="K940" s="296">
        <v>2386.0499999999997</v>
      </c>
      <c r="L940" s="296">
        <v>0</v>
      </c>
      <c r="M940" s="296">
        <v>2501</v>
      </c>
      <c r="N940" s="297">
        <v>0.52104166666666663</v>
      </c>
    </row>
    <row r="941" spans="1:14" ht="18" customHeight="1">
      <c r="A941" s="293" t="s">
        <v>2543</v>
      </c>
      <c r="B941" s="294">
        <v>46149</v>
      </c>
      <c r="C941" s="286" t="s">
        <v>168</v>
      </c>
      <c r="D941" s="286" t="s">
        <v>92</v>
      </c>
      <c r="E941" s="295">
        <v>1</v>
      </c>
      <c r="F941" s="295">
        <v>1</v>
      </c>
      <c r="G941" s="296">
        <v>0</v>
      </c>
      <c r="H941" s="296">
        <v>1900</v>
      </c>
      <c r="I941" s="296">
        <v>1250</v>
      </c>
      <c r="J941" s="296">
        <v>1312.5</v>
      </c>
      <c r="K941" s="296">
        <v>587.5</v>
      </c>
      <c r="L941" s="296">
        <v>0</v>
      </c>
      <c r="M941" s="296">
        <v>650</v>
      </c>
      <c r="N941" s="297">
        <v>0.34210526315789475</v>
      </c>
    </row>
    <row r="942" spans="1:14" ht="18" customHeight="1">
      <c r="A942" s="293" t="s">
        <v>2544</v>
      </c>
      <c r="B942" s="294">
        <v>46149</v>
      </c>
      <c r="C942" s="286" t="s">
        <v>354</v>
      </c>
      <c r="D942" s="286" t="s">
        <v>109</v>
      </c>
      <c r="E942" s="295">
        <v>1</v>
      </c>
      <c r="F942" s="295">
        <v>1</v>
      </c>
      <c r="G942" s="296">
        <v>0</v>
      </c>
      <c r="H942" s="296">
        <v>1786</v>
      </c>
      <c r="I942" s="296">
        <v>1300</v>
      </c>
      <c r="J942" s="296">
        <v>1365</v>
      </c>
      <c r="K942" s="296">
        <v>421</v>
      </c>
      <c r="L942" s="296">
        <v>126.3</v>
      </c>
      <c r="M942" s="296">
        <v>486</v>
      </c>
      <c r="N942" s="297">
        <v>0.27211646136618139</v>
      </c>
    </row>
    <row r="943" spans="1:14" ht="18" customHeight="1">
      <c r="A943" s="293" t="s">
        <v>2545</v>
      </c>
      <c r="B943" s="294">
        <v>46149</v>
      </c>
      <c r="C943" s="286" t="s">
        <v>168</v>
      </c>
      <c r="D943" s="286" t="s">
        <v>110</v>
      </c>
      <c r="E943" s="295">
        <v>3</v>
      </c>
      <c r="F943" s="295">
        <v>3</v>
      </c>
      <c r="G943" s="296">
        <v>0</v>
      </c>
      <c r="H943" s="296">
        <v>555</v>
      </c>
      <c r="I943" s="296">
        <v>329</v>
      </c>
      <c r="J943" s="296">
        <v>338.87</v>
      </c>
      <c r="K943" s="296">
        <v>216.13</v>
      </c>
      <c r="L943" s="296">
        <v>0</v>
      </c>
      <c r="M943" s="296">
        <v>226</v>
      </c>
      <c r="N943" s="297">
        <v>0.40720720720720721</v>
      </c>
    </row>
    <row r="944" spans="1:14" ht="18" customHeight="1">
      <c r="A944" s="293" t="s">
        <v>2546</v>
      </c>
      <c r="B944" s="294">
        <v>46149</v>
      </c>
      <c r="C944" s="286" t="s">
        <v>168</v>
      </c>
      <c r="D944" s="286" t="s">
        <v>128</v>
      </c>
      <c r="E944" s="295">
        <v>2</v>
      </c>
      <c r="F944" s="295">
        <v>5</v>
      </c>
      <c r="G944" s="296">
        <v>0</v>
      </c>
      <c r="H944" s="296">
        <v>2240</v>
      </c>
      <c r="I944" s="296">
        <v>1260</v>
      </c>
      <c r="J944" s="296">
        <v>1315.8</v>
      </c>
      <c r="K944" s="296">
        <v>924.2</v>
      </c>
      <c r="L944" s="296">
        <v>0</v>
      </c>
      <c r="M944" s="296">
        <v>980</v>
      </c>
      <c r="N944" s="297">
        <v>0.4375</v>
      </c>
    </row>
    <row r="945" spans="1:14" ht="18" customHeight="1">
      <c r="A945" s="293" t="s">
        <v>2547</v>
      </c>
      <c r="B945" s="294">
        <v>46149</v>
      </c>
      <c r="C945" s="286" t="s">
        <v>168</v>
      </c>
      <c r="D945" s="286" t="s">
        <v>99</v>
      </c>
      <c r="E945" s="295">
        <v>4</v>
      </c>
      <c r="F945" s="295">
        <v>4.2</v>
      </c>
      <c r="G945" s="296">
        <v>0</v>
      </c>
      <c r="H945" s="296">
        <v>1700</v>
      </c>
      <c r="I945" s="296">
        <v>1219.5999999999999</v>
      </c>
      <c r="J945" s="296">
        <v>1260.3880000000001</v>
      </c>
      <c r="K945" s="296">
        <v>439.61199999999991</v>
      </c>
      <c r="L945" s="296">
        <v>0</v>
      </c>
      <c r="M945" s="296">
        <v>480.40000000000009</v>
      </c>
      <c r="N945" s="297">
        <v>0.2825882352941177</v>
      </c>
    </row>
    <row r="946" spans="1:14" ht="18" customHeight="1">
      <c r="A946" s="293" t="s">
        <v>2548</v>
      </c>
      <c r="B946" s="294">
        <v>46150</v>
      </c>
      <c r="C946" s="286" t="s">
        <v>168</v>
      </c>
      <c r="D946" s="286" t="s">
        <v>196</v>
      </c>
      <c r="E946" s="295">
        <v>3</v>
      </c>
      <c r="F946" s="295">
        <v>3</v>
      </c>
      <c r="G946" s="296">
        <v>0</v>
      </c>
      <c r="H946" s="296">
        <v>850</v>
      </c>
      <c r="I946" s="296">
        <v>350</v>
      </c>
      <c r="J946" s="296">
        <v>367.5</v>
      </c>
      <c r="K946" s="296">
        <v>482.5</v>
      </c>
      <c r="L946" s="296">
        <v>0</v>
      </c>
      <c r="M946" s="296">
        <v>500</v>
      </c>
      <c r="N946" s="297">
        <v>0.58823529411764708</v>
      </c>
    </row>
    <row r="947" spans="1:14" ht="18" customHeight="1">
      <c r="A947" s="293" t="s">
        <v>2549</v>
      </c>
      <c r="B947" s="294">
        <v>46150</v>
      </c>
      <c r="C947" s="286" t="s">
        <v>3773</v>
      </c>
      <c r="D947" s="286" t="s">
        <v>102</v>
      </c>
      <c r="E947" s="295">
        <v>1</v>
      </c>
      <c r="F947" s="295">
        <v>1</v>
      </c>
      <c r="G947" s="296">
        <v>0</v>
      </c>
      <c r="H947" s="296">
        <v>8500</v>
      </c>
      <c r="I947" s="296">
        <v>0</v>
      </c>
      <c r="J947" s="296">
        <v>0</v>
      </c>
      <c r="K947" s="296">
        <v>8500</v>
      </c>
      <c r="L947" s="296">
        <v>2550</v>
      </c>
      <c r="M947" s="296">
        <v>8500</v>
      </c>
      <c r="N947" s="297">
        <v>1</v>
      </c>
    </row>
    <row r="948" spans="1:14" ht="18" customHeight="1">
      <c r="A948" s="293" t="s">
        <v>2550</v>
      </c>
      <c r="B948" s="294">
        <v>46150</v>
      </c>
      <c r="C948" s="286" t="s">
        <v>168</v>
      </c>
      <c r="D948" s="286" t="s">
        <v>184</v>
      </c>
      <c r="E948" s="295">
        <v>5</v>
      </c>
      <c r="F948" s="295">
        <v>25</v>
      </c>
      <c r="G948" s="296">
        <v>0</v>
      </c>
      <c r="H948" s="296">
        <v>3340</v>
      </c>
      <c r="I948" s="296">
        <v>986</v>
      </c>
      <c r="J948" s="296">
        <v>1015.5800000000002</v>
      </c>
      <c r="K948" s="296">
        <v>2324.42</v>
      </c>
      <c r="L948" s="296">
        <v>0</v>
      </c>
      <c r="M948" s="296">
        <v>2354</v>
      </c>
      <c r="N948" s="297">
        <v>0.70479041916167662</v>
      </c>
    </row>
    <row r="949" spans="1:14" ht="18" customHeight="1">
      <c r="A949" s="293" t="s">
        <v>2551</v>
      </c>
      <c r="B949" s="294">
        <v>46150</v>
      </c>
      <c r="C949" s="286" t="s">
        <v>353</v>
      </c>
      <c r="D949" s="286" t="s">
        <v>108</v>
      </c>
      <c r="E949" s="295">
        <v>1</v>
      </c>
      <c r="F949" s="295">
        <v>1</v>
      </c>
      <c r="G949" s="296">
        <v>0</v>
      </c>
      <c r="H949" s="296">
        <v>1786</v>
      </c>
      <c r="I949" s="296">
        <v>800</v>
      </c>
      <c r="J949" s="296">
        <v>840</v>
      </c>
      <c r="K949" s="296">
        <v>946</v>
      </c>
      <c r="L949" s="296">
        <v>283.8</v>
      </c>
      <c r="M949" s="296">
        <v>986</v>
      </c>
      <c r="N949" s="297">
        <v>0.55207166853303469</v>
      </c>
    </row>
    <row r="950" spans="1:14" ht="18" customHeight="1">
      <c r="A950" s="293" t="s">
        <v>2552</v>
      </c>
      <c r="B950" s="294">
        <v>46150</v>
      </c>
      <c r="C950" s="286" t="s">
        <v>168</v>
      </c>
      <c r="D950" s="286" t="s">
        <v>110</v>
      </c>
      <c r="E950" s="295">
        <v>1</v>
      </c>
      <c r="F950" s="295">
        <v>3</v>
      </c>
      <c r="G950" s="296">
        <v>0</v>
      </c>
      <c r="H950" s="296">
        <v>375</v>
      </c>
      <c r="I950" s="296">
        <v>216</v>
      </c>
      <c r="J950" s="296">
        <v>226.8</v>
      </c>
      <c r="K950" s="296">
        <v>148.19999999999999</v>
      </c>
      <c r="L950" s="296">
        <v>0</v>
      </c>
      <c r="M950" s="296">
        <v>159</v>
      </c>
      <c r="N950" s="297">
        <v>0.42399999999999999</v>
      </c>
    </row>
    <row r="951" spans="1:14" ht="18" customHeight="1">
      <c r="A951" s="293" t="s">
        <v>2553</v>
      </c>
      <c r="B951" s="294">
        <v>46150</v>
      </c>
      <c r="C951" s="286" t="s">
        <v>168</v>
      </c>
      <c r="D951" s="286" t="s">
        <v>96</v>
      </c>
      <c r="E951" s="295">
        <v>2</v>
      </c>
      <c r="F951" s="295">
        <v>2</v>
      </c>
      <c r="G951" s="296">
        <v>0</v>
      </c>
      <c r="H951" s="296">
        <v>580</v>
      </c>
      <c r="I951" s="296">
        <v>415</v>
      </c>
      <c r="J951" s="296">
        <v>429.15000000000003</v>
      </c>
      <c r="K951" s="296">
        <v>150.84999999999997</v>
      </c>
      <c r="L951" s="296">
        <v>0</v>
      </c>
      <c r="M951" s="296">
        <v>165</v>
      </c>
      <c r="N951" s="297">
        <v>0.28448275862068967</v>
      </c>
    </row>
    <row r="952" spans="1:14" ht="18" customHeight="1">
      <c r="A952" s="293" t="s">
        <v>2554</v>
      </c>
      <c r="B952" s="294">
        <v>46150</v>
      </c>
      <c r="C952" s="286" t="s">
        <v>168</v>
      </c>
      <c r="D952" s="286" t="s">
        <v>132</v>
      </c>
      <c r="E952" s="295">
        <v>4</v>
      </c>
      <c r="F952" s="295">
        <v>22</v>
      </c>
      <c r="G952" s="296">
        <v>0</v>
      </c>
      <c r="H952" s="296">
        <v>1810</v>
      </c>
      <c r="I952" s="296">
        <v>1163.6000000000001</v>
      </c>
      <c r="J952" s="296">
        <v>1198.508</v>
      </c>
      <c r="K952" s="296">
        <v>611.49199999999996</v>
      </c>
      <c r="L952" s="296">
        <v>0</v>
      </c>
      <c r="M952" s="296">
        <v>646.39999999999986</v>
      </c>
      <c r="N952" s="297">
        <v>0.35712707182320436</v>
      </c>
    </row>
    <row r="953" spans="1:14" ht="18" customHeight="1">
      <c r="A953" s="293" t="s">
        <v>2555</v>
      </c>
      <c r="B953" s="294">
        <v>46150</v>
      </c>
      <c r="C953" s="286" t="s">
        <v>168</v>
      </c>
      <c r="D953" s="286" t="s">
        <v>117</v>
      </c>
      <c r="E953" s="295">
        <v>3</v>
      </c>
      <c r="F953" s="295">
        <v>8.1999999999999993</v>
      </c>
      <c r="G953" s="296">
        <v>0</v>
      </c>
      <c r="H953" s="296">
        <v>1014</v>
      </c>
      <c r="I953" s="296">
        <v>782.80000000000007</v>
      </c>
      <c r="J953" s="296">
        <v>806.99600000000009</v>
      </c>
      <c r="K953" s="296">
        <v>207.00399999999993</v>
      </c>
      <c r="L953" s="296">
        <v>0</v>
      </c>
      <c r="M953" s="296">
        <v>231.19999999999993</v>
      </c>
      <c r="N953" s="297">
        <v>0.22800788954635101</v>
      </c>
    </row>
    <row r="954" spans="1:14" ht="18" customHeight="1">
      <c r="A954" s="293" t="s">
        <v>2556</v>
      </c>
      <c r="B954" s="294">
        <v>46150</v>
      </c>
      <c r="C954" s="286" t="s">
        <v>168</v>
      </c>
      <c r="D954" s="286" t="s">
        <v>205</v>
      </c>
      <c r="E954" s="295">
        <v>1</v>
      </c>
      <c r="F954" s="295">
        <v>1</v>
      </c>
      <c r="G954" s="296">
        <v>0</v>
      </c>
      <c r="H954" s="296">
        <v>580</v>
      </c>
      <c r="I954" s="296">
        <v>480</v>
      </c>
      <c r="J954" s="296">
        <v>504</v>
      </c>
      <c r="K954" s="296">
        <v>76</v>
      </c>
      <c r="L954" s="296">
        <v>0</v>
      </c>
      <c r="M954" s="296">
        <v>100</v>
      </c>
      <c r="N954" s="297">
        <v>0.17241379310344829</v>
      </c>
    </row>
    <row r="955" spans="1:14" ht="18" customHeight="1">
      <c r="A955" s="293" t="s">
        <v>2557</v>
      </c>
      <c r="B955" s="294">
        <v>46150</v>
      </c>
      <c r="C955" s="286" t="s">
        <v>168</v>
      </c>
      <c r="D955" s="286" t="s">
        <v>206</v>
      </c>
      <c r="E955" s="295">
        <v>7</v>
      </c>
      <c r="F955" s="295">
        <v>53.400000000000006</v>
      </c>
      <c r="G955" s="296">
        <v>0</v>
      </c>
      <c r="H955" s="296">
        <v>3375</v>
      </c>
      <c r="I955" s="296">
        <v>1340.7</v>
      </c>
      <c r="J955" s="296">
        <v>1403.4810000000002</v>
      </c>
      <c r="K955" s="296">
        <v>1971.5189999999998</v>
      </c>
      <c r="L955" s="296">
        <v>0</v>
      </c>
      <c r="M955" s="296">
        <v>2034.3</v>
      </c>
      <c r="N955" s="297">
        <v>0.60275555555555549</v>
      </c>
    </row>
    <row r="956" spans="1:14" ht="18" customHeight="1">
      <c r="A956" s="293" t="s">
        <v>2558</v>
      </c>
      <c r="B956" s="294">
        <v>46150</v>
      </c>
      <c r="C956" s="286" t="s">
        <v>168</v>
      </c>
      <c r="D956" s="286" t="s">
        <v>131</v>
      </c>
      <c r="E956" s="295">
        <v>1</v>
      </c>
      <c r="F956" s="295">
        <v>15</v>
      </c>
      <c r="G956" s="296">
        <v>0</v>
      </c>
      <c r="H956" s="296">
        <v>2100</v>
      </c>
      <c r="I956" s="296">
        <v>1125</v>
      </c>
      <c r="J956" s="296">
        <v>1158.75</v>
      </c>
      <c r="K956" s="296">
        <v>941.25</v>
      </c>
      <c r="L956" s="296">
        <v>0</v>
      </c>
      <c r="M956" s="296">
        <v>975</v>
      </c>
      <c r="N956" s="297">
        <v>0.4642857142857143</v>
      </c>
    </row>
    <row r="957" spans="1:14" ht="18" customHeight="1">
      <c r="A957" s="293" t="s">
        <v>2559</v>
      </c>
      <c r="B957" s="294">
        <v>46150</v>
      </c>
      <c r="C957" s="286" t="s">
        <v>168</v>
      </c>
      <c r="D957" s="286" t="s">
        <v>166</v>
      </c>
      <c r="E957" s="295">
        <v>1</v>
      </c>
      <c r="F957" s="295">
        <v>1</v>
      </c>
      <c r="G957" s="296">
        <v>0</v>
      </c>
      <c r="H957" s="296">
        <v>125</v>
      </c>
      <c r="I957" s="296">
        <v>75</v>
      </c>
      <c r="J957" s="296">
        <v>77.25</v>
      </c>
      <c r="K957" s="296">
        <v>47.75</v>
      </c>
      <c r="L957" s="296">
        <v>0</v>
      </c>
      <c r="M957" s="296">
        <v>50</v>
      </c>
      <c r="N957" s="297">
        <v>0.4</v>
      </c>
    </row>
    <row r="958" spans="1:14" ht="18" customHeight="1">
      <c r="A958" s="293" t="s">
        <v>2560</v>
      </c>
      <c r="B958" s="294">
        <v>46150</v>
      </c>
      <c r="C958" s="286" t="s">
        <v>168</v>
      </c>
      <c r="D958" s="286" t="s">
        <v>99</v>
      </c>
      <c r="E958" s="295">
        <v>4</v>
      </c>
      <c r="F958" s="295">
        <v>9</v>
      </c>
      <c r="G958" s="296">
        <v>0</v>
      </c>
      <c r="H958" s="296">
        <v>397</v>
      </c>
      <c r="I958" s="296">
        <v>257</v>
      </c>
      <c r="J958" s="296">
        <v>265.13</v>
      </c>
      <c r="K958" s="296">
        <v>131.86999999999998</v>
      </c>
      <c r="L958" s="296">
        <v>0</v>
      </c>
      <c r="M958" s="296">
        <v>140</v>
      </c>
      <c r="N958" s="297">
        <v>0.3526448362720403</v>
      </c>
    </row>
    <row r="959" spans="1:14" ht="18" customHeight="1">
      <c r="A959" s="293" t="s">
        <v>2561</v>
      </c>
      <c r="B959" s="294">
        <v>46151</v>
      </c>
      <c r="C959" s="286" t="s">
        <v>3773</v>
      </c>
      <c r="D959" s="286" t="s">
        <v>158</v>
      </c>
      <c r="E959" s="295">
        <v>4</v>
      </c>
      <c r="F959" s="295">
        <v>12</v>
      </c>
      <c r="G959" s="296">
        <v>0</v>
      </c>
      <c r="H959" s="296">
        <v>5270</v>
      </c>
      <c r="I959" s="296">
        <v>2992.25</v>
      </c>
      <c r="J959" s="296">
        <v>3082.0174999999999</v>
      </c>
      <c r="K959" s="296">
        <v>2187.9825000000001</v>
      </c>
      <c r="L959" s="296">
        <v>656.39475000000004</v>
      </c>
      <c r="M959" s="296">
        <v>2277.75</v>
      </c>
      <c r="N959" s="297">
        <v>0.43221062618595824</v>
      </c>
    </row>
    <row r="960" spans="1:14" ht="18" customHeight="1">
      <c r="A960" s="293" t="s">
        <v>2562</v>
      </c>
      <c r="B960" s="294">
        <v>46151</v>
      </c>
      <c r="C960" s="286" t="s">
        <v>168</v>
      </c>
      <c r="D960" s="286" t="s">
        <v>181</v>
      </c>
      <c r="E960" s="295">
        <v>1</v>
      </c>
      <c r="F960" s="295">
        <v>1</v>
      </c>
      <c r="G960" s="296">
        <v>0</v>
      </c>
      <c r="H960" s="296">
        <v>405</v>
      </c>
      <c r="I960" s="296">
        <v>180</v>
      </c>
      <c r="J960" s="296">
        <v>189</v>
      </c>
      <c r="K960" s="296">
        <v>216</v>
      </c>
      <c r="L960" s="296">
        <v>0</v>
      </c>
      <c r="M960" s="296">
        <v>225</v>
      </c>
      <c r="N960" s="297">
        <v>0.55555555555555558</v>
      </c>
    </row>
    <row r="961" spans="1:14" ht="18" customHeight="1">
      <c r="A961" s="293" t="s">
        <v>2563</v>
      </c>
      <c r="B961" s="294">
        <v>46151</v>
      </c>
      <c r="C961" s="286" t="s">
        <v>168</v>
      </c>
      <c r="D961" s="286" t="s">
        <v>207</v>
      </c>
      <c r="E961" s="295">
        <v>5</v>
      </c>
      <c r="F961" s="295">
        <v>5</v>
      </c>
      <c r="G961" s="296">
        <v>0</v>
      </c>
      <c r="H961" s="296">
        <v>6870</v>
      </c>
      <c r="I961" s="296">
        <v>4425</v>
      </c>
      <c r="J961" s="296">
        <v>4646.25</v>
      </c>
      <c r="K961" s="296">
        <v>2223.75</v>
      </c>
      <c r="L961" s="296">
        <v>0</v>
      </c>
      <c r="M961" s="296">
        <v>2445</v>
      </c>
      <c r="N961" s="297">
        <v>0.35589519650655022</v>
      </c>
    </row>
    <row r="962" spans="1:14" ht="18" customHeight="1">
      <c r="A962" s="293" t="s">
        <v>2564</v>
      </c>
      <c r="B962" s="294">
        <v>46151</v>
      </c>
      <c r="C962" s="286" t="s">
        <v>3773</v>
      </c>
      <c r="D962" s="286" t="s">
        <v>102</v>
      </c>
      <c r="E962" s="295">
        <v>4</v>
      </c>
      <c r="F962" s="295">
        <v>5</v>
      </c>
      <c r="G962" s="296">
        <v>0</v>
      </c>
      <c r="H962" s="296">
        <v>3340</v>
      </c>
      <c r="I962" s="296">
        <v>1655</v>
      </c>
      <c r="J962" s="296">
        <v>1737.75</v>
      </c>
      <c r="K962" s="296">
        <v>1602.25</v>
      </c>
      <c r="L962" s="296">
        <v>480.67500000000001</v>
      </c>
      <c r="M962" s="296">
        <v>1685</v>
      </c>
      <c r="N962" s="297">
        <v>0.50449101796407181</v>
      </c>
    </row>
    <row r="963" spans="1:14" ht="18" customHeight="1">
      <c r="A963" s="293" t="s">
        <v>2565</v>
      </c>
      <c r="B963" s="294">
        <v>46151</v>
      </c>
      <c r="C963" s="286" t="s">
        <v>354</v>
      </c>
      <c r="D963" s="286" t="s">
        <v>109</v>
      </c>
      <c r="E963" s="295">
        <v>2</v>
      </c>
      <c r="F963" s="295">
        <v>2</v>
      </c>
      <c r="G963" s="296">
        <v>0</v>
      </c>
      <c r="H963" s="296">
        <v>4100</v>
      </c>
      <c r="I963" s="296">
        <v>2750</v>
      </c>
      <c r="J963" s="296">
        <v>2887.5</v>
      </c>
      <c r="K963" s="296">
        <v>1212.5</v>
      </c>
      <c r="L963" s="296">
        <v>363.75</v>
      </c>
      <c r="M963" s="296">
        <v>1350</v>
      </c>
      <c r="N963" s="297">
        <v>0.32926829268292684</v>
      </c>
    </row>
    <row r="964" spans="1:14" ht="18" customHeight="1">
      <c r="A964" s="293" t="s">
        <v>2566</v>
      </c>
      <c r="B964" s="294">
        <v>46151</v>
      </c>
      <c r="C964" s="286" t="s">
        <v>353</v>
      </c>
      <c r="D964" s="286" t="s">
        <v>103</v>
      </c>
      <c r="E964" s="295">
        <v>4</v>
      </c>
      <c r="F964" s="295">
        <v>5</v>
      </c>
      <c r="G964" s="296">
        <v>0</v>
      </c>
      <c r="H964" s="296">
        <v>3250</v>
      </c>
      <c r="I964" s="296">
        <v>1940</v>
      </c>
      <c r="J964" s="296">
        <v>2037</v>
      </c>
      <c r="K964" s="296">
        <v>1213</v>
      </c>
      <c r="L964" s="296">
        <v>363.89999999999992</v>
      </c>
      <c r="M964" s="296">
        <v>1310</v>
      </c>
      <c r="N964" s="297">
        <v>0.40307692307692305</v>
      </c>
    </row>
    <row r="965" spans="1:14" ht="18" customHeight="1">
      <c r="A965" s="293" t="s">
        <v>2567</v>
      </c>
      <c r="B965" s="294">
        <v>46151</v>
      </c>
      <c r="C965" s="286" t="s">
        <v>168</v>
      </c>
      <c r="D965" s="286" t="s">
        <v>121</v>
      </c>
      <c r="E965" s="295">
        <v>1</v>
      </c>
      <c r="F965" s="295">
        <v>1</v>
      </c>
      <c r="G965" s="296">
        <v>0</v>
      </c>
      <c r="H965" s="296">
        <v>2000</v>
      </c>
      <c r="I965" s="296">
        <v>1200</v>
      </c>
      <c r="J965" s="296">
        <v>1260</v>
      </c>
      <c r="K965" s="296">
        <v>740</v>
      </c>
      <c r="L965" s="296">
        <v>0</v>
      </c>
      <c r="M965" s="296">
        <v>800</v>
      </c>
      <c r="N965" s="297">
        <v>0.4</v>
      </c>
    </row>
    <row r="966" spans="1:14" ht="18" customHeight="1">
      <c r="A966" s="293" t="s">
        <v>2568</v>
      </c>
      <c r="B966" s="294">
        <v>46151</v>
      </c>
      <c r="C966" s="286" t="s">
        <v>353</v>
      </c>
      <c r="D966" s="286" t="s">
        <v>94</v>
      </c>
      <c r="E966" s="295">
        <v>3</v>
      </c>
      <c r="F966" s="295">
        <v>9</v>
      </c>
      <c r="G966" s="296">
        <v>0</v>
      </c>
      <c r="H966" s="296">
        <v>1332</v>
      </c>
      <c r="I966" s="296">
        <v>725</v>
      </c>
      <c r="J966" s="296">
        <v>761.25</v>
      </c>
      <c r="K966" s="296">
        <v>570.75</v>
      </c>
      <c r="L966" s="296">
        <v>171.22499999999999</v>
      </c>
      <c r="M966" s="296">
        <v>607</v>
      </c>
      <c r="N966" s="297">
        <v>0.45570570570570573</v>
      </c>
    </row>
    <row r="967" spans="1:14" ht="18" customHeight="1">
      <c r="A967" s="293" t="s">
        <v>2569</v>
      </c>
      <c r="B967" s="294">
        <v>46151</v>
      </c>
      <c r="C967" s="286" t="s">
        <v>168</v>
      </c>
      <c r="D967" s="286" t="s">
        <v>96</v>
      </c>
      <c r="E967" s="295">
        <v>3</v>
      </c>
      <c r="F967" s="295">
        <v>3</v>
      </c>
      <c r="G967" s="296">
        <v>0</v>
      </c>
      <c r="H967" s="296">
        <v>10820</v>
      </c>
      <c r="I967" s="296">
        <v>1415</v>
      </c>
      <c r="J967" s="296">
        <v>1485.75</v>
      </c>
      <c r="K967" s="296">
        <v>9334.25</v>
      </c>
      <c r="L967" s="296">
        <v>0</v>
      </c>
      <c r="M967" s="296">
        <v>9405</v>
      </c>
      <c r="N967" s="297">
        <v>0.86922365988909422</v>
      </c>
    </row>
    <row r="968" spans="1:14" ht="18" customHeight="1">
      <c r="A968" s="293" t="s">
        <v>2570</v>
      </c>
      <c r="B968" s="294">
        <v>46151</v>
      </c>
      <c r="C968" s="286" t="s">
        <v>168</v>
      </c>
      <c r="D968" s="286" t="s">
        <v>105</v>
      </c>
      <c r="E968" s="295">
        <v>1</v>
      </c>
      <c r="F968" s="295">
        <v>1</v>
      </c>
      <c r="G968" s="296">
        <v>0</v>
      </c>
      <c r="H968" s="296">
        <v>8500</v>
      </c>
      <c r="I968" s="296">
        <v>0</v>
      </c>
      <c r="J968" s="296">
        <v>0</v>
      </c>
      <c r="K968" s="296">
        <v>8500</v>
      </c>
      <c r="L968" s="296">
        <v>0</v>
      </c>
      <c r="M968" s="296">
        <v>8500</v>
      </c>
      <c r="N968" s="297">
        <v>1</v>
      </c>
    </row>
    <row r="969" spans="1:14" ht="18" customHeight="1">
      <c r="A969" s="293" t="s">
        <v>2571</v>
      </c>
      <c r="B969" s="294">
        <v>46151</v>
      </c>
      <c r="C969" s="286" t="s">
        <v>168</v>
      </c>
      <c r="D969" s="286" t="s">
        <v>115</v>
      </c>
      <c r="E969" s="295">
        <v>2</v>
      </c>
      <c r="F969" s="295">
        <v>2</v>
      </c>
      <c r="G969" s="296">
        <v>0</v>
      </c>
      <c r="H969" s="296">
        <v>10500</v>
      </c>
      <c r="I969" s="296">
        <v>1300</v>
      </c>
      <c r="J969" s="296">
        <v>1365</v>
      </c>
      <c r="K969" s="296">
        <v>9135</v>
      </c>
      <c r="L969" s="296">
        <v>0</v>
      </c>
      <c r="M969" s="296">
        <v>9200</v>
      </c>
      <c r="N969" s="297">
        <v>0.87619047619047619</v>
      </c>
    </row>
    <row r="970" spans="1:14" ht="18" customHeight="1">
      <c r="A970" s="293" t="s">
        <v>2572</v>
      </c>
      <c r="B970" s="294">
        <v>46151</v>
      </c>
      <c r="C970" s="286" t="s">
        <v>168</v>
      </c>
      <c r="D970" s="286" t="s">
        <v>124</v>
      </c>
      <c r="E970" s="295">
        <v>1</v>
      </c>
      <c r="F970" s="295">
        <v>1</v>
      </c>
      <c r="G970" s="296">
        <v>0</v>
      </c>
      <c r="H970" s="296">
        <v>2000</v>
      </c>
      <c r="I970" s="296">
        <v>900</v>
      </c>
      <c r="J970" s="296">
        <v>945</v>
      </c>
      <c r="K970" s="296">
        <v>1055</v>
      </c>
      <c r="L970" s="296">
        <v>0</v>
      </c>
      <c r="M970" s="296">
        <v>1100</v>
      </c>
      <c r="N970" s="297">
        <v>0.55000000000000004</v>
      </c>
    </row>
    <row r="971" spans="1:14" ht="18" customHeight="1">
      <c r="A971" s="293" t="s">
        <v>2573</v>
      </c>
      <c r="B971" s="294">
        <v>46151</v>
      </c>
      <c r="C971" s="286" t="s">
        <v>168</v>
      </c>
      <c r="D971" s="286" t="s">
        <v>208</v>
      </c>
      <c r="E971" s="295">
        <v>2</v>
      </c>
      <c r="F971" s="295">
        <v>3</v>
      </c>
      <c r="G971" s="296">
        <v>0</v>
      </c>
      <c r="H971" s="296">
        <v>660</v>
      </c>
      <c r="I971" s="296">
        <v>400</v>
      </c>
      <c r="J971" s="296">
        <v>412</v>
      </c>
      <c r="K971" s="296">
        <v>248</v>
      </c>
      <c r="L971" s="296">
        <v>0</v>
      </c>
      <c r="M971" s="296">
        <v>260</v>
      </c>
      <c r="N971" s="297">
        <v>0.39393939393939392</v>
      </c>
    </row>
    <row r="972" spans="1:14" ht="18" customHeight="1">
      <c r="A972" s="293" t="s">
        <v>2574</v>
      </c>
      <c r="B972" s="294">
        <v>46151</v>
      </c>
      <c r="C972" s="286" t="s">
        <v>168</v>
      </c>
      <c r="D972" s="286" t="s">
        <v>205</v>
      </c>
      <c r="E972" s="295">
        <v>2</v>
      </c>
      <c r="F972" s="295">
        <v>2</v>
      </c>
      <c r="G972" s="296">
        <v>0</v>
      </c>
      <c r="H972" s="296">
        <v>110</v>
      </c>
      <c r="I972" s="296">
        <v>50</v>
      </c>
      <c r="J972" s="296">
        <v>52.5</v>
      </c>
      <c r="K972" s="296">
        <v>57.5</v>
      </c>
      <c r="L972" s="296">
        <v>0</v>
      </c>
      <c r="M972" s="296">
        <v>60</v>
      </c>
      <c r="N972" s="297">
        <v>0.54545454545454541</v>
      </c>
    </row>
    <row r="973" spans="1:14" ht="18" customHeight="1">
      <c r="A973" s="293" t="s">
        <v>2575</v>
      </c>
      <c r="B973" s="294">
        <v>46151</v>
      </c>
      <c r="C973" s="286" t="s">
        <v>168</v>
      </c>
      <c r="D973" s="286" t="s">
        <v>97</v>
      </c>
      <c r="E973" s="295">
        <v>3</v>
      </c>
      <c r="F973" s="295">
        <v>3</v>
      </c>
      <c r="G973" s="296">
        <v>0</v>
      </c>
      <c r="H973" s="296">
        <v>2980</v>
      </c>
      <c r="I973" s="296">
        <v>1585</v>
      </c>
      <c r="J973" s="296">
        <v>1659.25</v>
      </c>
      <c r="K973" s="296">
        <v>1320.75</v>
      </c>
      <c r="L973" s="296">
        <v>0</v>
      </c>
      <c r="M973" s="296">
        <v>1395</v>
      </c>
      <c r="N973" s="297">
        <v>0.46812080536912754</v>
      </c>
    </row>
    <row r="974" spans="1:14" ht="18" customHeight="1">
      <c r="A974" s="293" t="s">
        <v>2576</v>
      </c>
      <c r="B974" s="294">
        <v>46151</v>
      </c>
      <c r="C974" s="286" t="s">
        <v>168</v>
      </c>
      <c r="D974" s="286" t="s">
        <v>99</v>
      </c>
      <c r="E974" s="295">
        <v>4</v>
      </c>
      <c r="F974" s="295">
        <v>12</v>
      </c>
      <c r="G974" s="296">
        <v>0</v>
      </c>
      <c r="H974" s="296">
        <v>2205</v>
      </c>
      <c r="I974" s="296">
        <v>1206</v>
      </c>
      <c r="J974" s="296">
        <v>1253.7</v>
      </c>
      <c r="K974" s="296">
        <v>951.3</v>
      </c>
      <c r="L974" s="296">
        <v>0</v>
      </c>
      <c r="M974" s="296">
        <v>999</v>
      </c>
      <c r="N974" s="297">
        <v>0.45306122448979591</v>
      </c>
    </row>
    <row r="975" spans="1:14" ht="18" customHeight="1">
      <c r="A975" s="293" t="s">
        <v>2577</v>
      </c>
      <c r="B975" s="294">
        <v>46153</v>
      </c>
      <c r="C975" s="286" t="s">
        <v>3773</v>
      </c>
      <c r="D975" s="286" t="s">
        <v>100</v>
      </c>
      <c r="E975" s="295">
        <v>1</v>
      </c>
      <c r="F975" s="295">
        <v>1</v>
      </c>
      <c r="G975" s="296">
        <v>0</v>
      </c>
      <c r="H975" s="296">
        <v>580</v>
      </c>
      <c r="I975" s="296">
        <v>480</v>
      </c>
      <c r="J975" s="296">
        <v>504</v>
      </c>
      <c r="K975" s="296">
        <v>76</v>
      </c>
      <c r="L975" s="296">
        <v>22.8</v>
      </c>
      <c r="M975" s="296">
        <v>100</v>
      </c>
      <c r="N975" s="297">
        <v>0.17241379310344829</v>
      </c>
    </row>
    <row r="976" spans="1:14" ht="18" customHeight="1">
      <c r="A976" s="293" t="s">
        <v>2578</v>
      </c>
      <c r="B976" s="294">
        <v>46153</v>
      </c>
      <c r="C976" s="286" t="s">
        <v>168</v>
      </c>
      <c r="D976" s="286" t="s">
        <v>181</v>
      </c>
      <c r="E976" s="295">
        <v>1</v>
      </c>
      <c r="F976" s="295">
        <v>1</v>
      </c>
      <c r="G976" s="296">
        <v>0</v>
      </c>
      <c r="H976" s="296">
        <v>375</v>
      </c>
      <c r="I976" s="296">
        <v>170</v>
      </c>
      <c r="J976" s="296">
        <v>178.5</v>
      </c>
      <c r="K976" s="296">
        <v>196.5</v>
      </c>
      <c r="L976" s="296">
        <v>0</v>
      </c>
      <c r="M976" s="296">
        <v>205</v>
      </c>
      <c r="N976" s="297">
        <v>0.54666666666666663</v>
      </c>
    </row>
    <row r="977" spans="1:14" ht="18" customHeight="1">
      <c r="A977" s="293" t="s">
        <v>2579</v>
      </c>
      <c r="B977" s="294">
        <v>46153</v>
      </c>
      <c r="C977" s="286" t="s">
        <v>3773</v>
      </c>
      <c r="D977" s="286" t="s">
        <v>102</v>
      </c>
      <c r="E977" s="295">
        <v>1</v>
      </c>
      <c r="F977" s="295">
        <v>1</v>
      </c>
      <c r="G977" s="296">
        <v>0</v>
      </c>
      <c r="H977" s="296">
        <v>550</v>
      </c>
      <c r="I977" s="296">
        <v>275</v>
      </c>
      <c r="J977" s="296">
        <v>288.75</v>
      </c>
      <c r="K977" s="296">
        <v>261.25</v>
      </c>
      <c r="L977" s="296">
        <v>78.375</v>
      </c>
      <c r="M977" s="296">
        <v>275</v>
      </c>
      <c r="N977" s="297">
        <v>0.5</v>
      </c>
    </row>
    <row r="978" spans="1:14" ht="18" customHeight="1">
      <c r="A978" s="293" t="s">
        <v>2580</v>
      </c>
      <c r="B978" s="294">
        <v>46153</v>
      </c>
      <c r="C978" s="286" t="s">
        <v>353</v>
      </c>
      <c r="D978" s="286" t="s">
        <v>108</v>
      </c>
      <c r="E978" s="295">
        <v>5</v>
      </c>
      <c r="F978" s="295">
        <v>10</v>
      </c>
      <c r="G978" s="296">
        <v>0</v>
      </c>
      <c r="H978" s="296">
        <v>11555</v>
      </c>
      <c r="I978" s="296">
        <v>1790</v>
      </c>
      <c r="J978" s="296">
        <v>1879.5</v>
      </c>
      <c r="K978" s="296">
        <v>9675.5</v>
      </c>
      <c r="L978" s="296">
        <v>2902.6499999999996</v>
      </c>
      <c r="M978" s="296">
        <v>9765</v>
      </c>
      <c r="N978" s="297">
        <v>0.84508870618779752</v>
      </c>
    </row>
    <row r="979" spans="1:14" ht="18" customHeight="1">
      <c r="A979" s="293" t="s">
        <v>2581</v>
      </c>
      <c r="B979" s="294">
        <v>46153</v>
      </c>
      <c r="C979" s="286" t="s">
        <v>168</v>
      </c>
      <c r="D979" s="286" t="s">
        <v>113</v>
      </c>
      <c r="E979" s="295">
        <v>1</v>
      </c>
      <c r="F979" s="295">
        <v>1</v>
      </c>
      <c r="G979" s="296">
        <v>0</v>
      </c>
      <c r="H979" s="296">
        <v>2000</v>
      </c>
      <c r="I979" s="296">
        <v>1350</v>
      </c>
      <c r="J979" s="296">
        <v>1417.5</v>
      </c>
      <c r="K979" s="296">
        <v>582.5</v>
      </c>
      <c r="L979" s="296">
        <v>0</v>
      </c>
      <c r="M979" s="296">
        <v>650</v>
      </c>
      <c r="N979" s="297">
        <v>0.32500000000000001</v>
      </c>
    </row>
    <row r="980" spans="1:14" ht="18" customHeight="1">
      <c r="A980" s="293" t="s">
        <v>2582</v>
      </c>
      <c r="B980" s="294">
        <v>46153</v>
      </c>
      <c r="C980" s="286" t="s">
        <v>353</v>
      </c>
      <c r="D980" s="286" t="s">
        <v>103</v>
      </c>
      <c r="E980" s="295">
        <v>3</v>
      </c>
      <c r="F980" s="295">
        <v>4</v>
      </c>
      <c r="G980" s="296">
        <v>0</v>
      </c>
      <c r="H980" s="296">
        <v>3950</v>
      </c>
      <c r="I980" s="296">
        <v>2660</v>
      </c>
      <c r="J980" s="296">
        <v>2793</v>
      </c>
      <c r="K980" s="296">
        <v>1157</v>
      </c>
      <c r="L980" s="296">
        <v>347.1</v>
      </c>
      <c r="M980" s="296">
        <v>1290</v>
      </c>
      <c r="N980" s="297">
        <v>0.32658227848101268</v>
      </c>
    </row>
    <row r="981" spans="1:14" ht="18" customHeight="1">
      <c r="A981" s="293" t="s">
        <v>2583</v>
      </c>
      <c r="B981" s="294">
        <v>46153</v>
      </c>
      <c r="C981" s="286" t="s">
        <v>359</v>
      </c>
      <c r="D981" s="286" t="s">
        <v>114</v>
      </c>
      <c r="E981" s="295">
        <v>4</v>
      </c>
      <c r="F981" s="295">
        <v>13</v>
      </c>
      <c r="G981" s="296">
        <v>0</v>
      </c>
      <c r="H981" s="296">
        <v>9096</v>
      </c>
      <c r="I981" s="296">
        <v>272</v>
      </c>
      <c r="J981" s="296">
        <v>285.59999999999997</v>
      </c>
      <c r="K981" s="296">
        <v>8810.4</v>
      </c>
      <c r="L981" s="296">
        <v>2643.1200000000003</v>
      </c>
      <c r="M981" s="296">
        <v>8824</v>
      </c>
      <c r="N981" s="297">
        <v>0.97009674582233951</v>
      </c>
    </row>
    <row r="982" spans="1:14" ht="18" customHeight="1">
      <c r="A982" s="293" t="s">
        <v>2584</v>
      </c>
      <c r="B982" s="294">
        <v>46153</v>
      </c>
      <c r="C982" s="286" t="s">
        <v>168</v>
      </c>
      <c r="D982" s="286" t="s">
        <v>198</v>
      </c>
      <c r="E982" s="295">
        <v>2</v>
      </c>
      <c r="F982" s="295">
        <v>20</v>
      </c>
      <c r="G982" s="296">
        <v>0</v>
      </c>
      <c r="H982" s="296">
        <v>850</v>
      </c>
      <c r="I982" s="296">
        <v>350</v>
      </c>
      <c r="J982" s="296">
        <v>364.70000000000005</v>
      </c>
      <c r="K982" s="296">
        <v>485.29999999999995</v>
      </c>
      <c r="L982" s="296">
        <v>0</v>
      </c>
      <c r="M982" s="296">
        <v>500</v>
      </c>
      <c r="N982" s="297">
        <v>0.58823529411764708</v>
      </c>
    </row>
    <row r="983" spans="1:14" ht="18" customHeight="1">
      <c r="A983" s="293" t="s">
        <v>2585</v>
      </c>
      <c r="B983" s="294">
        <v>46153</v>
      </c>
      <c r="C983" s="286" t="s">
        <v>353</v>
      </c>
      <c r="D983" s="286" t="s">
        <v>94</v>
      </c>
      <c r="E983" s="295">
        <v>1</v>
      </c>
      <c r="F983" s="295">
        <v>1</v>
      </c>
      <c r="G983" s="296">
        <v>0</v>
      </c>
      <c r="H983" s="296">
        <v>1696</v>
      </c>
      <c r="I983" s="296">
        <v>900</v>
      </c>
      <c r="J983" s="296">
        <v>945</v>
      </c>
      <c r="K983" s="296">
        <v>751</v>
      </c>
      <c r="L983" s="296">
        <v>225.29999999999998</v>
      </c>
      <c r="M983" s="296">
        <v>796</v>
      </c>
      <c r="N983" s="297">
        <v>0.46933962264150941</v>
      </c>
    </row>
    <row r="984" spans="1:14" ht="18" customHeight="1">
      <c r="A984" s="293" t="s">
        <v>2586</v>
      </c>
      <c r="B984" s="294">
        <v>46153</v>
      </c>
      <c r="C984" s="286" t="s">
        <v>3773</v>
      </c>
      <c r="D984" s="286" t="s">
        <v>116</v>
      </c>
      <c r="E984" s="295">
        <v>2</v>
      </c>
      <c r="F984" s="295">
        <v>2</v>
      </c>
      <c r="G984" s="296">
        <v>0</v>
      </c>
      <c r="H984" s="296">
        <v>2800</v>
      </c>
      <c r="I984" s="296">
        <v>1700</v>
      </c>
      <c r="J984" s="296">
        <v>1785</v>
      </c>
      <c r="K984" s="296">
        <v>1015</v>
      </c>
      <c r="L984" s="296">
        <v>304.5</v>
      </c>
      <c r="M984" s="296">
        <v>1100</v>
      </c>
      <c r="N984" s="297">
        <v>0.39285714285714285</v>
      </c>
    </row>
    <row r="985" spans="1:14" ht="18" customHeight="1">
      <c r="A985" s="293" t="s">
        <v>2587</v>
      </c>
      <c r="B985" s="294">
        <v>46153</v>
      </c>
      <c r="C985" s="286" t="s">
        <v>168</v>
      </c>
      <c r="D985" s="286" t="s">
        <v>96</v>
      </c>
      <c r="E985" s="295">
        <v>1</v>
      </c>
      <c r="F985" s="295">
        <v>1</v>
      </c>
      <c r="G985" s="296">
        <v>0</v>
      </c>
      <c r="H985" s="296">
        <v>2200</v>
      </c>
      <c r="I985" s="296">
        <v>1500</v>
      </c>
      <c r="J985" s="296">
        <v>1575</v>
      </c>
      <c r="K985" s="296">
        <v>625</v>
      </c>
      <c r="L985" s="296">
        <v>0</v>
      </c>
      <c r="M985" s="296">
        <v>700</v>
      </c>
      <c r="N985" s="297">
        <v>0.31818181818181818</v>
      </c>
    </row>
    <row r="986" spans="1:14" ht="18" customHeight="1">
      <c r="A986" s="293" t="s">
        <v>2588</v>
      </c>
      <c r="B986" s="294">
        <v>46153</v>
      </c>
      <c r="C986" s="286" t="s">
        <v>168</v>
      </c>
      <c r="D986" s="286" t="s">
        <v>115</v>
      </c>
      <c r="E986" s="295">
        <v>4</v>
      </c>
      <c r="F986" s="295">
        <v>4</v>
      </c>
      <c r="G986" s="296">
        <v>0</v>
      </c>
      <c r="H986" s="296">
        <v>6250</v>
      </c>
      <c r="I986" s="296">
        <v>3200</v>
      </c>
      <c r="J986" s="296">
        <v>3360</v>
      </c>
      <c r="K986" s="296">
        <v>2890</v>
      </c>
      <c r="L986" s="296">
        <v>0</v>
      </c>
      <c r="M986" s="296">
        <v>3050</v>
      </c>
      <c r="N986" s="297">
        <v>0.48799999999999999</v>
      </c>
    </row>
    <row r="987" spans="1:14" ht="18" customHeight="1">
      <c r="A987" s="293" t="s">
        <v>2589</v>
      </c>
      <c r="B987" s="294">
        <v>46153</v>
      </c>
      <c r="C987" s="286" t="s">
        <v>168</v>
      </c>
      <c r="D987" s="286" t="s">
        <v>128</v>
      </c>
      <c r="E987" s="295">
        <v>1</v>
      </c>
      <c r="F987" s="295">
        <v>1</v>
      </c>
      <c r="G987" s="296">
        <v>0</v>
      </c>
      <c r="H987" s="296">
        <v>400</v>
      </c>
      <c r="I987" s="296">
        <v>250</v>
      </c>
      <c r="J987" s="296">
        <v>262.5</v>
      </c>
      <c r="K987" s="296">
        <v>137.5</v>
      </c>
      <c r="L987" s="296">
        <v>0</v>
      </c>
      <c r="M987" s="296">
        <v>150</v>
      </c>
      <c r="N987" s="297">
        <v>0.375</v>
      </c>
    </row>
    <row r="988" spans="1:14" ht="18" customHeight="1">
      <c r="A988" s="293" t="s">
        <v>2590</v>
      </c>
      <c r="B988" s="294">
        <v>46153</v>
      </c>
      <c r="C988" s="286" t="s">
        <v>168</v>
      </c>
      <c r="D988" s="286" t="s">
        <v>132</v>
      </c>
      <c r="E988" s="295">
        <v>2</v>
      </c>
      <c r="F988" s="295">
        <v>2</v>
      </c>
      <c r="G988" s="296">
        <v>0</v>
      </c>
      <c r="H988" s="296">
        <v>170</v>
      </c>
      <c r="I988" s="296">
        <v>108.6</v>
      </c>
      <c r="J988" s="296">
        <v>111.858</v>
      </c>
      <c r="K988" s="296">
        <v>58.141999999999996</v>
      </c>
      <c r="L988" s="296">
        <v>0</v>
      </c>
      <c r="M988" s="296">
        <v>61.400000000000006</v>
      </c>
      <c r="N988" s="297">
        <v>0.36117647058823532</v>
      </c>
    </row>
    <row r="989" spans="1:14" ht="18" customHeight="1">
      <c r="A989" s="293" t="s">
        <v>2591</v>
      </c>
      <c r="B989" s="294">
        <v>46153</v>
      </c>
      <c r="C989" s="286" t="s">
        <v>168</v>
      </c>
      <c r="D989" s="286" t="s">
        <v>124</v>
      </c>
      <c r="E989" s="295">
        <v>1</v>
      </c>
      <c r="F989" s="295">
        <v>1</v>
      </c>
      <c r="G989" s="296">
        <v>0</v>
      </c>
      <c r="H989" s="296">
        <v>8500</v>
      </c>
      <c r="I989" s="296">
        <v>0</v>
      </c>
      <c r="J989" s="296">
        <v>0</v>
      </c>
      <c r="K989" s="296">
        <v>8500</v>
      </c>
      <c r="L989" s="296">
        <v>0</v>
      </c>
      <c r="M989" s="296">
        <v>8500</v>
      </c>
      <c r="N989" s="297">
        <v>1</v>
      </c>
    </row>
    <row r="990" spans="1:14" ht="18" customHeight="1">
      <c r="A990" s="293" t="s">
        <v>2592</v>
      </c>
      <c r="B990" s="294">
        <v>46153</v>
      </c>
      <c r="C990" s="286" t="s">
        <v>168</v>
      </c>
      <c r="D990" s="286" t="s">
        <v>129</v>
      </c>
      <c r="E990" s="295">
        <v>2</v>
      </c>
      <c r="F990" s="295">
        <v>5</v>
      </c>
      <c r="G990" s="296">
        <v>0</v>
      </c>
      <c r="H990" s="296">
        <v>860</v>
      </c>
      <c r="I990" s="296">
        <v>473</v>
      </c>
      <c r="J990" s="296">
        <v>492.95000000000005</v>
      </c>
      <c r="K990" s="296">
        <v>367.04999999999995</v>
      </c>
      <c r="L990" s="296">
        <v>0</v>
      </c>
      <c r="M990" s="296">
        <v>387</v>
      </c>
      <c r="N990" s="297">
        <v>0.45</v>
      </c>
    </row>
    <row r="991" spans="1:14" ht="18" customHeight="1">
      <c r="A991" s="293" t="s">
        <v>2593</v>
      </c>
      <c r="B991" s="294">
        <v>46153</v>
      </c>
      <c r="C991" s="286" t="s">
        <v>168</v>
      </c>
      <c r="D991" s="286" t="s">
        <v>205</v>
      </c>
      <c r="E991" s="295">
        <v>3</v>
      </c>
      <c r="F991" s="295">
        <v>4</v>
      </c>
      <c r="G991" s="296">
        <v>0</v>
      </c>
      <c r="H991" s="296">
        <v>325</v>
      </c>
      <c r="I991" s="296">
        <v>141</v>
      </c>
      <c r="J991" s="296">
        <v>148.05000000000001</v>
      </c>
      <c r="K991" s="296">
        <v>176.95</v>
      </c>
      <c r="L991" s="296">
        <v>0</v>
      </c>
      <c r="M991" s="296">
        <v>184</v>
      </c>
      <c r="N991" s="297">
        <v>0.56615384615384612</v>
      </c>
    </row>
    <row r="992" spans="1:14" ht="18" customHeight="1">
      <c r="A992" s="293" t="s">
        <v>2594</v>
      </c>
      <c r="B992" s="294">
        <v>46153</v>
      </c>
      <c r="C992" s="286" t="s">
        <v>168</v>
      </c>
      <c r="D992" s="286" t="s">
        <v>185</v>
      </c>
      <c r="E992" s="295">
        <v>6</v>
      </c>
      <c r="F992" s="295">
        <v>6.4</v>
      </c>
      <c r="G992" s="296">
        <v>0</v>
      </c>
      <c r="H992" s="296">
        <v>1545</v>
      </c>
      <c r="I992" s="296">
        <v>784.30000000000007</v>
      </c>
      <c r="J992" s="296">
        <v>808.6690000000001</v>
      </c>
      <c r="K992" s="296">
        <v>736.3309999999999</v>
      </c>
      <c r="L992" s="296">
        <v>0</v>
      </c>
      <c r="M992" s="296">
        <v>760.69999999999993</v>
      </c>
      <c r="N992" s="297">
        <v>0.49236245954692553</v>
      </c>
    </row>
    <row r="993" spans="1:14" ht="18" customHeight="1">
      <c r="A993" s="293" t="s">
        <v>2595</v>
      </c>
      <c r="B993" s="294">
        <v>46153</v>
      </c>
      <c r="C993" s="286" t="s">
        <v>168</v>
      </c>
      <c r="D993" s="286" t="s">
        <v>99</v>
      </c>
      <c r="E993" s="295">
        <v>6</v>
      </c>
      <c r="F993" s="295">
        <v>10</v>
      </c>
      <c r="G993" s="296">
        <v>0</v>
      </c>
      <c r="H993" s="296">
        <v>3240</v>
      </c>
      <c r="I993" s="296">
        <v>1928.6000000000001</v>
      </c>
      <c r="J993" s="296">
        <v>2021.2579999999998</v>
      </c>
      <c r="K993" s="296">
        <v>1218.7420000000002</v>
      </c>
      <c r="L993" s="296">
        <v>0</v>
      </c>
      <c r="M993" s="296">
        <v>1311.3999999999999</v>
      </c>
      <c r="N993" s="297">
        <v>0.40475308641975305</v>
      </c>
    </row>
    <row r="994" spans="1:14" ht="18" customHeight="1">
      <c r="A994" s="293" t="s">
        <v>2596</v>
      </c>
      <c r="B994" s="294">
        <v>46154</v>
      </c>
      <c r="C994" s="286" t="s">
        <v>3773</v>
      </c>
      <c r="D994" s="286" t="s">
        <v>209</v>
      </c>
      <c r="E994" s="295">
        <v>1</v>
      </c>
      <c r="F994" s="295">
        <v>1</v>
      </c>
      <c r="G994" s="296">
        <v>0</v>
      </c>
      <c r="H994" s="296">
        <v>245</v>
      </c>
      <c r="I994" s="296">
        <v>100</v>
      </c>
      <c r="J994" s="296">
        <v>105</v>
      </c>
      <c r="K994" s="296">
        <v>140</v>
      </c>
      <c r="L994" s="296">
        <v>42</v>
      </c>
      <c r="M994" s="296">
        <v>145</v>
      </c>
      <c r="N994" s="297">
        <v>0.59183673469387754</v>
      </c>
    </row>
    <row r="995" spans="1:14" ht="18" customHeight="1">
      <c r="A995" s="293" t="s">
        <v>2597</v>
      </c>
      <c r="B995" s="294">
        <v>46154</v>
      </c>
      <c r="C995" s="286" t="s">
        <v>3773</v>
      </c>
      <c r="D995" s="286" t="s">
        <v>102</v>
      </c>
      <c r="E995" s="295">
        <v>6</v>
      </c>
      <c r="F995" s="295">
        <v>6</v>
      </c>
      <c r="G995" s="296">
        <v>0</v>
      </c>
      <c r="H995" s="296">
        <v>4580</v>
      </c>
      <c r="I995" s="296">
        <v>2310</v>
      </c>
      <c r="J995" s="296">
        <v>2425.5</v>
      </c>
      <c r="K995" s="296">
        <v>2154.5</v>
      </c>
      <c r="L995" s="296">
        <v>646.35</v>
      </c>
      <c r="M995" s="296">
        <v>2270</v>
      </c>
      <c r="N995" s="297">
        <v>0.49563318777292575</v>
      </c>
    </row>
    <row r="996" spans="1:14" ht="18" customHeight="1">
      <c r="A996" s="293" t="s">
        <v>2598</v>
      </c>
      <c r="B996" s="294">
        <v>46154</v>
      </c>
      <c r="C996" s="286" t="s">
        <v>3773</v>
      </c>
      <c r="D996" s="286" t="s">
        <v>126</v>
      </c>
      <c r="E996" s="295">
        <v>2</v>
      </c>
      <c r="F996" s="295">
        <v>2</v>
      </c>
      <c r="G996" s="296">
        <v>0</v>
      </c>
      <c r="H996" s="296">
        <v>2550</v>
      </c>
      <c r="I996" s="296">
        <v>1440</v>
      </c>
      <c r="J996" s="296">
        <v>1512</v>
      </c>
      <c r="K996" s="296">
        <v>1038</v>
      </c>
      <c r="L996" s="296">
        <v>311.39999999999998</v>
      </c>
      <c r="M996" s="296">
        <v>1110</v>
      </c>
      <c r="N996" s="297">
        <v>0.43529411764705883</v>
      </c>
    </row>
    <row r="997" spans="1:14" ht="18" customHeight="1">
      <c r="A997" s="293" t="s">
        <v>2599</v>
      </c>
      <c r="B997" s="294">
        <v>46154</v>
      </c>
      <c r="C997" s="286" t="s">
        <v>168</v>
      </c>
      <c r="D997" s="286" t="s">
        <v>121</v>
      </c>
      <c r="E997" s="295">
        <v>4</v>
      </c>
      <c r="F997" s="295">
        <v>7</v>
      </c>
      <c r="G997" s="296">
        <v>0</v>
      </c>
      <c r="H997" s="296">
        <v>5030</v>
      </c>
      <c r="I997" s="296">
        <v>1420</v>
      </c>
      <c r="J997" s="296">
        <v>1491</v>
      </c>
      <c r="K997" s="296">
        <v>3539</v>
      </c>
      <c r="L997" s="296">
        <v>0</v>
      </c>
      <c r="M997" s="296">
        <v>3610</v>
      </c>
      <c r="N997" s="297">
        <v>0.71769383697813116</v>
      </c>
    </row>
    <row r="998" spans="1:14" ht="18" customHeight="1">
      <c r="A998" s="293" t="s">
        <v>2600</v>
      </c>
      <c r="B998" s="294">
        <v>46154</v>
      </c>
      <c r="C998" s="286" t="s">
        <v>168</v>
      </c>
      <c r="D998" s="286" t="s">
        <v>178</v>
      </c>
      <c r="E998" s="295">
        <v>1</v>
      </c>
      <c r="F998" s="295">
        <v>1</v>
      </c>
      <c r="G998" s="296">
        <v>0</v>
      </c>
      <c r="H998" s="296">
        <v>600</v>
      </c>
      <c r="I998" s="296">
        <v>340</v>
      </c>
      <c r="J998" s="296">
        <v>357</v>
      </c>
      <c r="K998" s="296">
        <v>243</v>
      </c>
      <c r="L998" s="296">
        <v>0</v>
      </c>
      <c r="M998" s="296">
        <v>260</v>
      </c>
      <c r="N998" s="297">
        <v>0.43333333333333335</v>
      </c>
    </row>
    <row r="999" spans="1:14" ht="18" customHeight="1">
      <c r="A999" s="293" t="s">
        <v>2601</v>
      </c>
      <c r="B999" s="294">
        <v>46154</v>
      </c>
      <c r="C999" s="286" t="s">
        <v>168</v>
      </c>
      <c r="D999" s="286" t="s">
        <v>96</v>
      </c>
      <c r="E999" s="295">
        <v>2</v>
      </c>
      <c r="F999" s="295">
        <v>2</v>
      </c>
      <c r="G999" s="296">
        <v>0</v>
      </c>
      <c r="H999" s="296">
        <v>3500</v>
      </c>
      <c r="I999" s="296">
        <v>2150</v>
      </c>
      <c r="J999" s="296">
        <v>2257.5</v>
      </c>
      <c r="K999" s="296">
        <v>1242.5</v>
      </c>
      <c r="L999" s="296">
        <v>0</v>
      </c>
      <c r="M999" s="296">
        <v>1350</v>
      </c>
      <c r="N999" s="297">
        <v>0.38571428571428573</v>
      </c>
    </row>
    <row r="1000" spans="1:14" ht="18" customHeight="1">
      <c r="A1000" s="293" t="s">
        <v>2602</v>
      </c>
      <c r="B1000" s="294">
        <v>46154</v>
      </c>
      <c r="C1000" s="286" t="s">
        <v>168</v>
      </c>
      <c r="D1000" s="286" t="s">
        <v>105</v>
      </c>
      <c r="E1000" s="295">
        <v>1</v>
      </c>
      <c r="F1000" s="295">
        <v>1</v>
      </c>
      <c r="G1000" s="296">
        <v>0</v>
      </c>
      <c r="H1000" s="296">
        <v>1600</v>
      </c>
      <c r="I1000" s="296">
        <v>1000</v>
      </c>
      <c r="J1000" s="296">
        <v>1050</v>
      </c>
      <c r="K1000" s="296">
        <v>550</v>
      </c>
      <c r="L1000" s="296">
        <v>0</v>
      </c>
      <c r="M1000" s="296">
        <v>600</v>
      </c>
      <c r="N1000" s="297">
        <v>0.375</v>
      </c>
    </row>
    <row r="1001" spans="1:14" ht="18" customHeight="1">
      <c r="A1001" s="293" t="s">
        <v>2603</v>
      </c>
      <c r="B1001" s="294">
        <v>46154</v>
      </c>
      <c r="C1001" s="286" t="s">
        <v>168</v>
      </c>
      <c r="D1001" s="286" t="s">
        <v>115</v>
      </c>
      <c r="E1001" s="295">
        <v>4</v>
      </c>
      <c r="F1001" s="295">
        <v>4</v>
      </c>
      <c r="G1001" s="296">
        <v>0</v>
      </c>
      <c r="H1001" s="296">
        <v>2810</v>
      </c>
      <c r="I1001" s="296">
        <v>1375</v>
      </c>
      <c r="J1001" s="296">
        <v>1443.75</v>
      </c>
      <c r="K1001" s="296">
        <v>1366.25</v>
      </c>
      <c r="L1001" s="296">
        <v>0</v>
      </c>
      <c r="M1001" s="296">
        <v>1435</v>
      </c>
      <c r="N1001" s="297">
        <v>0.51067615658362986</v>
      </c>
    </row>
    <row r="1002" spans="1:14" ht="18" customHeight="1">
      <c r="A1002" s="293" t="s">
        <v>2604</v>
      </c>
      <c r="B1002" s="294">
        <v>46154</v>
      </c>
      <c r="C1002" s="286" t="s">
        <v>168</v>
      </c>
      <c r="D1002" s="286" t="s">
        <v>97</v>
      </c>
      <c r="E1002" s="295">
        <v>2</v>
      </c>
      <c r="F1002" s="295">
        <v>2</v>
      </c>
      <c r="G1002" s="296">
        <v>0</v>
      </c>
      <c r="H1002" s="296">
        <v>360</v>
      </c>
      <c r="I1002" s="296">
        <v>47</v>
      </c>
      <c r="J1002" s="296">
        <v>49.35</v>
      </c>
      <c r="K1002" s="296">
        <v>310.64999999999998</v>
      </c>
      <c r="L1002" s="296">
        <v>0</v>
      </c>
      <c r="M1002" s="296">
        <v>313</v>
      </c>
      <c r="N1002" s="297">
        <v>0.86944444444444446</v>
      </c>
    </row>
    <row r="1003" spans="1:14" ht="18" customHeight="1">
      <c r="A1003" s="293" t="s">
        <v>2605</v>
      </c>
      <c r="B1003" s="294">
        <v>46154</v>
      </c>
      <c r="C1003" s="286" t="s">
        <v>358</v>
      </c>
      <c r="D1003" s="286" t="s">
        <v>98</v>
      </c>
      <c r="E1003" s="295">
        <v>1</v>
      </c>
      <c r="F1003" s="295">
        <v>1</v>
      </c>
      <c r="G1003" s="296">
        <v>0</v>
      </c>
      <c r="H1003" s="296">
        <v>8500</v>
      </c>
      <c r="I1003" s="296">
        <v>0</v>
      </c>
      <c r="J1003" s="296">
        <v>0</v>
      </c>
      <c r="K1003" s="296">
        <v>8500</v>
      </c>
      <c r="L1003" s="296">
        <v>2550</v>
      </c>
      <c r="M1003" s="296">
        <v>8500</v>
      </c>
      <c r="N1003" s="297">
        <v>1</v>
      </c>
    </row>
    <row r="1004" spans="1:14" ht="18" customHeight="1">
      <c r="A1004" s="293" t="s">
        <v>2606</v>
      </c>
      <c r="B1004" s="294">
        <v>46154</v>
      </c>
      <c r="C1004" s="286" t="s">
        <v>168</v>
      </c>
      <c r="D1004" s="286" t="s">
        <v>185</v>
      </c>
      <c r="E1004" s="295">
        <v>3</v>
      </c>
      <c r="F1004" s="295">
        <v>2.2000000000000002</v>
      </c>
      <c r="G1004" s="296">
        <v>0</v>
      </c>
      <c r="H1004" s="296">
        <v>1040</v>
      </c>
      <c r="I1004" s="296">
        <v>694.6</v>
      </c>
      <c r="J1004" s="296">
        <v>718.73800000000006</v>
      </c>
      <c r="K1004" s="296">
        <v>321.26199999999994</v>
      </c>
      <c r="L1004" s="296">
        <v>0</v>
      </c>
      <c r="M1004" s="296">
        <v>345.4</v>
      </c>
      <c r="N1004" s="297">
        <v>0.33211538461538459</v>
      </c>
    </row>
    <row r="1005" spans="1:14" ht="18" customHeight="1">
      <c r="A1005" s="293" t="s">
        <v>2607</v>
      </c>
      <c r="B1005" s="294">
        <v>46154</v>
      </c>
      <c r="C1005" s="286" t="s">
        <v>168</v>
      </c>
      <c r="D1005" s="286" t="s">
        <v>99</v>
      </c>
      <c r="E1005" s="295">
        <v>7</v>
      </c>
      <c r="F1005" s="295">
        <v>8</v>
      </c>
      <c r="G1005" s="296">
        <v>0</v>
      </c>
      <c r="H1005" s="296">
        <v>1795</v>
      </c>
      <c r="I1005" s="296">
        <v>756</v>
      </c>
      <c r="J1005" s="296">
        <v>789.3</v>
      </c>
      <c r="K1005" s="296">
        <v>1005.7</v>
      </c>
      <c r="L1005" s="296">
        <v>0</v>
      </c>
      <c r="M1005" s="296">
        <v>1039</v>
      </c>
      <c r="N1005" s="297">
        <v>0.57883008356545962</v>
      </c>
    </row>
    <row r="1006" spans="1:14" ht="18" customHeight="1">
      <c r="A1006" s="293" t="s">
        <v>2608</v>
      </c>
      <c r="B1006" s="294">
        <v>46156</v>
      </c>
      <c r="C1006" s="286" t="s">
        <v>168</v>
      </c>
      <c r="D1006" s="286" t="s">
        <v>196</v>
      </c>
      <c r="E1006" s="295">
        <v>1</v>
      </c>
      <c r="F1006" s="295">
        <v>1</v>
      </c>
      <c r="G1006" s="296">
        <v>0</v>
      </c>
      <c r="H1006" s="296">
        <v>2200</v>
      </c>
      <c r="I1006" s="296">
        <v>1350</v>
      </c>
      <c r="J1006" s="296">
        <v>1417.5</v>
      </c>
      <c r="K1006" s="296">
        <v>782.5</v>
      </c>
      <c r="L1006" s="296">
        <v>0</v>
      </c>
      <c r="M1006" s="296">
        <v>850</v>
      </c>
      <c r="N1006" s="297">
        <v>0.38636363636363635</v>
      </c>
    </row>
    <row r="1007" spans="1:14" ht="18" customHeight="1">
      <c r="A1007" s="293" t="s">
        <v>2609</v>
      </c>
      <c r="B1007" s="294">
        <v>46156</v>
      </c>
      <c r="C1007" s="286" t="s">
        <v>3773</v>
      </c>
      <c r="D1007" s="286" t="s">
        <v>102</v>
      </c>
      <c r="E1007" s="295">
        <v>2</v>
      </c>
      <c r="F1007" s="295">
        <v>2</v>
      </c>
      <c r="G1007" s="296">
        <v>0</v>
      </c>
      <c r="H1007" s="296">
        <v>2650</v>
      </c>
      <c r="I1007" s="296">
        <v>1360</v>
      </c>
      <c r="J1007" s="296">
        <v>1428</v>
      </c>
      <c r="K1007" s="296">
        <v>1222</v>
      </c>
      <c r="L1007" s="296">
        <v>366.6</v>
      </c>
      <c r="M1007" s="296">
        <v>1290</v>
      </c>
      <c r="N1007" s="297">
        <v>0.48679245283018868</v>
      </c>
    </row>
    <row r="1008" spans="1:14" ht="18" customHeight="1">
      <c r="A1008" s="293" t="s">
        <v>2610</v>
      </c>
      <c r="B1008" s="294">
        <v>46156</v>
      </c>
      <c r="C1008" s="286" t="s">
        <v>3773</v>
      </c>
      <c r="D1008" s="286" t="s">
        <v>126</v>
      </c>
      <c r="E1008" s="295">
        <v>2</v>
      </c>
      <c r="F1008" s="295">
        <v>2</v>
      </c>
      <c r="G1008" s="296">
        <v>0</v>
      </c>
      <c r="H1008" s="296">
        <v>1100</v>
      </c>
      <c r="I1008" s="296">
        <v>490</v>
      </c>
      <c r="J1008" s="296">
        <v>514.5</v>
      </c>
      <c r="K1008" s="296">
        <v>585.5</v>
      </c>
      <c r="L1008" s="296">
        <v>175.64999999999998</v>
      </c>
      <c r="M1008" s="296">
        <v>610</v>
      </c>
      <c r="N1008" s="297">
        <v>0.55454545454545456</v>
      </c>
    </row>
    <row r="1009" spans="1:14" ht="18" customHeight="1">
      <c r="A1009" s="293" t="s">
        <v>2611</v>
      </c>
      <c r="B1009" s="294">
        <v>46156</v>
      </c>
      <c r="C1009" s="286" t="s">
        <v>354</v>
      </c>
      <c r="D1009" s="286" t="s">
        <v>109</v>
      </c>
      <c r="E1009" s="295">
        <v>2</v>
      </c>
      <c r="F1009" s="295">
        <v>2</v>
      </c>
      <c r="G1009" s="296">
        <v>0</v>
      </c>
      <c r="H1009" s="296">
        <v>3200</v>
      </c>
      <c r="I1009" s="296">
        <v>2000</v>
      </c>
      <c r="J1009" s="296">
        <v>2100</v>
      </c>
      <c r="K1009" s="296">
        <v>1100</v>
      </c>
      <c r="L1009" s="296">
        <v>330</v>
      </c>
      <c r="M1009" s="296">
        <v>1200</v>
      </c>
      <c r="N1009" s="297">
        <v>0.375</v>
      </c>
    </row>
    <row r="1010" spans="1:14" ht="18" customHeight="1">
      <c r="A1010" s="293" t="s">
        <v>2612</v>
      </c>
      <c r="B1010" s="294">
        <v>46156</v>
      </c>
      <c r="C1010" s="286" t="s">
        <v>359</v>
      </c>
      <c r="D1010" s="286" t="s">
        <v>114</v>
      </c>
      <c r="E1010" s="295">
        <v>2</v>
      </c>
      <c r="F1010" s="295">
        <v>3</v>
      </c>
      <c r="G1010" s="296">
        <v>0</v>
      </c>
      <c r="H1010" s="296">
        <v>2115</v>
      </c>
      <c r="I1010" s="296">
        <v>980</v>
      </c>
      <c r="J1010" s="296">
        <v>1029</v>
      </c>
      <c r="K1010" s="296">
        <v>1086</v>
      </c>
      <c r="L1010" s="296">
        <v>325.8</v>
      </c>
      <c r="M1010" s="296">
        <v>1135</v>
      </c>
      <c r="N1010" s="297">
        <v>0.53664302600472813</v>
      </c>
    </row>
    <row r="1011" spans="1:14" ht="18" customHeight="1">
      <c r="A1011" s="293" t="s">
        <v>2613</v>
      </c>
      <c r="B1011" s="294">
        <v>46156</v>
      </c>
      <c r="C1011" s="286" t="s">
        <v>3773</v>
      </c>
      <c r="D1011" s="286" t="s">
        <v>116</v>
      </c>
      <c r="E1011" s="295">
        <v>2</v>
      </c>
      <c r="F1011" s="295">
        <v>2</v>
      </c>
      <c r="G1011" s="296">
        <v>0</v>
      </c>
      <c r="H1011" s="296">
        <v>2475</v>
      </c>
      <c r="I1011" s="296">
        <v>1530</v>
      </c>
      <c r="J1011" s="296">
        <v>1606.5</v>
      </c>
      <c r="K1011" s="296">
        <v>868.5</v>
      </c>
      <c r="L1011" s="296">
        <v>260.55</v>
      </c>
      <c r="M1011" s="296">
        <v>945</v>
      </c>
      <c r="N1011" s="297">
        <v>0.38181818181818183</v>
      </c>
    </row>
    <row r="1012" spans="1:14" ht="18" customHeight="1">
      <c r="A1012" s="293" t="s">
        <v>2614</v>
      </c>
      <c r="B1012" s="294">
        <v>46156</v>
      </c>
      <c r="C1012" s="286" t="s">
        <v>168</v>
      </c>
      <c r="D1012" s="286" t="s">
        <v>210</v>
      </c>
      <c r="E1012" s="295">
        <v>7</v>
      </c>
      <c r="F1012" s="295">
        <v>10.4</v>
      </c>
      <c r="G1012" s="296">
        <v>0</v>
      </c>
      <c r="H1012" s="296">
        <v>2055</v>
      </c>
      <c r="I1012" s="296">
        <v>1027.9000000000001</v>
      </c>
      <c r="J1012" s="296">
        <v>1059.4490000000001</v>
      </c>
      <c r="K1012" s="296">
        <v>995.55099999999993</v>
      </c>
      <c r="L1012" s="296">
        <v>0</v>
      </c>
      <c r="M1012" s="296">
        <v>1027.0999999999999</v>
      </c>
      <c r="N1012" s="297">
        <v>0.49980535279805349</v>
      </c>
    </row>
    <row r="1013" spans="1:14" ht="18" customHeight="1">
      <c r="A1013" s="293" t="s">
        <v>2615</v>
      </c>
      <c r="B1013" s="294">
        <v>46156</v>
      </c>
      <c r="C1013" s="286" t="s">
        <v>168</v>
      </c>
      <c r="D1013" s="286" t="s">
        <v>129</v>
      </c>
      <c r="E1013" s="295">
        <v>6</v>
      </c>
      <c r="F1013" s="295">
        <v>24.4</v>
      </c>
      <c r="G1013" s="296">
        <v>0</v>
      </c>
      <c r="H1013" s="296">
        <v>5060</v>
      </c>
      <c r="I1013" s="296">
        <v>1551.6</v>
      </c>
      <c r="J1013" s="296">
        <v>1618.4680000000001</v>
      </c>
      <c r="K1013" s="296">
        <v>3441.5319999999997</v>
      </c>
      <c r="L1013" s="296">
        <v>0</v>
      </c>
      <c r="M1013" s="296">
        <v>3508.4</v>
      </c>
      <c r="N1013" s="297">
        <v>0.69335968379446644</v>
      </c>
    </row>
    <row r="1014" spans="1:14" ht="18" customHeight="1">
      <c r="A1014" s="293" t="s">
        <v>2616</v>
      </c>
      <c r="B1014" s="294">
        <v>46156</v>
      </c>
      <c r="C1014" s="286" t="s">
        <v>168</v>
      </c>
      <c r="D1014" s="286" t="s">
        <v>185</v>
      </c>
      <c r="E1014" s="295">
        <v>6</v>
      </c>
      <c r="F1014" s="295">
        <v>28.2</v>
      </c>
      <c r="G1014" s="296">
        <v>0</v>
      </c>
      <c r="H1014" s="296">
        <v>1730</v>
      </c>
      <c r="I1014" s="296">
        <v>776.80000000000007</v>
      </c>
      <c r="J1014" s="296">
        <v>810.72399999999993</v>
      </c>
      <c r="K1014" s="296">
        <v>919.27600000000007</v>
      </c>
      <c r="L1014" s="296">
        <v>0</v>
      </c>
      <c r="M1014" s="296">
        <v>953.19999999999993</v>
      </c>
      <c r="N1014" s="297">
        <v>0.55098265895953757</v>
      </c>
    </row>
    <row r="1015" spans="1:14" ht="18" customHeight="1">
      <c r="A1015" s="293" t="s">
        <v>2617</v>
      </c>
      <c r="B1015" s="294">
        <v>46156</v>
      </c>
      <c r="C1015" s="286" t="s">
        <v>168</v>
      </c>
      <c r="D1015" s="286" t="s">
        <v>99</v>
      </c>
      <c r="E1015" s="295">
        <v>2</v>
      </c>
      <c r="F1015" s="295">
        <v>2</v>
      </c>
      <c r="G1015" s="296">
        <v>0</v>
      </c>
      <c r="H1015" s="296">
        <v>675</v>
      </c>
      <c r="I1015" s="296">
        <v>445</v>
      </c>
      <c r="J1015" s="296">
        <v>467.25</v>
      </c>
      <c r="K1015" s="296">
        <v>207.75</v>
      </c>
      <c r="L1015" s="296">
        <v>0</v>
      </c>
      <c r="M1015" s="296">
        <v>230</v>
      </c>
      <c r="N1015" s="297">
        <v>0.34074074074074073</v>
      </c>
    </row>
    <row r="1016" spans="1:14" ht="18" customHeight="1">
      <c r="A1016" s="293" t="s">
        <v>2618</v>
      </c>
      <c r="B1016" s="294">
        <v>46157</v>
      </c>
      <c r="C1016" s="286" t="s">
        <v>3773</v>
      </c>
      <c r="D1016" s="286" t="s">
        <v>100</v>
      </c>
      <c r="E1016" s="295">
        <v>2</v>
      </c>
      <c r="F1016" s="295">
        <v>2</v>
      </c>
      <c r="G1016" s="296">
        <v>0</v>
      </c>
      <c r="H1016" s="296">
        <v>1100</v>
      </c>
      <c r="I1016" s="296">
        <v>485</v>
      </c>
      <c r="J1016" s="296">
        <v>509.25</v>
      </c>
      <c r="K1016" s="296">
        <v>590.75</v>
      </c>
      <c r="L1016" s="296">
        <v>177.22499999999999</v>
      </c>
      <c r="M1016" s="296">
        <v>615</v>
      </c>
      <c r="N1016" s="297">
        <v>0.55909090909090908</v>
      </c>
    </row>
    <row r="1017" spans="1:14" ht="18" customHeight="1">
      <c r="A1017" s="293" t="s">
        <v>2619</v>
      </c>
      <c r="B1017" s="294">
        <v>46157</v>
      </c>
      <c r="C1017" s="286" t="s">
        <v>3773</v>
      </c>
      <c r="D1017" s="286" t="s">
        <v>102</v>
      </c>
      <c r="E1017" s="295">
        <v>2</v>
      </c>
      <c r="F1017" s="295">
        <v>2</v>
      </c>
      <c r="G1017" s="296">
        <v>0</v>
      </c>
      <c r="H1017" s="296">
        <v>600</v>
      </c>
      <c r="I1017" s="296">
        <v>200</v>
      </c>
      <c r="J1017" s="296">
        <v>210</v>
      </c>
      <c r="K1017" s="296">
        <v>390</v>
      </c>
      <c r="L1017" s="296">
        <v>117</v>
      </c>
      <c r="M1017" s="296">
        <v>400</v>
      </c>
      <c r="N1017" s="297">
        <v>0.66666666666666663</v>
      </c>
    </row>
    <row r="1018" spans="1:14" ht="18" customHeight="1">
      <c r="A1018" s="293" t="s">
        <v>2620</v>
      </c>
      <c r="B1018" s="294">
        <v>46157</v>
      </c>
      <c r="C1018" s="286" t="s">
        <v>3773</v>
      </c>
      <c r="D1018" s="286" t="s">
        <v>126</v>
      </c>
      <c r="E1018" s="295">
        <v>2</v>
      </c>
      <c r="F1018" s="295">
        <v>2</v>
      </c>
      <c r="G1018" s="296">
        <v>0</v>
      </c>
      <c r="H1018" s="296">
        <v>2450</v>
      </c>
      <c r="I1018" s="296">
        <v>1585</v>
      </c>
      <c r="J1018" s="296">
        <v>1664.25</v>
      </c>
      <c r="K1018" s="296">
        <v>785.75</v>
      </c>
      <c r="L1018" s="296">
        <v>235.72499999999999</v>
      </c>
      <c r="M1018" s="296">
        <v>865</v>
      </c>
      <c r="N1018" s="297">
        <v>0.35306122448979593</v>
      </c>
    </row>
    <row r="1019" spans="1:14" ht="18" customHeight="1">
      <c r="A1019" s="293" t="s">
        <v>2621</v>
      </c>
      <c r="B1019" s="294">
        <v>46157</v>
      </c>
      <c r="C1019" s="286" t="s">
        <v>353</v>
      </c>
      <c r="D1019" s="286" t="s">
        <v>108</v>
      </c>
      <c r="E1019" s="295">
        <v>2</v>
      </c>
      <c r="F1019" s="295">
        <v>2</v>
      </c>
      <c r="G1019" s="296">
        <v>0</v>
      </c>
      <c r="H1019" s="296">
        <v>1100</v>
      </c>
      <c r="I1019" s="296">
        <v>415</v>
      </c>
      <c r="J1019" s="296">
        <v>435.75</v>
      </c>
      <c r="K1019" s="296">
        <v>664.25</v>
      </c>
      <c r="L1019" s="296">
        <v>199.27500000000001</v>
      </c>
      <c r="M1019" s="296">
        <v>685</v>
      </c>
      <c r="N1019" s="297">
        <v>0.62272727272727268</v>
      </c>
    </row>
    <row r="1020" spans="1:14" ht="18" customHeight="1">
      <c r="A1020" s="293" t="s">
        <v>2622</v>
      </c>
      <c r="B1020" s="294">
        <v>46157</v>
      </c>
      <c r="C1020" s="286" t="s">
        <v>353</v>
      </c>
      <c r="D1020" s="286" t="s">
        <v>103</v>
      </c>
      <c r="E1020" s="295">
        <v>5</v>
      </c>
      <c r="F1020" s="295">
        <v>79</v>
      </c>
      <c r="G1020" s="296">
        <v>0</v>
      </c>
      <c r="H1020" s="296">
        <v>8035</v>
      </c>
      <c r="I1020" s="296">
        <v>4270</v>
      </c>
      <c r="J1020" s="296">
        <v>4483.5</v>
      </c>
      <c r="K1020" s="296">
        <v>3551.5</v>
      </c>
      <c r="L1020" s="296">
        <v>1065.45</v>
      </c>
      <c r="M1020" s="296">
        <v>3765</v>
      </c>
      <c r="N1020" s="297">
        <v>0.46857498444306162</v>
      </c>
    </row>
    <row r="1021" spans="1:14" ht="18" customHeight="1">
      <c r="A1021" s="293" t="s">
        <v>2623</v>
      </c>
      <c r="B1021" s="294">
        <v>46157</v>
      </c>
      <c r="C1021" s="286" t="s">
        <v>168</v>
      </c>
      <c r="D1021" s="286" t="s">
        <v>121</v>
      </c>
      <c r="E1021" s="295">
        <v>1</v>
      </c>
      <c r="F1021" s="295">
        <v>1</v>
      </c>
      <c r="G1021" s="296">
        <v>0</v>
      </c>
      <c r="H1021" s="296">
        <v>8500</v>
      </c>
      <c r="I1021" s="296">
        <v>0</v>
      </c>
      <c r="J1021" s="296">
        <v>0</v>
      </c>
      <c r="K1021" s="296">
        <v>8500</v>
      </c>
      <c r="L1021" s="296">
        <v>0</v>
      </c>
      <c r="M1021" s="296">
        <v>8500</v>
      </c>
      <c r="N1021" s="297">
        <v>1</v>
      </c>
    </row>
    <row r="1022" spans="1:14" ht="18" customHeight="1">
      <c r="A1022" s="293" t="s">
        <v>2624</v>
      </c>
      <c r="B1022" s="294">
        <v>46157</v>
      </c>
      <c r="C1022" s="286" t="s">
        <v>168</v>
      </c>
      <c r="D1022" s="286" t="s">
        <v>149</v>
      </c>
      <c r="E1022" s="295">
        <v>7</v>
      </c>
      <c r="F1022" s="295">
        <v>21.2</v>
      </c>
      <c r="G1022" s="296">
        <v>0</v>
      </c>
      <c r="H1022" s="296">
        <v>5670</v>
      </c>
      <c r="I1022" s="296">
        <v>3031.2000000000003</v>
      </c>
      <c r="J1022" s="296">
        <v>3143.9760000000001</v>
      </c>
      <c r="K1022" s="296">
        <v>2526.0239999999999</v>
      </c>
      <c r="L1022" s="296">
        <v>0</v>
      </c>
      <c r="M1022" s="296">
        <v>2638.7999999999997</v>
      </c>
      <c r="N1022" s="297">
        <v>0.46539682539682536</v>
      </c>
    </row>
    <row r="1023" spans="1:14" ht="18" customHeight="1">
      <c r="A1023" s="293" t="s">
        <v>2625</v>
      </c>
      <c r="B1023" s="294">
        <v>46157</v>
      </c>
      <c r="C1023" s="286" t="s">
        <v>3773</v>
      </c>
      <c r="D1023" s="286" t="s">
        <v>116</v>
      </c>
      <c r="E1023" s="295">
        <v>2</v>
      </c>
      <c r="F1023" s="295">
        <v>2</v>
      </c>
      <c r="G1023" s="296">
        <v>0</v>
      </c>
      <c r="H1023" s="296">
        <v>2800</v>
      </c>
      <c r="I1023" s="296">
        <v>1770</v>
      </c>
      <c r="J1023" s="296">
        <v>1858.5</v>
      </c>
      <c r="K1023" s="296">
        <v>941.5</v>
      </c>
      <c r="L1023" s="296">
        <v>282.45</v>
      </c>
      <c r="M1023" s="296">
        <v>1030</v>
      </c>
      <c r="N1023" s="297">
        <v>0.36785714285714288</v>
      </c>
    </row>
    <row r="1024" spans="1:14" ht="18" customHeight="1">
      <c r="A1024" s="293" t="s">
        <v>2626</v>
      </c>
      <c r="B1024" s="294">
        <v>46157</v>
      </c>
      <c r="C1024" s="286" t="s">
        <v>168</v>
      </c>
      <c r="D1024" s="286" t="s">
        <v>96</v>
      </c>
      <c r="E1024" s="295">
        <v>3</v>
      </c>
      <c r="F1024" s="295">
        <v>3</v>
      </c>
      <c r="G1024" s="296">
        <v>0</v>
      </c>
      <c r="H1024" s="296">
        <v>10880</v>
      </c>
      <c r="I1024" s="296">
        <v>1525</v>
      </c>
      <c r="J1024" s="296">
        <v>1601.25</v>
      </c>
      <c r="K1024" s="296">
        <v>9278.75</v>
      </c>
      <c r="L1024" s="296">
        <v>0</v>
      </c>
      <c r="M1024" s="296">
        <v>9355</v>
      </c>
      <c r="N1024" s="297">
        <v>0.85983455882352944</v>
      </c>
    </row>
    <row r="1025" spans="1:14" ht="18" customHeight="1">
      <c r="A1025" s="293" t="s">
        <v>2627</v>
      </c>
      <c r="B1025" s="294">
        <v>46157</v>
      </c>
      <c r="C1025" s="286" t="s">
        <v>168</v>
      </c>
      <c r="D1025" s="286" t="s">
        <v>115</v>
      </c>
      <c r="E1025" s="295">
        <v>2</v>
      </c>
      <c r="F1025" s="295">
        <v>2</v>
      </c>
      <c r="G1025" s="296">
        <v>0</v>
      </c>
      <c r="H1025" s="296">
        <v>10500</v>
      </c>
      <c r="I1025" s="296">
        <v>900</v>
      </c>
      <c r="J1025" s="296">
        <v>945</v>
      </c>
      <c r="K1025" s="296">
        <v>9555</v>
      </c>
      <c r="L1025" s="296">
        <v>0</v>
      </c>
      <c r="M1025" s="296">
        <v>9600</v>
      </c>
      <c r="N1025" s="297">
        <v>0.91428571428571426</v>
      </c>
    </row>
    <row r="1026" spans="1:14" ht="18" customHeight="1">
      <c r="A1026" s="293" t="s">
        <v>2628</v>
      </c>
      <c r="B1026" s="294">
        <v>46157</v>
      </c>
      <c r="C1026" s="286" t="s">
        <v>168</v>
      </c>
      <c r="D1026" s="286" t="s">
        <v>117</v>
      </c>
      <c r="E1026" s="295">
        <v>2</v>
      </c>
      <c r="F1026" s="295">
        <v>2</v>
      </c>
      <c r="G1026" s="296">
        <v>0</v>
      </c>
      <c r="H1026" s="296">
        <v>4670</v>
      </c>
      <c r="I1026" s="296">
        <v>2648</v>
      </c>
      <c r="J1026" s="296">
        <v>2727.44</v>
      </c>
      <c r="K1026" s="296">
        <v>1942.56</v>
      </c>
      <c r="L1026" s="296">
        <v>0</v>
      </c>
      <c r="M1026" s="296">
        <v>2022</v>
      </c>
      <c r="N1026" s="297">
        <v>0.4329764453961456</v>
      </c>
    </row>
    <row r="1027" spans="1:14" ht="18" customHeight="1">
      <c r="A1027" s="293" t="s">
        <v>2629</v>
      </c>
      <c r="B1027" s="294">
        <v>46158</v>
      </c>
      <c r="C1027" s="286" t="s">
        <v>168</v>
      </c>
      <c r="D1027" s="286" t="s">
        <v>207</v>
      </c>
      <c r="E1027" s="295">
        <v>2</v>
      </c>
      <c r="F1027" s="295">
        <v>2</v>
      </c>
      <c r="G1027" s="296">
        <v>0</v>
      </c>
      <c r="H1027" s="296">
        <v>400</v>
      </c>
      <c r="I1027" s="296">
        <v>110</v>
      </c>
      <c r="J1027" s="296">
        <v>115.5</v>
      </c>
      <c r="K1027" s="296">
        <v>284.5</v>
      </c>
      <c r="L1027" s="296">
        <v>0</v>
      </c>
      <c r="M1027" s="296">
        <v>290</v>
      </c>
      <c r="N1027" s="297">
        <v>0.72499999999999998</v>
      </c>
    </row>
    <row r="1028" spans="1:14" ht="18" customHeight="1">
      <c r="A1028" s="293" t="s">
        <v>2630</v>
      </c>
      <c r="B1028" s="294">
        <v>46158</v>
      </c>
      <c r="C1028" s="286" t="s">
        <v>3773</v>
      </c>
      <c r="D1028" s="286" t="s">
        <v>102</v>
      </c>
      <c r="E1028" s="295">
        <v>5</v>
      </c>
      <c r="F1028" s="295">
        <v>5</v>
      </c>
      <c r="G1028" s="296">
        <v>0</v>
      </c>
      <c r="H1028" s="296">
        <v>2178</v>
      </c>
      <c r="I1028" s="296">
        <v>880</v>
      </c>
      <c r="J1028" s="296">
        <v>924</v>
      </c>
      <c r="K1028" s="296">
        <v>1254</v>
      </c>
      <c r="L1028" s="296">
        <v>376.19999999999993</v>
      </c>
      <c r="M1028" s="296">
        <v>1298</v>
      </c>
      <c r="N1028" s="297">
        <v>0.59595959595959591</v>
      </c>
    </row>
    <row r="1029" spans="1:14" ht="18" customHeight="1">
      <c r="A1029" s="293" t="s">
        <v>2631</v>
      </c>
      <c r="B1029" s="294">
        <v>46158</v>
      </c>
      <c r="C1029" s="286" t="s">
        <v>168</v>
      </c>
      <c r="D1029" s="286" t="s">
        <v>92</v>
      </c>
      <c r="E1029" s="295">
        <v>1</v>
      </c>
      <c r="F1029" s="295">
        <v>1</v>
      </c>
      <c r="G1029" s="296">
        <v>0</v>
      </c>
      <c r="H1029" s="296">
        <v>8500</v>
      </c>
      <c r="I1029" s="296">
        <v>0</v>
      </c>
      <c r="J1029" s="296">
        <v>0</v>
      </c>
      <c r="K1029" s="296">
        <v>8500</v>
      </c>
      <c r="L1029" s="296">
        <v>0</v>
      </c>
      <c r="M1029" s="296">
        <v>8500</v>
      </c>
      <c r="N1029" s="297">
        <v>1</v>
      </c>
    </row>
    <row r="1030" spans="1:14" ht="18" customHeight="1">
      <c r="A1030" s="293" t="s">
        <v>2632</v>
      </c>
      <c r="B1030" s="294">
        <v>46158</v>
      </c>
      <c r="C1030" s="286" t="s">
        <v>354</v>
      </c>
      <c r="D1030" s="286" t="s">
        <v>109</v>
      </c>
      <c r="E1030" s="295">
        <v>1</v>
      </c>
      <c r="F1030" s="295">
        <v>1</v>
      </c>
      <c r="G1030" s="296">
        <v>0</v>
      </c>
      <c r="H1030" s="296">
        <v>1875</v>
      </c>
      <c r="I1030" s="296">
        <v>1450</v>
      </c>
      <c r="J1030" s="296">
        <v>1522.5</v>
      </c>
      <c r="K1030" s="296">
        <v>352.5</v>
      </c>
      <c r="L1030" s="296">
        <v>105.75</v>
      </c>
      <c r="M1030" s="296">
        <v>425</v>
      </c>
      <c r="N1030" s="297">
        <v>0.22666666666666666</v>
      </c>
    </row>
    <row r="1031" spans="1:14" ht="18" customHeight="1">
      <c r="A1031" s="293" t="s">
        <v>2633</v>
      </c>
      <c r="B1031" s="294">
        <v>46158</v>
      </c>
      <c r="C1031" s="286" t="s">
        <v>353</v>
      </c>
      <c r="D1031" s="286" t="s">
        <v>103</v>
      </c>
      <c r="E1031" s="295">
        <v>1</v>
      </c>
      <c r="F1031" s="295">
        <v>1</v>
      </c>
      <c r="G1031" s="296">
        <v>0</v>
      </c>
      <c r="H1031" s="296">
        <v>1785</v>
      </c>
      <c r="I1031" s="296">
        <v>900</v>
      </c>
      <c r="J1031" s="296">
        <v>945</v>
      </c>
      <c r="K1031" s="296">
        <v>840</v>
      </c>
      <c r="L1031" s="296">
        <v>252</v>
      </c>
      <c r="M1031" s="296">
        <v>885</v>
      </c>
      <c r="N1031" s="297">
        <v>0.49579831932773111</v>
      </c>
    </row>
    <row r="1032" spans="1:14" ht="18" customHeight="1">
      <c r="A1032" s="293" t="s">
        <v>2634</v>
      </c>
      <c r="B1032" s="294">
        <v>46158</v>
      </c>
      <c r="C1032" s="286" t="s">
        <v>353</v>
      </c>
      <c r="D1032" s="286" t="s">
        <v>94</v>
      </c>
      <c r="E1032" s="295">
        <v>5</v>
      </c>
      <c r="F1032" s="295">
        <v>10</v>
      </c>
      <c r="G1032" s="296">
        <v>0</v>
      </c>
      <c r="H1032" s="296">
        <v>3071</v>
      </c>
      <c r="I1032" s="296">
        <v>1715</v>
      </c>
      <c r="J1032" s="296">
        <v>1800.75</v>
      </c>
      <c r="K1032" s="296">
        <v>1270.25</v>
      </c>
      <c r="L1032" s="296">
        <v>381.07500000000005</v>
      </c>
      <c r="M1032" s="296">
        <v>1356</v>
      </c>
      <c r="N1032" s="297">
        <v>0.44154998371865839</v>
      </c>
    </row>
    <row r="1033" spans="1:14" ht="18" customHeight="1">
      <c r="A1033" s="293" t="s">
        <v>2635</v>
      </c>
      <c r="B1033" s="294">
        <v>46158</v>
      </c>
      <c r="C1033" s="286" t="s">
        <v>168</v>
      </c>
      <c r="D1033" s="286" t="s">
        <v>148</v>
      </c>
      <c r="E1033" s="295">
        <v>1</v>
      </c>
      <c r="F1033" s="295">
        <v>1</v>
      </c>
      <c r="G1033" s="296">
        <v>0</v>
      </c>
      <c r="H1033" s="296">
        <v>2200</v>
      </c>
      <c r="I1033" s="296">
        <v>1550</v>
      </c>
      <c r="J1033" s="296">
        <v>1627.5</v>
      </c>
      <c r="K1033" s="296">
        <v>572.5</v>
      </c>
      <c r="L1033" s="296">
        <v>0</v>
      </c>
      <c r="M1033" s="296">
        <v>650</v>
      </c>
      <c r="N1033" s="297">
        <v>0.29545454545454547</v>
      </c>
    </row>
    <row r="1034" spans="1:14" ht="18" customHeight="1">
      <c r="A1034" s="293" t="s">
        <v>2636</v>
      </c>
      <c r="B1034" s="294">
        <v>46158</v>
      </c>
      <c r="C1034" s="286" t="s">
        <v>168</v>
      </c>
      <c r="D1034" s="286" t="s">
        <v>124</v>
      </c>
      <c r="E1034" s="295">
        <v>5</v>
      </c>
      <c r="F1034" s="295">
        <v>9</v>
      </c>
      <c r="G1034" s="296">
        <v>0</v>
      </c>
      <c r="H1034" s="296">
        <v>3095</v>
      </c>
      <c r="I1034" s="296">
        <v>1931</v>
      </c>
      <c r="J1034" s="296">
        <v>2027.55</v>
      </c>
      <c r="K1034" s="296">
        <v>1067.45</v>
      </c>
      <c r="L1034" s="296">
        <v>0</v>
      </c>
      <c r="M1034" s="296">
        <v>1164</v>
      </c>
      <c r="N1034" s="297">
        <v>0.37609046849757671</v>
      </c>
    </row>
    <row r="1035" spans="1:14" ht="18" customHeight="1">
      <c r="A1035" s="293" t="s">
        <v>2637</v>
      </c>
      <c r="B1035" s="294">
        <v>46158</v>
      </c>
      <c r="C1035" s="286" t="s">
        <v>353</v>
      </c>
      <c r="D1035" s="286" t="s">
        <v>174</v>
      </c>
      <c r="E1035" s="295">
        <v>1</v>
      </c>
      <c r="F1035" s="295">
        <v>1</v>
      </c>
      <c r="G1035" s="296">
        <v>0</v>
      </c>
      <c r="H1035" s="296">
        <v>1785</v>
      </c>
      <c r="I1035" s="296">
        <v>1000</v>
      </c>
      <c r="J1035" s="296">
        <v>1050</v>
      </c>
      <c r="K1035" s="296">
        <v>735</v>
      </c>
      <c r="L1035" s="296">
        <v>220.5</v>
      </c>
      <c r="M1035" s="296">
        <v>785</v>
      </c>
      <c r="N1035" s="297">
        <v>0.43977591036414565</v>
      </c>
    </row>
    <row r="1036" spans="1:14" ht="18" customHeight="1">
      <c r="A1036" s="293" t="s">
        <v>2638</v>
      </c>
      <c r="B1036" s="294">
        <v>46158</v>
      </c>
      <c r="C1036" s="286" t="s">
        <v>168</v>
      </c>
      <c r="D1036" s="286" t="s">
        <v>99</v>
      </c>
      <c r="E1036" s="295">
        <v>6</v>
      </c>
      <c r="F1036" s="295">
        <v>6</v>
      </c>
      <c r="G1036" s="296">
        <v>0</v>
      </c>
      <c r="H1036" s="296">
        <v>3238</v>
      </c>
      <c r="I1036" s="296">
        <v>2064</v>
      </c>
      <c r="J1036" s="296">
        <v>2166.8200000000002</v>
      </c>
      <c r="K1036" s="296">
        <v>1071.18</v>
      </c>
      <c r="L1036" s="296">
        <v>0</v>
      </c>
      <c r="M1036" s="296">
        <v>1174</v>
      </c>
      <c r="N1036" s="297">
        <v>0.36256948733786287</v>
      </c>
    </row>
    <row r="1037" spans="1:14" ht="18" customHeight="1">
      <c r="A1037" s="293" t="s">
        <v>2639</v>
      </c>
      <c r="B1037" s="294">
        <v>46160</v>
      </c>
      <c r="C1037" s="286" t="s">
        <v>168</v>
      </c>
      <c r="D1037" s="286" t="s">
        <v>141</v>
      </c>
      <c r="E1037" s="295">
        <v>1</v>
      </c>
      <c r="F1037" s="295">
        <v>1</v>
      </c>
      <c r="G1037" s="296">
        <v>0</v>
      </c>
      <c r="H1037" s="296">
        <v>8500</v>
      </c>
      <c r="I1037" s="296">
        <v>0</v>
      </c>
      <c r="J1037" s="296">
        <v>0</v>
      </c>
      <c r="K1037" s="296">
        <v>8500</v>
      </c>
      <c r="L1037" s="296">
        <v>0</v>
      </c>
      <c r="M1037" s="296">
        <v>8500</v>
      </c>
      <c r="N1037" s="297">
        <v>1</v>
      </c>
    </row>
    <row r="1038" spans="1:14" ht="18" customHeight="1">
      <c r="A1038" s="293" t="s">
        <v>2640</v>
      </c>
      <c r="B1038" s="294">
        <v>46160</v>
      </c>
      <c r="C1038" s="286" t="s">
        <v>3773</v>
      </c>
      <c r="D1038" s="286" t="s">
        <v>102</v>
      </c>
      <c r="E1038" s="295">
        <v>7</v>
      </c>
      <c r="F1038" s="295">
        <v>8</v>
      </c>
      <c r="G1038" s="296">
        <v>0</v>
      </c>
      <c r="H1038" s="296">
        <v>2440</v>
      </c>
      <c r="I1038" s="296">
        <v>1130</v>
      </c>
      <c r="J1038" s="296">
        <v>1186.5</v>
      </c>
      <c r="K1038" s="296">
        <v>1253.5</v>
      </c>
      <c r="L1038" s="296">
        <v>376.05000000000007</v>
      </c>
      <c r="M1038" s="296">
        <v>1310</v>
      </c>
      <c r="N1038" s="297">
        <v>0.53688524590163933</v>
      </c>
    </row>
    <row r="1039" spans="1:14" ht="18" customHeight="1">
      <c r="A1039" s="293" t="s">
        <v>2641</v>
      </c>
      <c r="B1039" s="294">
        <v>46160</v>
      </c>
      <c r="C1039" s="286" t="s">
        <v>168</v>
      </c>
      <c r="D1039" s="286" t="s">
        <v>120</v>
      </c>
      <c r="E1039" s="295">
        <v>1</v>
      </c>
      <c r="F1039" s="295">
        <v>1</v>
      </c>
      <c r="G1039" s="296">
        <v>0</v>
      </c>
      <c r="H1039" s="296">
        <v>1300</v>
      </c>
      <c r="I1039" s="296">
        <v>750</v>
      </c>
      <c r="J1039" s="296">
        <v>787.5</v>
      </c>
      <c r="K1039" s="296">
        <v>512.5</v>
      </c>
      <c r="L1039" s="296">
        <v>0</v>
      </c>
      <c r="M1039" s="296">
        <v>550</v>
      </c>
      <c r="N1039" s="297">
        <v>0.42307692307692307</v>
      </c>
    </row>
    <row r="1040" spans="1:14" ht="18" customHeight="1">
      <c r="A1040" s="293" t="s">
        <v>2642</v>
      </c>
      <c r="B1040" s="294">
        <v>46160</v>
      </c>
      <c r="C1040" s="286" t="s">
        <v>3773</v>
      </c>
      <c r="D1040" s="286" t="s">
        <v>126</v>
      </c>
      <c r="E1040" s="295">
        <v>1</v>
      </c>
      <c r="F1040" s="295">
        <v>1</v>
      </c>
      <c r="G1040" s="296">
        <v>0</v>
      </c>
      <c r="H1040" s="296">
        <v>2100</v>
      </c>
      <c r="I1040" s="296">
        <v>1400</v>
      </c>
      <c r="J1040" s="296">
        <v>1470</v>
      </c>
      <c r="K1040" s="296">
        <v>630</v>
      </c>
      <c r="L1040" s="296">
        <v>189</v>
      </c>
      <c r="M1040" s="296">
        <v>700</v>
      </c>
      <c r="N1040" s="297">
        <v>0.33333333333333331</v>
      </c>
    </row>
    <row r="1041" spans="1:14" ht="18" customHeight="1">
      <c r="A1041" s="293" t="s">
        <v>2643</v>
      </c>
      <c r="B1041" s="294">
        <v>46160</v>
      </c>
      <c r="C1041" s="286" t="s">
        <v>353</v>
      </c>
      <c r="D1041" s="286" t="s">
        <v>108</v>
      </c>
      <c r="E1041" s="295">
        <v>3</v>
      </c>
      <c r="F1041" s="295">
        <v>4</v>
      </c>
      <c r="G1041" s="296">
        <v>0</v>
      </c>
      <c r="H1041" s="296">
        <v>2200</v>
      </c>
      <c r="I1041" s="296">
        <v>1090</v>
      </c>
      <c r="J1041" s="296">
        <v>1144.5</v>
      </c>
      <c r="K1041" s="296">
        <v>1055.5</v>
      </c>
      <c r="L1041" s="296">
        <v>316.64999999999998</v>
      </c>
      <c r="M1041" s="296">
        <v>1110</v>
      </c>
      <c r="N1041" s="297">
        <v>0.50454545454545452</v>
      </c>
    </row>
    <row r="1042" spans="1:14" ht="18" customHeight="1">
      <c r="A1042" s="293" t="s">
        <v>2644</v>
      </c>
      <c r="B1042" s="294">
        <v>46160</v>
      </c>
      <c r="C1042" s="286" t="s">
        <v>168</v>
      </c>
      <c r="D1042" s="286" t="s">
        <v>92</v>
      </c>
      <c r="E1042" s="295">
        <v>4</v>
      </c>
      <c r="F1042" s="295">
        <v>4</v>
      </c>
      <c r="G1042" s="296">
        <v>0</v>
      </c>
      <c r="H1042" s="296">
        <v>5200</v>
      </c>
      <c r="I1042" s="296">
        <v>3050</v>
      </c>
      <c r="J1042" s="296">
        <v>3202.5</v>
      </c>
      <c r="K1042" s="296">
        <v>1997.5</v>
      </c>
      <c r="L1042" s="296">
        <v>0</v>
      </c>
      <c r="M1042" s="296">
        <v>2150</v>
      </c>
      <c r="N1042" s="297">
        <v>0.41346153846153844</v>
      </c>
    </row>
    <row r="1043" spans="1:14" ht="18" customHeight="1">
      <c r="A1043" s="293" t="s">
        <v>2645</v>
      </c>
      <c r="B1043" s="294">
        <v>46160</v>
      </c>
      <c r="C1043" s="286" t="s">
        <v>168</v>
      </c>
      <c r="D1043" s="286" t="s">
        <v>211</v>
      </c>
      <c r="E1043" s="295">
        <v>1</v>
      </c>
      <c r="F1043" s="295">
        <v>1</v>
      </c>
      <c r="G1043" s="296">
        <v>0</v>
      </c>
      <c r="H1043" s="296">
        <v>380</v>
      </c>
      <c r="I1043" s="296">
        <v>330</v>
      </c>
      <c r="J1043" s="296">
        <v>339.90000000000003</v>
      </c>
      <c r="K1043" s="296">
        <v>40.099999999999966</v>
      </c>
      <c r="L1043" s="296">
        <v>0</v>
      </c>
      <c r="M1043" s="296">
        <v>50</v>
      </c>
      <c r="N1043" s="297">
        <v>0.13157894736842105</v>
      </c>
    </row>
    <row r="1044" spans="1:14" ht="18" customHeight="1">
      <c r="A1044" s="293" t="s">
        <v>2646</v>
      </c>
      <c r="B1044" s="294">
        <v>46160</v>
      </c>
      <c r="C1044" s="286" t="s">
        <v>168</v>
      </c>
      <c r="D1044" s="286" t="s">
        <v>148</v>
      </c>
      <c r="E1044" s="295">
        <v>2</v>
      </c>
      <c r="F1044" s="295">
        <v>6</v>
      </c>
      <c r="G1044" s="296">
        <v>0</v>
      </c>
      <c r="H1044" s="296">
        <v>2075</v>
      </c>
      <c r="I1044" s="296">
        <v>1405</v>
      </c>
      <c r="J1044" s="296">
        <v>1475.25</v>
      </c>
      <c r="K1044" s="296">
        <v>599.75</v>
      </c>
      <c r="L1044" s="296">
        <v>0</v>
      </c>
      <c r="M1044" s="296">
        <v>670</v>
      </c>
      <c r="N1044" s="297">
        <v>0.32289156626506021</v>
      </c>
    </row>
    <row r="1045" spans="1:14" ht="18" customHeight="1">
      <c r="A1045" s="293" t="s">
        <v>2647</v>
      </c>
      <c r="B1045" s="294">
        <v>46160</v>
      </c>
      <c r="C1045" s="286" t="s">
        <v>168</v>
      </c>
      <c r="D1045" s="286" t="s">
        <v>96</v>
      </c>
      <c r="E1045" s="295">
        <v>6</v>
      </c>
      <c r="F1045" s="295">
        <v>7</v>
      </c>
      <c r="G1045" s="296">
        <v>0</v>
      </c>
      <c r="H1045" s="296">
        <v>2890</v>
      </c>
      <c r="I1045" s="296">
        <v>1335</v>
      </c>
      <c r="J1045" s="296">
        <v>1401.75</v>
      </c>
      <c r="K1045" s="296">
        <v>1488.25</v>
      </c>
      <c r="L1045" s="296">
        <v>0</v>
      </c>
      <c r="M1045" s="296">
        <v>1555</v>
      </c>
      <c r="N1045" s="297">
        <v>0.53806228373702425</v>
      </c>
    </row>
    <row r="1046" spans="1:14" ht="18" customHeight="1">
      <c r="A1046" s="293" t="s">
        <v>2648</v>
      </c>
      <c r="B1046" s="294">
        <v>46160</v>
      </c>
      <c r="C1046" s="286" t="s">
        <v>168</v>
      </c>
      <c r="D1046" s="286" t="s">
        <v>104</v>
      </c>
      <c r="E1046" s="295">
        <v>4</v>
      </c>
      <c r="F1046" s="295">
        <v>6</v>
      </c>
      <c r="G1046" s="296">
        <v>0</v>
      </c>
      <c r="H1046" s="296">
        <v>1576</v>
      </c>
      <c r="I1046" s="296">
        <v>1087</v>
      </c>
      <c r="J1046" s="296">
        <v>1138.8100000000002</v>
      </c>
      <c r="K1046" s="296">
        <v>437.19</v>
      </c>
      <c r="L1046" s="296">
        <v>0</v>
      </c>
      <c r="M1046" s="296">
        <v>489</v>
      </c>
      <c r="N1046" s="297">
        <v>0.31027918781725888</v>
      </c>
    </row>
    <row r="1047" spans="1:14" ht="18" customHeight="1">
      <c r="A1047" s="293" t="s">
        <v>2649</v>
      </c>
      <c r="B1047" s="294">
        <v>46160</v>
      </c>
      <c r="C1047" s="286" t="s">
        <v>168</v>
      </c>
      <c r="D1047" s="286" t="s">
        <v>115</v>
      </c>
      <c r="E1047" s="295">
        <v>1</v>
      </c>
      <c r="F1047" s="295">
        <v>1</v>
      </c>
      <c r="G1047" s="296">
        <v>0</v>
      </c>
      <c r="H1047" s="296">
        <v>1600</v>
      </c>
      <c r="I1047" s="296">
        <v>900</v>
      </c>
      <c r="J1047" s="296">
        <v>945</v>
      </c>
      <c r="K1047" s="296">
        <v>655</v>
      </c>
      <c r="L1047" s="296">
        <v>0</v>
      </c>
      <c r="M1047" s="296">
        <v>700</v>
      </c>
      <c r="N1047" s="297">
        <v>0.4375</v>
      </c>
    </row>
    <row r="1048" spans="1:14" ht="18" customHeight="1">
      <c r="A1048" s="293" t="s">
        <v>2650</v>
      </c>
      <c r="B1048" s="294">
        <v>46160</v>
      </c>
      <c r="C1048" s="286" t="s">
        <v>168</v>
      </c>
      <c r="D1048" s="286" t="s">
        <v>128</v>
      </c>
      <c r="E1048" s="295">
        <v>2</v>
      </c>
      <c r="F1048" s="295">
        <v>3</v>
      </c>
      <c r="G1048" s="296">
        <v>0</v>
      </c>
      <c r="H1048" s="296">
        <v>1360</v>
      </c>
      <c r="I1048" s="296">
        <v>780</v>
      </c>
      <c r="J1048" s="296">
        <v>809</v>
      </c>
      <c r="K1048" s="296">
        <v>551</v>
      </c>
      <c r="L1048" s="296">
        <v>0</v>
      </c>
      <c r="M1048" s="296">
        <v>580</v>
      </c>
      <c r="N1048" s="297">
        <v>0.4264705882352941</v>
      </c>
    </row>
    <row r="1049" spans="1:14" ht="18" customHeight="1">
      <c r="A1049" s="293" t="s">
        <v>2651</v>
      </c>
      <c r="B1049" s="294">
        <v>46160</v>
      </c>
      <c r="C1049" s="286" t="s">
        <v>168</v>
      </c>
      <c r="D1049" s="286" t="s">
        <v>129</v>
      </c>
      <c r="E1049" s="295">
        <v>2</v>
      </c>
      <c r="F1049" s="295">
        <v>7</v>
      </c>
      <c r="G1049" s="296">
        <v>0</v>
      </c>
      <c r="H1049" s="296">
        <v>740</v>
      </c>
      <c r="I1049" s="296">
        <v>390</v>
      </c>
      <c r="J1049" s="296">
        <v>409.50000000000006</v>
      </c>
      <c r="K1049" s="296">
        <v>330.49999999999994</v>
      </c>
      <c r="L1049" s="296">
        <v>0</v>
      </c>
      <c r="M1049" s="296">
        <v>350</v>
      </c>
      <c r="N1049" s="297">
        <v>0.47297297297297297</v>
      </c>
    </row>
    <row r="1050" spans="1:14" ht="18" customHeight="1">
      <c r="A1050" s="293" t="s">
        <v>2652</v>
      </c>
      <c r="B1050" s="294">
        <v>46160</v>
      </c>
      <c r="C1050" s="286" t="s">
        <v>358</v>
      </c>
      <c r="D1050" s="286" t="s">
        <v>98</v>
      </c>
      <c r="E1050" s="295">
        <v>2</v>
      </c>
      <c r="F1050" s="295">
        <v>2</v>
      </c>
      <c r="G1050" s="296">
        <v>0</v>
      </c>
      <c r="H1050" s="296">
        <v>8950</v>
      </c>
      <c r="I1050" s="296">
        <v>180</v>
      </c>
      <c r="J1050" s="296">
        <v>189</v>
      </c>
      <c r="K1050" s="296">
        <v>8761</v>
      </c>
      <c r="L1050" s="296">
        <v>2628.3</v>
      </c>
      <c r="M1050" s="296">
        <v>8770</v>
      </c>
      <c r="N1050" s="297">
        <v>0.9798882681564246</v>
      </c>
    </row>
    <row r="1051" spans="1:14" ht="18" customHeight="1">
      <c r="A1051" s="293" t="s">
        <v>2653</v>
      </c>
      <c r="B1051" s="294">
        <v>46160</v>
      </c>
      <c r="C1051" s="286" t="s">
        <v>168</v>
      </c>
      <c r="D1051" s="286" t="s">
        <v>185</v>
      </c>
      <c r="E1051" s="295">
        <v>6</v>
      </c>
      <c r="F1051" s="295">
        <v>20.399999999999999</v>
      </c>
      <c r="G1051" s="296">
        <v>0</v>
      </c>
      <c r="H1051" s="296">
        <v>2020</v>
      </c>
      <c r="I1051" s="296">
        <v>1057.3</v>
      </c>
      <c r="J1051" s="296">
        <v>1095.319</v>
      </c>
      <c r="K1051" s="296">
        <v>924.68099999999993</v>
      </c>
      <c r="L1051" s="296">
        <v>0</v>
      </c>
      <c r="M1051" s="296">
        <v>962.7</v>
      </c>
      <c r="N1051" s="297">
        <v>0.47658415841584162</v>
      </c>
    </row>
    <row r="1052" spans="1:14" ht="18" customHeight="1">
      <c r="A1052" s="293" t="s">
        <v>2654</v>
      </c>
      <c r="B1052" s="294">
        <v>46160</v>
      </c>
      <c r="C1052" s="286" t="s">
        <v>168</v>
      </c>
      <c r="D1052" s="286" t="s">
        <v>99</v>
      </c>
      <c r="E1052" s="295">
        <v>3</v>
      </c>
      <c r="F1052" s="295">
        <v>3</v>
      </c>
      <c r="G1052" s="296">
        <v>0</v>
      </c>
      <c r="H1052" s="296">
        <v>750</v>
      </c>
      <c r="I1052" s="296">
        <v>374</v>
      </c>
      <c r="J1052" s="296">
        <v>390.82</v>
      </c>
      <c r="K1052" s="296">
        <v>359.18</v>
      </c>
      <c r="L1052" s="296">
        <v>0</v>
      </c>
      <c r="M1052" s="296">
        <v>376</v>
      </c>
      <c r="N1052" s="297">
        <v>0.5013333333333333</v>
      </c>
    </row>
    <row r="1053" spans="1:14" ht="18" customHeight="1">
      <c r="A1053" s="293" t="s">
        <v>2655</v>
      </c>
      <c r="B1053" s="294">
        <v>46161</v>
      </c>
      <c r="C1053" s="286" t="s">
        <v>168</v>
      </c>
      <c r="D1053" s="286" t="s">
        <v>92</v>
      </c>
      <c r="E1053" s="295">
        <v>2</v>
      </c>
      <c r="F1053" s="295">
        <v>2</v>
      </c>
      <c r="G1053" s="296">
        <v>0</v>
      </c>
      <c r="H1053" s="296">
        <v>1250</v>
      </c>
      <c r="I1053" s="296">
        <v>900</v>
      </c>
      <c r="J1053" s="296">
        <v>945</v>
      </c>
      <c r="K1053" s="296">
        <v>305</v>
      </c>
      <c r="L1053" s="296">
        <v>0</v>
      </c>
      <c r="M1053" s="296">
        <v>350</v>
      </c>
      <c r="N1053" s="297">
        <v>0.28000000000000003</v>
      </c>
    </row>
    <row r="1054" spans="1:14" ht="18" customHeight="1">
      <c r="A1054" s="293" t="s">
        <v>2656</v>
      </c>
      <c r="B1054" s="294">
        <v>46161</v>
      </c>
      <c r="C1054" s="286" t="s">
        <v>168</v>
      </c>
      <c r="D1054" s="286" t="s">
        <v>121</v>
      </c>
      <c r="E1054" s="295">
        <v>1</v>
      </c>
      <c r="F1054" s="295">
        <v>1</v>
      </c>
      <c r="G1054" s="296">
        <v>0</v>
      </c>
      <c r="H1054" s="296">
        <v>550</v>
      </c>
      <c r="I1054" s="296">
        <v>205</v>
      </c>
      <c r="J1054" s="296">
        <v>215.25</v>
      </c>
      <c r="K1054" s="296">
        <v>334.75</v>
      </c>
      <c r="L1054" s="296">
        <v>0</v>
      </c>
      <c r="M1054" s="296">
        <v>345</v>
      </c>
      <c r="N1054" s="297">
        <v>0.62727272727272732</v>
      </c>
    </row>
    <row r="1055" spans="1:14" ht="18" customHeight="1">
      <c r="A1055" s="293" t="s">
        <v>2657</v>
      </c>
      <c r="B1055" s="294">
        <v>46161</v>
      </c>
      <c r="C1055" s="286" t="s">
        <v>168</v>
      </c>
      <c r="D1055" s="286" t="s">
        <v>149</v>
      </c>
      <c r="E1055" s="295">
        <v>15</v>
      </c>
      <c r="F1055" s="295">
        <v>40.200000000000003</v>
      </c>
      <c r="G1055" s="296">
        <v>0</v>
      </c>
      <c r="H1055" s="296">
        <v>7931</v>
      </c>
      <c r="I1055" s="296">
        <v>4383.0199999999995</v>
      </c>
      <c r="J1055" s="296">
        <v>4550.7386000000006</v>
      </c>
      <c r="K1055" s="296">
        <v>3380.2613999999994</v>
      </c>
      <c r="L1055" s="296">
        <v>0</v>
      </c>
      <c r="M1055" s="296">
        <v>3547.9800000000005</v>
      </c>
      <c r="N1055" s="297">
        <v>0.44735594502584802</v>
      </c>
    </row>
    <row r="1056" spans="1:14" ht="18" customHeight="1">
      <c r="A1056" s="293" t="s">
        <v>2658</v>
      </c>
      <c r="B1056" s="294">
        <v>46161</v>
      </c>
      <c r="C1056" s="286" t="s">
        <v>353</v>
      </c>
      <c r="D1056" s="286" t="s">
        <v>94</v>
      </c>
      <c r="E1056" s="295">
        <v>1</v>
      </c>
      <c r="F1056" s="295">
        <v>20</v>
      </c>
      <c r="G1056" s="296">
        <v>0</v>
      </c>
      <c r="H1056" s="296">
        <v>220</v>
      </c>
      <c r="I1056" s="296">
        <v>140</v>
      </c>
      <c r="J1056" s="296">
        <v>147</v>
      </c>
      <c r="K1056" s="296">
        <v>73</v>
      </c>
      <c r="L1056" s="296">
        <v>21.9</v>
      </c>
      <c r="M1056" s="296">
        <v>80</v>
      </c>
      <c r="N1056" s="297">
        <v>0.36363636363636365</v>
      </c>
    </row>
    <row r="1057" spans="1:14" ht="18" customHeight="1">
      <c r="A1057" s="293" t="s">
        <v>2659</v>
      </c>
      <c r="B1057" s="294">
        <v>46161</v>
      </c>
      <c r="C1057" s="286" t="s">
        <v>168</v>
      </c>
      <c r="D1057" s="286" t="s">
        <v>212</v>
      </c>
      <c r="E1057" s="295">
        <v>8</v>
      </c>
      <c r="F1057" s="295">
        <v>35</v>
      </c>
      <c r="G1057" s="296">
        <v>0</v>
      </c>
      <c r="H1057" s="296">
        <v>6737</v>
      </c>
      <c r="I1057" s="296">
        <v>2155</v>
      </c>
      <c r="J1057" s="296">
        <v>2262.75</v>
      </c>
      <c r="K1057" s="296">
        <v>4474.25</v>
      </c>
      <c r="L1057" s="296">
        <v>0</v>
      </c>
      <c r="M1057" s="296">
        <v>4582</v>
      </c>
      <c r="N1057" s="297">
        <v>0.68012468457770525</v>
      </c>
    </row>
    <row r="1058" spans="1:14" ht="18" customHeight="1">
      <c r="A1058" s="293" t="s">
        <v>2660</v>
      </c>
      <c r="B1058" s="294">
        <v>46161</v>
      </c>
      <c r="C1058" s="286" t="s">
        <v>168</v>
      </c>
      <c r="D1058" s="286" t="s">
        <v>118</v>
      </c>
      <c r="E1058" s="295">
        <v>2</v>
      </c>
      <c r="F1058" s="295">
        <v>2</v>
      </c>
      <c r="G1058" s="296">
        <v>0</v>
      </c>
      <c r="H1058" s="296">
        <v>2367</v>
      </c>
      <c r="I1058" s="296">
        <v>1050</v>
      </c>
      <c r="J1058" s="296">
        <v>1102.5</v>
      </c>
      <c r="K1058" s="296">
        <v>1264.5</v>
      </c>
      <c r="L1058" s="296">
        <v>0</v>
      </c>
      <c r="M1058" s="296">
        <v>1317</v>
      </c>
      <c r="N1058" s="297">
        <v>0.5564005069708492</v>
      </c>
    </row>
    <row r="1059" spans="1:14" ht="18" customHeight="1">
      <c r="A1059" s="293" t="s">
        <v>2661</v>
      </c>
      <c r="B1059" s="294">
        <v>46161</v>
      </c>
      <c r="C1059" s="286" t="s">
        <v>168</v>
      </c>
      <c r="D1059" s="286" t="s">
        <v>132</v>
      </c>
      <c r="E1059" s="295">
        <v>5</v>
      </c>
      <c r="F1059" s="295">
        <v>19</v>
      </c>
      <c r="G1059" s="296">
        <v>0</v>
      </c>
      <c r="H1059" s="296">
        <v>1722</v>
      </c>
      <c r="I1059" s="296">
        <v>1096</v>
      </c>
      <c r="J1059" s="296">
        <v>1128.8799999999999</v>
      </c>
      <c r="K1059" s="296">
        <v>593.12</v>
      </c>
      <c r="L1059" s="296">
        <v>0</v>
      </c>
      <c r="M1059" s="296">
        <v>626</v>
      </c>
      <c r="N1059" s="297">
        <v>0.36353077816492452</v>
      </c>
    </row>
    <row r="1060" spans="1:14" ht="18" customHeight="1">
      <c r="A1060" s="293" t="s">
        <v>2662</v>
      </c>
      <c r="B1060" s="294">
        <v>46161</v>
      </c>
      <c r="C1060" s="286" t="s">
        <v>168</v>
      </c>
      <c r="D1060" s="286" t="s">
        <v>124</v>
      </c>
      <c r="E1060" s="295">
        <v>1</v>
      </c>
      <c r="F1060" s="295">
        <v>1</v>
      </c>
      <c r="G1060" s="296">
        <v>0</v>
      </c>
      <c r="H1060" s="296">
        <v>1900</v>
      </c>
      <c r="I1060" s="296">
        <v>1150</v>
      </c>
      <c r="J1060" s="296">
        <v>1207.5</v>
      </c>
      <c r="K1060" s="296">
        <v>692.5</v>
      </c>
      <c r="L1060" s="296">
        <v>0</v>
      </c>
      <c r="M1060" s="296">
        <v>750</v>
      </c>
      <c r="N1060" s="297">
        <v>0.39473684210526316</v>
      </c>
    </row>
    <row r="1061" spans="1:14" ht="18" customHeight="1">
      <c r="A1061" s="293" t="s">
        <v>2663</v>
      </c>
      <c r="B1061" s="294">
        <v>46161</v>
      </c>
      <c r="C1061" s="286" t="s">
        <v>168</v>
      </c>
      <c r="D1061" s="286" t="s">
        <v>97</v>
      </c>
      <c r="E1061" s="295">
        <v>1</v>
      </c>
      <c r="F1061" s="295">
        <v>1</v>
      </c>
      <c r="G1061" s="296">
        <v>0</v>
      </c>
      <c r="H1061" s="296">
        <v>600</v>
      </c>
      <c r="I1061" s="296">
        <v>300</v>
      </c>
      <c r="J1061" s="296">
        <v>315</v>
      </c>
      <c r="K1061" s="296">
        <v>285</v>
      </c>
      <c r="L1061" s="296">
        <v>0</v>
      </c>
      <c r="M1061" s="296">
        <v>300</v>
      </c>
      <c r="N1061" s="297">
        <v>0.5</v>
      </c>
    </row>
    <row r="1062" spans="1:14" ht="18" customHeight="1">
      <c r="A1062" s="293" t="s">
        <v>2664</v>
      </c>
      <c r="B1062" s="294">
        <v>46161</v>
      </c>
      <c r="C1062" s="286" t="s">
        <v>168</v>
      </c>
      <c r="D1062" s="286" t="s">
        <v>185</v>
      </c>
      <c r="E1062" s="295">
        <v>2</v>
      </c>
      <c r="F1062" s="295">
        <v>3</v>
      </c>
      <c r="G1062" s="296">
        <v>0</v>
      </c>
      <c r="H1062" s="296">
        <v>950</v>
      </c>
      <c r="I1062" s="296">
        <v>721</v>
      </c>
      <c r="J1062" s="296">
        <v>757.05</v>
      </c>
      <c r="K1062" s="296">
        <v>192.95</v>
      </c>
      <c r="L1062" s="296">
        <v>0</v>
      </c>
      <c r="M1062" s="296">
        <v>229</v>
      </c>
      <c r="N1062" s="297">
        <v>0.24105263157894738</v>
      </c>
    </row>
    <row r="1063" spans="1:14" ht="18" customHeight="1">
      <c r="A1063" s="293" t="s">
        <v>2665</v>
      </c>
      <c r="B1063" s="294">
        <v>46161</v>
      </c>
      <c r="C1063" s="286" t="s">
        <v>168</v>
      </c>
      <c r="D1063" s="286" t="s">
        <v>99</v>
      </c>
      <c r="E1063" s="295">
        <v>2</v>
      </c>
      <c r="F1063" s="295">
        <v>2</v>
      </c>
      <c r="G1063" s="296">
        <v>0</v>
      </c>
      <c r="H1063" s="296">
        <v>470</v>
      </c>
      <c r="I1063" s="296">
        <v>171</v>
      </c>
      <c r="J1063" s="296">
        <v>179.55</v>
      </c>
      <c r="K1063" s="296">
        <v>290.45</v>
      </c>
      <c r="L1063" s="296">
        <v>0</v>
      </c>
      <c r="M1063" s="296">
        <v>299</v>
      </c>
      <c r="N1063" s="297">
        <v>0.63617021276595742</v>
      </c>
    </row>
    <row r="1064" spans="1:14" ht="18" customHeight="1">
      <c r="A1064" s="293" t="s">
        <v>2666</v>
      </c>
      <c r="B1064" s="294">
        <v>46162</v>
      </c>
      <c r="C1064" s="286" t="s">
        <v>3773</v>
      </c>
      <c r="D1064" s="286" t="s">
        <v>102</v>
      </c>
      <c r="E1064" s="295">
        <v>10</v>
      </c>
      <c r="F1064" s="295">
        <v>10</v>
      </c>
      <c r="G1064" s="296">
        <v>0</v>
      </c>
      <c r="H1064" s="296">
        <v>14500</v>
      </c>
      <c r="I1064" s="296">
        <v>3040</v>
      </c>
      <c r="J1064" s="296">
        <v>3192</v>
      </c>
      <c r="K1064" s="296">
        <v>11308</v>
      </c>
      <c r="L1064" s="296">
        <v>3392.3999999999996</v>
      </c>
      <c r="M1064" s="296">
        <v>11460</v>
      </c>
      <c r="N1064" s="297">
        <v>0.79034482758620694</v>
      </c>
    </row>
    <row r="1065" spans="1:14" ht="18" customHeight="1">
      <c r="A1065" s="293" t="s">
        <v>2667</v>
      </c>
      <c r="B1065" s="294">
        <v>46162</v>
      </c>
      <c r="C1065" s="286" t="s">
        <v>168</v>
      </c>
      <c r="D1065" s="286" t="s">
        <v>155</v>
      </c>
      <c r="E1065" s="295">
        <v>8</v>
      </c>
      <c r="F1065" s="295">
        <v>32</v>
      </c>
      <c r="G1065" s="296">
        <v>0</v>
      </c>
      <c r="H1065" s="296">
        <v>8974</v>
      </c>
      <c r="I1065" s="296">
        <v>5974.6</v>
      </c>
      <c r="J1065" s="296">
        <v>6158.0380000000005</v>
      </c>
      <c r="K1065" s="296">
        <v>2815.962</v>
      </c>
      <c r="L1065" s="296">
        <v>0</v>
      </c>
      <c r="M1065" s="296">
        <v>2999.3999999999996</v>
      </c>
      <c r="N1065" s="297">
        <v>0.33423222643191436</v>
      </c>
    </row>
    <row r="1066" spans="1:14" ht="18" customHeight="1">
      <c r="A1066" s="293" t="s">
        <v>2668</v>
      </c>
      <c r="B1066" s="294">
        <v>46162</v>
      </c>
      <c r="C1066" s="286" t="s">
        <v>353</v>
      </c>
      <c r="D1066" s="286" t="s">
        <v>108</v>
      </c>
      <c r="E1066" s="295">
        <v>5</v>
      </c>
      <c r="F1066" s="295">
        <v>11</v>
      </c>
      <c r="G1066" s="296">
        <v>0</v>
      </c>
      <c r="H1066" s="296">
        <v>12820</v>
      </c>
      <c r="I1066" s="296">
        <v>2445</v>
      </c>
      <c r="J1066" s="296">
        <v>2567.25</v>
      </c>
      <c r="K1066" s="296">
        <v>10252.75</v>
      </c>
      <c r="L1066" s="296">
        <v>3075.8249999999998</v>
      </c>
      <c r="M1066" s="296">
        <v>10375</v>
      </c>
      <c r="N1066" s="297">
        <v>0.80928237129485181</v>
      </c>
    </row>
    <row r="1067" spans="1:14" ht="18" customHeight="1">
      <c r="A1067" s="293" t="s">
        <v>2669</v>
      </c>
      <c r="B1067" s="294">
        <v>46162</v>
      </c>
      <c r="C1067" s="286" t="s">
        <v>168</v>
      </c>
      <c r="D1067" s="286" t="s">
        <v>121</v>
      </c>
      <c r="E1067" s="295">
        <v>1</v>
      </c>
      <c r="F1067" s="295">
        <v>1</v>
      </c>
      <c r="G1067" s="296">
        <v>0</v>
      </c>
      <c r="H1067" s="296">
        <v>1900</v>
      </c>
      <c r="I1067" s="296">
        <v>1200</v>
      </c>
      <c r="J1067" s="296">
        <v>1260</v>
      </c>
      <c r="K1067" s="296">
        <v>640</v>
      </c>
      <c r="L1067" s="296">
        <v>0</v>
      </c>
      <c r="M1067" s="296">
        <v>700</v>
      </c>
      <c r="N1067" s="297">
        <v>0.36842105263157893</v>
      </c>
    </row>
    <row r="1068" spans="1:14" ht="18" customHeight="1">
      <c r="A1068" s="293" t="s">
        <v>2670</v>
      </c>
      <c r="B1068" s="294">
        <v>46162</v>
      </c>
      <c r="C1068" s="286" t="s">
        <v>353</v>
      </c>
      <c r="D1068" s="286" t="s">
        <v>94</v>
      </c>
      <c r="E1068" s="295">
        <v>1</v>
      </c>
      <c r="F1068" s="295">
        <v>20</v>
      </c>
      <c r="G1068" s="296">
        <v>0</v>
      </c>
      <c r="H1068" s="296">
        <v>1900</v>
      </c>
      <c r="I1068" s="296">
        <v>900</v>
      </c>
      <c r="J1068" s="296">
        <v>945</v>
      </c>
      <c r="K1068" s="296">
        <v>955</v>
      </c>
      <c r="L1068" s="296">
        <v>286.5</v>
      </c>
      <c r="M1068" s="296">
        <v>1000</v>
      </c>
      <c r="N1068" s="297">
        <v>0.52631578947368418</v>
      </c>
    </row>
    <row r="1069" spans="1:14" ht="18" customHeight="1">
      <c r="A1069" s="293" t="s">
        <v>2671</v>
      </c>
      <c r="B1069" s="294">
        <v>46162</v>
      </c>
      <c r="C1069" s="286" t="s">
        <v>168</v>
      </c>
      <c r="D1069" s="286" t="s">
        <v>96</v>
      </c>
      <c r="E1069" s="295">
        <v>5</v>
      </c>
      <c r="F1069" s="295">
        <v>6</v>
      </c>
      <c r="G1069" s="296">
        <v>0</v>
      </c>
      <c r="H1069" s="296">
        <v>1500</v>
      </c>
      <c r="I1069" s="296">
        <v>655</v>
      </c>
      <c r="J1069" s="296">
        <v>685.25</v>
      </c>
      <c r="K1069" s="296">
        <v>814.75</v>
      </c>
      <c r="L1069" s="296">
        <v>0</v>
      </c>
      <c r="M1069" s="296">
        <v>845</v>
      </c>
      <c r="N1069" s="297">
        <v>0.56333333333333335</v>
      </c>
    </row>
    <row r="1070" spans="1:14" ht="18" customHeight="1">
      <c r="A1070" s="293" t="s">
        <v>2672</v>
      </c>
      <c r="B1070" s="294">
        <v>46162</v>
      </c>
      <c r="C1070" s="286" t="s">
        <v>168</v>
      </c>
      <c r="D1070" s="286" t="s">
        <v>115</v>
      </c>
      <c r="E1070" s="295">
        <v>2</v>
      </c>
      <c r="F1070" s="295">
        <v>2</v>
      </c>
      <c r="G1070" s="296">
        <v>0</v>
      </c>
      <c r="H1070" s="296">
        <v>2060</v>
      </c>
      <c r="I1070" s="296">
        <v>1280</v>
      </c>
      <c r="J1070" s="296">
        <v>1344</v>
      </c>
      <c r="K1070" s="296">
        <v>716</v>
      </c>
      <c r="L1070" s="296">
        <v>0</v>
      </c>
      <c r="M1070" s="296">
        <v>780</v>
      </c>
      <c r="N1070" s="297">
        <v>0.37864077669902912</v>
      </c>
    </row>
    <row r="1071" spans="1:14" ht="18" customHeight="1">
      <c r="A1071" s="293" t="s">
        <v>2673</v>
      </c>
      <c r="B1071" s="294">
        <v>46162</v>
      </c>
      <c r="C1071" s="286" t="s">
        <v>168</v>
      </c>
      <c r="D1071" s="286" t="s">
        <v>145</v>
      </c>
      <c r="E1071" s="295">
        <v>5</v>
      </c>
      <c r="F1071" s="295">
        <v>32.4</v>
      </c>
      <c r="G1071" s="296">
        <v>0</v>
      </c>
      <c r="H1071" s="296">
        <v>1526</v>
      </c>
      <c r="I1071" s="296">
        <v>644.5200000000001</v>
      </c>
      <c r="J1071" s="296">
        <v>665.71960000000013</v>
      </c>
      <c r="K1071" s="296">
        <v>860.28039999999987</v>
      </c>
      <c r="L1071" s="296">
        <v>0</v>
      </c>
      <c r="M1071" s="296">
        <v>881.4799999999999</v>
      </c>
      <c r="N1071" s="297">
        <v>0.57764089121887285</v>
      </c>
    </row>
    <row r="1072" spans="1:14" ht="18" customHeight="1">
      <c r="A1072" s="293" t="s">
        <v>2674</v>
      </c>
      <c r="B1072" s="294">
        <v>46162</v>
      </c>
      <c r="C1072" s="286" t="s">
        <v>168</v>
      </c>
      <c r="D1072" s="286" t="s">
        <v>99</v>
      </c>
      <c r="E1072" s="295">
        <v>3</v>
      </c>
      <c r="F1072" s="295">
        <v>18</v>
      </c>
      <c r="G1072" s="296">
        <v>0</v>
      </c>
      <c r="H1072" s="296">
        <v>1800</v>
      </c>
      <c r="I1072" s="296">
        <v>1121.2</v>
      </c>
      <c r="J1072" s="296">
        <v>1157.4360000000001</v>
      </c>
      <c r="K1072" s="296">
        <v>642.56399999999985</v>
      </c>
      <c r="L1072" s="296">
        <v>0</v>
      </c>
      <c r="M1072" s="296">
        <v>678.8</v>
      </c>
      <c r="N1072" s="297">
        <v>0.37711111111111106</v>
      </c>
    </row>
    <row r="1073" spans="1:14" ht="18" customHeight="1">
      <c r="A1073" s="293" t="s">
        <v>2675</v>
      </c>
      <c r="B1073" s="294">
        <v>46163</v>
      </c>
      <c r="C1073" s="286" t="s">
        <v>3773</v>
      </c>
      <c r="D1073" s="286" t="s">
        <v>102</v>
      </c>
      <c r="E1073" s="295">
        <v>3</v>
      </c>
      <c r="F1073" s="295">
        <v>17</v>
      </c>
      <c r="G1073" s="296">
        <v>0</v>
      </c>
      <c r="H1073" s="296">
        <v>1225</v>
      </c>
      <c r="I1073" s="296">
        <v>563</v>
      </c>
      <c r="J1073" s="296">
        <v>591.15</v>
      </c>
      <c r="K1073" s="296">
        <v>633.85</v>
      </c>
      <c r="L1073" s="296">
        <v>190.15499999999997</v>
      </c>
      <c r="M1073" s="296">
        <v>662</v>
      </c>
      <c r="N1073" s="297">
        <v>0.54040816326530616</v>
      </c>
    </row>
    <row r="1074" spans="1:14" ht="18" customHeight="1">
      <c r="A1074" s="293" t="s">
        <v>2676</v>
      </c>
      <c r="B1074" s="294">
        <v>46163</v>
      </c>
      <c r="C1074" s="286" t="s">
        <v>168</v>
      </c>
      <c r="D1074" s="286" t="s">
        <v>112</v>
      </c>
      <c r="E1074" s="295">
        <v>1</v>
      </c>
      <c r="F1074" s="295">
        <v>1</v>
      </c>
      <c r="G1074" s="296">
        <v>0</v>
      </c>
      <c r="H1074" s="296">
        <v>680</v>
      </c>
      <c r="I1074" s="296">
        <v>480</v>
      </c>
      <c r="J1074" s="296">
        <v>504</v>
      </c>
      <c r="K1074" s="296">
        <v>176</v>
      </c>
      <c r="L1074" s="296">
        <v>0</v>
      </c>
      <c r="M1074" s="296">
        <v>200</v>
      </c>
      <c r="N1074" s="297">
        <v>0.29411764705882354</v>
      </c>
    </row>
    <row r="1075" spans="1:14" ht="18" customHeight="1">
      <c r="A1075" s="293" t="s">
        <v>2677</v>
      </c>
      <c r="B1075" s="294">
        <v>46163</v>
      </c>
      <c r="C1075" s="286" t="s">
        <v>168</v>
      </c>
      <c r="D1075" s="286" t="s">
        <v>92</v>
      </c>
      <c r="E1075" s="295">
        <v>3</v>
      </c>
      <c r="F1075" s="295">
        <v>3</v>
      </c>
      <c r="G1075" s="296">
        <v>0</v>
      </c>
      <c r="H1075" s="296">
        <v>4300</v>
      </c>
      <c r="I1075" s="296">
        <v>2102</v>
      </c>
      <c r="J1075" s="296">
        <v>2207.1</v>
      </c>
      <c r="K1075" s="296">
        <v>2092.9</v>
      </c>
      <c r="L1075" s="296">
        <v>0</v>
      </c>
      <c r="M1075" s="296">
        <v>2198</v>
      </c>
      <c r="N1075" s="297">
        <v>0.51116279069767445</v>
      </c>
    </row>
    <row r="1076" spans="1:14" ht="18" customHeight="1">
      <c r="A1076" s="293" t="s">
        <v>2678</v>
      </c>
      <c r="B1076" s="294">
        <v>46163</v>
      </c>
      <c r="C1076" s="286" t="s">
        <v>353</v>
      </c>
      <c r="D1076" s="286" t="s">
        <v>103</v>
      </c>
      <c r="E1076" s="295">
        <v>6</v>
      </c>
      <c r="F1076" s="295">
        <v>43</v>
      </c>
      <c r="G1076" s="296">
        <v>0</v>
      </c>
      <c r="H1076" s="296">
        <v>4026</v>
      </c>
      <c r="I1076" s="296">
        <v>2720</v>
      </c>
      <c r="J1076" s="296">
        <v>2856</v>
      </c>
      <c r="K1076" s="296">
        <v>1170</v>
      </c>
      <c r="L1076" s="296">
        <v>350.99999999999994</v>
      </c>
      <c r="M1076" s="296">
        <v>1306</v>
      </c>
      <c r="N1076" s="297">
        <v>0.32439145553899651</v>
      </c>
    </row>
    <row r="1077" spans="1:14" ht="18" customHeight="1">
      <c r="A1077" s="293" t="s">
        <v>2679</v>
      </c>
      <c r="B1077" s="294">
        <v>46163</v>
      </c>
      <c r="C1077" s="286" t="s">
        <v>3773</v>
      </c>
      <c r="D1077" s="286" t="s">
        <v>116</v>
      </c>
      <c r="E1077" s="295">
        <v>1</v>
      </c>
      <c r="F1077" s="295">
        <v>1</v>
      </c>
      <c r="G1077" s="296">
        <v>0</v>
      </c>
      <c r="H1077" s="296">
        <v>1786</v>
      </c>
      <c r="I1077" s="296">
        <v>1400</v>
      </c>
      <c r="J1077" s="296">
        <v>1470</v>
      </c>
      <c r="K1077" s="296">
        <v>316</v>
      </c>
      <c r="L1077" s="296">
        <v>94.8</v>
      </c>
      <c r="M1077" s="296">
        <v>386</v>
      </c>
      <c r="N1077" s="297">
        <v>0.21612541993281076</v>
      </c>
    </row>
    <row r="1078" spans="1:14" ht="18" customHeight="1">
      <c r="A1078" s="293" t="s">
        <v>2680</v>
      </c>
      <c r="B1078" s="294">
        <v>46163</v>
      </c>
      <c r="C1078" s="286" t="s">
        <v>168</v>
      </c>
      <c r="D1078" s="286" t="s">
        <v>96</v>
      </c>
      <c r="E1078" s="295">
        <v>1</v>
      </c>
      <c r="F1078" s="295">
        <v>1</v>
      </c>
      <c r="G1078" s="296">
        <v>0</v>
      </c>
      <c r="H1078" s="296">
        <v>2100</v>
      </c>
      <c r="I1078" s="296">
        <v>780</v>
      </c>
      <c r="J1078" s="296">
        <v>819</v>
      </c>
      <c r="K1078" s="296">
        <v>1281</v>
      </c>
      <c r="L1078" s="296">
        <v>0</v>
      </c>
      <c r="M1078" s="296">
        <v>1320</v>
      </c>
      <c r="N1078" s="297">
        <v>0.62857142857142856</v>
      </c>
    </row>
    <row r="1079" spans="1:14" ht="18" customHeight="1">
      <c r="A1079" s="293" t="s">
        <v>2681</v>
      </c>
      <c r="B1079" s="294">
        <v>46163</v>
      </c>
      <c r="C1079" s="286" t="s">
        <v>168</v>
      </c>
      <c r="D1079" s="286" t="s">
        <v>105</v>
      </c>
      <c r="E1079" s="295">
        <v>1</v>
      </c>
      <c r="F1079" s="295">
        <v>1</v>
      </c>
      <c r="G1079" s="296">
        <v>0</v>
      </c>
      <c r="H1079" s="296">
        <v>550</v>
      </c>
      <c r="I1079" s="296">
        <v>250</v>
      </c>
      <c r="J1079" s="296">
        <v>262.5</v>
      </c>
      <c r="K1079" s="296">
        <v>287.5</v>
      </c>
      <c r="L1079" s="296">
        <v>0</v>
      </c>
      <c r="M1079" s="296">
        <v>300</v>
      </c>
      <c r="N1079" s="297">
        <v>0.54545454545454541</v>
      </c>
    </row>
    <row r="1080" spans="1:14" ht="18" customHeight="1">
      <c r="A1080" s="293" t="s">
        <v>2682</v>
      </c>
      <c r="B1080" s="294">
        <v>46163</v>
      </c>
      <c r="C1080" s="286" t="s">
        <v>168</v>
      </c>
      <c r="D1080" s="286" t="s">
        <v>124</v>
      </c>
      <c r="E1080" s="295">
        <v>1</v>
      </c>
      <c r="F1080" s="295">
        <v>1</v>
      </c>
      <c r="G1080" s="296">
        <v>0</v>
      </c>
      <c r="H1080" s="296">
        <v>8700</v>
      </c>
      <c r="I1080" s="296">
        <v>0</v>
      </c>
      <c r="J1080" s="296">
        <v>0</v>
      </c>
      <c r="K1080" s="296">
        <v>8700</v>
      </c>
      <c r="L1080" s="296">
        <v>0</v>
      </c>
      <c r="M1080" s="296">
        <v>8700</v>
      </c>
      <c r="N1080" s="297">
        <v>1</v>
      </c>
    </row>
    <row r="1081" spans="1:14" ht="18" customHeight="1">
      <c r="A1081" s="293" t="s">
        <v>2683</v>
      </c>
      <c r="B1081" s="294">
        <v>46163</v>
      </c>
      <c r="C1081" s="286" t="s">
        <v>168</v>
      </c>
      <c r="D1081" s="286" t="s">
        <v>117</v>
      </c>
      <c r="E1081" s="295">
        <v>1</v>
      </c>
      <c r="F1081" s="295">
        <v>1</v>
      </c>
      <c r="G1081" s="296">
        <v>0</v>
      </c>
      <c r="H1081" s="296">
        <v>322</v>
      </c>
      <c r="I1081" s="296">
        <v>140</v>
      </c>
      <c r="J1081" s="296">
        <v>147</v>
      </c>
      <c r="K1081" s="296">
        <v>175</v>
      </c>
      <c r="L1081" s="296">
        <v>0</v>
      </c>
      <c r="M1081" s="296">
        <v>182</v>
      </c>
      <c r="N1081" s="297">
        <v>0.56521739130434778</v>
      </c>
    </row>
    <row r="1082" spans="1:14" ht="18" customHeight="1">
      <c r="A1082" s="293" t="s">
        <v>2684</v>
      </c>
      <c r="B1082" s="294">
        <v>46163</v>
      </c>
      <c r="C1082" s="286" t="s">
        <v>168</v>
      </c>
      <c r="D1082" s="286" t="s">
        <v>185</v>
      </c>
      <c r="E1082" s="295">
        <v>3</v>
      </c>
      <c r="F1082" s="295">
        <v>5</v>
      </c>
      <c r="G1082" s="296">
        <v>0</v>
      </c>
      <c r="H1082" s="296">
        <v>345</v>
      </c>
      <c r="I1082" s="296">
        <v>212.7</v>
      </c>
      <c r="J1082" s="296">
        <v>219.08100000000002</v>
      </c>
      <c r="K1082" s="296">
        <v>125.919</v>
      </c>
      <c r="L1082" s="296">
        <v>0</v>
      </c>
      <c r="M1082" s="296">
        <v>132.30000000000001</v>
      </c>
      <c r="N1082" s="297">
        <v>0.38347826086956527</v>
      </c>
    </row>
    <row r="1083" spans="1:14" ht="18" customHeight="1">
      <c r="A1083" s="293" t="s">
        <v>2685</v>
      </c>
      <c r="B1083" s="294">
        <v>46163</v>
      </c>
      <c r="C1083" s="286" t="s">
        <v>168</v>
      </c>
      <c r="D1083" s="286" t="s">
        <v>99</v>
      </c>
      <c r="E1083" s="295">
        <v>2</v>
      </c>
      <c r="F1083" s="295">
        <v>2</v>
      </c>
      <c r="G1083" s="296">
        <v>0</v>
      </c>
      <c r="H1083" s="296">
        <v>80</v>
      </c>
      <c r="I1083" s="296">
        <v>32</v>
      </c>
      <c r="J1083" s="296">
        <v>33.6</v>
      </c>
      <c r="K1083" s="296">
        <v>46.4</v>
      </c>
      <c r="L1083" s="296">
        <v>0</v>
      </c>
      <c r="M1083" s="296">
        <v>48</v>
      </c>
      <c r="N1083" s="297">
        <v>0.6</v>
      </c>
    </row>
    <row r="1084" spans="1:14" ht="18" customHeight="1">
      <c r="A1084" s="293" t="s">
        <v>2686</v>
      </c>
      <c r="B1084" s="294">
        <v>46164</v>
      </c>
      <c r="C1084" s="286" t="s">
        <v>168</v>
      </c>
      <c r="D1084" s="286" t="s">
        <v>196</v>
      </c>
      <c r="E1084" s="295">
        <v>3</v>
      </c>
      <c r="F1084" s="295">
        <v>3</v>
      </c>
      <c r="G1084" s="296">
        <v>0</v>
      </c>
      <c r="H1084" s="296">
        <v>6000</v>
      </c>
      <c r="I1084" s="296">
        <v>3300</v>
      </c>
      <c r="J1084" s="296">
        <v>3465</v>
      </c>
      <c r="K1084" s="296">
        <v>2535</v>
      </c>
      <c r="L1084" s="296">
        <v>0</v>
      </c>
      <c r="M1084" s="296">
        <v>2700</v>
      </c>
      <c r="N1084" s="297">
        <v>0.45</v>
      </c>
    </row>
    <row r="1085" spans="1:14" ht="18" customHeight="1">
      <c r="A1085" s="293" t="s">
        <v>2687</v>
      </c>
      <c r="B1085" s="294">
        <v>46164</v>
      </c>
      <c r="C1085" s="286" t="s">
        <v>3773</v>
      </c>
      <c r="D1085" s="286" t="s">
        <v>102</v>
      </c>
      <c r="E1085" s="295">
        <v>1</v>
      </c>
      <c r="F1085" s="295">
        <v>1</v>
      </c>
      <c r="G1085" s="296">
        <v>0</v>
      </c>
      <c r="H1085" s="296">
        <v>300</v>
      </c>
      <c r="I1085" s="296">
        <v>100</v>
      </c>
      <c r="J1085" s="296">
        <v>105</v>
      </c>
      <c r="K1085" s="296">
        <v>195</v>
      </c>
      <c r="L1085" s="296">
        <v>58.5</v>
      </c>
      <c r="M1085" s="296">
        <v>200</v>
      </c>
      <c r="N1085" s="297">
        <v>0.66666666666666663</v>
      </c>
    </row>
    <row r="1086" spans="1:14" ht="18" customHeight="1">
      <c r="A1086" s="293" t="s">
        <v>2688</v>
      </c>
      <c r="B1086" s="294">
        <v>46164</v>
      </c>
      <c r="C1086" s="286" t="s">
        <v>168</v>
      </c>
      <c r="D1086" s="286" t="s">
        <v>113</v>
      </c>
      <c r="E1086" s="295">
        <v>1</v>
      </c>
      <c r="F1086" s="295">
        <v>1</v>
      </c>
      <c r="G1086" s="296">
        <v>0</v>
      </c>
      <c r="H1086" s="296">
        <v>1786</v>
      </c>
      <c r="I1086" s="296">
        <v>1050</v>
      </c>
      <c r="J1086" s="296">
        <v>1102.5</v>
      </c>
      <c r="K1086" s="296">
        <v>683.5</v>
      </c>
      <c r="L1086" s="296">
        <v>0</v>
      </c>
      <c r="M1086" s="296">
        <v>736</v>
      </c>
      <c r="N1086" s="297">
        <v>0.41209406494960804</v>
      </c>
    </row>
    <row r="1087" spans="1:14" ht="18" customHeight="1">
      <c r="A1087" s="293" t="s">
        <v>2689</v>
      </c>
      <c r="B1087" s="294">
        <v>46164</v>
      </c>
      <c r="C1087" s="286" t="s">
        <v>168</v>
      </c>
      <c r="D1087" s="286" t="s">
        <v>92</v>
      </c>
      <c r="E1087" s="295">
        <v>1</v>
      </c>
      <c r="F1087" s="295">
        <v>1</v>
      </c>
      <c r="G1087" s="296">
        <v>0</v>
      </c>
      <c r="H1087" s="296">
        <v>1900</v>
      </c>
      <c r="I1087" s="296">
        <v>1300</v>
      </c>
      <c r="J1087" s="296">
        <v>1365</v>
      </c>
      <c r="K1087" s="296">
        <v>535</v>
      </c>
      <c r="L1087" s="296">
        <v>0</v>
      </c>
      <c r="M1087" s="296">
        <v>600</v>
      </c>
      <c r="N1087" s="297">
        <v>0.31578947368421051</v>
      </c>
    </row>
    <row r="1088" spans="1:14" ht="18" customHeight="1">
      <c r="A1088" s="293" t="s">
        <v>2690</v>
      </c>
      <c r="B1088" s="294">
        <v>46164</v>
      </c>
      <c r="C1088" s="286" t="s">
        <v>353</v>
      </c>
      <c r="D1088" s="286" t="s">
        <v>94</v>
      </c>
      <c r="E1088" s="295">
        <v>2</v>
      </c>
      <c r="F1088" s="295">
        <v>2</v>
      </c>
      <c r="G1088" s="296">
        <v>0</v>
      </c>
      <c r="H1088" s="296">
        <v>2220</v>
      </c>
      <c r="I1088" s="296">
        <v>1450</v>
      </c>
      <c r="J1088" s="296">
        <v>1522.5</v>
      </c>
      <c r="K1088" s="296">
        <v>697.5</v>
      </c>
      <c r="L1088" s="296">
        <v>209.25</v>
      </c>
      <c r="M1088" s="296">
        <v>770</v>
      </c>
      <c r="N1088" s="297">
        <v>0.34684684684684686</v>
      </c>
    </row>
    <row r="1089" spans="1:14" ht="18" customHeight="1">
      <c r="A1089" s="293" t="s">
        <v>2691</v>
      </c>
      <c r="B1089" s="294">
        <v>46164</v>
      </c>
      <c r="C1089" s="286" t="s">
        <v>168</v>
      </c>
      <c r="D1089" s="286" t="s">
        <v>96</v>
      </c>
      <c r="E1089" s="295">
        <v>9</v>
      </c>
      <c r="F1089" s="295">
        <v>12</v>
      </c>
      <c r="G1089" s="296">
        <v>0</v>
      </c>
      <c r="H1089" s="296">
        <v>15390</v>
      </c>
      <c r="I1089" s="296">
        <v>3675</v>
      </c>
      <c r="J1089" s="296">
        <v>3858.75</v>
      </c>
      <c r="K1089" s="296">
        <v>11531.25</v>
      </c>
      <c r="L1089" s="296">
        <v>0</v>
      </c>
      <c r="M1089" s="296">
        <v>11715</v>
      </c>
      <c r="N1089" s="297">
        <v>0.76120857699805067</v>
      </c>
    </row>
    <row r="1090" spans="1:14" ht="18" customHeight="1">
      <c r="A1090" s="293" t="s">
        <v>2692</v>
      </c>
      <c r="B1090" s="294">
        <v>46164</v>
      </c>
      <c r="C1090" s="286" t="s">
        <v>168</v>
      </c>
      <c r="D1090" s="286" t="s">
        <v>105</v>
      </c>
      <c r="E1090" s="295">
        <v>3</v>
      </c>
      <c r="F1090" s="295">
        <v>3</v>
      </c>
      <c r="G1090" s="296">
        <v>0</v>
      </c>
      <c r="H1090" s="296">
        <v>11250</v>
      </c>
      <c r="I1090" s="296">
        <v>1450</v>
      </c>
      <c r="J1090" s="296">
        <v>1522.5</v>
      </c>
      <c r="K1090" s="296">
        <v>9727.5</v>
      </c>
      <c r="L1090" s="296">
        <v>0</v>
      </c>
      <c r="M1090" s="296">
        <v>9800</v>
      </c>
      <c r="N1090" s="297">
        <v>0.87111111111111106</v>
      </c>
    </row>
    <row r="1091" spans="1:14" ht="18" customHeight="1">
      <c r="A1091" s="293" t="s">
        <v>2693</v>
      </c>
      <c r="B1091" s="294">
        <v>46164</v>
      </c>
      <c r="C1091" s="286" t="s">
        <v>350</v>
      </c>
      <c r="D1091" s="286" t="s">
        <v>119</v>
      </c>
      <c r="E1091" s="295">
        <v>1</v>
      </c>
      <c r="F1091" s="295">
        <v>1</v>
      </c>
      <c r="G1091" s="296">
        <v>0</v>
      </c>
      <c r="H1091" s="296">
        <v>1607</v>
      </c>
      <c r="I1091" s="296">
        <v>1100</v>
      </c>
      <c r="J1091" s="296">
        <v>1155</v>
      </c>
      <c r="K1091" s="296">
        <v>452</v>
      </c>
      <c r="L1091" s="296">
        <v>135.6</v>
      </c>
      <c r="M1091" s="296">
        <v>507</v>
      </c>
      <c r="N1091" s="297">
        <v>0.31549471064094586</v>
      </c>
    </row>
    <row r="1092" spans="1:14" ht="18" customHeight="1">
      <c r="A1092" s="293" t="s">
        <v>2694</v>
      </c>
      <c r="B1092" s="294">
        <v>46164</v>
      </c>
      <c r="C1092" s="286" t="s">
        <v>168</v>
      </c>
      <c r="D1092" s="286" t="s">
        <v>132</v>
      </c>
      <c r="E1092" s="295">
        <v>2</v>
      </c>
      <c r="F1092" s="295">
        <v>20</v>
      </c>
      <c r="G1092" s="296">
        <v>0</v>
      </c>
      <c r="H1092" s="296">
        <v>2100</v>
      </c>
      <c r="I1092" s="296">
        <v>1036</v>
      </c>
      <c r="J1092" s="296">
        <v>1067.08</v>
      </c>
      <c r="K1092" s="296">
        <v>1032.92</v>
      </c>
      <c r="L1092" s="296">
        <v>0</v>
      </c>
      <c r="M1092" s="296">
        <v>1064</v>
      </c>
      <c r="N1092" s="297">
        <v>0.50666666666666671</v>
      </c>
    </row>
    <row r="1093" spans="1:14" ht="18" customHeight="1">
      <c r="A1093" s="293" t="s">
        <v>2695</v>
      </c>
      <c r="B1093" s="294">
        <v>46164</v>
      </c>
      <c r="C1093" s="286" t="s">
        <v>168</v>
      </c>
      <c r="D1093" s="286" t="s">
        <v>124</v>
      </c>
      <c r="E1093" s="295">
        <v>2</v>
      </c>
      <c r="F1093" s="295">
        <v>2</v>
      </c>
      <c r="G1093" s="296">
        <v>0</v>
      </c>
      <c r="H1093" s="296">
        <v>1250</v>
      </c>
      <c r="I1093" s="296">
        <v>740</v>
      </c>
      <c r="J1093" s="296">
        <v>777</v>
      </c>
      <c r="K1093" s="296">
        <v>473</v>
      </c>
      <c r="L1093" s="296">
        <v>0</v>
      </c>
      <c r="M1093" s="296">
        <v>510</v>
      </c>
      <c r="N1093" s="297">
        <v>0.40799999999999997</v>
      </c>
    </row>
    <row r="1094" spans="1:14" ht="18" customHeight="1">
      <c r="A1094" s="293" t="s">
        <v>2696</v>
      </c>
      <c r="B1094" s="294">
        <v>46164</v>
      </c>
      <c r="C1094" s="286" t="s">
        <v>168</v>
      </c>
      <c r="D1094" s="286" t="s">
        <v>99</v>
      </c>
      <c r="E1094" s="295">
        <v>2</v>
      </c>
      <c r="F1094" s="295">
        <v>3</v>
      </c>
      <c r="G1094" s="296">
        <v>0</v>
      </c>
      <c r="H1094" s="296">
        <v>930</v>
      </c>
      <c r="I1094" s="296">
        <v>630</v>
      </c>
      <c r="J1094" s="296">
        <v>658.5</v>
      </c>
      <c r="K1094" s="296">
        <v>271.5</v>
      </c>
      <c r="L1094" s="296">
        <v>0</v>
      </c>
      <c r="M1094" s="296">
        <v>300</v>
      </c>
      <c r="N1094" s="297">
        <v>0.32258064516129031</v>
      </c>
    </row>
    <row r="1095" spans="1:14" ht="18" customHeight="1">
      <c r="A1095" s="293" t="s">
        <v>2697</v>
      </c>
      <c r="B1095" s="294">
        <v>46165</v>
      </c>
      <c r="C1095" s="286" t="s">
        <v>3773</v>
      </c>
      <c r="D1095" s="286" t="s">
        <v>100</v>
      </c>
      <c r="E1095" s="295">
        <v>5</v>
      </c>
      <c r="F1095" s="295">
        <v>7</v>
      </c>
      <c r="G1095" s="296">
        <v>0</v>
      </c>
      <c r="H1095" s="296">
        <v>1125</v>
      </c>
      <c r="I1095" s="296">
        <v>536.85</v>
      </c>
      <c r="J1095" s="296">
        <v>560.81549999999993</v>
      </c>
      <c r="K1095" s="296">
        <v>564.18450000000007</v>
      </c>
      <c r="L1095" s="296">
        <v>169.25534999999999</v>
      </c>
      <c r="M1095" s="296">
        <v>588.15</v>
      </c>
      <c r="N1095" s="297">
        <v>0.52279999999999993</v>
      </c>
    </row>
    <row r="1096" spans="1:14" ht="18" customHeight="1">
      <c r="A1096" s="293" t="s">
        <v>2698</v>
      </c>
      <c r="B1096" s="294">
        <v>46165</v>
      </c>
      <c r="C1096" s="286" t="s">
        <v>3773</v>
      </c>
      <c r="D1096" s="286" t="s">
        <v>102</v>
      </c>
      <c r="E1096" s="295">
        <v>1</v>
      </c>
      <c r="F1096" s="295">
        <v>1</v>
      </c>
      <c r="G1096" s="296">
        <v>0</v>
      </c>
      <c r="H1096" s="296">
        <v>2400</v>
      </c>
      <c r="I1096" s="296">
        <v>1350</v>
      </c>
      <c r="J1096" s="296">
        <v>1417.5</v>
      </c>
      <c r="K1096" s="296">
        <v>982.5</v>
      </c>
      <c r="L1096" s="296">
        <v>294.75</v>
      </c>
      <c r="M1096" s="296">
        <v>1050</v>
      </c>
      <c r="N1096" s="297">
        <v>0.4375</v>
      </c>
    </row>
    <row r="1097" spans="1:14" ht="18" customHeight="1">
      <c r="A1097" s="293" t="s">
        <v>2699</v>
      </c>
      <c r="B1097" s="294">
        <v>46165</v>
      </c>
      <c r="C1097" s="286" t="s">
        <v>168</v>
      </c>
      <c r="D1097" s="286" t="s">
        <v>136</v>
      </c>
      <c r="E1097" s="295">
        <v>20</v>
      </c>
      <c r="F1097" s="295">
        <v>101</v>
      </c>
      <c r="G1097" s="296">
        <v>0</v>
      </c>
      <c r="H1097" s="296">
        <v>36375</v>
      </c>
      <c r="I1097" s="296">
        <v>16398.5</v>
      </c>
      <c r="J1097" s="296">
        <v>16990.535</v>
      </c>
      <c r="K1097" s="296">
        <v>19384.465</v>
      </c>
      <c r="L1097" s="296">
        <v>0</v>
      </c>
      <c r="M1097" s="296">
        <v>19976.5</v>
      </c>
      <c r="N1097" s="297">
        <v>0.54918213058419241</v>
      </c>
    </row>
    <row r="1098" spans="1:14" ht="18" customHeight="1">
      <c r="A1098" s="293" t="s">
        <v>2700</v>
      </c>
      <c r="B1098" s="294">
        <v>46165</v>
      </c>
      <c r="C1098" s="286" t="s">
        <v>3773</v>
      </c>
      <c r="D1098" s="286" t="s">
        <v>126</v>
      </c>
      <c r="E1098" s="295">
        <v>1</v>
      </c>
      <c r="F1098" s="295">
        <v>1</v>
      </c>
      <c r="G1098" s="296">
        <v>0</v>
      </c>
      <c r="H1098" s="296">
        <v>2100</v>
      </c>
      <c r="I1098" s="296">
        <v>1550</v>
      </c>
      <c r="J1098" s="296">
        <v>1627.5</v>
      </c>
      <c r="K1098" s="296">
        <v>472.5</v>
      </c>
      <c r="L1098" s="296">
        <v>141.75</v>
      </c>
      <c r="M1098" s="296">
        <v>550</v>
      </c>
      <c r="N1098" s="297">
        <v>0.26190476190476192</v>
      </c>
    </row>
    <row r="1099" spans="1:14" ht="18" customHeight="1">
      <c r="A1099" s="293" t="s">
        <v>2701</v>
      </c>
      <c r="B1099" s="294">
        <v>46165</v>
      </c>
      <c r="C1099" s="286" t="s">
        <v>353</v>
      </c>
      <c r="D1099" s="286" t="s">
        <v>108</v>
      </c>
      <c r="E1099" s="295">
        <v>1</v>
      </c>
      <c r="F1099" s="295">
        <v>1</v>
      </c>
      <c r="G1099" s="296">
        <v>0</v>
      </c>
      <c r="H1099" s="296">
        <v>1875</v>
      </c>
      <c r="I1099" s="296">
        <v>780</v>
      </c>
      <c r="J1099" s="296">
        <v>819</v>
      </c>
      <c r="K1099" s="296">
        <v>1056</v>
      </c>
      <c r="L1099" s="296">
        <v>316.8</v>
      </c>
      <c r="M1099" s="296">
        <v>1095</v>
      </c>
      <c r="N1099" s="297">
        <v>0.58399999999999996</v>
      </c>
    </row>
    <row r="1100" spans="1:14" ht="18" customHeight="1">
      <c r="A1100" s="293" t="s">
        <v>2702</v>
      </c>
      <c r="B1100" s="294">
        <v>46165</v>
      </c>
      <c r="C1100" s="286" t="s">
        <v>168</v>
      </c>
      <c r="D1100" s="286" t="s">
        <v>92</v>
      </c>
      <c r="E1100" s="295">
        <v>1</v>
      </c>
      <c r="F1100" s="295">
        <v>1</v>
      </c>
      <c r="G1100" s="296">
        <v>0</v>
      </c>
      <c r="H1100" s="296">
        <v>2100</v>
      </c>
      <c r="I1100" s="296">
        <v>1500</v>
      </c>
      <c r="J1100" s="296">
        <v>1575</v>
      </c>
      <c r="K1100" s="296">
        <v>525</v>
      </c>
      <c r="L1100" s="296">
        <v>0</v>
      </c>
      <c r="M1100" s="296">
        <v>600</v>
      </c>
      <c r="N1100" s="297">
        <v>0.2857142857142857</v>
      </c>
    </row>
    <row r="1101" spans="1:14" ht="18" customHeight="1">
      <c r="A1101" s="293" t="s">
        <v>2703</v>
      </c>
      <c r="B1101" s="294">
        <v>46165</v>
      </c>
      <c r="C1101" s="286" t="s">
        <v>354</v>
      </c>
      <c r="D1101" s="286" t="s">
        <v>109</v>
      </c>
      <c r="E1101" s="295">
        <v>4</v>
      </c>
      <c r="F1101" s="295">
        <v>5</v>
      </c>
      <c r="G1101" s="296">
        <v>0</v>
      </c>
      <c r="H1101" s="296">
        <v>6249</v>
      </c>
      <c r="I1101" s="296">
        <v>4550</v>
      </c>
      <c r="J1101" s="296">
        <v>4777.5</v>
      </c>
      <c r="K1101" s="296">
        <v>1471.5</v>
      </c>
      <c r="L1101" s="296">
        <v>441.44999999999993</v>
      </c>
      <c r="M1101" s="296">
        <v>1699</v>
      </c>
      <c r="N1101" s="297">
        <v>0.27188350136021766</v>
      </c>
    </row>
    <row r="1102" spans="1:14" ht="18" customHeight="1">
      <c r="A1102" s="293" t="s">
        <v>2704</v>
      </c>
      <c r="B1102" s="294">
        <v>46165</v>
      </c>
      <c r="C1102" s="286" t="s">
        <v>359</v>
      </c>
      <c r="D1102" s="286" t="s">
        <v>114</v>
      </c>
      <c r="E1102" s="295">
        <v>3</v>
      </c>
      <c r="F1102" s="295">
        <v>8</v>
      </c>
      <c r="G1102" s="296">
        <v>0</v>
      </c>
      <c r="H1102" s="296">
        <v>3617</v>
      </c>
      <c r="I1102" s="296">
        <v>2142</v>
      </c>
      <c r="J1102" s="296">
        <v>2248.2600000000002</v>
      </c>
      <c r="K1102" s="296">
        <v>1368.74</v>
      </c>
      <c r="L1102" s="296">
        <v>410.62199999999996</v>
      </c>
      <c r="M1102" s="296">
        <v>1475</v>
      </c>
      <c r="N1102" s="297">
        <v>0.40779651645009679</v>
      </c>
    </row>
    <row r="1103" spans="1:14" ht="18" customHeight="1">
      <c r="A1103" s="293" t="s">
        <v>2705</v>
      </c>
      <c r="B1103" s="294">
        <v>46165</v>
      </c>
      <c r="C1103" s="286" t="s">
        <v>168</v>
      </c>
      <c r="D1103" s="286" t="s">
        <v>121</v>
      </c>
      <c r="E1103" s="295">
        <v>2</v>
      </c>
      <c r="F1103" s="295">
        <v>2</v>
      </c>
      <c r="G1103" s="296">
        <v>0</v>
      </c>
      <c r="H1103" s="296">
        <v>9102</v>
      </c>
      <c r="I1103" s="296">
        <v>180</v>
      </c>
      <c r="J1103" s="296">
        <v>189</v>
      </c>
      <c r="K1103" s="296">
        <v>8913</v>
      </c>
      <c r="L1103" s="296">
        <v>0</v>
      </c>
      <c r="M1103" s="296">
        <v>8922</v>
      </c>
      <c r="N1103" s="297">
        <v>0.98022412656558999</v>
      </c>
    </row>
    <row r="1104" spans="1:14" ht="18" customHeight="1">
      <c r="A1104" s="293" t="s">
        <v>2706</v>
      </c>
      <c r="B1104" s="294">
        <v>46165</v>
      </c>
      <c r="C1104" s="286" t="s">
        <v>353</v>
      </c>
      <c r="D1104" s="286" t="s">
        <v>94</v>
      </c>
      <c r="E1104" s="295">
        <v>9</v>
      </c>
      <c r="F1104" s="295">
        <v>34</v>
      </c>
      <c r="G1104" s="296">
        <v>0</v>
      </c>
      <c r="H1104" s="296">
        <v>8882</v>
      </c>
      <c r="I1104" s="296">
        <v>5785</v>
      </c>
      <c r="J1104" s="296">
        <v>6074.25</v>
      </c>
      <c r="K1104" s="296">
        <v>2807.75</v>
      </c>
      <c r="L1104" s="296">
        <v>842.32500000000005</v>
      </c>
      <c r="M1104" s="296">
        <v>3097</v>
      </c>
      <c r="N1104" s="297">
        <v>0.34868272911506415</v>
      </c>
    </row>
    <row r="1105" spans="1:14" ht="18" customHeight="1">
      <c r="A1105" s="293" t="s">
        <v>2707</v>
      </c>
      <c r="B1105" s="294">
        <v>46165</v>
      </c>
      <c r="C1105" s="286" t="s">
        <v>168</v>
      </c>
      <c r="D1105" s="286" t="s">
        <v>96</v>
      </c>
      <c r="E1105" s="295">
        <v>3</v>
      </c>
      <c r="F1105" s="295">
        <v>3</v>
      </c>
      <c r="G1105" s="296">
        <v>0</v>
      </c>
      <c r="H1105" s="296">
        <v>2520</v>
      </c>
      <c r="I1105" s="296">
        <v>1287</v>
      </c>
      <c r="J1105" s="296">
        <v>1351.35</v>
      </c>
      <c r="K1105" s="296">
        <v>1168.6500000000001</v>
      </c>
      <c r="L1105" s="296">
        <v>0</v>
      </c>
      <c r="M1105" s="296">
        <v>1233</v>
      </c>
      <c r="N1105" s="297">
        <v>0.48928571428571427</v>
      </c>
    </row>
    <row r="1106" spans="1:14" ht="18" customHeight="1">
      <c r="A1106" s="293" t="s">
        <v>2708</v>
      </c>
      <c r="B1106" s="294">
        <v>46165</v>
      </c>
      <c r="C1106" s="286" t="s">
        <v>168</v>
      </c>
      <c r="D1106" s="286" t="s">
        <v>115</v>
      </c>
      <c r="E1106" s="295">
        <v>2</v>
      </c>
      <c r="F1106" s="295">
        <v>3</v>
      </c>
      <c r="G1106" s="296">
        <v>0</v>
      </c>
      <c r="H1106" s="296">
        <v>1450</v>
      </c>
      <c r="I1106" s="296">
        <v>725</v>
      </c>
      <c r="J1106" s="296">
        <v>761.25</v>
      </c>
      <c r="K1106" s="296">
        <v>688.75</v>
      </c>
      <c r="L1106" s="296">
        <v>0</v>
      </c>
      <c r="M1106" s="296">
        <v>725</v>
      </c>
      <c r="N1106" s="297">
        <v>0.5</v>
      </c>
    </row>
    <row r="1107" spans="1:14" ht="18" customHeight="1">
      <c r="A1107" s="293" t="s">
        <v>2709</v>
      </c>
      <c r="B1107" s="294">
        <v>46165</v>
      </c>
      <c r="C1107" s="286" t="s">
        <v>168</v>
      </c>
      <c r="D1107" s="286" t="s">
        <v>213</v>
      </c>
      <c r="E1107" s="295">
        <v>1</v>
      </c>
      <c r="F1107" s="295">
        <v>1</v>
      </c>
      <c r="G1107" s="296">
        <v>0</v>
      </c>
      <c r="H1107" s="296">
        <v>3000</v>
      </c>
      <c r="I1107" s="296">
        <v>2100</v>
      </c>
      <c r="J1107" s="296">
        <v>2205</v>
      </c>
      <c r="K1107" s="296">
        <v>795</v>
      </c>
      <c r="L1107" s="296">
        <v>0</v>
      </c>
      <c r="M1107" s="296">
        <v>900</v>
      </c>
      <c r="N1107" s="297">
        <v>0.3</v>
      </c>
    </row>
    <row r="1108" spans="1:14" ht="18" customHeight="1">
      <c r="A1108" s="293" t="s">
        <v>2710</v>
      </c>
      <c r="B1108" s="294">
        <v>46165</v>
      </c>
      <c r="C1108" s="286" t="s">
        <v>358</v>
      </c>
      <c r="D1108" s="286" t="s">
        <v>130</v>
      </c>
      <c r="E1108" s="295">
        <v>1</v>
      </c>
      <c r="F1108" s="295">
        <v>1</v>
      </c>
      <c r="G1108" s="296">
        <v>0</v>
      </c>
      <c r="H1108" s="296">
        <v>550</v>
      </c>
      <c r="I1108" s="296">
        <v>280</v>
      </c>
      <c r="J1108" s="296">
        <v>294</v>
      </c>
      <c r="K1108" s="296">
        <v>256</v>
      </c>
      <c r="L1108" s="296">
        <v>76.8</v>
      </c>
      <c r="M1108" s="296">
        <v>270</v>
      </c>
      <c r="N1108" s="297">
        <v>0.49090909090909091</v>
      </c>
    </row>
    <row r="1109" spans="1:14" ht="18" customHeight="1">
      <c r="A1109" s="293" t="s">
        <v>2711</v>
      </c>
      <c r="B1109" s="294">
        <v>46167</v>
      </c>
      <c r="C1109" s="286" t="s">
        <v>3773</v>
      </c>
      <c r="D1109" s="286" t="s">
        <v>158</v>
      </c>
      <c r="E1109" s="295">
        <v>4</v>
      </c>
      <c r="F1109" s="295">
        <v>23</v>
      </c>
      <c r="G1109" s="296">
        <v>0</v>
      </c>
      <c r="H1109" s="296">
        <v>2210</v>
      </c>
      <c r="I1109" s="296">
        <v>1422.45</v>
      </c>
      <c r="J1109" s="296">
        <v>1491.5234999999998</v>
      </c>
      <c r="K1109" s="296">
        <v>718.47649999999999</v>
      </c>
      <c r="L1109" s="296">
        <v>215.54294999999999</v>
      </c>
      <c r="M1109" s="296">
        <v>787.55</v>
      </c>
      <c r="N1109" s="297">
        <v>0.35635746606334839</v>
      </c>
    </row>
    <row r="1110" spans="1:14" ht="18" customHeight="1">
      <c r="A1110" s="293" t="s">
        <v>2712</v>
      </c>
      <c r="B1110" s="294">
        <v>46167</v>
      </c>
      <c r="C1110" s="286" t="s">
        <v>168</v>
      </c>
      <c r="D1110" s="286" t="s">
        <v>207</v>
      </c>
      <c r="E1110" s="295">
        <v>1</v>
      </c>
      <c r="F1110" s="295">
        <v>1</v>
      </c>
      <c r="G1110" s="296">
        <v>0</v>
      </c>
      <c r="H1110" s="296">
        <v>1800</v>
      </c>
      <c r="I1110" s="296">
        <v>1100</v>
      </c>
      <c r="J1110" s="296">
        <v>1155</v>
      </c>
      <c r="K1110" s="296">
        <v>645</v>
      </c>
      <c r="L1110" s="296">
        <v>0</v>
      </c>
      <c r="M1110" s="296">
        <v>700</v>
      </c>
      <c r="N1110" s="297">
        <v>0.3888888888888889</v>
      </c>
    </row>
    <row r="1111" spans="1:14" ht="18" customHeight="1">
      <c r="A1111" s="293" t="s">
        <v>2713</v>
      </c>
      <c r="B1111" s="294">
        <v>46167</v>
      </c>
      <c r="C1111" s="286" t="s">
        <v>3773</v>
      </c>
      <c r="D1111" s="286" t="s">
        <v>102</v>
      </c>
      <c r="E1111" s="295">
        <v>1</v>
      </c>
      <c r="F1111" s="295">
        <v>1</v>
      </c>
      <c r="G1111" s="296">
        <v>0</v>
      </c>
      <c r="H1111" s="296">
        <v>300</v>
      </c>
      <c r="I1111" s="296">
        <v>100</v>
      </c>
      <c r="J1111" s="296">
        <v>105</v>
      </c>
      <c r="K1111" s="296">
        <v>195</v>
      </c>
      <c r="L1111" s="296">
        <v>58.5</v>
      </c>
      <c r="M1111" s="296">
        <v>200</v>
      </c>
      <c r="N1111" s="297">
        <v>0.66666666666666663</v>
      </c>
    </row>
    <row r="1112" spans="1:14" ht="18" customHeight="1">
      <c r="A1112" s="293" t="s">
        <v>2714</v>
      </c>
      <c r="B1112" s="294">
        <v>46167</v>
      </c>
      <c r="C1112" s="286" t="s">
        <v>353</v>
      </c>
      <c r="D1112" s="286" t="s">
        <v>108</v>
      </c>
      <c r="E1112" s="295">
        <v>2</v>
      </c>
      <c r="F1112" s="295">
        <v>6</v>
      </c>
      <c r="G1112" s="296">
        <v>0</v>
      </c>
      <c r="H1112" s="296">
        <v>3050</v>
      </c>
      <c r="I1112" s="296">
        <v>1600</v>
      </c>
      <c r="J1112" s="296">
        <v>1680</v>
      </c>
      <c r="K1112" s="296">
        <v>1370</v>
      </c>
      <c r="L1112" s="296">
        <v>411</v>
      </c>
      <c r="M1112" s="296">
        <v>1450</v>
      </c>
      <c r="N1112" s="297">
        <v>0.47540983606557374</v>
      </c>
    </row>
    <row r="1113" spans="1:14" ht="18" customHeight="1">
      <c r="A1113" s="293" t="s">
        <v>2715</v>
      </c>
      <c r="B1113" s="294">
        <v>46167</v>
      </c>
      <c r="C1113" s="286" t="s">
        <v>353</v>
      </c>
      <c r="D1113" s="286" t="s">
        <v>103</v>
      </c>
      <c r="E1113" s="295">
        <v>3</v>
      </c>
      <c r="F1113" s="295">
        <v>3</v>
      </c>
      <c r="G1113" s="296">
        <v>0</v>
      </c>
      <c r="H1113" s="296">
        <v>3200</v>
      </c>
      <c r="I1113" s="296">
        <v>1820</v>
      </c>
      <c r="J1113" s="296">
        <v>1911</v>
      </c>
      <c r="K1113" s="296">
        <v>1289</v>
      </c>
      <c r="L1113" s="296">
        <v>386.70000000000005</v>
      </c>
      <c r="M1113" s="296">
        <v>1380</v>
      </c>
      <c r="N1113" s="297">
        <v>0.43125000000000002</v>
      </c>
    </row>
    <row r="1114" spans="1:14" ht="18" customHeight="1">
      <c r="A1114" s="293" t="s">
        <v>2716</v>
      </c>
      <c r="B1114" s="294">
        <v>46167</v>
      </c>
      <c r="C1114" s="286" t="s">
        <v>359</v>
      </c>
      <c r="D1114" s="286" t="s">
        <v>114</v>
      </c>
      <c r="E1114" s="295">
        <v>1</v>
      </c>
      <c r="F1114" s="295">
        <v>1</v>
      </c>
      <c r="G1114" s="296">
        <v>0</v>
      </c>
      <c r="H1114" s="296">
        <v>1697</v>
      </c>
      <c r="I1114" s="296">
        <v>1000</v>
      </c>
      <c r="J1114" s="296">
        <v>1050</v>
      </c>
      <c r="K1114" s="296">
        <v>647</v>
      </c>
      <c r="L1114" s="296">
        <v>194.1</v>
      </c>
      <c r="M1114" s="296">
        <v>697</v>
      </c>
      <c r="N1114" s="297">
        <v>0.41072480848556275</v>
      </c>
    </row>
    <row r="1115" spans="1:14" ht="18" customHeight="1">
      <c r="A1115" s="293" t="s">
        <v>2717</v>
      </c>
      <c r="B1115" s="294">
        <v>46167</v>
      </c>
      <c r="C1115" s="286" t="s">
        <v>3773</v>
      </c>
      <c r="D1115" s="286" t="s">
        <v>116</v>
      </c>
      <c r="E1115" s="295">
        <v>1</v>
      </c>
      <c r="F1115" s="295">
        <v>1</v>
      </c>
      <c r="G1115" s="296">
        <v>0</v>
      </c>
      <c r="H1115" s="296">
        <v>2000</v>
      </c>
      <c r="I1115" s="296">
        <v>1400</v>
      </c>
      <c r="J1115" s="296">
        <v>1470</v>
      </c>
      <c r="K1115" s="296">
        <v>530</v>
      </c>
      <c r="L1115" s="296">
        <v>159</v>
      </c>
      <c r="M1115" s="296">
        <v>600</v>
      </c>
      <c r="N1115" s="297">
        <v>0.3</v>
      </c>
    </row>
    <row r="1116" spans="1:14" ht="18" customHeight="1">
      <c r="A1116" s="293" t="s">
        <v>2718</v>
      </c>
      <c r="B1116" s="294">
        <v>46167</v>
      </c>
      <c r="C1116" s="286" t="s">
        <v>168</v>
      </c>
      <c r="D1116" s="286" t="s">
        <v>115</v>
      </c>
      <c r="E1116" s="295">
        <v>9</v>
      </c>
      <c r="F1116" s="295">
        <v>12</v>
      </c>
      <c r="G1116" s="296">
        <v>0</v>
      </c>
      <c r="H1116" s="296">
        <v>14330</v>
      </c>
      <c r="I1116" s="296">
        <v>3320</v>
      </c>
      <c r="J1116" s="296">
        <v>3486</v>
      </c>
      <c r="K1116" s="296">
        <v>10844</v>
      </c>
      <c r="L1116" s="296">
        <v>0</v>
      </c>
      <c r="M1116" s="296">
        <v>11010</v>
      </c>
      <c r="N1116" s="297">
        <v>0.76831821353803209</v>
      </c>
    </row>
    <row r="1117" spans="1:14" ht="18" customHeight="1">
      <c r="A1117" s="293" t="s">
        <v>2719</v>
      </c>
      <c r="B1117" s="294">
        <v>46167</v>
      </c>
      <c r="C1117" s="286" t="s">
        <v>168</v>
      </c>
      <c r="D1117" s="286" t="s">
        <v>132</v>
      </c>
      <c r="E1117" s="295">
        <v>1</v>
      </c>
      <c r="F1117" s="295">
        <v>1</v>
      </c>
      <c r="G1117" s="296">
        <v>0</v>
      </c>
      <c r="H1117" s="296">
        <v>2850</v>
      </c>
      <c r="I1117" s="296">
        <v>2648</v>
      </c>
      <c r="J1117" s="296">
        <v>2727.44</v>
      </c>
      <c r="K1117" s="296">
        <v>122.55999999999995</v>
      </c>
      <c r="L1117" s="296">
        <v>0</v>
      </c>
      <c r="M1117" s="296">
        <v>202</v>
      </c>
      <c r="N1117" s="297">
        <v>7.0877192982456136E-2</v>
      </c>
    </row>
    <row r="1118" spans="1:14" ht="18" customHeight="1">
      <c r="A1118" s="293" t="s">
        <v>2720</v>
      </c>
      <c r="B1118" s="294">
        <v>46167</v>
      </c>
      <c r="C1118" s="286" t="s">
        <v>168</v>
      </c>
      <c r="D1118" s="286" t="s">
        <v>124</v>
      </c>
      <c r="E1118" s="295">
        <v>2</v>
      </c>
      <c r="F1118" s="295">
        <v>2</v>
      </c>
      <c r="G1118" s="296">
        <v>0</v>
      </c>
      <c r="H1118" s="296">
        <v>950</v>
      </c>
      <c r="I1118" s="296">
        <v>272</v>
      </c>
      <c r="J1118" s="296">
        <v>285.60000000000002</v>
      </c>
      <c r="K1118" s="296">
        <v>664.4</v>
      </c>
      <c r="L1118" s="296">
        <v>0</v>
      </c>
      <c r="M1118" s="296">
        <v>678</v>
      </c>
      <c r="N1118" s="297">
        <v>0.71368421052631581</v>
      </c>
    </row>
    <row r="1119" spans="1:14" ht="18" customHeight="1">
      <c r="A1119" s="293" t="s">
        <v>2721</v>
      </c>
      <c r="B1119" s="294">
        <v>46167</v>
      </c>
      <c r="C1119" s="286" t="s">
        <v>168</v>
      </c>
      <c r="D1119" s="286" t="s">
        <v>214</v>
      </c>
      <c r="E1119" s="295">
        <v>6</v>
      </c>
      <c r="F1119" s="295">
        <v>7.2</v>
      </c>
      <c r="G1119" s="296">
        <v>0</v>
      </c>
      <c r="H1119" s="296">
        <v>1685</v>
      </c>
      <c r="I1119" s="296">
        <v>1257.3</v>
      </c>
      <c r="J1119" s="296">
        <v>1295.0190000000002</v>
      </c>
      <c r="K1119" s="296">
        <v>389.98099999999988</v>
      </c>
      <c r="L1119" s="296">
        <v>0</v>
      </c>
      <c r="M1119" s="296">
        <v>427.70000000000005</v>
      </c>
      <c r="N1119" s="297">
        <v>0.2538278931750742</v>
      </c>
    </row>
    <row r="1120" spans="1:14" ht="18" customHeight="1">
      <c r="A1120" s="293" t="s">
        <v>2722</v>
      </c>
      <c r="B1120" s="294">
        <v>46167</v>
      </c>
      <c r="C1120" s="286" t="s">
        <v>168</v>
      </c>
      <c r="D1120" s="286" t="s">
        <v>97</v>
      </c>
      <c r="E1120" s="295">
        <v>1</v>
      </c>
      <c r="F1120" s="295">
        <v>1</v>
      </c>
      <c r="G1120" s="296">
        <v>0</v>
      </c>
      <c r="H1120" s="296">
        <v>8700</v>
      </c>
      <c r="I1120" s="296">
        <v>0</v>
      </c>
      <c r="J1120" s="296">
        <v>0</v>
      </c>
      <c r="K1120" s="296">
        <v>8700</v>
      </c>
      <c r="L1120" s="296">
        <v>0</v>
      </c>
      <c r="M1120" s="296">
        <v>8700</v>
      </c>
      <c r="N1120" s="297">
        <v>1</v>
      </c>
    </row>
    <row r="1121" spans="1:14" ht="18" customHeight="1">
      <c r="A1121" s="293" t="s">
        <v>2723</v>
      </c>
      <c r="B1121" s="294">
        <v>46167</v>
      </c>
      <c r="C1121" s="286" t="s">
        <v>358</v>
      </c>
      <c r="D1121" s="286" t="s">
        <v>98</v>
      </c>
      <c r="E1121" s="295">
        <v>1</v>
      </c>
      <c r="F1121" s="295">
        <v>1</v>
      </c>
      <c r="G1121" s="296">
        <v>0</v>
      </c>
      <c r="H1121" s="296">
        <v>8700</v>
      </c>
      <c r="I1121" s="296">
        <v>0</v>
      </c>
      <c r="J1121" s="296">
        <v>0</v>
      </c>
      <c r="K1121" s="296">
        <v>8700</v>
      </c>
      <c r="L1121" s="296">
        <v>2610</v>
      </c>
      <c r="M1121" s="296">
        <v>8700</v>
      </c>
      <c r="N1121" s="297">
        <v>1</v>
      </c>
    </row>
    <row r="1122" spans="1:14" ht="18" customHeight="1">
      <c r="A1122" s="293" t="s">
        <v>2724</v>
      </c>
      <c r="B1122" s="294">
        <v>46167</v>
      </c>
      <c r="C1122" s="286" t="s">
        <v>168</v>
      </c>
      <c r="D1122" s="286" t="s">
        <v>99</v>
      </c>
      <c r="E1122" s="295">
        <v>4</v>
      </c>
      <c r="F1122" s="295">
        <v>4</v>
      </c>
      <c r="G1122" s="296">
        <v>0</v>
      </c>
      <c r="H1122" s="296">
        <v>1746</v>
      </c>
      <c r="I1122" s="296">
        <v>890</v>
      </c>
      <c r="J1122" s="296">
        <v>934.5</v>
      </c>
      <c r="K1122" s="296">
        <v>811.5</v>
      </c>
      <c r="L1122" s="296">
        <v>0</v>
      </c>
      <c r="M1122" s="296">
        <v>856</v>
      </c>
      <c r="N1122" s="297">
        <v>0.49026345933562426</v>
      </c>
    </row>
    <row r="1123" spans="1:14" ht="18" customHeight="1">
      <c r="A1123" s="293" t="s">
        <v>2725</v>
      </c>
      <c r="B1123" s="294">
        <v>46168</v>
      </c>
      <c r="C1123" s="286" t="s">
        <v>168</v>
      </c>
      <c r="D1123" s="286" t="s">
        <v>207</v>
      </c>
      <c r="E1123" s="295">
        <v>1</v>
      </c>
      <c r="F1123" s="295">
        <v>1</v>
      </c>
      <c r="G1123" s="296">
        <v>0</v>
      </c>
      <c r="H1123" s="296">
        <v>700</v>
      </c>
      <c r="I1123" s="296">
        <v>420</v>
      </c>
      <c r="J1123" s="296">
        <v>441</v>
      </c>
      <c r="K1123" s="296">
        <v>259</v>
      </c>
      <c r="L1123" s="296">
        <v>0</v>
      </c>
      <c r="M1123" s="296">
        <v>280</v>
      </c>
      <c r="N1123" s="297">
        <v>0.4</v>
      </c>
    </row>
    <row r="1124" spans="1:14" ht="18" customHeight="1">
      <c r="A1124" s="293" t="s">
        <v>2726</v>
      </c>
      <c r="B1124" s="294">
        <v>46168</v>
      </c>
      <c r="C1124" s="286" t="s">
        <v>3773</v>
      </c>
      <c r="D1124" s="286" t="s">
        <v>102</v>
      </c>
      <c r="E1124" s="295">
        <v>1</v>
      </c>
      <c r="F1124" s="295">
        <v>1</v>
      </c>
      <c r="G1124" s="296">
        <v>0</v>
      </c>
      <c r="H1124" s="296">
        <v>300</v>
      </c>
      <c r="I1124" s="296">
        <v>100</v>
      </c>
      <c r="J1124" s="296">
        <v>105</v>
      </c>
      <c r="K1124" s="296">
        <v>195</v>
      </c>
      <c r="L1124" s="296">
        <v>58.5</v>
      </c>
      <c r="M1124" s="296">
        <v>200</v>
      </c>
      <c r="N1124" s="297">
        <v>0.66666666666666663</v>
      </c>
    </row>
    <row r="1125" spans="1:14" ht="18" customHeight="1">
      <c r="A1125" s="293" t="s">
        <v>2727</v>
      </c>
      <c r="B1125" s="294">
        <v>46168</v>
      </c>
      <c r="C1125" s="286" t="s">
        <v>168</v>
      </c>
      <c r="D1125" s="286" t="s">
        <v>136</v>
      </c>
      <c r="E1125" s="295">
        <v>4</v>
      </c>
      <c r="F1125" s="295">
        <v>9</v>
      </c>
      <c r="G1125" s="296">
        <v>0</v>
      </c>
      <c r="H1125" s="296">
        <v>7126</v>
      </c>
      <c r="I1125" s="296">
        <v>4542.72</v>
      </c>
      <c r="J1125" s="296">
        <v>4679.0016000000005</v>
      </c>
      <c r="K1125" s="296">
        <v>2446.9983999999999</v>
      </c>
      <c r="L1125" s="296">
        <v>0</v>
      </c>
      <c r="M1125" s="296">
        <v>2583.2799999999997</v>
      </c>
      <c r="N1125" s="297">
        <v>0.36251473477406676</v>
      </c>
    </row>
    <row r="1126" spans="1:14" ht="18" customHeight="1">
      <c r="A1126" s="293" t="s">
        <v>2728</v>
      </c>
      <c r="B1126" s="294">
        <v>46168</v>
      </c>
      <c r="C1126" s="286" t="s">
        <v>168</v>
      </c>
      <c r="D1126" s="286" t="s">
        <v>112</v>
      </c>
      <c r="E1126" s="295">
        <v>4</v>
      </c>
      <c r="F1126" s="295">
        <v>14</v>
      </c>
      <c r="G1126" s="296">
        <v>0</v>
      </c>
      <c r="H1126" s="296">
        <v>1235</v>
      </c>
      <c r="I1126" s="296">
        <v>817</v>
      </c>
      <c r="J1126" s="296">
        <v>842.35000000000014</v>
      </c>
      <c r="K1126" s="296">
        <v>392.64999999999992</v>
      </c>
      <c r="L1126" s="296">
        <v>0</v>
      </c>
      <c r="M1126" s="296">
        <v>418</v>
      </c>
      <c r="N1126" s="297">
        <v>0.33846153846153848</v>
      </c>
    </row>
    <row r="1127" spans="1:14" ht="18" customHeight="1">
      <c r="A1127" s="293" t="s">
        <v>2729</v>
      </c>
      <c r="B1127" s="294">
        <v>46168</v>
      </c>
      <c r="C1127" s="286" t="s">
        <v>353</v>
      </c>
      <c r="D1127" s="286" t="s">
        <v>108</v>
      </c>
      <c r="E1127" s="295">
        <v>3</v>
      </c>
      <c r="F1127" s="295">
        <v>4</v>
      </c>
      <c r="G1127" s="296">
        <v>0</v>
      </c>
      <c r="H1127" s="296">
        <v>4370</v>
      </c>
      <c r="I1127" s="296">
        <v>2860</v>
      </c>
      <c r="J1127" s="296">
        <v>3003</v>
      </c>
      <c r="K1127" s="296">
        <v>1367</v>
      </c>
      <c r="L1127" s="296">
        <v>410.1</v>
      </c>
      <c r="M1127" s="296">
        <v>1510</v>
      </c>
      <c r="N1127" s="297">
        <v>0.34553775743707094</v>
      </c>
    </row>
    <row r="1128" spans="1:14" ht="18" customHeight="1">
      <c r="A1128" s="293" t="s">
        <v>2730</v>
      </c>
      <c r="B1128" s="294">
        <v>46168</v>
      </c>
      <c r="C1128" s="286" t="s">
        <v>3773</v>
      </c>
      <c r="D1128" s="286" t="s">
        <v>116</v>
      </c>
      <c r="E1128" s="295">
        <v>2</v>
      </c>
      <c r="F1128" s="295">
        <v>2</v>
      </c>
      <c r="G1128" s="296">
        <v>0</v>
      </c>
      <c r="H1128" s="296">
        <v>2350</v>
      </c>
      <c r="I1128" s="296">
        <v>1410</v>
      </c>
      <c r="J1128" s="296">
        <v>1480.5</v>
      </c>
      <c r="K1128" s="296">
        <v>869.5</v>
      </c>
      <c r="L1128" s="296">
        <v>260.85000000000002</v>
      </c>
      <c r="M1128" s="296">
        <v>940</v>
      </c>
      <c r="N1128" s="297">
        <v>0.4</v>
      </c>
    </row>
    <row r="1129" spans="1:14" ht="18" customHeight="1">
      <c r="A1129" s="293" t="s">
        <v>2731</v>
      </c>
      <c r="B1129" s="294">
        <v>46168</v>
      </c>
      <c r="C1129" s="286" t="s">
        <v>168</v>
      </c>
      <c r="D1129" s="286" t="s">
        <v>96</v>
      </c>
      <c r="E1129" s="295">
        <v>6</v>
      </c>
      <c r="F1129" s="295">
        <v>7</v>
      </c>
      <c r="G1129" s="296">
        <v>0</v>
      </c>
      <c r="H1129" s="296">
        <v>3720</v>
      </c>
      <c r="I1129" s="296">
        <v>2112</v>
      </c>
      <c r="J1129" s="296">
        <v>2211</v>
      </c>
      <c r="K1129" s="296">
        <v>1509</v>
      </c>
      <c r="L1129" s="296">
        <v>0</v>
      </c>
      <c r="M1129" s="296">
        <v>1608</v>
      </c>
      <c r="N1129" s="297">
        <v>0.43225806451612903</v>
      </c>
    </row>
    <row r="1130" spans="1:14" ht="18" customHeight="1">
      <c r="A1130" s="293" t="s">
        <v>2732</v>
      </c>
      <c r="B1130" s="294">
        <v>46168</v>
      </c>
      <c r="C1130" s="286" t="s">
        <v>168</v>
      </c>
      <c r="D1130" s="286" t="s">
        <v>115</v>
      </c>
      <c r="E1130" s="295">
        <v>8</v>
      </c>
      <c r="F1130" s="295">
        <v>14</v>
      </c>
      <c r="G1130" s="296">
        <v>0</v>
      </c>
      <c r="H1130" s="296">
        <v>3090</v>
      </c>
      <c r="I1130" s="296">
        <v>1874</v>
      </c>
      <c r="J1130" s="296">
        <v>1967.6999999999998</v>
      </c>
      <c r="K1130" s="296">
        <v>1122.3000000000002</v>
      </c>
      <c r="L1130" s="296">
        <v>0</v>
      </c>
      <c r="M1130" s="296">
        <v>1216</v>
      </c>
      <c r="N1130" s="297">
        <v>0.39352750809061487</v>
      </c>
    </row>
    <row r="1131" spans="1:14" ht="18" customHeight="1">
      <c r="A1131" s="293" t="s">
        <v>2733</v>
      </c>
      <c r="B1131" s="294">
        <v>46168</v>
      </c>
      <c r="C1131" s="286" t="s">
        <v>168</v>
      </c>
      <c r="D1131" s="286" t="s">
        <v>124</v>
      </c>
      <c r="E1131" s="295">
        <v>1</v>
      </c>
      <c r="F1131" s="295">
        <v>2</v>
      </c>
      <c r="G1131" s="296">
        <v>0</v>
      </c>
      <c r="H1131" s="296">
        <v>1300</v>
      </c>
      <c r="I1131" s="296">
        <v>900</v>
      </c>
      <c r="J1131" s="296">
        <v>945</v>
      </c>
      <c r="K1131" s="296">
        <v>355</v>
      </c>
      <c r="L1131" s="296">
        <v>0</v>
      </c>
      <c r="M1131" s="296">
        <v>400</v>
      </c>
      <c r="N1131" s="297">
        <v>0.30769230769230771</v>
      </c>
    </row>
    <row r="1132" spans="1:14" ht="18" customHeight="1">
      <c r="A1132" s="293" t="s">
        <v>2734</v>
      </c>
      <c r="B1132" s="294">
        <v>46168</v>
      </c>
      <c r="C1132" s="286" t="s">
        <v>358</v>
      </c>
      <c r="D1132" s="286" t="s">
        <v>98</v>
      </c>
      <c r="E1132" s="295">
        <v>2</v>
      </c>
      <c r="F1132" s="295">
        <v>7</v>
      </c>
      <c r="G1132" s="296">
        <v>0</v>
      </c>
      <c r="H1132" s="296">
        <v>1500</v>
      </c>
      <c r="I1132" s="296">
        <v>685</v>
      </c>
      <c r="J1132" s="296">
        <v>719.25</v>
      </c>
      <c r="K1132" s="296">
        <v>780.75</v>
      </c>
      <c r="L1132" s="296">
        <v>234.22499999999999</v>
      </c>
      <c r="M1132" s="296">
        <v>815</v>
      </c>
      <c r="N1132" s="297">
        <v>0.54333333333333333</v>
      </c>
    </row>
    <row r="1133" spans="1:14" ht="18" customHeight="1">
      <c r="A1133" s="293" t="s">
        <v>2735</v>
      </c>
      <c r="B1133" s="294">
        <v>46168</v>
      </c>
      <c r="C1133" s="286" t="s">
        <v>168</v>
      </c>
      <c r="D1133" s="286" t="s">
        <v>99</v>
      </c>
      <c r="E1133" s="295">
        <v>12</v>
      </c>
      <c r="F1133" s="295">
        <v>29</v>
      </c>
      <c r="G1133" s="296">
        <v>0</v>
      </c>
      <c r="H1133" s="296">
        <v>1760</v>
      </c>
      <c r="I1133" s="296">
        <v>883.2</v>
      </c>
      <c r="J1133" s="296">
        <v>921.79800000000012</v>
      </c>
      <c r="K1133" s="296">
        <v>838.20199999999988</v>
      </c>
      <c r="L1133" s="296">
        <v>0</v>
      </c>
      <c r="M1133" s="296">
        <v>876.8</v>
      </c>
      <c r="N1133" s="297">
        <v>0.49818181818181817</v>
      </c>
    </row>
    <row r="1134" spans="1:14" ht="18" customHeight="1">
      <c r="A1134" s="293" t="s">
        <v>2736</v>
      </c>
      <c r="B1134" s="294">
        <v>46169</v>
      </c>
      <c r="C1134" s="286" t="s">
        <v>3773</v>
      </c>
      <c r="D1134" s="286" t="s">
        <v>102</v>
      </c>
      <c r="E1134" s="295">
        <v>2</v>
      </c>
      <c r="F1134" s="295">
        <v>2</v>
      </c>
      <c r="G1134" s="296">
        <v>0</v>
      </c>
      <c r="H1134" s="296">
        <v>850</v>
      </c>
      <c r="I1134" s="296">
        <v>350</v>
      </c>
      <c r="J1134" s="296">
        <v>367.5</v>
      </c>
      <c r="K1134" s="296">
        <v>482.5</v>
      </c>
      <c r="L1134" s="296">
        <v>144.75</v>
      </c>
      <c r="M1134" s="296">
        <v>500</v>
      </c>
      <c r="N1134" s="297">
        <v>0.58823529411764708</v>
      </c>
    </row>
    <row r="1135" spans="1:14" ht="18" customHeight="1">
      <c r="A1135" s="293" t="s">
        <v>2737</v>
      </c>
      <c r="B1135" s="294">
        <v>46169</v>
      </c>
      <c r="C1135" s="286" t="s">
        <v>168</v>
      </c>
      <c r="D1135" s="286" t="s">
        <v>113</v>
      </c>
      <c r="E1135" s="295">
        <v>3</v>
      </c>
      <c r="F1135" s="295">
        <v>3</v>
      </c>
      <c r="G1135" s="296">
        <v>0</v>
      </c>
      <c r="H1135" s="296">
        <v>3000</v>
      </c>
      <c r="I1135" s="296">
        <v>1340</v>
      </c>
      <c r="J1135" s="296">
        <v>1407</v>
      </c>
      <c r="K1135" s="296">
        <v>1593</v>
      </c>
      <c r="L1135" s="296">
        <v>0</v>
      </c>
      <c r="M1135" s="296">
        <v>1660</v>
      </c>
      <c r="N1135" s="297">
        <v>0.55333333333333334</v>
      </c>
    </row>
    <row r="1136" spans="1:14" ht="18" customHeight="1">
      <c r="A1136" s="293" t="s">
        <v>2738</v>
      </c>
      <c r="B1136" s="294">
        <v>46169</v>
      </c>
      <c r="C1136" s="286" t="s">
        <v>354</v>
      </c>
      <c r="D1136" s="286" t="s">
        <v>109</v>
      </c>
      <c r="E1136" s="295">
        <v>2</v>
      </c>
      <c r="F1136" s="295">
        <v>2</v>
      </c>
      <c r="G1136" s="296">
        <v>0</v>
      </c>
      <c r="H1136" s="296">
        <v>3571</v>
      </c>
      <c r="I1136" s="296">
        <v>2650</v>
      </c>
      <c r="J1136" s="296">
        <v>2782.5</v>
      </c>
      <c r="K1136" s="296">
        <v>788.5</v>
      </c>
      <c r="L1136" s="296">
        <v>236.54999999999998</v>
      </c>
      <c r="M1136" s="296">
        <v>921</v>
      </c>
      <c r="N1136" s="297">
        <v>0.25791094931391767</v>
      </c>
    </row>
    <row r="1137" spans="1:14" ht="18" customHeight="1">
      <c r="A1137" s="293" t="s">
        <v>2739</v>
      </c>
      <c r="B1137" s="294">
        <v>46169</v>
      </c>
      <c r="C1137" s="286" t="s">
        <v>353</v>
      </c>
      <c r="D1137" s="286" t="s">
        <v>103</v>
      </c>
      <c r="E1137" s="295">
        <v>4</v>
      </c>
      <c r="F1137" s="295">
        <v>4</v>
      </c>
      <c r="G1137" s="296">
        <v>0</v>
      </c>
      <c r="H1137" s="296">
        <v>7775</v>
      </c>
      <c r="I1137" s="296">
        <v>4425</v>
      </c>
      <c r="J1137" s="296">
        <v>4646.25</v>
      </c>
      <c r="K1137" s="296">
        <v>3128.75</v>
      </c>
      <c r="L1137" s="296">
        <v>938.625</v>
      </c>
      <c r="M1137" s="296">
        <v>3350</v>
      </c>
      <c r="N1137" s="297">
        <v>0.43086816720257237</v>
      </c>
    </row>
    <row r="1138" spans="1:14" ht="18" customHeight="1">
      <c r="A1138" s="293" t="s">
        <v>2740</v>
      </c>
      <c r="B1138" s="294">
        <v>46169</v>
      </c>
      <c r="C1138" s="286" t="s">
        <v>359</v>
      </c>
      <c r="D1138" s="286" t="s">
        <v>114</v>
      </c>
      <c r="E1138" s="295">
        <v>1</v>
      </c>
      <c r="F1138" s="295">
        <v>1</v>
      </c>
      <c r="G1138" s="296">
        <v>0</v>
      </c>
      <c r="H1138" s="296">
        <v>1875</v>
      </c>
      <c r="I1138" s="296">
        <v>1075</v>
      </c>
      <c r="J1138" s="296">
        <v>1128.75</v>
      </c>
      <c r="K1138" s="296">
        <v>746.25</v>
      </c>
      <c r="L1138" s="296">
        <v>223.875</v>
      </c>
      <c r="M1138" s="296">
        <v>800</v>
      </c>
      <c r="N1138" s="297">
        <v>0.42666666666666669</v>
      </c>
    </row>
    <row r="1139" spans="1:14" ht="18" customHeight="1">
      <c r="A1139" s="293" t="s">
        <v>2741</v>
      </c>
      <c r="B1139" s="294">
        <v>46169</v>
      </c>
      <c r="C1139" s="286" t="s">
        <v>168</v>
      </c>
      <c r="D1139" s="286" t="s">
        <v>96</v>
      </c>
      <c r="E1139" s="295">
        <v>2</v>
      </c>
      <c r="F1139" s="295">
        <v>2</v>
      </c>
      <c r="G1139" s="296">
        <v>0</v>
      </c>
      <c r="H1139" s="296">
        <v>4000</v>
      </c>
      <c r="I1139" s="296">
        <v>2130</v>
      </c>
      <c r="J1139" s="296">
        <v>2236.5</v>
      </c>
      <c r="K1139" s="296">
        <v>1763.5</v>
      </c>
      <c r="L1139" s="296">
        <v>0</v>
      </c>
      <c r="M1139" s="296">
        <v>1870</v>
      </c>
      <c r="N1139" s="297">
        <v>0.46750000000000003</v>
      </c>
    </row>
    <row r="1140" spans="1:14" ht="18" customHeight="1">
      <c r="A1140" s="293" t="s">
        <v>2742</v>
      </c>
      <c r="B1140" s="294">
        <v>46169</v>
      </c>
      <c r="C1140" s="286" t="s">
        <v>168</v>
      </c>
      <c r="D1140" s="286" t="s">
        <v>115</v>
      </c>
      <c r="E1140" s="295">
        <v>2</v>
      </c>
      <c r="F1140" s="295">
        <v>2</v>
      </c>
      <c r="G1140" s="296">
        <v>0</v>
      </c>
      <c r="H1140" s="296">
        <v>2450</v>
      </c>
      <c r="I1140" s="296">
        <v>1295</v>
      </c>
      <c r="J1140" s="296">
        <v>1359.75</v>
      </c>
      <c r="K1140" s="296">
        <v>1090.25</v>
      </c>
      <c r="L1140" s="296">
        <v>0</v>
      </c>
      <c r="M1140" s="296">
        <v>1155</v>
      </c>
      <c r="N1140" s="297">
        <v>0.47142857142857142</v>
      </c>
    </row>
    <row r="1141" spans="1:14" ht="18" customHeight="1">
      <c r="A1141" s="293" t="s">
        <v>2743</v>
      </c>
      <c r="B1141" s="294">
        <v>46169</v>
      </c>
      <c r="C1141" s="286" t="s">
        <v>168</v>
      </c>
      <c r="D1141" s="286" t="s">
        <v>128</v>
      </c>
      <c r="E1141" s="295">
        <v>1</v>
      </c>
      <c r="F1141" s="295">
        <v>2</v>
      </c>
      <c r="G1141" s="296">
        <v>0</v>
      </c>
      <c r="H1141" s="296">
        <v>1100</v>
      </c>
      <c r="I1141" s="296">
        <v>480</v>
      </c>
      <c r="J1141" s="296">
        <v>504</v>
      </c>
      <c r="K1141" s="296">
        <v>596</v>
      </c>
      <c r="L1141" s="296">
        <v>0</v>
      </c>
      <c r="M1141" s="296">
        <v>620</v>
      </c>
      <c r="N1141" s="297">
        <v>0.5636363636363636</v>
      </c>
    </row>
    <row r="1142" spans="1:14" ht="18" customHeight="1">
      <c r="A1142" s="293" t="s">
        <v>2744</v>
      </c>
      <c r="B1142" s="294">
        <v>46169</v>
      </c>
      <c r="C1142" s="286" t="s">
        <v>168</v>
      </c>
      <c r="D1142" s="286" t="s">
        <v>124</v>
      </c>
      <c r="E1142" s="295">
        <v>2</v>
      </c>
      <c r="F1142" s="295">
        <v>3</v>
      </c>
      <c r="G1142" s="296">
        <v>0</v>
      </c>
      <c r="H1142" s="296">
        <v>790</v>
      </c>
      <c r="I1142" s="296">
        <v>365</v>
      </c>
      <c r="J1142" s="296">
        <v>383.25</v>
      </c>
      <c r="K1142" s="296">
        <v>406.75</v>
      </c>
      <c r="L1142" s="296">
        <v>0</v>
      </c>
      <c r="M1142" s="296">
        <v>425</v>
      </c>
      <c r="N1142" s="297">
        <v>0.53797468354430378</v>
      </c>
    </row>
    <row r="1143" spans="1:14" ht="18" customHeight="1">
      <c r="A1143" s="293" t="s">
        <v>2745</v>
      </c>
      <c r="B1143" s="294">
        <v>46169</v>
      </c>
      <c r="C1143" s="286" t="s">
        <v>168</v>
      </c>
      <c r="D1143" s="286" t="s">
        <v>99</v>
      </c>
      <c r="E1143" s="295">
        <v>2</v>
      </c>
      <c r="F1143" s="295">
        <v>2</v>
      </c>
      <c r="G1143" s="296">
        <v>0</v>
      </c>
      <c r="H1143" s="296">
        <v>9060</v>
      </c>
      <c r="I1143" s="296">
        <v>185</v>
      </c>
      <c r="J1143" s="296">
        <v>190.55</v>
      </c>
      <c r="K1143" s="296">
        <v>8869.4500000000007</v>
      </c>
      <c r="L1143" s="296">
        <v>0</v>
      </c>
      <c r="M1143" s="296">
        <v>8875</v>
      </c>
      <c r="N1143" s="297">
        <v>0.97958057395143483</v>
      </c>
    </row>
    <row r="1144" spans="1:14" ht="18" customHeight="1">
      <c r="A1144" s="293" t="s">
        <v>2746</v>
      </c>
      <c r="B1144" s="294">
        <v>46170</v>
      </c>
      <c r="C1144" s="286" t="s">
        <v>168</v>
      </c>
      <c r="D1144" s="286" t="s">
        <v>196</v>
      </c>
      <c r="E1144" s="295">
        <v>1</v>
      </c>
      <c r="F1144" s="295">
        <v>1</v>
      </c>
      <c r="G1144" s="296">
        <v>0</v>
      </c>
      <c r="H1144" s="296">
        <v>1600</v>
      </c>
      <c r="I1144" s="296">
        <v>1000</v>
      </c>
      <c r="J1144" s="296">
        <v>1050</v>
      </c>
      <c r="K1144" s="296">
        <v>550</v>
      </c>
      <c r="L1144" s="296">
        <v>0</v>
      </c>
      <c r="M1144" s="296">
        <v>600</v>
      </c>
      <c r="N1144" s="297">
        <v>0.375</v>
      </c>
    </row>
    <row r="1145" spans="1:14" ht="18" customHeight="1">
      <c r="A1145" s="293" t="s">
        <v>2747</v>
      </c>
      <c r="B1145" s="294">
        <v>46170</v>
      </c>
      <c r="C1145" s="286" t="s">
        <v>168</v>
      </c>
      <c r="D1145" s="286" t="s">
        <v>215</v>
      </c>
      <c r="E1145" s="295">
        <v>2</v>
      </c>
      <c r="F1145" s="295">
        <v>1.2</v>
      </c>
      <c r="G1145" s="296">
        <v>0</v>
      </c>
      <c r="H1145" s="296">
        <v>1010</v>
      </c>
      <c r="I1145" s="296">
        <v>714.6</v>
      </c>
      <c r="J1145" s="296">
        <v>736.03800000000001</v>
      </c>
      <c r="K1145" s="296">
        <v>273.96199999999993</v>
      </c>
      <c r="L1145" s="296">
        <v>0</v>
      </c>
      <c r="M1145" s="296">
        <v>295.39999999999998</v>
      </c>
      <c r="N1145" s="297">
        <v>0.29247524752475246</v>
      </c>
    </row>
    <row r="1146" spans="1:14" ht="18" customHeight="1">
      <c r="A1146" s="293" t="s">
        <v>2748</v>
      </c>
      <c r="B1146" s="294">
        <v>46170</v>
      </c>
      <c r="C1146" s="286" t="s">
        <v>3773</v>
      </c>
      <c r="D1146" s="286" t="s">
        <v>102</v>
      </c>
      <c r="E1146" s="295">
        <v>1</v>
      </c>
      <c r="F1146" s="295">
        <v>1</v>
      </c>
      <c r="G1146" s="296">
        <v>0</v>
      </c>
      <c r="H1146" s="296">
        <v>1900</v>
      </c>
      <c r="I1146" s="296">
        <v>1200</v>
      </c>
      <c r="J1146" s="296">
        <v>1260</v>
      </c>
      <c r="K1146" s="296">
        <v>640</v>
      </c>
      <c r="L1146" s="296">
        <v>192</v>
      </c>
      <c r="M1146" s="296">
        <v>700</v>
      </c>
      <c r="N1146" s="297">
        <v>0.36842105263157893</v>
      </c>
    </row>
    <row r="1147" spans="1:14" ht="18" customHeight="1">
      <c r="A1147" s="293" t="s">
        <v>2749</v>
      </c>
      <c r="B1147" s="294">
        <v>46170</v>
      </c>
      <c r="C1147" s="286" t="s">
        <v>168</v>
      </c>
      <c r="D1147" s="286" t="s">
        <v>136</v>
      </c>
      <c r="E1147" s="295">
        <v>3</v>
      </c>
      <c r="F1147" s="295">
        <v>11</v>
      </c>
      <c r="G1147" s="296">
        <v>0</v>
      </c>
      <c r="H1147" s="296">
        <v>5650</v>
      </c>
      <c r="I1147" s="296">
        <v>508</v>
      </c>
      <c r="J1147" s="296">
        <v>523.24</v>
      </c>
      <c r="K1147" s="296">
        <v>5126.76</v>
      </c>
      <c r="L1147" s="296">
        <v>0</v>
      </c>
      <c r="M1147" s="296">
        <v>5142</v>
      </c>
      <c r="N1147" s="297">
        <v>0.9100884955752212</v>
      </c>
    </row>
    <row r="1148" spans="1:14" ht="18" customHeight="1">
      <c r="A1148" s="293" t="s">
        <v>2750</v>
      </c>
      <c r="B1148" s="294">
        <v>46170</v>
      </c>
      <c r="C1148" s="286" t="s">
        <v>3773</v>
      </c>
      <c r="D1148" s="286" t="s">
        <v>126</v>
      </c>
      <c r="E1148" s="295">
        <v>1</v>
      </c>
      <c r="F1148" s="295">
        <v>1</v>
      </c>
      <c r="G1148" s="296">
        <v>0</v>
      </c>
      <c r="H1148" s="296">
        <v>2500</v>
      </c>
      <c r="I1148" s="296">
        <v>850</v>
      </c>
      <c r="J1148" s="296">
        <v>892.5</v>
      </c>
      <c r="K1148" s="296">
        <v>1607.5</v>
      </c>
      <c r="L1148" s="296">
        <v>482.25</v>
      </c>
      <c r="M1148" s="296">
        <v>1650</v>
      </c>
      <c r="N1148" s="297">
        <v>0.66</v>
      </c>
    </row>
    <row r="1149" spans="1:14" ht="18" customHeight="1">
      <c r="A1149" s="293" t="s">
        <v>2751</v>
      </c>
      <c r="B1149" s="294">
        <v>46170</v>
      </c>
      <c r="C1149" s="286" t="s">
        <v>354</v>
      </c>
      <c r="D1149" s="286" t="s">
        <v>109</v>
      </c>
      <c r="E1149" s="295">
        <v>1</v>
      </c>
      <c r="F1149" s="295">
        <v>1</v>
      </c>
      <c r="G1149" s="296">
        <v>0</v>
      </c>
      <c r="H1149" s="296">
        <v>1875</v>
      </c>
      <c r="I1149" s="296">
        <v>1450</v>
      </c>
      <c r="J1149" s="296">
        <v>1522.5</v>
      </c>
      <c r="K1149" s="296">
        <v>352.5</v>
      </c>
      <c r="L1149" s="296">
        <v>105.75</v>
      </c>
      <c r="M1149" s="296">
        <v>425</v>
      </c>
      <c r="N1149" s="297">
        <v>0.22666666666666666</v>
      </c>
    </row>
    <row r="1150" spans="1:14" ht="18" customHeight="1">
      <c r="A1150" s="293" t="s">
        <v>2752</v>
      </c>
      <c r="B1150" s="294">
        <v>46170</v>
      </c>
      <c r="C1150" s="286" t="s">
        <v>168</v>
      </c>
      <c r="D1150" s="286" t="s">
        <v>121</v>
      </c>
      <c r="E1150" s="295">
        <v>2</v>
      </c>
      <c r="F1150" s="295">
        <v>2</v>
      </c>
      <c r="G1150" s="296">
        <v>0</v>
      </c>
      <c r="H1150" s="296">
        <v>2350</v>
      </c>
      <c r="I1150" s="296">
        <v>1550</v>
      </c>
      <c r="J1150" s="296">
        <v>1627.5</v>
      </c>
      <c r="K1150" s="296">
        <v>722.5</v>
      </c>
      <c r="L1150" s="296">
        <v>0</v>
      </c>
      <c r="M1150" s="296">
        <v>800</v>
      </c>
      <c r="N1150" s="297">
        <v>0.34042553191489361</v>
      </c>
    </row>
    <row r="1151" spans="1:14" ht="18" customHeight="1">
      <c r="A1151" s="293" t="s">
        <v>2753</v>
      </c>
      <c r="B1151" s="294">
        <v>46170</v>
      </c>
      <c r="C1151" s="286" t="s">
        <v>168</v>
      </c>
      <c r="D1151" s="286" t="s">
        <v>216</v>
      </c>
      <c r="E1151" s="295">
        <v>5</v>
      </c>
      <c r="F1151" s="295">
        <v>75</v>
      </c>
      <c r="G1151" s="296">
        <v>0</v>
      </c>
      <c r="H1151" s="296">
        <v>27320</v>
      </c>
      <c r="I1151" s="296">
        <v>17464</v>
      </c>
      <c r="J1151" s="296">
        <v>17993.519999999997</v>
      </c>
      <c r="K1151" s="296">
        <v>9326.48</v>
      </c>
      <c r="L1151" s="296">
        <v>0</v>
      </c>
      <c r="M1151" s="296">
        <v>9856</v>
      </c>
      <c r="N1151" s="297">
        <v>0.36076134699853585</v>
      </c>
    </row>
    <row r="1152" spans="1:14" ht="18" customHeight="1">
      <c r="A1152" s="293" t="s">
        <v>2754</v>
      </c>
      <c r="B1152" s="294">
        <v>46170</v>
      </c>
      <c r="C1152" s="286" t="s">
        <v>353</v>
      </c>
      <c r="D1152" s="286" t="s">
        <v>94</v>
      </c>
      <c r="E1152" s="295">
        <v>1</v>
      </c>
      <c r="F1152" s="295">
        <v>1</v>
      </c>
      <c r="G1152" s="296">
        <v>0</v>
      </c>
      <c r="H1152" s="296">
        <v>470</v>
      </c>
      <c r="I1152" s="296">
        <v>220</v>
      </c>
      <c r="J1152" s="296">
        <v>231</v>
      </c>
      <c r="K1152" s="296">
        <v>239</v>
      </c>
      <c r="L1152" s="296">
        <v>71.7</v>
      </c>
      <c r="M1152" s="296">
        <v>250</v>
      </c>
      <c r="N1152" s="297">
        <v>0.53191489361702127</v>
      </c>
    </row>
    <row r="1153" spans="1:14" ht="18" customHeight="1">
      <c r="A1153" s="293" t="s">
        <v>2755</v>
      </c>
      <c r="B1153" s="294">
        <v>46170</v>
      </c>
      <c r="C1153" s="286" t="s">
        <v>168</v>
      </c>
      <c r="D1153" s="286" t="s">
        <v>162</v>
      </c>
      <c r="E1153" s="295">
        <v>2</v>
      </c>
      <c r="F1153" s="295">
        <v>4</v>
      </c>
      <c r="G1153" s="296">
        <v>0</v>
      </c>
      <c r="H1153" s="296">
        <v>860</v>
      </c>
      <c r="I1153" s="296">
        <v>570</v>
      </c>
      <c r="J1153" s="296">
        <v>587.1</v>
      </c>
      <c r="K1153" s="296">
        <v>272.89999999999998</v>
      </c>
      <c r="L1153" s="296">
        <v>0</v>
      </c>
      <c r="M1153" s="296">
        <v>290</v>
      </c>
      <c r="N1153" s="297">
        <v>0.33720930232558138</v>
      </c>
    </row>
    <row r="1154" spans="1:14" ht="18" customHeight="1">
      <c r="A1154" s="293" t="s">
        <v>2756</v>
      </c>
      <c r="B1154" s="294">
        <v>46170</v>
      </c>
      <c r="C1154" s="286" t="s">
        <v>168</v>
      </c>
      <c r="D1154" s="286" t="s">
        <v>142</v>
      </c>
      <c r="E1154" s="295">
        <v>1</v>
      </c>
      <c r="F1154" s="295">
        <v>1</v>
      </c>
      <c r="G1154" s="296">
        <v>0</v>
      </c>
      <c r="H1154" s="296">
        <v>2000</v>
      </c>
      <c r="I1154" s="296">
        <v>1300</v>
      </c>
      <c r="J1154" s="296">
        <v>1365</v>
      </c>
      <c r="K1154" s="296">
        <v>635</v>
      </c>
      <c r="L1154" s="296">
        <v>0</v>
      </c>
      <c r="M1154" s="296">
        <v>700</v>
      </c>
      <c r="N1154" s="297">
        <v>0.35</v>
      </c>
    </row>
    <row r="1155" spans="1:14" ht="18" customHeight="1">
      <c r="A1155" s="293" t="s">
        <v>2757</v>
      </c>
      <c r="B1155" s="294">
        <v>46170</v>
      </c>
      <c r="C1155" s="286" t="s">
        <v>168</v>
      </c>
      <c r="D1155" s="286" t="s">
        <v>186</v>
      </c>
      <c r="E1155" s="295">
        <v>7</v>
      </c>
      <c r="F1155" s="295">
        <v>32</v>
      </c>
      <c r="G1155" s="296">
        <v>0</v>
      </c>
      <c r="H1155" s="296">
        <v>2120</v>
      </c>
      <c r="I1155" s="296">
        <v>1237.5</v>
      </c>
      <c r="J1155" s="296">
        <v>1274.625</v>
      </c>
      <c r="K1155" s="296">
        <v>845.37499999999989</v>
      </c>
      <c r="L1155" s="296">
        <v>0</v>
      </c>
      <c r="M1155" s="296">
        <v>882.5</v>
      </c>
      <c r="N1155" s="297">
        <v>0.41627358490566035</v>
      </c>
    </row>
    <row r="1156" spans="1:14" ht="18" customHeight="1">
      <c r="A1156" s="293" t="s">
        <v>2758</v>
      </c>
      <c r="B1156" s="294">
        <v>46170</v>
      </c>
      <c r="C1156" s="286" t="s">
        <v>168</v>
      </c>
      <c r="D1156" s="286" t="s">
        <v>105</v>
      </c>
      <c r="E1156" s="295">
        <v>1</v>
      </c>
      <c r="F1156" s="295">
        <v>1</v>
      </c>
      <c r="G1156" s="296">
        <v>0</v>
      </c>
      <c r="H1156" s="296">
        <v>1600</v>
      </c>
      <c r="I1156" s="296">
        <v>1000</v>
      </c>
      <c r="J1156" s="296">
        <v>1050</v>
      </c>
      <c r="K1156" s="296">
        <v>550</v>
      </c>
      <c r="L1156" s="296">
        <v>0</v>
      </c>
      <c r="M1156" s="296">
        <v>600</v>
      </c>
      <c r="N1156" s="297">
        <v>0.375</v>
      </c>
    </row>
    <row r="1157" spans="1:14" ht="18" customHeight="1">
      <c r="A1157" s="293" t="s">
        <v>2759</v>
      </c>
      <c r="B1157" s="294">
        <v>46170</v>
      </c>
      <c r="C1157" s="286" t="s">
        <v>168</v>
      </c>
      <c r="D1157" s="286" t="s">
        <v>128</v>
      </c>
      <c r="E1157" s="295">
        <v>2</v>
      </c>
      <c r="F1157" s="295">
        <v>3</v>
      </c>
      <c r="G1157" s="296">
        <v>0</v>
      </c>
      <c r="H1157" s="296">
        <v>1950</v>
      </c>
      <c r="I1157" s="296">
        <v>1350</v>
      </c>
      <c r="J1157" s="296">
        <v>1417.5</v>
      </c>
      <c r="K1157" s="296">
        <v>532.5</v>
      </c>
      <c r="L1157" s="296">
        <v>0</v>
      </c>
      <c r="M1157" s="296">
        <v>600</v>
      </c>
      <c r="N1157" s="297">
        <v>0.30769230769230771</v>
      </c>
    </row>
    <row r="1158" spans="1:14" ht="18" customHeight="1">
      <c r="A1158" s="293" t="s">
        <v>2760</v>
      </c>
      <c r="B1158" s="294">
        <v>46170</v>
      </c>
      <c r="C1158" s="286" t="s">
        <v>168</v>
      </c>
      <c r="D1158" s="286" t="s">
        <v>132</v>
      </c>
      <c r="E1158" s="295">
        <v>5</v>
      </c>
      <c r="F1158" s="295">
        <v>17</v>
      </c>
      <c r="G1158" s="296">
        <v>0</v>
      </c>
      <c r="H1158" s="296">
        <v>4137</v>
      </c>
      <c r="I1158" s="296">
        <v>3550.25</v>
      </c>
      <c r="J1158" s="296">
        <v>3656.7575000000002</v>
      </c>
      <c r="K1158" s="296">
        <v>480.24249999999995</v>
      </c>
      <c r="L1158" s="296">
        <v>0</v>
      </c>
      <c r="M1158" s="296">
        <v>586.75</v>
      </c>
      <c r="N1158" s="297">
        <v>0.14182982837805172</v>
      </c>
    </row>
    <row r="1159" spans="1:14" ht="18" customHeight="1">
      <c r="A1159" s="293" t="s">
        <v>2761</v>
      </c>
      <c r="B1159" s="294">
        <v>46170</v>
      </c>
      <c r="C1159" s="286" t="s">
        <v>168</v>
      </c>
      <c r="D1159" s="286" t="s">
        <v>217</v>
      </c>
      <c r="E1159" s="295">
        <v>8</v>
      </c>
      <c r="F1159" s="295">
        <v>16.399999999999999</v>
      </c>
      <c r="G1159" s="296">
        <v>0</v>
      </c>
      <c r="H1159" s="296">
        <v>3980</v>
      </c>
      <c r="I1159" s="296">
        <v>1836.2</v>
      </c>
      <c r="J1159" s="296">
        <v>1908.1860000000001</v>
      </c>
      <c r="K1159" s="296">
        <v>2071.8139999999999</v>
      </c>
      <c r="L1159" s="296">
        <v>0</v>
      </c>
      <c r="M1159" s="296">
        <v>2143.8000000000002</v>
      </c>
      <c r="N1159" s="297">
        <v>0.53864321608040211</v>
      </c>
    </row>
    <row r="1160" spans="1:14" ht="18" customHeight="1">
      <c r="A1160" s="293" t="s">
        <v>2762</v>
      </c>
      <c r="B1160" s="294">
        <v>46170</v>
      </c>
      <c r="C1160" s="286" t="s">
        <v>358</v>
      </c>
      <c r="D1160" s="286" t="s">
        <v>98</v>
      </c>
      <c r="E1160" s="295">
        <v>1</v>
      </c>
      <c r="F1160" s="295">
        <v>1</v>
      </c>
      <c r="G1160" s="296">
        <v>0</v>
      </c>
      <c r="H1160" s="296">
        <v>8700</v>
      </c>
      <c r="I1160" s="296">
        <v>0</v>
      </c>
      <c r="J1160" s="296">
        <v>0</v>
      </c>
      <c r="K1160" s="296">
        <v>8700</v>
      </c>
      <c r="L1160" s="296">
        <v>2610</v>
      </c>
      <c r="M1160" s="296">
        <v>8700</v>
      </c>
      <c r="N1160" s="297">
        <v>1</v>
      </c>
    </row>
    <row r="1161" spans="1:14" ht="18" customHeight="1">
      <c r="A1161" s="293" t="s">
        <v>2763</v>
      </c>
      <c r="B1161" s="294">
        <v>46170</v>
      </c>
      <c r="C1161" s="286" t="s">
        <v>168</v>
      </c>
      <c r="D1161" s="286" t="s">
        <v>99</v>
      </c>
      <c r="E1161" s="295">
        <v>10</v>
      </c>
      <c r="F1161" s="295">
        <v>27</v>
      </c>
      <c r="G1161" s="296">
        <v>0</v>
      </c>
      <c r="H1161" s="296">
        <v>4773</v>
      </c>
      <c r="I1161" s="296">
        <v>3719</v>
      </c>
      <c r="J1161" s="296">
        <v>3841.4300000000003</v>
      </c>
      <c r="K1161" s="296">
        <v>931.57</v>
      </c>
      <c r="L1161" s="296">
        <v>0</v>
      </c>
      <c r="M1161" s="296">
        <v>1054</v>
      </c>
      <c r="N1161" s="297">
        <v>0.22082547663943014</v>
      </c>
    </row>
    <row r="1162" spans="1:14" ht="18" customHeight="1">
      <c r="A1162" s="293" t="s">
        <v>2764</v>
      </c>
      <c r="B1162" s="294">
        <v>46171</v>
      </c>
      <c r="C1162" s="286" t="s">
        <v>3773</v>
      </c>
      <c r="D1162" s="286" t="s">
        <v>100</v>
      </c>
      <c r="E1162" s="295">
        <v>1</v>
      </c>
      <c r="F1162" s="295">
        <v>1</v>
      </c>
      <c r="G1162" s="296">
        <v>0</v>
      </c>
      <c r="H1162" s="296">
        <v>260</v>
      </c>
      <c r="I1162" s="296">
        <v>125</v>
      </c>
      <c r="J1162" s="296">
        <v>128.75</v>
      </c>
      <c r="K1162" s="296">
        <v>131.25</v>
      </c>
      <c r="L1162" s="296">
        <v>39.375</v>
      </c>
      <c r="M1162" s="296">
        <v>135</v>
      </c>
      <c r="N1162" s="297">
        <v>0.51923076923076927</v>
      </c>
    </row>
    <row r="1163" spans="1:14" ht="18" customHeight="1">
      <c r="A1163" s="293" t="s">
        <v>2765</v>
      </c>
      <c r="B1163" s="294">
        <v>46171</v>
      </c>
      <c r="C1163" s="286" t="s">
        <v>168</v>
      </c>
      <c r="D1163" s="286" t="s">
        <v>155</v>
      </c>
      <c r="E1163" s="295">
        <v>8</v>
      </c>
      <c r="F1163" s="295">
        <v>41</v>
      </c>
      <c r="G1163" s="296">
        <v>0</v>
      </c>
      <c r="H1163" s="296">
        <v>19810</v>
      </c>
      <c r="I1163" s="296">
        <v>7376</v>
      </c>
      <c r="J1163" s="296">
        <v>7601.4800000000005</v>
      </c>
      <c r="K1163" s="296">
        <v>12208.519999999999</v>
      </c>
      <c r="L1163" s="296">
        <v>0</v>
      </c>
      <c r="M1163" s="296">
        <v>12434</v>
      </c>
      <c r="N1163" s="297">
        <v>0.62766279656739021</v>
      </c>
    </row>
    <row r="1164" spans="1:14" ht="18" customHeight="1">
      <c r="A1164" s="293" t="s">
        <v>2766</v>
      </c>
      <c r="B1164" s="294">
        <v>46171</v>
      </c>
      <c r="C1164" s="286" t="s">
        <v>168</v>
      </c>
      <c r="D1164" s="286" t="s">
        <v>120</v>
      </c>
      <c r="E1164" s="295">
        <v>2</v>
      </c>
      <c r="F1164" s="295">
        <v>4</v>
      </c>
      <c r="G1164" s="296">
        <v>0</v>
      </c>
      <c r="H1164" s="296">
        <v>1150</v>
      </c>
      <c r="I1164" s="296">
        <v>460</v>
      </c>
      <c r="J1164" s="296">
        <v>483</v>
      </c>
      <c r="K1164" s="296">
        <v>667</v>
      </c>
      <c r="L1164" s="296">
        <v>0</v>
      </c>
      <c r="M1164" s="296">
        <v>690</v>
      </c>
      <c r="N1164" s="297">
        <v>0.6</v>
      </c>
    </row>
    <row r="1165" spans="1:14" ht="18" customHeight="1">
      <c r="A1165" s="293" t="s">
        <v>2767</v>
      </c>
      <c r="B1165" s="294">
        <v>46171</v>
      </c>
      <c r="C1165" s="286" t="s">
        <v>168</v>
      </c>
      <c r="D1165" s="286" t="s">
        <v>112</v>
      </c>
      <c r="E1165" s="295">
        <v>5</v>
      </c>
      <c r="F1165" s="295">
        <v>9</v>
      </c>
      <c r="G1165" s="296">
        <v>0</v>
      </c>
      <c r="H1165" s="296">
        <v>6720</v>
      </c>
      <c r="I1165" s="296">
        <v>4171</v>
      </c>
      <c r="J1165" s="296">
        <v>4296.1299999999992</v>
      </c>
      <c r="K1165" s="296">
        <v>2423.87</v>
      </c>
      <c r="L1165" s="296">
        <v>0</v>
      </c>
      <c r="M1165" s="296">
        <v>2549</v>
      </c>
      <c r="N1165" s="297">
        <v>0.37931547619047618</v>
      </c>
    </row>
    <row r="1166" spans="1:14" ht="18" customHeight="1">
      <c r="A1166" s="293" t="s">
        <v>2768</v>
      </c>
      <c r="B1166" s="294">
        <v>46171</v>
      </c>
      <c r="C1166" s="286" t="s">
        <v>168</v>
      </c>
      <c r="D1166" s="286" t="s">
        <v>92</v>
      </c>
      <c r="E1166" s="295">
        <v>1</v>
      </c>
      <c r="F1166" s="295">
        <v>1</v>
      </c>
      <c r="G1166" s="296">
        <v>0</v>
      </c>
      <c r="H1166" s="296">
        <v>2000</v>
      </c>
      <c r="I1166" s="296">
        <v>1300</v>
      </c>
      <c r="J1166" s="296">
        <v>1365</v>
      </c>
      <c r="K1166" s="296">
        <v>635</v>
      </c>
      <c r="L1166" s="296">
        <v>0</v>
      </c>
      <c r="M1166" s="296">
        <v>700</v>
      </c>
      <c r="N1166" s="297">
        <v>0.35</v>
      </c>
    </row>
    <row r="1167" spans="1:14" ht="18" customHeight="1">
      <c r="A1167" s="293" t="s">
        <v>2769</v>
      </c>
      <c r="B1167" s="294">
        <v>46171</v>
      </c>
      <c r="C1167" s="286" t="s">
        <v>168</v>
      </c>
      <c r="D1167" s="286" t="s">
        <v>110</v>
      </c>
      <c r="E1167" s="295">
        <v>5</v>
      </c>
      <c r="F1167" s="295">
        <v>16</v>
      </c>
      <c r="G1167" s="296">
        <v>0</v>
      </c>
      <c r="H1167" s="296">
        <v>1878</v>
      </c>
      <c r="I1167" s="296">
        <v>1197.25</v>
      </c>
      <c r="J1167" s="296">
        <v>1253.0124999999998</v>
      </c>
      <c r="K1167" s="296">
        <v>624.98750000000007</v>
      </c>
      <c r="L1167" s="296">
        <v>0</v>
      </c>
      <c r="M1167" s="296">
        <v>680.75</v>
      </c>
      <c r="N1167" s="297">
        <v>0.36248668796592121</v>
      </c>
    </row>
    <row r="1168" spans="1:14" ht="18" customHeight="1">
      <c r="A1168" s="293" t="s">
        <v>2770</v>
      </c>
      <c r="B1168" s="294">
        <v>46171</v>
      </c>
      <c r="C1168" s="286" t="s">
        <v>168</v>
      </c>
      <c r="D1168" s="286" t="s">
        <v>105</v>
      </c>
      <c r="E1168" s="295">
        <v>6</v>
      </c>
      <c r="F1168" s="295">
        <v>8</v>
      </c>
      <c r="G1168" s="296">
        <v>0</v>
      </c>
      <c r="H1168" s="296">
        <v>7590</v>
      </c>
      <c r="I1168" s="296">
        <v>4805</v>
      </c>
      <c r="J1168" s="296">
        <v>5045.25</v>
      </c>
      <c r="K1168" s="296">
        <v>2544.75</v>
      </c>
      <c r="L1168" s="296">
        <v>0</v>
      </c>
      <c r="M1168" s="296">
        <v>2785</v>
      </c>
      <c r="N1168" s="297">
        <v>0.36693017127799737</v>
      </c>
    </row>
    <row r="1169" spans="1:14" ht="18" customHeight="1">
      <c r="A1169" s="293" t="s">
        <v>2771</v>
      </c>
      <c r="B1169" s="294">
        <v>46171</v>
      </c>
      <c r="C1169" s="286" t="s">
        <v>168</v>
      </c>
      <c r="D1169" s="286" t="s">
        <v>115</v>
      </c>
      <c r="E1169" s="295">
        <v>3</v>
      </c>
      <c r="F1169" s="295">
        <v>14</v>
      </c>
      <c r="G1169" s="296">
        <v>0</v>
      </c>
      <c r="H1169" s="296">
        <v>790</v>
      </c>
      <c r="I1169" s="296">
        <v>362</v>
      </c>
      <c r="J1169" s="296">
        <v>380.09999999999997</v>
      </c>
      <c r="K1169" s="296">
        <v>409.90000000000003</v>
      </c>
      <c r="L1169" s="296">
        <v>0</v>
      </c>
      <c r="M1169" s="296">
        <v>428</v>
      </c>
      <c r="N1169" s="297">
        <v>0.54177215189873418</v>
      </c>
    </row>
    <row r="1170" spans="1:14" ht="18" customHeight="1">
      <c r="A1170" s="293" t="s">
        <v>2772</v>
      </c>
      <c r="B1170" s="294">
        <v>46171</v>
      </c>
      <c r="C1170" s="286" t="s">
        <v>168</v>
      </c>
      <c r="D1170" s="286" t="s">
        <v>97</v>
      </c>
      <c r="E1170" s="295">
        <v>1</v>
      </c>
      <c r="F1170" s="295">
        <v>1</v>
      </c>
      <c r="G1170" s="296">
        <v>0</v>
      </c>
      <c r="H1170" s="296">
        <v>500</v>
      </c>
      <c r="I1170" s="296">
        <v>225</v>
      </c>
      <c r="J1170" s="296">
        <v>236.25</v>
      </c>
      <c r="K1170" s="296">
        <v>263.75</v>
      </c>
      <c r="L1170" s="296">
        <v>0</v>
      </c>
      <c r="M1170" s="296">
        <v>275</v>
      </c>
      <c r="N1170" s="297">
        <v>0.55000000000000004</v>
      </c>
    </row>
    <row r="1171" spans="1:14" ht="18" customHeight="1">
      <c r="A1171" s="293" t="s">
        <v>2773</v>
      </c>
      <c r="B1171" s="294">
        <v>46171</v>
      </c>
      <c r="C1171" s="286" t="s">
        <v>168</v>
      </c>
      <c r="D1171" s="286" t="s">
        <v>99</v>
      </c>
      <c r="E1171" s="295">
        <v>1</v>
      </c>
      <c r="F1171" s="295">
        <v>1</v>
      </c>
      <c r="G1171" s="296">
        <v>0</v>
      </c>
      <c r="H1171" s="296">
        <v>470</v>
      </c>
      <c r="I1171" s="296">
        <v>190</v>
      </c>
      <c r="J1171" s="296">
        <v>199.5</v>
      </c>
      <c r="K1171" s="296">
        <v>270.5</v>
      </c>
      <c r="L1171" s="296">
        <v>0</v>
      </c>
      <c r="M1171" s="296">
        <v>280</v>
      </c>
      <c r="N1171" s="297">
        <v>0.5957446808510638</v>
      </c>
    </row>
    <row r="1172" spans="1:14" ht="18" customHeight="1">
      <c r="A1172" s="293" t="s">
        <v>2774</v>
      </c>
      <c r="B1172" s="294">
        <v>46172</v>
      </c>
      <c r="C1172" s="286" t="s">
        <v>168</v>
      </c>
      <c r="D1172" s="286" t="s">
        <v>196</v>
      </c>
      <c r="E1172" s="295">
        <v>3</v>
      </c>
      <c r="F1172" s="295">
        <v>3</v>
      </c>
      <c r="G1172" s="296">
        <v>0</v>
      </c>
      <c r="H1172" s="296">
        <v>1220</v>
      </c>
      <c r="I1172" s="296">
        <v>585</v>
      </c>
      <c r="J1172" s="296">
        <v>614.25</v>
      </c>
      <c r="K1172" s="296">
        <v>605.75</v>
      </c>
      <c r="L1172" s="296">
        <v>0</v>
      </c>
      <c r="M1172" s="296">
        <v>635</v>
      </c>
      <c r="N1172" s="297">
        <v>0.52049180327868849</v>
      </c>
    </row>
    <row r="1173" spans="1:14" ht="18" customHeight="1">
      <c r="A1173" s="293" t="s">
        <v>2775</v>
      </c>
      <c r="B1173" s="294">
        <v>46172</v>
      </c>
      <c r="C1173" s="286" t="s">
        <v>3773</v>
      </c>
      <c r="D1173" s="286" t="s">
        <v>102</v>
      </c>
      <c r="E1173" s="295">
        <v>1</v>
      </c>
      <c r="F1173" s="295">
        <v>1</v>
      </c>
      <c r="G1173" s="296">
        <v>0</v>
      </c>
      <c r="H1173" s="296">
        <v>260</v>
      </c>
      <c r="I1173" s="296">
        <v>130</v>
      </c>
      <c r="J1173" s="296">
        <v>136.5</v>
      </c>
      <c r="K1173" s="296">
        <v>123.5</v>
      </c>
      <c r="L1173" s="296">
        <v>37.049999999999997</v>
      </c>
      <c r="M1173" s="296">
        <v>130</v>
      </c>
      <c r="N1173" s="297">
        <v>0.5</v>
      </c>
    </row>
    <row r="1174" spans="1:14" ht="18" customHeight="1">
      <c r="A1174" s="293" t="s">
        <v>2776</v>
      </c>
      <c r="B1174" s="294">
        <v>46172</v>
      </c>
      <c r="C1174" s="286" t="s">
        <v>168</v>
      </c>
      <c r="D1174" s="286" t="s">
        <v>218</v>
      </c>
      <c r="E1174" s="295">
        <v>1</v>
      </c>
      <c r="F1174" s="295">
        <v>1</v>
      </c>
      <c r="G1174" s="296">
        <v>0</v>
      </c>
      <c r="H1174" s="296">
        <v>3000</v>
      </c>
      <c r="I1174" s="296">
        <v>2100</v>
      </c>
      <c r="J1174" s="296">
        <v>2205</v>
      </c>
      <c r="K1174" s="296">
        <v>795</v>
      </c>
      <c r="L1174" s="296">
        <v>0</v>
      </c>
      <c r="M1174" s="296">
        <v>900</v>
      </c>
      <c r="N1174" s="297">
        <v>0.3</v>
      </c>
    </row>
    <row r="1175" spans="1:14" ht="18" customHeight="1">
      <c r="A1175" s="293" t="s">
        <v>2777</v>
      </c>
      <c r="B1175" s="294">
        <v>46172</v>
      </c>
      <c r="C1175" s="286" t="s">
        <v>168</v>
      </c>
      <c r="D1175" s="286" t="s">
        <v>112</v>
      </c>
      <c r="E1175" s="295">
        <v>1</v>
      </c>
      <c r="F1175" s="295">
        <v>2</v>
      </c>
      <c r="G1175" s="296">
        <v>0</v>
      </c>
      <c r="H1175" s="296">
        <v>250</v>
      </c>
      <c r="I1175" s="296">
        <v>150</v>
      </c>
      <c r="J1175" s="296">
        <v>154.5</v>
      </c>
      <c r="K1175" s="296">
        <v>95.5</v>
      </c>
      <c r="L1175" s="296">
        <v>0</v>
      </c>
      <c r="M1175" s="296">
        <v>100</v>
      </c>
      <c r="N1175" s="297">
        <v>0.4</v>
      </c>
    </row>
    <row r="1176" spans="1:14" ht="18" customHeight="1">
      <c r="A1176" s="293" t="s">
        <v>2778</v>
      </c>
      <c r="B1176" s="294">
        <v>46172</v>
      </c>
      <c r="C1176" s="286" t="s">
        <v>3773</v>
      </c>
      <c r="D1176" s="286" t="s">
        <v>126</v>
      </c>
      <c r="E1176" s="295">
        <v>4</v>
      </c>
      <c r="F1176" s="295">
        <v>5</v>
      </c>
      <c r="G1176" s="296">
        <v>0</v>
      </c>
      <c r="H1176" s="296">
        <v>4300</v>
      </c>
      <c r="I1176" s="296">
        <v>2630</v>
      </c>
      <c r="J1176" s="296">
        <v>2761.5</v>
      </c>
      <c r="K1176" s="296">
        <v>1538.5</v>
      </c>
      <c r="L1176" s="296">
        <v>461.54999999999995</v>
      </c>
      <c r="M1176" s="296">
        <v>1670</v>
      </c>
      <c r="N1176" s="297">
        <v>0.38837209302325582</v>
      </c>
    </row>
    <row r="1177" spans="1:14" ht="18" customHeight="1">
      <c r="A1177" s="293" t="s">
        <v>2779</v>
      </c>
      <c r="B1177" s="294">
        <v>46172</v>
      </c>
      <c r="C1177" s="286" t="s">
        <v>353</v>
      </c>
      <c r="D1177" s="286" t="s">
        <v>108</v>
      </c>
      <c r="E1177" s="295">
        <v>4</v>
      </c>
      <c r="F1177" s="295">
        <v>7</v>
      </c>
      <c r="G1177" s="296">
        <v>0</v>
      </c>
      <c r="H1177" s="296">
        <v>13600</v>
      </c>
      <c r="I1177" s="296">
        <v>2695</v>
      </c>
      <c r="J1177" s="296">
        <v>2829.75</v>
      </c>
      <c r="K1177" s="296">
        <v>10770.25</v>
      </c>
      <c r="L1177" s="296">
        <v>3231.0749999999998</v>
      </c>
      <c r="M1177" s="296">
        <v>10905</v>
      </c>
      <c r="N1177" s="297">
        <v>0.80183823529411768</v>
      </c>
    </row>
    <row r="1178" spans="1:14" ht="18" customHeight="1">
      <c r="A1178" s="293" t="s">
        <v>2780</v>
      </c>
      <c r="B1178" s="294">
        <v>46172</v>
      </c>
      <c r="C1178" s="286" t="s">
        <v>168</v>
      </c>
      <c r="D1178" s="286" t="s">
        <v>92</v>
      </c>
      <c r="E1178" s="295">
        <v>2</v>
      </c>
      <c r="F1178" s="295">
        <v>2</v>
      </c>
      <c r="G1178" s="296">
        <v>0</v>
      </c>
      <c r="H1178" s="296">
        <v>9500</v>
      </c>
      <c r="I1178" s="296">
        <v>320</v>
      </c>
      <c r="J1178" s="296">
        <v>336</v>
      </c>
      <c r="K1178" s="296">
        <v>9164</v>
      </c>
      <c r="L1178" s="296">
        <v>0</v>
      </c>
      <c r="M1178" s="296">
        <v>9180</v>
      </c>
      <c r="N1178" s="297">
        <v>0.96631578947368424</v>
      </c>
    </row>
    <row r="1179" spans="1:14" ht="18" customHeight="1">
      <c r="A1179" s="293" t="s">
        <v>2781</v>
      </c>
      <c r="B1179" s="294">
        <v>46172</v>
      </c>
      <c r="C1179" s="286" t="s">
        <v>354</v>
      </c>
      <c r="D1179" s="286" t="s">
        <v>109</v>
      </c>
      <c r="E1179" s="295">
        <v>1</v>
      </c>
      <c r="F1179" s="295">
        <v>1</v>
      </c>
      <c r="G1179" s="296">
        <v>0</v>
      </c>
      <c r="H1179" s="296">
        <v>650</v>
      </c>
      <c r="I1179" s="296">
        <v>450</v>
      </c>
      <c r="J1179" s="296">
        <v>472.5</v>
      </c>
      <c r="K1179" s="296">
        <v>177.5</v>
      </c>
      <c r="L1179" s="296">
        <v>53.25</v>
      </c>
      <c r="M1179" s="296">
        <v>200</v>
      </c>
      <c r="N1179" s="297">
        <v>0.30769230769230771</v>
      </c>
    </row>
    <row r="1180" spans="1:14" ht="18" customHeight="1">
      <c r="A1180" s="293" t="s">
        <v>2782</v>
      </c>
      <c r="B1180" s="294">
        <v>46172</v>
      </c>
      <c r="C1180" s="286" t="s">
        <v>353</v>
      </c>
      <c r="D1180" s="286" t="s">
        <v>94</v>
      </c>
      <c r="E1180" s="295">
        <v>1</v>
      </c>
      <c r="F1180" s="295">
        <v>1</v>
      </c>
      <c r="G1180" s="296">
        <v>0</v>
      </c>
      <c r="H1180" s="296">
        <v>470</v>
      </c>
      <c r="I1180" s="296">
        <v>220</v>
      </c>
      <c r="J1180" s="296">
        <v>231</v>
      </c>
      <c r="K1180" s="296">
        <v>239</v>
      </c>
      <c r="L1180" s="296">
        <v>71.7</v>
      </c>
      <c r="M1180" s="296">
        <v>250</v>
      </c>
      <c r="N1180" s="297">
        <v>0.53191489361702127</v>
      </c>
    </row>
    <row r="1181" spans="1:14" ht="18" customHeight="1">
      <c r="A1181" s="293" t="s">
        <v>2783</v>
      </c>
      <c r="B1181" s="294">
        <v>46172</v>
      </c>
      <c r="C1181" s="286" t="s">
        <v>168</v>
      </c>
      <c r="D1181" s="286" t="s">
        <v>105</v>
      </c>
      <c r="E1181" s="295">
        <v>2</v>
      </c>
      <c r="F1181" s="295">
        <v>2</v>
      </c>
      <c r="G1181" s="296">
        <v>0</v>
      </c>
      <c r="H1181" s="296">
        <v>2550</v>
      </c>
      <c r="I1181" s="296">
        <v>1150</v>
      </c>
      <c r="J1181" s="296">
        <v>1207.5</v>
      </c>
      <c r="K1181" s="296">
        <v>1342.5</v>
      </c>
      <c r="L1181" s="296">
        <v>0</v>
      </c>
      <c r="M1181" s="296">
        <v>1400</v>
      </c>
      <c r="N1181" s="297">
        <v>0.5490196078431373</v>
      </c>
    </row>
    <row r="1182" spans="1:14" ht="18" customHeight="1">
      <c r="A1182" s="293" t="s">
        <v>2784</v>
      </c>
      <c r="B1182" s="294">
        <v>46172</v>
      </c>
      <c r="C1182" s="286" t="s">
        <v>168</v>
      </c>
      <c r="D1182" s="286" t="s">
        <v>128</v>
      </c>
      <c r="E1182" s="295">
        <v>3</v>
      </c>
      <c r="F1182" s="295">
        <v>5</v>
      </c>
      <c r="G1182" s="296">
        <v>0</v>
      </c>
      <c r="H1182" s="296">
        <v>4600</v>
      </c>
      <c r="I1182" s="296">
        <v>2910</v>
      </c>
      <c r="J1182" s="296">
        <v>3055.5</v>
      </c>
      <c r="K1182" s="296">
        <v>1544.5</v>
      </c>
      <c r="L1182" s="296">
        <v>0</v>
      </c>
      <c r="M1182" s="296">
        <v>1690</v>
      </c>
      <c r="N1182" s="297">
        <v>0.36739130434782608</v>
      </c>
    </row>
    <row r="1183" spans="1:14" ht="18" customHeight="1">
      <c r="A1183" s="293" t="s">
        <v>2785</v>
      </c>
      <c r="B1183" s="294">
        <v>46172</v>
      </c>
      <c r="C1183" s="286" t="s">
        <v>168</v>
      </c>
      <c r="D1183" s="286" t="s">
        <v>99</v>
      </c>
      <c r="E1183" s="295">
        <v>6</v>
      </c>
      <c r="F1183" s="295">
        <v>9</v>
      </c>
      <c r="G1183" s="296">
        <v>0</v>
      </c>
      <c r="H1183" s="296">
        <v>2220</v>
      </c>
      <c r="I1183" s="296">
        <v>1277.7</v>
      </c>
      <c r="J1183" s="296">
        <v>1328.8310000000001</v>
      </c>
      <c r="K1183" s="296">
        <v>891.16899999999998</v>
      </c>
      <c r="L1183" s="296">
        <v>0</v>
      </c>
      <c r="M1183" s="296">
        <v>942.3</v>
      </c>
      <c r="N1183" s="297">
        <v>0.42445945945945945</v>
      </c>
    </row>
    <row r="1184" spans="1:14" ht="18" customHeight="1">
      <c r="A1184" s="293" t="s">
        <v>2786</v>
      </c>
      <c r="B1184" s="294">
        <v>46174</v>
      </c>
      <c r="C1184" s="286" t="s">
        <v>3773</v>
      </c>
      <c r="D1184" s="286" t="s">
        <v>100</v>
      </c>
      <c r="E1184" s="295">
        <v>4</v>
      </c>
      <c r="F1184" s="295">
        <v>5</v>
      </c>
      <c r="G1184" s="296">
        <v>0</v>
      </c>
      <c r="H1184" s="296">
        <v>676</v>
      </c>
      <c r="I1184" s="296">
        <v>423</v>
      </c>
      <c r="J1184" s="296">
        <v>438.39</v>
      </c>
      <c r="K1184" s="296">
        <v>237.61</v>
      </c>
      <c r="L1184" s="296">
        <v>71.283000000000001</v>
      </c>
      <c r="M1184" s="296">
        <v>253</v>
      </c>
      <c r="N1184" s="297">
        <v>0.37426035502958582</v>
      </c>
    </row>
    <row r="1185" spans="1:14" ht="18" customHeight="1">
      <c r="A1185" s="293" t="s">
        <v>2787</v>
      </c>
      <c r="B1185" s="294">
        <v>46174</v>
      </c>
      <c r="C1185" s="286" t="s">
        <v>3773</v>
      </c>
      <c r="D1185" s="286" t="s">
        <v>102</v>
      </c>
      <c r="E1185" s="295">
        <v>1</v>
      </c>
      <c r="F1185" s="295">
        <v>1</v>
      </c>
      <c r="G1185" s="296">
        <v>0</v>
      </c>
      <c r="H1185" s="296">
        <v>2200</v>
      </c>
      <c r="I1185" s="296">
        <v>1500</v>
      </c>
      <c r="J1185" s="296">
        <v>1575</v>
      </c>
      <c r="K1185" s="296">
        <v>625</v>
      </c>
      <c r="L1185" s="296">
        <v>187.5</v>
      </c>
      <c r="M1185" s="296">
        <v>700</v>
      </c>
      <c r="N1185" s="297">
        <v>0.31818181818181818</v>
      </c>
    </row>
    <row r="1186" spans="1:14" ht="18" customHeight="1">
      <c r="A1186" s="293" t="s">
        <v>2788</v>
      </c>
      <c r="B1186" s="294">
        <v>46174</v>
      </c>
      <c r="C1186" s="286" t="s">
        <v>168</v>
      </c>
      <c r="D1186" s="286" t="s">
        <v>155</v>
      </c>
      <c r="E1186" s="295">
        <v>3</v>
      </c>
      <c r="F1186" s="295">
        <v>12</v>
      </c>
      <c r="G1186" s="296">
        <v>0</v>
      </c>
      <c r="H1186" s="296">
        <v>9300</v>
      </c>
      <c r="I1186" s="296">
        <v>3653</v>
      </c>
      <c r="J1186" s="296">
        <v>3762.59</v>
      </c>
      <c r="K1186" s="296">
        <v>5537.41</v>
      </c>
      <c r="L1186" s="296">
        <v>0</v>
      </c>
      <c r="M1186" s="296">
        <v>5647</v>
      </c>
      <c r="N1186" s="297">
        <v>0.60720430107526879</v>
      </c>
    </row>
    <row r="1187" spans="1:14" ht="18" customHeight="1">
      <c r="A1187" s="293" t="s">
        <v>2789</v>
      </c>
      <c r="B1187" s="294">
        <v>46174</v>
      </c>
      <c r="C1187" s="286" t="s">
        <v>168</v>
      </c>
      <c r="D1187" s="286" t="s">
        <v>136</v>
      </c>
      <c r="E1187" s="295">
        <v>5</v>
      </c>
      <c r="F1187" s="295">
        <v>17</v>
      </c>
      <c r="G1187" s="296">
        <v>0</v>
      </c>
      <c r="H1187" s="296">
        <v>5116</v>
      </c>
      <c r="I1187" s="296">
        <v>3674</v>
      </c>
      <c r="J1187" s="296">
        <v>3837.6000000000004</v>
      </c>
      <c r="K1187" s="296">
        <v>1278.3999999999996</v>
      </c>
      <c r="L1187" s="296">
        <v>0</v>
      </c>
      <c r="M1187" s="296">
        <v>1442</v>
      </c>
      <c r="N1187" s="297">
        <v>0.28186082877247848</v>
      </c>
    </row>
    <row r="1188" spans="1:14" ht="18" customHeight="1">
      <c r="A1188" s="293" t="s">
        <v>2790</v>
      </c>
      <c r="B1188" s="294">
        <v>46174</v>
      </c>
      <c r="C1188" s="286" t="s">
        <v>168</v>
      </c>
      <c r="D1188" s="286" t="s">
        <v>121</v>
      </c>
      <c r="E1188" s="295">
        <v>1</v>
      </c>
      <c r="F1188" s="295">
        <v>1</v>
      </c>
      <c r="G1188" s="296">
        <v>0</v>
      </c>
      <c r="H1188" s="296">
        <v>8700</v>
      </c>
      <c r="I1188" s="296">
        <v>0</v>
      </c>
      <c r="J1188" s="296">
        <v>0</v>
      </c>
      <c r="K1188" s="296">
        <v>8700</v>
      </c>
      <c r="L1188" s="296">
        <v>0</v>
      </c>
      <c r="M1188" s="296">
        <v>8700</v>
      </c>
      <c r="N1188" s="297">
        <v>1</v>
      </c>
    </row>
    <row r="1189" spans="1:14" ht="18" customHeight="1">
      <c r="A1189" s="293" t="s">
        <v>2791</v>
      </c>
      <c r="B1189" s="294">
        <v>46174</v>
      </c>
      <c r="C1189" s="286" t="s">
        <v>168</v>
      </c>
      <c r="D1189" s="286" t="s">
        <v>149</v>
      </c>
      <c r="E1189" s="295">
        <v>15</v>
      </c>
      <c r="F1189" s="295">
        <v>39.799999999999997</v>
      </c>
      <c r="G1189" s="296">
        <v>0</v>
      </c>
      <c r="H1189" s="296">
        <v>4941</v>
      </c>
      <c r="I1189" s="296">
        <v>2746.6699999999992</v>
      </c>
      <c r="J1189" s="296">
        <v>2845.2301000000002</v>
      </c>
      <c r="K1189" s="296">
        <v>2095.7698999999998</v>
      </c>
      <c r="L1189" s="296">
        <v>0</v>
      </c>
      <c r="M1189" s="296">
        <v>2194.3300000000008</v>
      </c>
      <c r="N1189" s="297">
        <v>0.44410645618295908</v>
      </c>
    </row>
    <row r="1190" spans="1:14" ht="18" customHeight="1">
      <c r="A1190" s="293" t="s">
        <v>2792</v>
      </c>
      <c r="B1190" s="294">
        <v>46174</v>
      </c>
      <c r="C1190" s="286" t="s">
        <v>3773</v>
      </c>
      <c r="D1190" s="286" t="s">
        <v>116</v>
      </c>
      <c r="E1190" s="295">
        <v>1</v>
      </c>
      <c r="F1190" s="295">
        <v>1</v>
      </c>
      <c r="G1190" s="296">
        <v>0</v>
      </c>
      <c r="H1190" s="296">
        <v>1300</v>
      </c>
      <c r="I1190" s="296">
        <v>750</v>
      </c>
      <c r="J1190" s="296">
        <v>787.5</v>
      </c>
      <c r="K1190" s="296">
        <v>512.5</v>
      </c>
      <c r="L1190" s="296">
        <v>153.75</v>
      </c>
      <c r="M1190" s="296">
        <v>550</v>
      </c>
      <c r="N1190" s="297">
        <v>0.42307692307692307</v>
      </c>
    </row>
    <row r="1191" spans="1:14" ht="18" customHeight="1">
      <c r="A1191" s="293" t="s">
        <v>2793</v>
      </c>
      <c r="B1191" s="294">
        <v>46174</v>
      </c>
      <c r="C1191" s="286" t="s">
        <v>168</v>
      </c>
      <c r="D1191" s="286" t="s">
        <v>162</v>
      </c>
      <c r="E1191" s="295">
        <v>7</v>
      </c>
      <c r="F1191" s="295">
        <v>7</v>
      </c>
      <c r="G1191" s="296">
        <v>0</v>
      </c>
      <c r="H1191" s="296">
        <v>14095</v>
      </c>
      <c r="I1191" s="296">
        <v>6439</v>
      </c>
      <c r="J1191" s="296">
        <v>6632.170000000001</v>
      </c>
      <c r="K1191" s="296">
        <v>7462.829999999999</v>
      </c>
      <c r="L1191" s="296">
        <v>0</v>
      </c>
      <c r="M1191" s="296">
        <v>7656</v>
      </c>
      <c r="N1191" s="297">
        <v>0.54317133735367151</v>
      </c>
    </row>
    <row r="1192" spans="1:14" ht="18" customHeight="1">
      <c r="A1192" s="293" t="s">
        <v>2794</v>
      </c>
      <c r="B1192" s="294">
        <v>46174</v>
      </c>
      <c r="C1192" s="286" t="s">
        <v>168</v>
      </c>
      <c r="D1192" s="286" t="s">
        <v>117</v>
      </c>
      <c r="E1192" s="295">
        <v>5</v>
      </c>
      <c r="F1192" s="295">
        <v>14.8</v>
      </c>
      <c r="G1192" s="296">
        <v>0</v>
      </c>
      <c r="H1192" s="296">
        <v>3135</v>
      </c>
      <c r="I1192" s="296">
        <v>1642.7</v>
      </c>
      <c r="J1192" s="296">
        <v>1692.2310000000002</v>
      </c>
      <c r="K1192" s="296">
        <v>1442.7689999999998</v>
      </c>
      <c r="L1192" s="296">
        <v>0</v>
      </c>
      <c r="M1192" s="296">
        <v>1492.3</v>
      </c>
      <c r="N1192" s="297">
        <v>0.47601275917065389</v>
      </c>
    </row>
    <row r="1193" spans="1:14" ht="18" customHeight="1">
      <c r="A1193" s="293" t="s">
        <v>2795</v>
      </c>
      <c r="B1193" s="294">
        <v>46174</v>
      </c>
      <c r="C1193" s="286" t="s">
        <v>168</v>
      </c>
      <c r="D1193" s="286" t="s">
        <v>99</v>
      </c>
      <c r="E1193" s="295">
        <v>16</v>
      </c>
      <c r="F1193" s="295">
        <v>55</v>
      </c>
      <c r="G1193" s="296">
        <v>0</v>
      </c>
      <c r="H1193" s="296">
        <v>7260</v>
      </c>
      <c r="I1193" s="296">
        <v>3050.35</v>
      </c>
      <c r="J1193" s="296">
        <v>3178.0475000000006</v>
      </c>
      <c r="K1193" s="296">
        <v>4081.9524999999994</v>
      </c>
      <c r="L1193" s="296">
        <v>0</v>
      </c>
      <c r="M1193" s="296">
        <v>4209.6499999999996</v>
      </c>
      <c r="N1193" s="297">
        <v>0.57984159779614319</v>
      </c>
    </row>
    <row r="1194" spans="1:14" ht="18" customHeight="1">
      <c r="A1194" s="293" t="s">
        <v>2796</v>
      </c>
      <c r="B1194" s="294">
        <v>46175</v>
      </c>
      <c r="C1194" s="286" t="s">
        <v>3773</v>
      </c>
      <c r="D1194" s="286" t="s">
        <v>219</v>
      </c>
      <c r="E1194" s="295">
        <v>1</v>
      </c>
      <c r="F1194" s="295">
        <v>1</v>
      </c>
      <c r="G1194" s="296">
        <v>0</v>
      </c>
      <c r="H1194" s="296">
        <v>1900</v>
      </c>
      <c r="I1194" s="296">
        <v>1300</v>
      </c>
      <c r="J1194" s="296">
        <v>1365</v>
      </c>
      <c r="K1194" s="296">
        <v>535</v>
      </c>
      <c r="L1194" s="296">
        <v>160.5</v>
      </c>
      <c r="M1194" s="296">
        <v>600</v>
      </c>
      <c r="N1194" s="297">
        <v>0.31578947368421051</v>
      </c>
    </row>
    <row r="1195" spans="1:14" ht="18" customHeight="1">
      <c r="A1195" s="293" t="s">
        <v>2797</v>
      </c>
      <c r="B1195" s="294">
        <v>46175</v>
      </c>
      <c r="C1195" s="286" t="s">
        <v>3773</v>
      </c>
      <c r="D1195" s="286" t="s">
        <v>100</v>
      </c>
      <c r="E1195" s="295">
        <v>1</v>
      </c>
      <c r="F1195" s="295">
        <v>2</v>
      </c>
      <c r="G1195" s="296">
        <v>0</v>
      </c>
      <c r="H1195" s="296">
        <v>1216</v>
      </c>
      <c r="I1195" s="296">
        <v>960</v>
      </c>
      <c r="J1195" s="296">
        <v>1008</v>
      </c>
      <c r="K1195" s="296">
        <v>208</v>
      </c>
      <c r="L1195" s="296">
        <v>62.4</v>
      </c>
      <c r="M1195" s="296">
        <v>256</v>
      </c>
      <c r="N1195" s="297">
        <v>0.21052631578947367</v>
      </c>
    </row>
    <row r="1196" spans="1:14" ht="18" customHeight="1">
      <c r="A1196" s="293" t="s">
        <v>2798</v>
      </c>
      <c r="B1196" s="294">
        <v>46175</v>
      </c>
      <c r="C1196" s="286" t="s">
        <v>3773</v>
      </c>
      <c r="D1196" s="286" t="s">
        <v>102</v>
      </c>
      <c r="E1196" s="295">
        <v>7</v>
      </c>
      <c r="F1196" s="295">
        <v>11</v>
      </c>
      <c r="G1196" s="296">
        <v>0</v>
      </c>
      <c r="H1196" s="296">
        <v>11580</v>
      </c>
      <c r="I1196" s="296">
        <v>1423</v>
      </c>
      <c r="J1196" s="296">
        <v>1494.15</v>
      </c>
      <c r="K1196" s="296">
        <v>10085.85</v>
      </c>
      <c r="L1196" s="296">
        <v>3025.7549999999997</v>
      </c>
      <c r="M1196" s="296">
        <v>10157</v>
      </c>
      <c r="N1196" s="297">
        <v>0.87711571675302247</v>
      </c>
    </row>
    <row r="1197" spans="1:14" ht="18" customHeight="1">
      <c r="A1197" s="293" t="s">
        <v>2799</v>
      </c>
      <c r="B1197" s="294">
        <v>46175</v>
      </c>
      <c r="C1197" s="286" t="s">
        <v>168</v>
      </c>
      <c r="D1197" s="286" t="s">
        <v>112</v>
      </c>
      <c r="E1197" s="295">
        <v>3</v>
      </c>
      <c r="F1197" s="295">
        <v>3</v>
      </c>
      <c r="G1197" s="296">
        <v>0</v>
      </c>
      <c r="H1197" s="296">
        <v>470</v>
      </c>
      <c r="I1197" s="296">
        <v>253.85</v>
      </c>
      <c r="J1197" s="296">
        <v>261.46550000000002</v>
      </c>
      <c r="K1197" s="296">
        <v>208.53449999999998</v>
      </c>
      <c r="L1197" s="296">
        <v>0</v>
      </c>
      <c r="M1197" s="296">
        <v>216.15</v>
      </c>
      <c r="N1197" s="297">
        <v>0.45989361702127662</v>
      </c>
    </row>
    <row r="1198" spans="1:14" ht="18" customHeight="1">
      <c r="A1198" s="293" t="s">
        <v>2800</v>
      </c>
      <c r="B1198" s="294">
        <v>46175</v>
      </c>
      <c r="C1198" s="286" t="s">
        <v>168</v>
      </c>
      <c r="D1198" s="286" t="s">
        <v>220</v>
      </c>
      <c r="E1198" s="295">
        <v>1</v>
      </c>
      <c r="F1198" s="295">
        <v>18</v>
      </c>
      <c r="G1198" s="296">
        <v>0</v>
      </c>
      <c r="H1198" s="296">
        <v>2160</v>
      </c>
      <c r="I1198" s="296">
        <v>1170</v>
      </c>
      <c r="J1198" s="296">
        <v>1228.5</v>
      </c>
      <c r="K1198" s="296">
        <v>931.5</v>
      </c>
      <c r="L1198" s="296">
        <v>0</v>
      </c>
      <c r="M1198" s="296">
        <v>990</v>
      </c>
      <c r="N1198" s="297">
        <v>0.45833333333333331</v>
      </c>
    </row>
    <row r="1199" spans="1:14" ht="18" customHeight="1">
      <c r="A1199" s="293" t="s">
        <v>2801</v>
      </c>
      <c r="B1199" s="294">
        <v>46175</v>
      </c>
      <c r="C1199" s="286" t="s">
        <v>359</v>
      </c>
      <c r="D1199" s="286" t="s">
        <v>114</v>
      </c>
      <c r="E1199" s="295">
        <v>1</v>
      </c>
      <c r="F1199" s="295">
        <v>1</v>
      </c>
      <c r="G1199" s="296">
        <v>0</v>
      </c>
      <c r="H1199" s="296">
        <v>2200</v>
      </c>
      <c r="I1199" s="296">
        <v>1450</v>
      </c>
      <c r="J1199" s="296">
        <v>1522.5</v>
      </c>
      <c r="K1199" s="296">
        <v>677.5</v>
      </c>
      <c r="L1199" s="296">
        <v>203.25</v>
      </c>
      <c r="M1199" s="296">
        <v>750</v>
      </c>
      <c r="N1199" s="297">
        <v>0.34090909090909088</v>
      </c>
    </row>
    <row r="1200" spans="1:14" ht="18" customHeight="1">
      <c r="A1200" s="293" t="s">
        <v>2802</v>
      </c>
      <c r="B1200" s="294">
        <v>46175</v>
      </c>
      <c r="C1200" s="286" t="s">
        <v>168</v>
      </c>
      <c r="D1200" s="286" t="s">
        <v>221</v>
      </c>
      <c r="E1200" s="295">
        <v>1</v>
      </c>
      <c r="F1200" s="295">
        <v>1</v>
      </c>
      <c r="G1200" s="296">
        <v>0</v>
      </c>
      <c r="H1200" s="296">
        <v>600</v>
      </c>
      <c r="I1200" s="296">
        <v>290</v>
      </c>
      <c r="J1200" s="296">
        <v>304.5</v>
      </c>
      <c r="K1200" s="296">
        <v>295.5</v>
      </c>
      <c r="L1200" s="296">
        <v>0</v>
      </c>
      <c r="M1200" s="296">
        <v>310</v>
      </c>
      <c r="N1200" s="297">
        <v>0.51666666666666672</v>
      </c>
    </row>
    <row r="1201" spans="1:14" ht="18" customHeight="1">
      <c r="A1201" s="293" t="s">
        <v>2803</v>
      </c>
      <c r="B1201" s="294">
        <v>46175</v>
      </c>
      <c r="C1201" s="286" t="s">
        <v>3773</v>
      </c>
      <c r="D1201" s="286" t="s">
        <v>116</v>
      </c>
      <c r="E1201" s="295">
        <v>2</v>
      </c>
      <c r="F1201" s="295">
        <v>2</v>
      </c>
      <c r="G1201" s="296">
        <v>0</v>
      </c>
      <c r="H1201" s="296">
        <v>2800</v>
      </c>
      <c r="I1201" s="296">
        <v>1820</v>
      </c>
      <c r="J1201" s="296">
        <v>1911</v>
      </c>
      <c r="K1201" s="296">
        <v>889</v>
      </c>
      <c r="L1201" s="296">
        <v>266.7</v>
      </c>
      <c r="M1201" s="296">
        <v>980</v>
      </c>
      <c r="N1201" s="297">
        <v>0.35</v>
      </c>
    </row>
    <row r="1202" spans="1:14" ht="18" customHeight="1">
      <c r="A1202" s="293" t="s">
        <v>2804</v>
      </c>
      <c r="B1202" s="294">
        <v>46175</v>
      </c>
      <c r="C1202" s="286" t="s">
        <v>168</v>
      </c>
      <c r="D1202" s="286" t="s">
        <v>105</v>
      </c>
      <c r="E1202" s="295">
        <v>1</v>
      </c>
      <c r="F1202" s="295">
        <v>1</v>
      </c>
      <c r="G1202" s="296">
        <v>0</v>
      </c>
      <c r="H1202" s="296">
        <v>8700</v>
      </c>
      <c r="I1202" s="296">
        <v>0</v>
      </c>
      <c r="J1202" s="296">
        <v>0</v>
      </c>
      <c r="K1202" s="296">
        <v>8700</v>
      </c>
      <c r="L1202" s="296">
        <v>0</v>
      </c>
      <c r="M1202" s="296">
        <v>8700</v>
      </c>
      <c r="N1202" s="297">
        <v>1</v>
      </c>
    </row>
    <row r="1203" spans="1:14" ht="18" customHeight="1">
      <c r="A1203" s="293" t="s">
        <v>2805</v>
      </c>
      <c r="B1203" s="294">
        <v>46175</v>
      </c>
      <c r="C1203" s="286" t="s">
        <v>168</v>
      </c>
      <c r="D1203" s="286" t="s">
        <v>115</v>
      </c>
      <c r="E1203" s="295">
        <v>1</v>
      </c>
      <c r="F1203" s="295">
        <v>1</v>
      </c>
      <c r="G1203" s="296">
        <v>0</v>
      </c>
      <c r="H1203" s="296">
        <v>8700</v>
      </c>
      <c r="I1203" s="296">
        <v>0</v>
      </c>
      <c r="J1203" s="296">
        <v>0</v>
      </c>
      <c r="K1203" s="296">
        <v>8700</v>
      </c>
      <c r="L1203" s="296">
        <v>0</v>
      </c>
      <c r="M1203" s="296">
        <v>8700</v>
      </c>
      <c r="N1203" s="297">
        <v>1</v>
      </c>
    </row>
    <row r="1204" spans="1:14" ht="18" customHeight="1">
      <c r="A1204" s="293" t="s">
        <v>2806</v>
      </c>
      <c r="B1204" s="294">
        <v>46175</v>
      </c>
      <c r="C1204" s="286" t="s">
        <v>168</v>
      </c>
      <c r="D1204" s="286" t="s">
        <v>97</v>
      </c>
      <c r="E1204" s="295">
        <v>5</v>
      </c>
      <c r="F1204" s="295">
        <v>6</v>
      </c>
      <c r="G1204" s="296">
        <v>0</v>
      </c>
      <c r="H1204" s="296">
        <v>990</v>
      </c>
      <c r="I1204" s="296">
        <v>552</v>
      </c>
      <c r="J1204" s="296">
        <v>572.16000000000008</v>
      </c>
      <c r="K1204" s="296">
        <v>417.84</v>
      </c>
      <c r="L1204" s="296">
        <v>0</v>
      </c>
      <c r="M1204" s="296">
        <v>438</v>
      </c>
      <c r="N1204" s="297">
        <v>0.44242424242424244</v>
      </c>
    </row>
    <row r="1205" spans="1:14" ht="18" customHeight="1">
      <c r="A1205" s="293" t="s">
        <v>2807</v>
      </c>
      <c r="B1205" s="294">
        <v>46175</v>
      </c>
      <c r="C1205" s="286" t="s">
        <v>168</v>
      </c>
      <c r="D1205" s="286" t="s">
        <v>99</v>
      </c>
      <c r="E1205" s="295">
        <v>8</v>
      </c>
      <c r="F1205" s="295">
        <v>17.399999999999999</v>
      </c>
      <c r="G1205" s="296">
        <v>0</v>
      </c>
      <c r="H1205" s="296">
        <v>3316</v>
      </c>
      <c r="I1205" s="296">
        <v>2408.4499999999998</v>
      </c>
      <c r="J1205" s="296">
        <v>2491.1435000000001</v>
      </c>
      <c r="K1205" s="296">
        <v>824.85649999999976</v>
      </c>
      <c r="L1205" s="296">
        <v>0</v>
      </c>
      <c r="M1205" s="296">
        <v>907.55000000000018</v>
      </c>
      <c r="N1205" s="297">
        <v>0.27368817852834748</v>
      </c>
    </row>
    <row r="1206" spans="1:14" ht="18" customHeight="1">
      <c r="A1206" s="293" t="s">
        <v>2808</v>
      </c>
      <c r="B1206" s="294">
        <v>46176</v>
      </c>
      <c r="C1206" s="286" t="s">
        <v>168</v>
      </c>
      <c r="D1206" s="286" t="s">
        <v>125</v>
      </c>
      <c r="E1206" s="295">
        <v>2</v>
      </c>
      <c r="F1206" s="295">
        <v>2</v>
      </c>
      <c r="G1206" s="296">
        <v>0</v>
      </c>
      <c r="H1206" s="296">
        <v>750</v>
      </c>
      <c r="I1206" s="296">
        <v>295</v>
      </c>
      <c r="J1206" s="296">
        <v>309.75</v>
      </c>
      <c r="K1206" s="296">
        <v>440.25</v>
      </c>
      <c r="L1206" s="296">
        <v>0</v>
      </c>
      <c r="M1206" s="296">
        <v>455</v>
      </c>
      <c r="N1206" s="297">
        <v>0.60666666666666669</v>
      </c>
    </row>
    <row r="1207" spans="1:14" ht="18" customHeight="1">
      <c r="A1207" s="293" t="s">
        <v>2809</v>
      </c>
      <c r="B1207" s="294">
        <v>46176</v>
      </c>
      <c r="C1207" s="286" t="s">
        <v>3773</v>
      </c>
      <c r="D1207" s="286" t="s">
        <v>102</v>
      </c>
      <c r="E1207" s="295">
        <v>1</v>
      </c>
      <c r="F1207" s="295">
        <v>1</v>
      </c>
      <c r="G1207" s="296">
        <v>0</v>
      </c>
      <c r="H1207" s="296">
        <v>550</v>
      </c>
      <c r="I1207" s="296">
        <v>270</v>
      </c>
      <c r="J1207" s="296">
        <v>283.5</v>
      </c>
      <c r="K1207" s="296">
        <v>266.5</v>
      </c>
      <c r="L1207" s="296">
        <v>79.95</v>
      </c>
      <c r="M1207" s="296">
        <v>280</v>
      </c>
      <c r="N1207" s="297">
        <v>0.50909090909090904</v>
      </c>
    </row>
    <row r="1208" spans="1:14" ht="18" customHeight="1">
      <c r="A1208" s="293" t="s">
        <v>2810</v>
      </c>
      <c r="B1208" s="294">
        <v>46176</v>
      </c>
      <c r="C1208" s="286" t="s">
        <v>168</v>
      </c>
      <c r="D1208" s="286" t="s">
        <v>112</v>
      </c>
      <c r="E1208" s="295">
        <v>3</v>
      </c>
      <c r="F1208" s="295">
        <v>5</v>
      </c>
      <c r="G1208" s="296">
        <v>0</v>
      </c>
      <c r="H1208" s="296">
        <v>345</v>
      </c>
      <c r="I1208" s="296">
        <v>212.7</v>
      </c>
      <c r="J1208" s="296">
        <v>219.08100000000002</v>
      </c>
      <c r="K1208" s="296">
        <v>125.919</v>
      </c>
      <c r="L1208" s="296">
        <v>0</v>
      </c>
      <c r="M1208" s="296">
        <v>132.30000000000001</v>
      </c>
      <c r="N1208" s="297">
        <v>0.38347826086956527</v>
      </c>
    </row>
    <row r="1209" spans="1:14" ht="18" customHeight="1">
      <c r="A1209" s="293" t="s">
        <v>2811</v>
      </c>
      <c r="B1209" s="294">
        <v>46176</v>
      </c>
      <c r="C1209" s="286" t="s">
        <v>168</v>
      </c>
      <c r="D1209" s="286" t="s">
        <v>92</v>
      </c>
      <c r="E1209" s="295">
        <v>2</v>
      </c>
      <c r="F1209" s="295">
        <v>2</v>
      </c>
      <c r="G1209" s="296">
        <v>0</v>
      </c>
      <c r="H1209" s="296">
        <v>3900</v>
      </c>
      <c r="I1209" s="296">
        <v>2650</v>
      </c>
      <c r="J1209" s="296">
        <v>2782.5</v>
      </c>
      <c r="K1209" s="296">
        <v>1117.5</v>
      </c>
      <c r="L1209" s="296">
        <v>0</v>
      </c>
      <c r="M1209" s="296">
        <v>1250</v>
      </c>
      <c r="N1209" s="297">
        <v>0.32051282051282054</v>
      </c>
    </row>
    <row r="1210" spans="1:14" ht="18" customHeight="1">
      <c r="A1210" s="293" t="s">
        <v>2812</v>
      </c>
      <c r="B1210" s="294">
        <v>46176</v>
      </c>
      <c r="C1210" s="286" t="s">
        <v>354</v>
      </c>
      <c r="D1210" s="286" t="s">
        <v>109</v>
      </c>
      <c r="E1210" s="295">
        <v>2</v>
      </c>
      <c r="F1210" s="295">
        <v>2</v>
      </c>
      <c r="G1210" s="296">
        <v>0</v>
      </c>
      <c r="H1210" s="296">
        <v>3214</v>
      </c>
      <c r="I1210" s="296">
        <v>2300</v>
      </c>
      <c r="J1210" s="296">
        <v>2415</v>
      </c>
      <c r="K1210" s="296">
        <v>799</v>
      </c>
      <c r="L1210" s="296">
        <v>239.7</v>
      </c>
      <c r="M1210" s="296">
        <v>914</v>
      </c>
      <c r="N1210" s="297">
        <v>0.28438083385189794</v>
      </c>
    </row>
    <row r="1211" spans="1:14" ht="18" customHeight="1">
      <c r="A1211" s="293" t="s">
        <v>2813</v>
      </c>
      <c r="B1211" s="294">
        <v>46176</v>
      </c>
      <c r="C1211" s="286" t="s">
        <v>168</v>
      </c>
      <c r="D1211" s="286" t="s">
        <v>222</v>
      </c>
      <c r="E1211" s="295">
        <v>11</v>
      </c>
      <c r="F1211" s="295">
        <v>67</v>
      </c>
      <c r="G1211" s="296">
        <v>0</v>
      </c>
      <c r="H1211" s="296">
        <v>3342</v>
      </c>
      <c r="I1211" s="296">
        <v>1657</v>
      </c>
      <c r="J1211" s="296">
        <v>1721.9299999999998</v>
      </c>
      <c r="K1211" s="296">
        <v>1620.0699999999997</v>
      </c>
      <c r="L1211" s="296">
        <v>0</v>
      </c>
      <c r="M1211" s="296">
        <v>1685</v>
      </c>
      <c r="N1211" s="297">
        <v>0.50418910831837227</v>
      </c>
    </row>
    <row r="1212" spans="1:14" ht="18" customHeight="1">
      <c r="A1212" s="293" t="s">
        <v>2814</v>
      </c>
      <c r="B1212" s="294">
        <v>46176</v>
      </c>
      <c r="C1212" s="286" t="s">
        <v>3773</v>
      </c>
      <c r="D1212" s="286" t="s">
        <v>116</v>
      </c>
      <c r="E1212" s="295">
        <v>2</v>
      </c>
      <c r="F1212" s="295">
        <v>2</v>
      </c>
      <c r="G1212" s="296">
        <v>0</v>
      </c>
      <c r="H1212" s="296">
        <v>2564</v>
      </c>
      <c r="I1212" s="296">
        <v>1840</v>
      </c>
      <c r="J1212" s="296">
        <v>1932</v>
      </c>
      <c r="K1212" s="296">
        <v>632</v>
      </c>
      <c r="L1212" s="296">
        <v>189.59999999999997</v>
      </c>
      <c r="M1212" s="296">
        <v>724</v>
      </c>
      <c r="N1212" s="297">
        <v>0.28237129485179407</v>
      </c>
    </row>
    <row r="1213" spans="1:14" ht="18" customHeight="1">
      <c r="A1213" s="293" t="s">
        <v>2815</v>
      </c>
      <c r="B1213" s="294">
        <v>46176</v>
      </c>
      <c r="C1213" s="286" t="s">
        <v>168</v>
      </c>
      <c r="D1213" s="286" t="s">
        <v>223</v>
      </c>
      <c r="E1213" s="295">
        <v>1</v>
      </c>
      <c r="F1213" s="295">
        <v>1</v>
      </c>
      <c r="G1213" s="296">
        <v>0</v>
      </c>
      <c r="H1213" s="296">
        <v>2000</v>
      </c>
      <c r="I1213" s="296">
        <v>1300</v>
      </c>
      <c r="J1213" s="296">
        <v>1365</v>
      </c>
      <c r="K1213" s="296">
        <v>635</v>
      </c>
      <c r="L1213" s="296">
        <v>0</v>
      </c>
      <c r="M1213" s="296">
        <v>700</v>
      </c>
      <c r="N1213" s="297">
        <v>0.35</v>
      </c>
    </row>
    <row r="1214" spans="1:14" ht="18" customHeight="1">
      <c r="A1214" s="293" t="s">
        <v>2816</v>
      </c>
      <c r="B1214" s="294">
        <v>46176</v>
      </c>
      <c r="C1214" s="286" t="s">
        <v>168</v>
      </c>
      <c r="D1214" s="286" t="s">
        <v>96</v>
      </c>
      <c r="E1214" s="295">
        <v>1</v>
      </c>
      <c r="F1214" s="295">
        <v>1</v>
      </c>
      <c r="G1214" s="296">
        <v>0</v>
      </c>
      <c r="H1214" s="296">
        <v>1900</v>
      </c>
      <c r="I1214" s="296">
        <v>1200</v>
      </c>
      <c r="J1214" s="296">
        <v>1260</v>
      </c>
      <c r="K1214" s="296">
        <v>640</v>
      </c>
      <c r="L1214" s="296">
        <v>0</v>
      </c>
      <c r="M1214" s="296">
        <v>700</v>
      </c>
      <c r="N1214" s="297">
        <v>0.36842105263157893</v>
      </c>
    </row>
    <row r="1215" spans="1:14" ht="18" customHeight="1">
      <c r="A1215" s="293" t="s">
        <v>2817</v>
      </c>
      <c r="B1215" s="294">
        <v>46176</v>
      </c>
      <c r="C1215" s="286" t="s">
        <v>168</v>
      </c>
      <c r="D1215" s="286" t="s">
        <v>145</v>
      </c>
      <c r="E1215" s="295">
        <v>11</v>
      </c>
      <c r="F1215" s="295">
        <v>40.4</v>
      </c>
      <c r="G1215" s="296">
        <v>0</v>
      </c>
      <c r="H1215" s="296">
        <v>9390</v>
      </c>
      <c r="I1215" s="296">
        <v>5773.5000000000009</v>
      </c>
      <c r="J1215" s="296">
        <v>6032.125</v>
      </c>
      <c r="K1215" s="296">
        <v>3357.8749999999995</v>
      </c>
      <c r="L1215" s="296">
        <v>0</v>
      </c>
      <c r="M1215" s="296">
        <v>3616.4999999999991</v>
      </c>
      <c r="N1215" s="297">
        <v>0.385143769968051</v>
      </c>
    </row>
    <row r="1216" spans="1:14" ht="18" customHeight="1">
      <c r="A1216" s="293" t="s">
        <v>2818</v>
      </c>
      <c r="B1216" s="294">
        <v>46176</v>
      </c>
      <c r="C1216" s="286" t="s">
        <v>168</v>
      </c>
      <c r="D1216" s="286" t="s">
        <v>129</v>
      </c>
      <c r="E1216" s="295">
        <v>2</v>
      </c>
      <c r="F1216" s="295">
        <v>5</v>
      </c>
      <c r="G1216" s="296">
        <v>0</v>
      </c>
      <c r="H1216" s="296">
        <v>860</v>
      </c>
      <c r="I1216" s="296">
        <v>473</v>
      </c>
      <c r="J1216" s="296">
        <v>492.95000000000005</v>
      </c>
      <c r="K1216" s="296">
        <v>367.04999999999995</v>
      </c>
      <c r="L1216" s="296">
        <v>0</v>
      </c>
      <c r="M1216" s="296">
        <v>387</v>
      </c>
      <c r="N1216" s="297">
        <v>0.45</v>
      </c>
    </row>
    <row r="1217" spans="1:14" ht="18" customHeight="1">
      <c r="A1217" s="293" t="s">
        <v>2819</v>
      </c>
      <c r="B1217" s="294">
        <v>46176</v>
      </c>
      <c r="C1217" s="286" t="s">
        <v>358</v>
      </c>
      <c r="D1217" s="286" t="s">
        <v>98</v>
      </c>
      <c r="E1217" s="295">
        <v>2</v>
      </c>
      <c r="F1217" s="295">
        <v>6</v>
      </c>
      <c r="G1217" s="296">
        <v>0</v>
      </c>
      <c r="H1217" s="296">
        <v>9300</v>
      </c>
      <c r="I1217" s="296">
        <v>325</v>
      </c>
      <c r="J1217" s="296">
        <v>341.25</v>
      </c>
      <c r="K1217" s="296">
        <v>8958.75</v>
      </c>
      <c r="L1217" s="296">
        <v>2687.625</v>
      </c>
      <c r="M1217" s="296">
        <v>8975</v>
      </c>
      <c r="N1217" s="297">
        <v>0.96505376344086025</v>
      </c>
    </row>
    <row r="1218" spans="1:14" ht="18" customHeight="1">
      <c r="A1218" s="293" t="s">
        <v>2820</v>
      </c>
      <c r="B1218" s="294">
        <v>46176</v>
      </c>
      <c r="C1218" s="286" t="s">
        <v>168</v>
      </c>
      <c r="D1218" s="286" t="s">
        <v>131</v>
      </c>
      <c r="E1218" s="295">
        <v>1</v>
      </c>
      <c r="F1218" s="295">
        <v>10</v>
      </c>
      <c r="G1218" s="296">
        <v>0</v>
      </c>
      <c r="H1218" s="296">
        <v>1400</v>
      </c>
      <c r="I1218" s="296">
        <v>750</v>
      </c>
      <c r="J1218" s="296">
        <v>772.5</v>
      </c>
      <c r="K1218" s="296">
        <v>627.5</v>
      </c>
      <c r="L1218" s="296">
        <v>0</v>
      </c>
      <c r="M1218" s="296">
        <v>650</v>
      </c>
      <c r="N1218" s="297">
        <v>0.4642857142857143</v>
      </c>
    </row>
    <row r="1219" spans="1:14" ht="18" customHeight="1">
      <c r="A1219" s="293" t="s">
        <v>2821</v>
      </c>
      <c r="B1219" s="294">
        <v>46177</v>
      </c>
      <c r="C1219" s="286" t="s">
        <v>3773</v>
      </c>
      <c r="D1219" s="286" t="s">
        <v>102</v>
      </c>
      <c r="E1219" s="295">
        <v>1</v>
      </c>
      <c r="F1219" s="295">
        <v>2</v>
      </c>
      <c r="G1219" s="296">
        <v>0</v>
      </c>
      <c r="H1219" s="296">
        <v>60</v>
      </c>
      <c r="I1219" s="296">
        <v>32</v>
      </c>
      <c r="J1219" s="296">
        <v>33.6</v>
      </c>
      <c r="K1219" s="296">
        <v>26.4</v>
      </c>
      <c r="L1219" s="296">
        <v>7.919999999999999</v>
      </c>
      <c r="M1219" s="296">
        <v>28</v>
      </c>
      <c r="N1219" s="297">
        <v>0.46666666666666667</v>
      </c>
    </row>
    <row r="1220" spans="1:14" ht="18" customHeight="1">
      <c r="A1220" s="293" t="s">
        <v>2822</v>
      </c>
      <c r="B1220" s="294">
        <v>46177</v>
      </c>
      <c r="C1220" s="286" t="s">
        <v>168</v>
      </c>
      <c r="D1220" s="286" t="s">
        <v>112</v>
      </c>
      <c r="E1220" s="295">
        <v>4</v>
      </c>
      <c r="F1220" s="295">
        <v>6</v>
      </c>
      <c r="G1220" s="296">
        <v>0</v>
      </c>
      <c r="H1220" s="296">
        <v>595</v>
      </c>
      <c r="I1220" s="296">
        <v>282.7</v>
      </c>
      <c r="J1220" s="296">
        <v>292.58100000000002</v>
      </c>
      <c r="K1220" s="296">
        <v>302.41899999999998</v>
      </c>
      <c r="L1220" s="296">
        <v>0</v>
      </c>
      <c r="M1220" s="296">
        <v>312.3</v>
      </c>
      <c r="N1220" s="297">
        <v>0.52487394957983191</v>
      </c>
    </row>
    <row r="1221" spans="1:14" ht="18" customHeight="1">
      <c r="A1221" s="293" t="s">
        <v>2823</v>
      </c>
      <c r="B1221" s="294">
        <v>46177</v>
      </c>
      <c r="C1221" s="286" t="s">
        <v>168</v>
      </c>
      <c r="D1221" s="286" t="s">
        <v>224</v>
      </c>
      <c r="E1221" s="295">
        <v>1</v>
      </c>
      <c r="F1221" s="295">
        <v>1</v>
      </c>
      <c r="G1221" s="296">
        <v>0</v>
      </c>
      <c r="H1221" s="296">
        <v>2200</v>
      </c>
      <c r="I1221" s="296">
        <v>1450</v>
      </c>
      <c r="J1221" s="296">
        <v>1522.5</v>
      </c>
      <c r="K1221" s="296">
        <v>677.5</v>
      </c>
      <c r="L1221" s="296">
        <v>0</v>
      </c>
      <c r="M1221" s="296">
        <v>750</v>
      </c>
      <c r="N1221" s="297">
        <v>0.34090909090909088</v>
      </c>
    </row>
    <row r="1222" spans="1:14" ht="18" customHeight="1">
      <c r="A1222" s="293" t="s">
        <v>2824</v>
      </c>
      <c r="B1222" s="294">
        <v>46177</v>
      </c>
      <c r="C1222" s="286" t="s">
        <v>168</v>
      </c>
      <c r="D1222" s="286" t="s">
        <v>92</v>
      </c>
      <c r="E1222" s="295">
        <v>4</v>
      </c>
      <c r="F1222" s="295">
        <v>4</v>
      </c>
      <c r="G1222" s="296">
        <v>0</v>
      </c>
      <c r="H1222" s="296">
        <v>6380</v>
      </c>
      <c r="I1222" s="296">
        <v>3230</v>
      </c>
      <c r="J1222" s="296">
        <v>3384.9</v>
      </c>
      <c r="K1222" s="296">
        <v>2995.1</v>
      </c>
      <c r="L1222" s="296">
        <v>0</v>
      </c>
      <c r="M1222" s="296">
        <v>3150</v>
      </c>
      <c r="N1222" s="297">
        <v>0.49373040752351099</v>
      </c>
    </row>
    <row r="1223" spans="1:14" ht="18" customHeight="1">
      <c r="A1223" s="293" t="s">
        <v>2825</v>
      </c>
      <c r="B1223" s="294">
        <v>46177</v>
      </c>
      <c r="C1223" s="286" t="s">
        <v>353</v>
      </c>
      <c r="D1223" s="286" t="s">
        <v>103</v>
      </c>
      <c r="E1223" s="295">
        <v>2</v>
      </c>
      <c r="F1223" s="295">
        <v>3</v>
      </c>
      <c r="G1223" s="296">
        <v>0</v>
      </c>
      <c r="H1223" s="296">
        <v>3000</v>
      </c>
      <c r="I1223" s="296">
        <v>1860</v>
      </c>
      <c r="J1223" s="296">
        <v>1953</v>
      </c>
      <c r="K1223" s="296">
        <v>1047</v>
      </c>
      <c r="L1223" s="296">
        <v>314.10000000000002</v>
      </c>
      <c r="M1223" s="296">
        <v>1140</v>
      </c>
      <c r="N1223" s="297">
        <v>0.38</v>
      </c>
    </row>
    <row r="1224" spans="1:14" ht="18" customHeight="1">
      <c r="A1224" s="293" t="s">
        <v>2826</v>
      </c>
      <c r="B1224" s="294">
        <v>46177</v>
      </c>
      <c r="C1224" s="286" t="s">
        <v>359</v>
      </c>
      <c r="D1224" s="286" t="s">
        <v>114</v>
      </c>
      <c r="E1224" s="295">
        <v>2</v>
      </c>
      <c r="F1224" s="295">
        <v>2</v>
      </c>
      <c r="G1224" s="296">
        <v>0</v>
      </c>
      <c r="H1224" s="296">
        <v>2336</v>
      </c>
      <c r="I1224" s="296">
        <v>1360</v>
      </c>
      <c r="J1224" s="296">
        <v>1428</v>
      </c>
      <c r="K1224" s="296">
        <v>908</v>
      </c>
      <c r="L1224" s="296">
        <v>272.39999999999998</v>
      </c>
      <c r="M1224" s="296">
        <v>976</v>
      </c>
      <c r="N1224" s="297">
        <v>0.4178082191780822</v>
      </c>
    </row>
    <row r="1225" spans="1:14" ht="18" customHeight="1">
      <c r="A1225" s="293" t="s">
        <v>2827</v>
      </c>
      <c r="B1225" s="294">
        <v>46177</v>
      </c>
      <c r="C1225" s="286" t="s">
        <v>3773</v>
      </c>
      <c r="D1225" s="286" t="s">
        <v>116</v>
      </c>
      <c r="E1225" s="295">
        <v>1</v>
      </c>
      <c r="F1225" s="295">
        <v>2</v>
      </c>
      <c r="G1225" s="296">
        <v>0</v>
      </c>
      <c r="H1225" s="296">
        <v>1200</v>
      </c>
      <c r="I1225" s="296">
        <v>680</v>
      </c>
      <c r="J1225" s="296">
        <v>714</v>
      </c>
      <c r="K1225" s="296">
        <v>486</v>
      </c>
      <c r="L1225" s="296">
        <v>145.79999999999998</v>
      </c>
      <c r="M1225" s="296">
        <v>520</v>
      </c>
      <c r="N1225" s="297">
        <v>0.43333333333333335</v>
      </c>
    </row>
    <row r="1226" spans="1:14" ht="18" customHeight="1">
      <c r="A1226" s="293" t="s">
        <v>2828</v>
      </c>
      <c r="B1226" s="294">
        <v>46177</v>
      </c>
      <c r="C1226" s="286" t="s">
        <v>168</v>
      </c>
      <c r="D1226" s="286" t="s">
        <v>96</v>
      </c>
      <c r="E1226" s="295">
        <v>1</v>
      </c>
      <c r="F1226" s="295">
        <v>1</v>
      </c>
      <c r="G1226" s="296">
        <v>0</v>
      </c>
      <c r="H1226" s="296">
        <v>380</v>
      </c>
      <c r="I1226" s="296">
        <v>330</v>
      </c>
      <c r="J1226" s="296">
        <v>339.90000000000003</v>
      </c>
      <c r="K1226" s="296">
        <v>40.099999999999966</v>
      </c>
      <c r="L1226" s="296">
        <v>0</v>
      </c>
      <c r="M1226" s="296">
        <v>50</v>
      </c>
      <c r="N1226" s="297">
        <v>0.13157894736842105</v>
      </c>
    </row>
    <row r="1227" spans="1:14" ht="18" customHeight="1">
      <c r="A1227" s="293" t="s">
        <v>2829</v>
      </c>
      <c r="B1227" s="294">
        <v>46177</v>
      </c>
      <c r="C1227" s="286" t="s">
        <v>168</v>
      </c>
      <c r="D1227" s="286" t="s">
        <v>105</v>
      </c>
      <c r="E1227" s="295">
        <v>1</v>
      </c>
      <c r="F1227" s="295">
        <v>1</v>
      </c>
      <c r="G1227" s="296">
        <v>0</v>
      </c>
      <c r="H1227" s="296">
        <v>2200</v>
      </c>
      <c r="I1227" s="296">
        <v>1500</v>
      </c>
      <c r="J1227" s="296">
        <v>1575</v>
      </c>
      <c r="K1227" s="296">
        <v>625</v>
      </c>
      <c r="L1227" s="296">
        <v>0</v>
      </c>
      <c r="M1227" s="296">
        <v>700</v>
      </c>
      <c r="N1227" s="297">
        <v>0.31818181818181818</v>
      </c>
    </row>
    <row r="1228" spans="1:14" ht="18" customHeight="1">
      <c r="A1228" s="293" t="s">
        <v>2830</v>
      </c>
      <c r="B1228" s="294">
        <v>46177</v>
      </c>
      <c r="C1228" s="286" t="s">
        <v>168</v>
      </c>
      <c r="D1228" s="286" t="s">
        <v>128</v>
      </c>
      <c r="E1228" s="295">
        <v>2</v>
      </c>
      <c r="F1228" s="295">
        <v>4</v>
      </c>
      <c r="G1228" s="296">
        <v>0</v>
      </c>
      <c r="H1228" s="296">
        <v>3100</v>
      </c>
      <c r="I1228" s="296">
        <v>1800</v>
      </c>
      <c r="J1228" s="296">
        <v>1890</v>
      </c>
      <c r="K1228" s="296">
        <v>1210</v>
      </c>
      <c r="L1228" s="296">
        <v>0</v>
      </c>
      <c r="M1228" s="296">
        <v>1300</v>
      </c>
      <c r="N1228" s="297">
        <v>0.41935483870967744</v>
      </c>
    </row>
    <row r="1229" spans="1:14" ht="18" customHeight="1">
      <c r="A1229" s="293" t="s">
        <v>2831</v>
      </c>
      <c r="B1229" s="294">
        <v>46177</v>
      </c>
      <c r="C1229" s="286" t="s">
        <v>350</v>
      </c>
      <c r="D1229" s="286" t="s">
        <v>119</v>
      </c>
      <c r="E1229" s="295">
        <v>1</v>
      </c>
      <c r="F1229" s="295">
        <v>1</v>
      </c>
      <c r="G1229" s="296">
        <v>0</v>
      </c>
      <c r="H1229" s="296">
        <v>2000</v>
      </c>
      <c r="I1229" s="296">
        <v>1450</v>
      </c>
      <c r="J1229" s="296">
        <v>1522.5</v>
      </c>
      <c r="K1229" s="296">
        <v>477.5</v>
      </c>
      <c r="L1229" s="296">
        <v>143.25</v>
      </c>
      <c r="M1229" s="296">
        <v>550</v>
      </c>
      <c r="N1229" s="297">
        <v>0.27500000000000002</v>
      </c>
    </row>
    <row r="1230" spans="1:14" ht="18" customHeight="1">
      <c r="A1230" s="293" t="s">
        <v>2832</v>
      </c>
      <c r="B1230" s="294">
        <v>46177</v>
      </c>
      <c r="C1230" s="286" t="s">
        <v>168</v>
      </c>
      <c r="D1230" s="286" t="s">
        <v>99</v>
      </c>
      <c r="E1230" s="295">
        <v>5</v>
      </c>
      <c r="F1230" s="295">
        <v>7</v>
      </c>
      <c r="G1230" s="296">
        <v>0</v>
      </c>
      <c r="H1230" s="296">
        <v>1256</v>
      </c>
      <c r="I1230" s="296">
        <v>590</v>
      </c>
      <c r="J1230" s="296">
        <v>613.74</v>
      </c>
      <c r="K1230" s="296">
        <v>642.26</v>
      </c>
      <c r="L1230" s="296">
        <v>0</v>
      </c>
      <c r="M1230" s="296">
        <v>666</v>
      </c>
      <c r="N1230" s="297">
        <v>0.53025477707006374</v>
      </c>
    </row>
    <row r="1231" spans="1:14" ht="18" customHeight="1">
      <c r="A1231" s="293" t="s">
        <v>2833</v>
      </c>
      <c r="B1231" s="294">
        <v>46178</v>
      </c>
      <c r="C1231" s="286" t="s">
        <v>3773</v>
      </c>
      <c r="D1231" s="286" t="s">
        <v>102</v>
      </c>
      <c r="E1231" s="295">
        <v>2</v>
      </c>
      <c r="F1231" s="295">
        <v>2</v>
      </c>
      <c r="G1231" s="296">
        <v>0</v>
      </c>
      <c r="H1231" s="296">
        <v>2500</v>
      </c>
      <c r="I1231" s="296">
        <v>100</v>
      </c>
      <c r="J1231" s="296">
        <v>105</v>
      </c>
      <c r="K1231" s="296">
        <v>2395</v>
      </c>
      <c r="L1231" s="296">
        <v>718.5</v>
      </c>
      <c r="M1231" s="296">
        <v>2400</v>
      </c>
      <c r="N1231" s="297">
        <v>0.96</v>
      </c>
    </row>
    <row r="1232" spans="1:14" ht="18" customHeight="1">
      <c r="A1232" s="293" t="s">
        <v>2834</v>
      </c>
      <c r="B1232" s="294">
        <v>46178</v>
      </c>
      <c r="C1232" s="286" t="s">
        <v>168</v>
      </c>
      <c r="D1232" s="286" t="s">
        <v>155</v>
      </c>
      <c r="E1232" s="295">
        <v>5</v>
      </c>
      <c r="F1232" s="295">
        <v>22</v>
      </c>
      <c r="G1232" s="296">
        <v>0</v>
      </c>
      <c r="H1232" s="296">
        <v>8790</v>
      </c>
      <c r="I1232" s="296">
        <v>7319.5</v>
      </c>
      <c r="J1232" s="296">
        <v>7539.085</v>
      </c>
      <c r="K1232" s="296">
        <v>1250.915</v>
      </c>
      <c r="L1232" s="296">
        <v>0</v>
      </c>
      <c r="M1232" s="296">
        <v>1470.5</v>
      </c>
      <c r="N1232" s="297">
        <v>0.167292377701934</v>
      </c>
    </row>
    <row r="1233" spans="1:14" ht="18" customHeight="1">
      <c r="A1233" s="293" t="s">
        <v>2835</v>
      </c>
      <c r="B1233" s="294">
        <v>46178</v>
      </c>
      <c r="C1233" s="286" t="s">
        <v>168</v>
      </c>
      <c r="D1233" s="286" t="s">
        <v>112</v>
      </c>
      <c r="E1233" s="295">
        <v>3</v>
      </c>
      <c r="F1233" s="295">
        <v>7</v>
      </c>
      <c r="G1233" s="296">
        <v>0</v>
      </c>
      <c r="H1233" s="296">
        <v>5395</v>
      </c>
      <c r="I1233" s="296">
        <v>4224</v>
      </c>
      <c r="J1233" s="296">
        <v>4397.7000000000007</v>
      </c>
      <c r="K1233" s="296">
        <v>997.29999999999961</v>
      </c>
      <c r="L1233" s="296">
        <v>0</v>
      </c>
      <c r="M1233" s="296">
        <v>1171</v>
      </c>
      <c r="N1233" s="297">
        <v>0.2170528266913809</v>
      </c>
    </row>
    <row r="1234" spans="1:14" ht="18" customHeight="1">
      <c r="A1234" s="293" t="s">
        <v>2836</v>
      </c>
      <c r="B1234" s="294">
        <v>46178</v>
      </c>
      <c r="C1234" s="286" t="s">
        <v>353</v>
      </c>
      <c r="D1234" s="286" t="s">
        <v>108</v>
      </c>
      <c r="E1234" s="295">
        <v>2</v>
      </c>
      <c r="F1234" s="295">
        <v>2</v>
      </c>
      <c r="G1234" s="296">
        <v>0</v>
      </c>
      <c r="H1234" s="296">
        <v>2700</v>
      </c>
      <c r="I1234" s="296">
        <v>1420</v>
      </c>
      <c r="J1234" s="296">
        <v>1491</v>
      </c>
      <c r="K1234" s="296">
        <v>1209</v>
      </c>
      <c r="L1234" s="296">
        <v>362.7</v>
      </c>
      <c r="M1234" s="296">
        <v>1280</v>
      </c>
      <c r="N1234" s="297">
        <v>0.47407407407407409</v>
      </c>
    </row>
    <row r="1235" spans="1:14" ht="18" customHeight="1">
      <c r="A1235" s="293" t="s">
        <v>2837</v>
      </c>
      <c r="B1235" s="294">
        <v>46178</v>
      </c>
      <c r="C1235" s="286" t="s">
        <v>353</v>
      </c>
      <c r="D1235" s="286" t="s">
        <v>94</v>
      </c>
      <c r="E1235" s="295">
        <v>1</v>
      </c>
      <c r="F1235" s="295">
        <v>1</v>
      </c>
      <c r="G1235" s="296">
        <v>0</v>
      </c>
      <c r="H1235" s="296">
        <v>2100</v>
      </c>
      <c r="I1235" s="296">
        <v>1500</v>
      </c>
      <c r="J1235" s="296">
        <v>1575</v>
      </c>
      <c r="K1235" s="296">
        <v>525</v>
      </c>
      <c r="L1235" s="296">
        <v>157.5</v>
      </c>
      <c r="M1235" s="296">
        <v>600</v>
      </c>
      <c r="N1235" s="297">
        <v>0.2857142857142857</v>
      </c>
    </row>
    <row r="1236" spans="1:14" ht="18" customHeight="1">
      <c r="A1236" s="293" t="s">
        <v>2838</v>
      </c>
      <c r="B1236" s="294">
        <v>46178</v>
      </c>
      <c r="C1236" s="286" t="s">
        <v>168</v>
      </c>
      <c r="D1236" s="286" t="s">
        <v>96</v>
      </c>
      <c r="E1236" s="295">
        <v>5</v>
      </c>
      <c r="F1236" s="295">
        <v>6</v>
      </c>
      <c r="G1236" s="296">
        <v>0</v>
      </c>
      <c r="H1236" s="296">
        <v>3190</v>
      </c>
      <c r="I1236" s="296">
        <v>1410</v>
      </c>
      <c r="J1236" s="296">
        <v>1480.5</v>
      </c>
      <c r="K1236" s="296">
        <v>1709.5</v>
      </c>
      <c r="L1236" s="296">
        <v>0</v>
      </c>
      <c r="M1236" s="296">
        <v>1780</v>
      </c>
      <c r="N1236" s="297">
        <v>0.55799373040752354</v>
      </c>
    </row>
    <row r="1237" spans="1:14" ht="18" customHeight="1">
      <c r="A1237" s="293" t="s">
        <v>2839</v>
      </c>
      <c r="B1237" s="294">
        <v>46178</v>
      </c>
      <c r="C1237" s="286" t="s">
        <v>168</v>
      </c>
      <c r="D1237" s="286" t="s">
        <v>128</v>
      </c>
      <c r="E1237" s="295">
        <v>1</v>
      </c>
      <c r="F1237" s="295">
        <v>1</v>
      </c>
      <c r="G1237" s="296">
        <v>0</v>
      </c>
      <c r="H1237" s="296">
        <v>550</v>
      </c>
      <c r="I1237" s="296">
        <v>240</v>
      </c>
      <c r="J1237" s="296">
        <v>252</v>
      </c>
      <c r="K1237" s="296">
        <v>298</v>
      </c>
      <c r="L1237" s="296">
        <v>0</v>
      </c>
      <c r="M1237" s="296">
        <v>310</v>
      </c>
      <c r="N1237" s="297">
        <v>0.5636363636363636</v>
      </c>
    </row>
    <row r="1238" spans="1:14" ht="18" customHeight="1">
      <c r="A1238" s="293" t="s">
        <v>2840</v>
      </c>
      <c r="B1238" s="294">
        <v>46178</v>
      </c>
      <c r="C1238" s="286" t="s">
        <v>168</v>
      </c>
      <c r="D1238" s="286" t="s">
        <v>97</v>
      </c>
      <c r="E1238" s="295">
        <v>3</v>
      </c>
      <c r="F1238" s="295">
        <v>6</v>
      </c>
      <c r="G1238" s="296">
        <v>0</v>
      </c>
      <c r="H1238" s="296">
        <v>1730</v>
      </c>
      <c r="I1238" s="296">
        <v>805</v>
      </c>
      <c r="J1238" s="296">
        <v>845.25</v>
      </c>
      <c r="K1238" s="296">
        <v>884.75</v>
      </c>
      <c r="L1238" s="296">
        <v>0</v>
      </c>
      <c r="M1238" s="296">
        <v>925</v>
      </c>
      <c r="N1238" s="297">
        <v>0.53468208092485547</v>
      </c>
    </row>
    <row r="1239" spans="1:14" ht="18" customHeight="1">
      <c r="A1239" s="293" t="s">
        <v>2841</v>
      </c>
      <c r="B1239" s="294">
        <v>46178</v>
      </c>
      <c r="C1239" s="286" t="s">
        <v>168</v>
      </c>
      <c r="D1239" s="286" t="s">
        <v>99</v>
      </c>
      <c r="E1239" s="295">
        <v>1</v>
      </c>
      <c r="F1239" s="295">
        <v>1</v>
      </c>
      <c r="G1239" s="296">
        <v>0</v>
      </c>
      <c r="H1239" s="296">
        <v>180</v>
      </c>
      <c r="I1239" s="296">
        <v>70</v>
      </c>
      <c r="J1239" s="296">
        <v>73.5</v>
      </c>
      <c r="K1239" s="296">
        <v>106.5</v>
      </c>
      <c r="L1239" s="296">
        <v>0</v>
      </c>
      <c r="M1239" s="296">
        <v>110</v>
      </c>
      <c r="N1239" s="297">
        <v>0.61111111111111116</v>
      </c>
    </row>
    <row r="1240" spans="1:14" ht="18" customHeight="1">
      <c r="A1240" s="293" t="s">
        <v>2842</v>
      </c>
      <c r="B1240" s="294">
        <v>46179</v>
      </c>
      <c r="C1240" s="286" t="s">
        <v>3773</v>
      </c>
      <c r="D1240" s="286" t="s">
        <v>102</v>
      </c>
      <c r="E1240" s="295">
        <v>1</v>
      </c>
      <c r="F1240" s="295">
        <v>1</v>
      </c>
      <c r="G1240" s="296">
        <v>0</v>
      </c>
      <c r="H1240" s="296">
        <v>2100</v>
      </c>
      <c r="I1240" s="296">
        <v>1400</v>
      </c>
      <c r="J1240" s="296">
        <v>1470</v>
      </c>
      <c r="K1240" s="296">
        <v>630</v>
      </c>
      <c r="L1240" s="296">
        <v>189</v>
      </c>
      <c r="M1240" s="296">
        <v>700</v>
      </c>
      <c r="N1240" s="297">
        <v>0.33333333333333331</v>
      </c>
    </row>
    <row r="1241" spans="1:14" ht="18" customHeight="1">
      <c r="A1241" s="293" t="s">
        <v>2843</v>
      </c>
      <c r="B1241" s="294">
        <v>46179</v>
      </c>
      <c r="C1241" s="286" t="s">
        <v>168</v>
      </c>
      <c r="D1241" s="286" t="s">
        <v>112</v>
      </c>
      <c r="E1241" s="295">
        <v>4</v>
      </c>
      <c r="F1241" s="295">
        <v>33</v>
      </c>
      <c r="G1241" s="296">
        <v>0</v>
      </c>
      <c r="H1241" s="296">
        <v>13040</v>
      </c>
      <c r="I1241" s="296">
        <v>6652.75</v>
      </c>
      <c r="J1241" s="296">
        <v>6852.3325000000004</v>
      </c>
      <c r="K1241" s="296">
        <v>6187.6674999999996</v>
      </c>
      <c r="L1241" s="296">
        <v>0</v>
      </c>
      <c r="M1241" s="296">
        <v>6387.25</v>
      </c>
      <c r="N1241" s="297">
        <v>0.48981978527607362</v>
      </c>
    </row>
    <row r="1242" spans="1:14" ht="18" customHeight="1">
      <c r="A1242" s="293" t="s">
        <v>2844</v>
      </c>
      <c r="B1242" s="294">
        <v>46179</v>
      </c>
      <c r="C1242" s="286" t="s">
        <v>168</v>
      </c>
      <c r="D1242" s="286" t="s">
        <v>156</v>
      </c>
      <c r="E1242" s="295">
        <v>1</v>
      </c>
      <c r="F1242" s="295">
        <v>1</v>
      </c>
      <c r="G1242" s="296">
        <v>0</v>
      </c>
      <c r="H1242" s="296">
        <v>700</v>
      </c>
      <c r="I1242" s="296">
        <v>380</v>
      </c>
      <c r="J1242" s="296">
        <v>399</v>
      </c>
      <c r="K1242" s="296">
        <v>301</v>
      </c>
      <c r="L1242" s="296">
        <v>0</v>
      </c>
      <c r="M1242" s="296">
        <v>320</v>
      </c>
      <c r="N1242" s="297">
        <v>0.45714285714285713</v>
      </c>
    </row>
    <row r="1243" spans="1:14" ht="18" customHeight="1">
      <c r="A1243" s="293" t="s">
        <v>2845</v>
      </c>
      <c r="B1243" s="294">
        <v>46179</v>
      </c>
      <c r="C1243" s="286" t="s">
        <v>354</v>
      </c>
      <c r="D1243" s="286" t="s">
        <v>109</v>
      </c>
      <c r="E1243" s="295">
        <v>1</v>
      </c>
      <c r="F1243" s="295">
        <v>1</v>
      </c>
      <c r="G1243" s="296">
        <v>0</v>
      </c>
      <c r="H1243" s="296">
        <v>2100</v>
      </c>
      <c r="I1243" s="296">
        <v>1500</v>
      </c>
      <c r="J1243" s="296">
        <v>1575</v>
      </c>
      <c r="K1243" s="296">
        <v>525</v>
      </c>
      <c r="L1243" s="296">
        <v>157.5</v>
      </c>
      <c r="M1243" s="296">
        <v>600</v>
      </c>
      <c r="N1243" s="297">
        <v>0.2857142857142857</v>
      </c>
    </row>
    <row r="1244" spans="1:14" ht="18" customHeight="1">
      <c r="A1244" s="293" t="s">
        <v>2846</v>
      </c>
      <c r="B1244" s="294">
        <v>46179</v>
      </c>
      <c r="C1244" s="286" t="s">
        <v>353</v>
      </c>
      <c r="D1244" s="286" t="s">
        <v>94</v>
      </c>
      <c r="E1244" s="295">
        <v>9</v>
      </c>
      <c r="F1244" s="295">
        <v>16</v>
      </c>
      <c r="G1244" s="296">
        <v>0</v>
      </c>
      <c r="H1244" s="296">
        <v>5843</v>
      </c>
      <c r="I1244" s="296">
        <v>3350</v>
      </c>
      <c r="J1244" s="296">
        <v>3517.5</v>
      </c>
      <c r="K1244" s="296">
        <v>2325.5</v>
      </c>
      <c r="L1244" s="296">
        <v>697.65</v>
      </c>
      <c r="M1244" s="296">
        <v>2493</v>
      </c>
      <c r="N1244" s="297">
        <v>0.42666438473386958</v>
      </c>
    </row>
    <row r="1245" spans="1:14" ht="18" customHeight="1">
      <c r="A1245" s="293" t="s">
        <v>2847</v>
      </c>
      <c r="B1245" s="294">
        <v>46179</v>
      </c>
      <c r="C1245" s="286" t="s">
        <v>168</v>
      </c>
      <c r="D1245" s="286" t="s">
        <v>96</v>
      </c>
      <c r="E1245" s="295">
        <v>3</v>
      </c>
      <c r="F1245" s="295">
        <v>3</v>
      </c>
      <c r="G1245" s="296">
        <v>0</v>
      </c>
      <c r="H1245" s="296">
        <v>4100</v>
      </c>
      <c r="I1245" s="296">
        <v>2022</v>
      </c>
      <c r="J1245" s="296">
        <v>2123.1</v>
      </c>
      <c r="K1245" s="296">
        <v>1976.9</v>
      </c>
      <c r="L1245" s="296">
        <v>0</v>
      </c>
      <c r="M1245" s="296">
        <v>2078</v>
      </c>
      <c r="N1245" s="297">
        <v>0.50682926829268293</v>
      </c>
    </row>
    <row r="1246" spans="1:14" ht="18" customHeight="1">
      <c r="A1246" s="293" t="s">
        <v>2848</v>
      </c>
      <c r="B1246" s="294">
        <v>46179</v>
      </c>
      <c r="C1246" s="286" t="s">
        <v>168</v>
      </c>
      <c r="D1246" s="286" t="s">
        <v>115</v>
      </c>
      <c r="E1246" s="295">
        <v>1</v>
      </c>
      <c r="F1246" s="295">
        <v>1</v>
      </c>
      <c r="G1246" s="296">
        <v>0</v>
      </c>
      <c r="H1246" s="296">
        <v>2000</v>
      </c>
      <c r="I1246" s="296">
        <v>1300</v>
      </c>
      <c r="J1246" s="296">
        <v>1365</v>
      </c>
      <c r="K1246" s="296">
        <v>635</v>
      </c>
      <c r="L1246" s="296">
        <v>0</v>
      </c>
      <c r="M1246" s="296">
        <v>700</v>
      </c>
      <c r="N1246" s="297">
        <v>0.35</v>
      </c>
    </row>
    <row r="1247" spans="1:14" ht="18" customHeight="1">
      <c r="A1247" s="293" t="s">
        <v>2849</v>
      </c>
      <c r="B1247" s="294">
        <v>46179</v>
      </c>
      <c r="C1247" s="286" t="s">
        <v>168</v>
      </c>
      <c r="D1247" s="286" t="s">
        <v>99</v>
      </c>
      <c r="E1247" s="295">
        <v>5</v>
      </c>
      <c r="F1247" s="295">
        <v>7</v>
      </c>
      <c r="G1247" s="296">
        <v>0</v>
      </c>
      <c r="H1247" s="296">
        <v>1835</v>
      </c>
      <c r="I1247" s="296">
        <v>1177</v>
      </c>
      <c r="J1247" s="296">
        <v>1221.1500000000001</v>
      </c>
      <c r="K1247" s="296">
        <v>613.84999999999991</v>
      </c>
      <c r="L1247" s="296">
        <v>0</v>
      </c>
      <c r="M1247" s="296">
        <v>658</v>
      </c>
      <c r="N1247" s="297">
        <v>0.35858310626702999</v>
      </c>
    </row>
    <row r="1248" spans="1:14" ht="18" customHeight="1">
      <c r="A1248" s="293" t="s">
        <v>2850</v>
      </c>
      <c r="B1248" s="294">
        <v>46181</v>
      </c>
      <c r="C1248" s="286" t="s">
        <v>358</v>
      </c>
      <c r="D1248" s="286" t="s">
        <v>225</v>
      </c>
      <c r="E1248" s="295">
        <v>1</v>
      </c>
      <c r="F1248" s="295">
        <v>1</v>
      </c>
      <c r="G1248" s="296">
        <v>0</v>
      </c>
      <c r="H1248" s="296">
        <v>1000</v>
      </c>
      <c r="I1248" s="296">
        <v>500</v>
      </c>
      <c r="J1248" s="296">
        <v>525</v>
      </c>
      <c r="K1248" s="296">
        <v>475</v>
      </c>
      <c r="L1248" s="296">
        <v>142.5</v>
      </c>
      <c r="M1248" s="296">
        <v>500</v>
      </c>
      <c r="N1248" s="297">
        <v>0.5</v>
      </c>
    </row>
    <row r="1249" spans="1:14" ht="18" customHeight="1">
      <c r="A1249" s="293" t="s">
        <v>2851</v>
      </c>
      <c r="B1249" s="294">
        <v>46181</v>
      </c>
      <c r="C1249" s="286" t="s">
        <v>3773</v>
      </c>
      <c r="D1249" s="286" t="s">
        <v>102</v>
      </c>
      <c r="E1249" s="295">
        <v>5</v>
      </c>
      <c r="F1249" s="295">
        <v>5</v>
      </c>
      <c r="G1249" s="296">
        <v>0</v>
      </c>
      <c r="H1249" s="296">
        <v>3880</v>
      </c>
      <c r="I1249" s="296">
        <v>2100</v>
      </c>
      <c r="J1249" s="296">
        <v>2205</v>
      </c>
      <c r="K1249" s="296">
        <v>1675</v>
      </c>
      <c r="L1249" s="296">
        <v>502.5</v>
      </c>
      <c r="M1249" s="296">
        <v>1780</v>
      </c>
      <c r="N1249" s="297">
        <v>0.45876288659793812</v>
      </c>
    </row>
    <row r="1250" spans="1:14" ht="18" customHeight="1">
      <c r="A1250" s="293" t="s">
        <v>2852</v>
      </c>
      <c r="B1250" s="294">
        <v>46181</v>
      </c>
      <c r="C1250" s="286" t="s">
        <v>168</v>
      </c>
      <c r="D1250" s="286" t="s">
        <v>120</v>
      </c>
      <c r="E1250" s="295">
        <v>1</v>
      </c>
      <c r="F1250" s="295">
        <v>1</v>
      </c>
      <c r="G1250" s="296">
        <v>0</v>
      </c>
      <c r="H1250" s="296">
        <v>1900</v>
      </c>
      <c r="I1250" s="296">
        <v>1300</v>
      </c>
      <c r="J1250" s="296">
        <v>1365</v>
      </c>
      <c r="K1250" s="296">
        <v>535</v>
      </c>
      <c r="L1250" s="296">
        <v>0</v>
      </c>
      <c r="M1250" s="296">
        <v>600</v>
      </c>
      <c r="N1250" s="297">
        <v>0.31578947368421051</v>
      </c>
    </row>
    <row r="1251" spans="1:14" ht="18" customHeight="1">
      <c r="A1251" s="293" t="s">
        <v>2853</v>
      </c>
      <c r="B1251" s="294">
        <v>46181</v>
      </c>
      <c r="C1251" s="286" t="s">
        <v>354</v>
      </c>
      <c r="D1251" s="286" t="s">
        <v>109</v>
      </c>
      <c r="E1251" s="295">
        <v>1</v>
      </c>
      <c r="F1251" s="295">
        <v>1</v>
      </c>
      <c r="G1251" s="296">
        <v>0</v>
      </c>
      <c r="H1251" s="296">
        <v>1800</v>
      </c>
      <c r="I1251" s="296">
        <v>1100</v>
      </c>
      <c r="J1251" s="296">
        <v>1155</v>
      </c>
      <c r="K1251" s="296">
        <v>645</v>
      </c>
      <c r="L1251" s="296">
        <v>193.5</v>
      </c>
      <c r="M1251" s="296">
        <v>700</v>
      </c>
      <c r="N1251" s="297">
        <v>0.3888888888888889</v>
      </c>
    </row>
    <row r="1252" spans="1:14" ht="18" customHeight="1">
      <c r="A1252" s="293" t="s">
        <v>2854</v>
      </c>
      <c r="B1252" s="294">
        <v>46181</v>
      </c>
      <c r="C1252" s="286" t="s">
        <v>3773</v>
      </c>
      <c r="D1252" s="286" t="s">
        <v>116</v>
      </c>
      <c r="E1252" s="295">
        <v>2</v>
      </c>
      <c r="F1252" s="295">
        <v>2</v>
      </c>
      <c r="G1252" s="296">
        <v>0</v>
      </c>
      <c r="H1252" s="296">
        <v>2366</v>
      </c>
      <c r="I1252" s="296">
        <v>1470</v>
      </c>
      <c r="J1252" s="296">
        <v>1543.5</v>
      </c>
      <c r="K1252" s="296">
        <v>822.5</v>
      </c>
      <c r="L1252" s="296">
        <v>246.75</v>
      </c>
      <c r="M1252" s="296">
        <v>896</v>
      </c>
      <c r="N1252" s="297">
        <v>0.378698224852071</v>
      </c>
    </row>
    <row r="1253" spans="1:14" ht="18" customHeight="1">
      <c r="A1253" s="293" t="s">
        <v>2855</v>
      </c>
      <c r="B1253" s="294">
        <v>46181</v>
      </c>
      <c r="C1253" s="286" t="s">
        <v>168</v>
      </c>
      <c r="D1253" s="286" t="s">
        <v>226</v>
      </c>
      <c r="E1253" s="295">
        <v>1</v>
      </c>
      <c r="F1253" s="295">
        <v>2</v>
      </c>
      <c r="G1253" s="296">
        <v>0</v>
      </c>
      <c r="H1253" s="296">
        <v>120</v>
      </c>
      <c r="I1253" s="296">
        <v>70.5</v>
      </c>
      <c r="J1253" s="296">
        <v>72.614999999999995</v>
      </c>
      <c r="K1253" s="296">
        <v>47.385000000000005</v>
      </c>
      <c r="L1253" s="296">
        <v>0</v>
      </c>
      <c r="M1253" s="296">
        <v>49.5</v>
      </c>
      <c r="N1253" s="297">
        <v>0.41249999999999998</v>
      </c>
    </row>
    <row r="1254" spans="1:14" ht="18" customHeight="1">
      <c r="A1254" s="293" t="s">
        <v>2856</v>
      </c>
      <c r="B1254" s="294">
        <v>46181</v>
      </c>
      <c r="C1254" s="286" t="s">
        <v>168</v>
      </c>
      <c r="D1254" s="286" t="s">
        <v>96</v>
      </c>
      <c r="E1254" s="295">
        <v>2</v>
      </c>
      <c r="F1254" s="295">
        <v>2</v>
      </c>
      <c r="G1254" s="296">
        <v>0</v>
      </c>
      <c r="H1254" s="296">
        <v>800</v>
      </c>
      <c r="I1254" s="296">
        <v>490</v>
      </c>
      <c r="J1254" s="296">
        <v>514.5</v>
      </c>
      <c r="K1254" s="296">
        <v>285.5</v>
      </c>
      <c r="L1254" s="296">
        <v>0</v>
      </c>
      <c r="M1254" s="296">
        <v>310</v>
      </c>
      <c r="N1254" s="297">
        <v>0.38750000000000001</v>
      </c>
    </row>
    <row r="1255" spans="1:14" ht="18" customHeight="1">
      <c r="A1255" s="293" t="s">
        <v>2857</v>
      </c>
      <c r="B1255" s="294">
        <v>46181</v>
      </c>
      <c r="C1255" s="286" t="s">
        <v>168</v>
      </c>
      <c r="D1255" s="286" t="s">
        <v>105</v>
      </c>
      <c r="E1255" s="295">
        <v>1</v>
      </c>
      <c r="F1255" s="295">
        <v>2</v>
      </c>
      <c r="G1255" s="296">
        <v>0</v>
      </c>
      <c r="H1255" s="296">
        <v>1000</v>
      </c>
      <c r="I1255" s="296">
        <v>520</v>
      </c>
      <c r="J1255" s="296">
        <v>546</v>
      </c>
      <c r="K1255" s="296">
        <v>454</v>
      </c>
      <c r="L1255" s="296">
        <v>0</v>
      </c>
      <c r="M1255" s="296">
        <v>480</v>
      </c>
      <c r="N1255" s="297">
        <v>0.48</v>
      </c>
    </row>
    <row r="1256" spans="1:14" ht="18" customHeight="1">
      <c r="A1256" s="293" t="s">
        <v>2858</v>
      </c>
      <c r="B1256" s="294">
        <v>46181</v>
      </c>
      <c r="C1256" s="286" t="s">
        <v>168</v>
      </c>
      <c r="D1256" s="286" t="s">
        <v>124</v>
      </c>
      <c r="E1256" s="295">
        <v>3</v>
      </c>
      <c r="F1256" s="295">
        <v>3</v>
      </c>
      <c r="G1256" s="296">
        <v>0</v>
      </c>
      <c r="H1256" s="296">
        <v>1130</v>
      </c>
      <c r="I1256" s="296">
        <v>465</v>
      </c>
      <c r="J1256" s="296">
        <v>488.25</v>
      </c>
      <c r="K1256" s="296">
        <v>641.75</v>
      </c>
      <c r="L1256" s="296">
        <v>0</v>
      </c>
      <c r="M1256" s="296">
        <v>665</v>
      </c>
      <c r="N1256" s="297">
        <v>0.58849557522123896</v>
      </c>
    </row>
    <row r="1257" spans="1:14" ht="18" customHeight="1">
      <c r="A1257" s="293" t="s">
        <v>2859</v>
      </c>
      <c r="B1257" s="294">
        <v>46181</v>
      </c>
      <c r="C1257" s="286" t="s">
        <v>168</v>
      </c>
      <c r="D1257" s="286" t="s">
        <v>129</v>
      </c>
      <c r="E1257" s="295">
        <v>5</v>
      </c>
      <c r="F1257" s="295">
        <v>24</v>
      </c>
      <c r="G1257" s="296">
        <v>0</v>
      </c>
      <c r="H1257" s="296">
        <v>2235</v>
      </c>
      <c r="I1257" s="296">
        <v>1378.5</v>
      </c>
      <c r="J1257" s="296">
        <v>1433.595</v>
      </c>
      <c r="K1257" s="296">
        <v>801.40499999999997</v>
      </c>
      <c r="L1257" s="296">
        <v>0</v>
      </c>
      <c r="M1257" s="296">
        <v>856.5</v>
      </c>
      <c r="N1257" s="297">
        <v>0.38322147651006711</v>
      </c>
    </row>
    <row r="1258" spans="1:14" ht="18" customHeight="1">
      <c r="A1258" s="293" t="s">
        <v>2860</v>
      </c>
      <c r="B1258" s="294">
        <v>46181</v>
      </c>
      <c r="C1258" s="286" t="s">
        <v>168</v>
      </c>
      <c r="D1258" s="286" t="s">
        <v>97</v>
      </c>
      <c r="E1258" s="295">
        <v>1</v>
      </c>
      <c r="F1258" s="295">
        <v>1</v>
      </c>
      <c r="G1258" s="296">
        <v>0</v>
      </c>
      <c r="H1258" s="296">
        <v>250</v>
      </c>
      <c r="I1258" s="296">
        <v>90</v>
      </c>
      <c r="J1258" s="296">
        <v>94.5</v>
      </c>
      <c r="K1258" s="296">
        <v>155.5</v>
      </c>
      <c r="L1258" s="296">
        <v>0</v>
      </c>
      <c r="M1258" s="296">
        <v>160</v>
      </c>
      <c r="N1258" s="297">
        <v>0.64</v>
      </c>
    </row>
    <row r="1259" spans="1:14" ht="18" customHeight="1">
      <c r="A1259" s="293" t="s">
        <v>2861</v>
      </c>
      <c r="B1259" s="294">
        <v>46181</v>
      </c>
      <c r="C1259" s="286" t="s">
        <v>168</v>
      </c>
      <c r="D1259" s="286" t="s">
        <v>99</v>
      </c>
      <c r="E1259" s="295">
        <v>9</v>
      </c>
      <c r="F1259" s="295">
        <v>22</v>
      </c>
      <c r="G1259" s="296">
        <v>0</v>
      </c>
      <c r="H1259" s="296">
        <v>2603</v>
      </c>
      <c r="I1259" s="296">
        <v>1534.1</v>
      </c>
      <c r="J1259" s="296">
        <v>1603.8279999999997</v>
      </c>
      <c r="K1259" s="296">
        <v>999.17199999999991</v>
      </c>
      <c r="L1259" s="296">
        <v>0</v>
      </c>
      <c r="M1259" s="296">
        <v>1068.9000000000001</v>
      </c>
      <c r="N1259" s="297">
        <v>0.4106415674222052</v>
      </c>
    </row>
    <row r="1260" spans="1:14" ht="18" customHeight="1">
      <c r="A1260" s="293" t="s">
        <v>2862</v>
      </c>
      <c r="B1260" s="294">
        <v>46182</v>
      </c>
      <c r="C1260" s="286" t="s">
        <v>168</v>
      </c>
      <c r="D1260" s="286" t="s">
        <v>181</v>
      </c>
      <c r="E1260" s="295">
        <v>1</v>
      </c>
      <c r="F1260" s="295">
        <v>1</v>
      </c>
      <c r="G1260" s="296">
        <v>0</v>
      </c>
      <c r="H1260" s="296">
        <v>340</v>
      </c>
      <c r="I1260" s="296">
        <v>150</v>
      </c>
      <c r="J1260" s="296">
        <v>157.5</v>
      </c>
      <c r="K1260" s="296">
        <v>182.5</v>
      </c>
      <c r="L1260" s="296">
        <v>0</v>
      </c>
      <c r="M1260" s="296">
        <v>190</v>
      </c>
      <c r="N1260" s="297">
        <v>0.55882352941176472</v>
      </c>
    </row>
    <row r="1261" spans="1:14" ht="18" customHeight="1">
      <c r="A1261" s="293" t="s">
        <v>2863</v>
      </c>
      <c r="B1261" s="294">
        <v>46182</v>
      </c>
      <c r="C1261" s="286" t="s">
        <v>3773</v>
      </c>
      <c r="D1261" s="286" t="s">
        <v>102</v>
      </c>
      <c r="E1261" s="295">
        <v>1</v>
      </c>
      <c r="F1261" s="295">
        <v>6</v>
      </c>
      <c r="G1261" s="296">
        <v>0</v>
      </c>
      <c r="H1261" s="296">
        <v>750</v>
      </c>
      <c r="I1261" s="296">
        <v>96</v>
      </c>
      <c r="J1261" s="296">
        <v>100.80000000000001</v>
      </c>
      <c r="K1261" s="296">
        <v>649.20000000000005</v>
      </c>
      <c r="L1261" s="296">
        <v>194.76000000000002</v>
      </c>
      <c r="M1261" s="296">
        <v>654</v>
      </c>
      <c r="N1261" s="297">
        <v>0.872</v>
      </c>
    </row>
    <row r="1262" spans="1:14" ht="18" customHeight="1">
      <c r="A1262" s="293" t="s">
        <v>2864</v>
      </c>
      <c r="B1262" s="294">
        <v>46182</v>
      </c>
      <c r="C1262" s="286" t="s">
        <v>168</v>
      </c>
      <c r="D1262" s="286" t="s">
        <v>120</v>
      </c>
      <c r="E1262" s="295">
        <v>1</v>
      </c>
      <c r="F1262" s="295">
        <v>1</v>
      </c>
      <c r="G1262" s="296">
        <v>0</v>
      </c>
      <c r="H1262" s="296">
        <v>1900</v>
      </c>
      <c r="I1262" s="296">
        <v>1100</v>
      </c>
      <c r="J1262" s="296">
        <v>1155</v>
      </c>
      <c r="K1262" s="296">
        <v>745</v>
      </c>
      <c r="L1262" s="296">
        <v>0</v>
      </c>
      <c r="M1262" s="296">
        <v>800</v>
      </c>
      <c r="N1262" s="297">
        <v>0.42105263157894735</v>
      </c>
    </row>
    <row r="1263" spans="1:14" ht="18" customHeight="1">
      <c r="A1263" s="293" t="s">
        <v>2865</v>
      </c>
      <c r="B1263" s="294">
        <v>46182</v>
      </c>
      <c r="C1263" s="286" t="s">
        <v>3773</v>
      </c>
      <c r="D1263" s="286" t="s">
        <v>126</v>
      </c>
      <c r="E1263" s="295">
        <v>1</v>
      </c>
      <c r="F1263" s="295">
        <v>1</v>
      </c>
      <c r="G1263" s="296">
        <v>0</v>
      </c>
      <c r="H1263" s="296">
        <v>1750</v>
      </c>
      <c r="I1263" s="296">
        <v>1150</v>
      </c>
      <c r="J1263" s="296">
        <v>1207.5</v>
      </c>
      <c r="K1263" s="296">
        <v>542.5</v>
      </c>
      <c r="L1263" s="296">
        <v>162.75</v>
      </c>
      <c r="M1263" s="296">
        <v>600</v>
      </c>
      <c r="N1263" s="297">
        <v>0.34285714285714286</v>
      </c>
    </row>
    <row r="1264" spans="1:14" ht="18" customHeight="1">
      <c r="A1264" s="293" t="s">
        <v>2866</v>
      </c>
      <c r="B1264" s="294">
        <v>46182</v>
      </c>
      <c r="C1264" s="286" t="s">
        <v>353</v>
      </c>
      <c r="D1264" s="286" t="s">
        <v>108</v>
      </c>
      <c r="E1264" s="295">
        <v>1</v>
      </c>
      <c r="F1264" s="295">
        <v>1</v>
      </c>
      <c r="G1264" s="296">
        <v>0</v>
      </c>
      <c r="H1264" s="296">
        <v>1900</v>
      </c>
      <c r="I1264" s="296">
        <v>1350</v>
      </c>
      <c r="J1264" s="296">
        <v>1417.5</v>
      </c>
      <c r="K1264" s="296">
        <v>482.5</v>
      </c>
      <c r="L1264" s="296">
        <v>144.75</v>
      </c>
      <c r="M1264" s="296">
        <v>550</v>
      </c>
      <c r="N1264" s="297">
        <v>0.28947368421052633</v>
      </c>
    </row>
    <row r="1265" spans="1:14" ht="18" customHeight="1">
      <c r="A1265" s="293" t="s">
        <v>2867</v>
      </c>
      <c r="B1265" s="294">
        <v>46182</v>
      </c>
      <c r="C1265" s="286" t="s">
        <v>168</v>
      </c>
      <c r="D1265" s="286" t="s">
        <v>156</v>
      </c>
      <c r="E1265" s="295">
        <v>1</v>
      </c>
      <c r="F1265" s="295">
        <v>1</v>
      </c>
      <c r="G1265" s="296">
        <v>0</v>
      </c>
      <c r="H1265" s="296">
        <v>550</v>
      </c>
      <c r="I1265" s="296">
        <v>250</v>
      </c>
      <c r="J1265" s="296">
        <v>262.5</v>
      </c>
      <c r="K1265" s="296">
        <v>287.5</v>
      </c>
      <c r="L1265" s="296">
        <v>0</v>
      </c>
      <c r="M1265" s="296">
        <v>300</v>
      </c>
      <c r="N1265" s="297">
        <v>0.54545454545454541</v>
      </c>
    </row>
    <row r="1266" spans="1:14" ht="18" customHeight="1">
      <c r="A1266" s="293" t="s">
        <v>2868</v>
      </c>
      <c r="B1266" s="294">
        <v>46182</v>
      </c>
      <c r="C1266" s="286" t="s">
        <v>168</v>
      </c>
      <c r="D1266" s="286" t="s">
        <v>92</v>
      </c>
      <c r="E1266" s="295">
        <v>2</v>
      </c>
      <c r="F1266" s="295">
        <v>2</v>
      </c>
      <c r="G1266" s="296">
        <v>0</v>
      </c>
      <c r="H1266" s="296">
        <v>4200</v>
      </c>
      <c r="I1266" s="296">
        <v>2450</v>
      </c>
      <c r="J1266" s="296">
        <v>2572.5</v>
      </c>
      <c r="K1266" s="296">
        <v>1627.5</v>
      </c>
      <c r="L1266" s="296">
        <v>0</v>
      </c>
      <c r="M1266" s="296">
        <v>1750</v>
      </c>
      <c r="N1266" s="297">
        <v>0.41666666666666669</v>
      </c>
    </row>
    <row r="1267" spans="1:14" ht="18" customHeight="1">
      <c r="A1267" s="293" t="s">
        <v>2869</v>
      </c>
      <c r="B1267" s="294">
        <v>46182</v>
      </c>
      <c r="C1267" s="286" t="s">
        <v>168</v>
      </c>
      <c r="D1267" s="286" t="s">
        <v>227</v>
      </c>
      <c r="E1267" s="295">
        <v>1</v>
      </c>
      <c r="F1267" s="295">
        <v>0.4</v>
      </c>
      <c r="G1267" s="296">
        <v>0</v>
      </c>
      <c r="H1267" s="296">
        <v>1400</v>
      </c>
      <c r="I1267" s="296">
        <v>1059.2</v>
      </c>
      <c r="J1267" s="296">
        <v>1090.9760000000001</v>
      </c>
      <c r="K1267" s="296">
        <v>309.02399999999989</v>
      </c>
      <c r="L1267" s="296">
        <v>0</v>
      </c>
      <c r="M1267" s="296">
        <v>340.79999999999995</v>
      </c>
      <c r="N1267" s="297">
        <v>0.24342857142857138</v>
      </c>
    </row>
    <row r="1268" spans="1:14" ht="18" customHeight="1">
      <c r="A1268" s="293" t="s">
        <v>2870</v>
      </c>
      <c r="B1268" s="294">
        <v>46182</v>
      </c>
      <c r="C1268" s="286" t="s">
        <v>168</v>
      </c>
      <c r="D1268" s="286" t="s">
        <v>121</v>
      </c>
      <c r="E1268" s="295">
        <v>1</v>
      </c>
      <c r="F1268" s="295">
        <v>1</v>
      </c>
      <c r="G1268" s="296">
        <v>0</v>
      </c>
      <c r="H1268" s="296">
        <v>2100</v>
      </c>
      <c r="I1268" s="296">
        <v>1400</v>
      </c>
      <c r="J1268" s="296">
        <v>1470</v>
      </c>
      <c r="K1268" s="296">
        <v>630</v>
      </c>
      <c r="L1268" s="296">
        <v>0</v>
      </c>
      <c r="M1268" s="296">
        <v>700</v>
      </c>
      <c r="N1268" s="297">
        <v>0.33333333333333331</v>
      </c>
    </row>
    <row r="1269" spans="1:14" ht="18" customHeight="1">
      <c r="A1269" s="293" t="s">
        <v>2871</v>
      </c>
      <c r="B1269" s="294">
        <v>46182</v>
      </c>
      <c r="C1269" s="286" t="s">
        <v>353</v>
      </c>
      <c r="D1269" s="286" t="s">
        <v>94</v>
      </c>
      <c r="E1269" s="295">
        <v>5</v>
      </c>
      <c r="F1269" s="295">
        <v>8</v>
      </c>
      <c r="G1269" s="296">
        <v>0</v>
      </c>
      <c r="H1269" s="296">
        <v>2060</v>
      </c>
      <c r="I1269" s="296">
        <v>1120</v>
      </c>
      <c r="J1269" s="296">
        <v>1176</v>
      </c>
      <c r="K1269" s="296">
        <v>884</v>
      </c>
      <c r="L1269" s="296">
        <v>265.20000000000005</v>
      </c>
      <c r="M1269" s="296">
        <v>940</v>
      </c>
      <c r="N1269" s="297">
        <v>0.4563106796116505</v>
      </c>
    </row>
    <row r="1270" spans="1:14" ht="18" customHeight="1">
      <c r="A1270" s="293" t="s">
        <v>2872</v>
      </c>
      <c r="B1270" s="294">
        <v>46182</v>
      </c>
      <c r="C1270" s="286" t="s">
        <v>3773</v>
      </c>
      <c r="D1270" s="286" t="s">
        <v>116</v>
      </c>
      <c r="E1270" s="295">
        <v>1</v>
      </c>
      <c r="F1270" s="295">
        <v>2</v>
      </c>
      <c r="G1270" s="296">
        <v>0</v>
      </c>
      <c r="H1270" s="296">
        <v>1400</v>
      </c>
      <c r="I1270" s="296">
        <v>700</v>
      </c>
      <c r="J1270" s="296">
        <v>735</v>
      </c>
      <c r="K1270" s="296">
        <v>665</v>
      </c>
      <c r="L1270" s="296">
        <v>199.5</v>
      </c>
      <c r="M1270" s="296">
        <v>700</v>
      </c>
      <c r="N1270" s="297">
        <v>0.5</v>
      </c>
    </row>
    <row r="1271" spans="1:14" ht="18" customHeight="1">
      <c r="A1271" s="293" t="s">
        <v>2873</v>
      </c>
      <c r="B1271" s="294">
        <v>46182</v>
      </c>
      <c r="C1271" s="286" t="s">
        <v>168</v>
      </c>
      <c r="D1271" s="286" t="s">
        <v>96</v>
      </c>
      <c r="E1271" s="295">
        <v>2</v>
      </c>
      <c r="F1271" s="295">
        <v>2</v>
      </c>
      <c r="G1271" s="296">
        <v>0</v>
      </c>
      <c r="H1271" s="296">
        <v>10700</v>
      </c>
      <c r="I1271" s="296">
        <v>1200</v>
      </c>
      <c r="J1271" s="296">
        <v>1260</v>
      </c>
      <c r="K1271" s="296">
        <v>9440</v>
      </c>
      <c r="L1271" s="296">
        <v>0</v>
      </c>
      <c r="M1271" s="296">
        <v>9500</v>
      </c>
      <c r="N1271" s="297">
        <v>0.88785046728971961</v>
      </c>
    </row>
    <row r="1272" spans="1:14" ht="18" customHeight="1">
      <c r="A1272" s="293" t="s">
        <v>2874</v>
      </c>
      <c r="B1272" s="294">
        <v>46182</v>
      </c>
      <c r="C1272" s="286" t="s">
        <v>168</v>
      </c>
      <c r="D1272" s="286" t="s">
        <v>142</v>
      </c>
      <c r="E1272" s="295">
        <v>1</v>
      </c>
      <c r="F1272" s="295">
        <v>1</v>
      </c>
      <c r="G1272" s="296">
        <v>0</v>
      </c>
      <c r="H1272" s="296">
        <v>1600</v>
      </c>
      <c r="I1272" s="296">
        <v>900</v>
      </c>
      <c r="J1272" s="296">
        <v>945</v>
      </c>
      <c r="K1272" s="296">
        <v>655</v>
      </c>
      <c r="L1272" s="296">
        <v>0</v>
      </c>
      <c r="M1272" s="296">
        <v>700</v>
      </c>
      <c r="N1272" s="297">
        <v>0.4375</v>
      </c>
    </row>
    <row r="1273" spans="1:14" ht="18" customHeight="1">
      <c r="A1273" s="293" t="s">
        <v>2875</v>
      </c>
      <c r="B1273" s="294">
        <v>46182</v>
      </c>
      <c r="C1273" s="286" t="s">
        <v>168</v>
      </c>
      <c r="D1273" s="286" t="s">
        <v>97</v>
      </c>
      <c r="E1273" s="295">
        <v>2</v>
      </c>
      <c r="F1273" s="295">
        <v>2</v>
      </c>
      <c r="G1273" s="296">
        <v>0</v>
      </c>
      <c r="H1273" s="296">
        <v>1250</v>
      </c>
      <c r="I1273" s="296">
        <v>610</v>
      </c>
      <c r="J1273" s="296">
        <v>640.5</v>
      </c>
      <c r="K1273" s="296">
        <v>609.5</v>
      </c>
      <c r="L1273" s="296">
        <v>0</v>
      </c>
      <c r="M1273" s="296">
        <v>640</v>
      </c>
      <c r="N1273" s="297">
        <v>0.51200000000000001</v>
      </c>
    </row>
    <row r="1274" spans="1:14" ht="18" customHeight="1">
      <c r="A1274" s="293" t="s">
        <v>2876</v>
      </c>
      <c r="B1274" s="294">
        <v>46182</v>
      </c>
      <c r="C1274" s="286" t="s">
        <v>351</v>
      </c>
      <c r="D1274" s="286" t="s">
        <v>106</v>
      </c>
      <c r="E1274" s="295">
        <v>1</v>
      </c>
      <c r="F1274" s="295">
        <v>1</v>
      </c>
      <c r="G1274" s="296">
        <v>0</v>
      </c>
      <c r="H1274" s="296">
        <v>358</v>
      </c>
      <c r="I1274" s="296">
        <v>120</v>
      </c>
      <c r="J1274" s="296">
        <v>126</v>
      </c>
      <c r="K1274" s="296">
        <v>232</v>
      </c>
      <c r="L1274" s="296">
        <v>69.599999999999994</v>
      </c>
      <c r="M1274" s="296">
        <v>238</v>
      </c>
      <c r="N1274" s="297">
        <v>0.66480446927374304</v>
      </c>
    </row>
    <row r="1275" spans="1:14" ht="18" customHeight="1">
      <c r="A1275" s="293" t="s">
        <v>2877</v>
      </c>
      <c r="B1275" s="294">
        <v>46182</v>
      </c>
      <c r="C1275" s="286" t="s">
        <v>358</v>
      </c>
      <c r="D1275" s="286" t="s">
        <v>98</v>
      </c>
      <c r="E1275" s="295">
        <v>1</v>
      </c>
      <c r="F1275" s="295">
        <v>1</v>
      </c>
      <c r="G1275" s="296">
        <v>0</v>
      </c>
      <c r="H1275" s="296">
        <v>8700</v>
      </c>
      <c r="I1275" s="296">
        <v>0</v>
      </c>
      <c r="J1275" s="296">
        <v>0</v>
      </c>
      <c r="K1275" s="296">
        <v>8700</v>
      </c>
      <c r="L1275" s="296">
        <v>2610</v>
      </c>
      <c r="M1275" s="296">
        <v>8700</v>
      </c>
      <c r="N1275" s="297">
        <v>1</v>
      </c>
    </row>
    <row r="1276" spans="1:14" ht="18" customHeight="1">
      <c r="A1276" s="293" t="s">
        <v>2878</v>
      </c>
      <c r="B1276" s="294">
        <v>46182</v>
      </c>
      <c r="C1276" s="286" t="s">
        <v>168</v>
      </c>
      <c r="D1276" s="286" t="s">
        <v>228</v>
      </c>
      <c r="E1276" s="295">
        <v>3</v>
      </c>
      <c r="F1276" s="295">
        <v>14</v>
      </c>
      <c r="G1276" s="296">
        <v>0</v>
      </c>
      <c r="H1276" s="296">
        <v>1480</v>
      </c>
      <c r="I1276" s="296">
        <v>931.2</v>
      </c>
      <c r="J1276" s="296">
        <v>959.13600000000008</v>
      </c>
      <c r="K1276" s="296">
        <v>520.86399999999992</v>
      </c>
      <c r="L1276" s="296">
        <v>0</v>
      </c>
      <c r="M1276" s="296">
        <v>548.79999999999995</v>
      </c>
      <c r="N1276" s="297">
        <v>0.3708108108108108</v>
      </c>
    </row>
    <row r="1277" spans="1:14" ht="18" customHeight="1">
      <c r="A1277" s="293" t="s">
        <v>2879</v>
      </c>
      <c r="B1277" s="294">
        <v>46182</v>
      </c>
      <c r="C1277" s="286" t="s">
        <v>168</v>
      </c>
      <c r="D1277" s="286" t="s">
        <v>99</v>
      </c>
      <c r="E1277" s="295">
        <v>11</v>
      </c>
      <c r="F1277" s="295">
        <v>16.399999999999999</v>
      </c>
      <c r="G1277" s="296">
        <v>0</v>
      </c>
      <c r="H1277" s="296">
        <v>2818</v>
      </c>
      <c r="I1277" s="296">
        <v>1375.9</v>
      </c>
      <c r="J1277" s="296">
        <v>1425.769</v>
      </c>
      <c r="K1277" s="296">
        <v>1392.231</v>
      </c>
      <c r="L1277" s="296">
        <v>0</v>
      </c>
      <c r="M1277" s="296">
        <v>1442.1</v>
      </c>
      <c r="N1277" s="297">
        <v>0.51174591909155431</v>
      </c>
    </row>
    <row r="1278" spans="1:14" ht="18" customHeight="1">
      <c r="A1278" s="293" t="s">
        <v>2880</v>
      </c>
      <c r="B1278" s="294">
        <v>46183</v>
      </c>
      <c r="C1278" s="286" t="s">
        <v>168</v>
      </c>
      <c r="D1278" s="286" t="s">
        <v>207</v>
      </c>
      <c r="E1278" s="295">
        <v>2</v>
      </c>
      <c r="F1278" s="295">
        <v>3</v>
      </c>
      <c r="G1278" s="296">
        <v>0</v>
      </c>
      <c r="H1278" s="296">
        <v>950</v>
      </c>
      <c r="I1278" s="296">
        <v>320</v>
      </c>
      <c r="J1278" s="296">
        <v>336</v>
      </c>
      <c r="K1278" s="296">
        <v>614</v>
      </c>
      <c r="L1278" s="296">
        <v>0</v>
      </c>
      <c r="M1278" s="296">
        <v>630</v>
      </c>
      <c r="N1278" s="297">
        <v>0.66315789473684206</v>
      </c>
    </row>
    <row r="1279" spans="1:14" ht="18" customHeight="1">
      <c r="A1279" s="293" t="s">
        <v>2881</v>
      </c>
      <c r="B1279" s="294">
        <v>46183</v>
      </c>
      <c r="C1279" s="286" t="s">
        <v>168</v>
      </c>
      <c r="D1279" s="286" t="s">
        <v>229</v>
      </c>
      <c r="E1279" s="295">
        <v>1</v>
      </c>
      <c r="F1279" s="295">
        <v>1</v>
      </c>
      <c r="G1279" s="296">
        <v>0</v>
      </c>
      <c r="H1279" s="296">
        <v>50</v>
      </c>
      <c r="I1279" s="296">
        <v>21</v>
      </c>
      <c r="J1279" s="296">
        <v>22.05</v>
      </c>
      <c r="K1279" s="296">
        <v>27.95</v>
      </c>
      <c r="L1279" s="296">
        <v>0</v>
      </c>
      <c r="M1279" s="296">
        <v>29</v>
      </c>
      <c r="N1279" s="297">
        <v>0.57999999999999996</v>
      </c>
    </row>
    <row r="1280" spans="1:14" ht="18" customHeight="1">
      <c r="A1280" s="293" t="s">
        <v>2882</v>
      </c>
      <c r="B1280" s="294">
        <v>46183</v>
      </c>
      <c r="C1280" s="286" t="s">
        <v>168</v>
      </c>
      <c r="D1280" s="286" t="s">
        <v>120</v>
      </c>
      <c r="E1280" s="295">
        <v>1</v>
      </c>
      <c r="F1280" s="295">
        <v>1</v>
      </c>
      <c r="G1280" s="296">
        <v>0</v>
      </c>
      <c r="H1280" s="296">
        <v>550</v>
      </c>
      <c r="I1280" s="296">
        <v>280</v>
      </c>
      <c r="J1280" s="296">
        <v>294</v>
      </c>
      <c r="K1280" s="296">
        <v>256</v>
      </c>
      <c r="L1280" s="296">
        <v>0</v>
      </c>
      <c r="M1280" s="296">
        <v>270</v>
      </c>
      <c r="N1280" s="297">
        <v>0.49090909090909091</v>
      </c>
    </row>
    <row r="1281" spans="1:14" ht="18" customHeight="1">
      <c r="A1281" s="293" t="s">
        <v>2883</v>
      </c>
      <c r="B1281" s="294">
        <v>46183</v>
      </c>
      <c r="C1281" s="286" t="s">
        <v>168</v>
      </c>
      <c r="D1281" s="286" t="s">
        <v>112</v>
      </c>
      <c r="E1281" s="295">
        <v>6</v>
      </c>
      <c r="F1281" s="295">
        <v>30</v>
      </c>
      <c r="G1281" s="296">
        <v>0</v>
      </c>
      <c r="H1281" s="296">
        <v>8620</v>
      </c>
      <c r="I1281" s="296">
        <v>3033.3</v>
      </c>
      <c r="J1281" s="296">
        <v>3124.7690000000002</v>
      </c>
      <c r="K1281" s="296">
        <v>5495.2309999999998</v>
      </c>
      <c r="L1281" s="296">
        <v>0</v>
      </c>
      <c r="M1281" s="296">
        <v>5586.7</v>
      </c>
      <c r="N1281" s="297">
        <v>0.64810904872389785</v>
      </c>
    </row>
    <row r="1282" spans="1:14" ht="18" customHeight="1">
      <c r="A1282" s="293" t="s">
        <v>2884</v>
      </c>
      <c r="B1282" s="294">
        <v>46183</v>
      </c>
      <c r="C1282" s="286" t="s">
        <v>168</v>
      </c>
      <c r="D1282" s="286" t="s">
        <v>92</v>
      </c>
      <c r="E1282" s="295">
        <v>5</v>
      </c>
      <c r="F1282" s="295">
        <v>72</v>
      </c>
      <c r="G1282" s="296">
        <v>0</v>
      </c>
      <c r="H1282" s="296">
        <v>6250</v>
      </c>
      <c r="I1282" s="296">
        <v>3020</v>
      </c>
      <c r="J1282" s="296">
        <v>3171</v>
      </c>
      <c r="K1282" s="296">
        <v>3079</v>
      </c>
      <c r="L1282" s="296">
        <v>0</v>
      </c>
      <c r="M1282" s="296">
        <v>3230</v>
      </c>
      <c r="N1282" s="297">
        <v>0.51680000000000004</v>
      </c>
    </row>
    <row r="1283" spans="1:14" ht="18" customHeight="1">
      <c r="A1283" s="293" t="s">
        <v>2885</v>
      </c>
      <c r="B1283" s="294">
        <v>46183</v>
      </c>
      <c r="C1283" s="286" t="s">
        <v>168</v>
      </c>
      <c r="D1283" s="286" t="s">
        <v>227</v>
      </c>
      <c r="E1283" s="295">
        <v>1</v>
      </c>
      <c r="F1283" s="295">
        <v>0.4</v>
      </c>
      <c r="G1283" s="296">
        <v>0</v>
      </c>
      <c r="H1283" s="296">
        <v>2200</v>
      </c>
      <c r="I1283" s="296">
        <v>0</v>
      </c>
      <c r="J1283" s="296">
        <v>0</v>
      </c>
      <c r="K1283" s="296">
        <v>2200</v>
      </c>
      <c r="L1283" s="296">
        <v>0</v>
      </c>
      <c r="M1283" s="296">
        <v>2200</v>
      </c>
      <c r="N1283" s="297">
        <v>1</v>
      </c>
    </row>
    <row r="1284" spans="1:14" ht="18" customHeight="1">
      <c r="A1284" s="293" t="s">
        <v>2886</v>
      </c>
      <c r="B1284" s="294">
        <v>46183</v>
      </c>
      <c r="C1284" s="286" t="s">
        <v>353</v>
      </c>
      <c r="D1284" s="286" t="s">
        <v>94</v>
      </c>
      <c r="E1284" s="295">
        <v>1</v>
      </c>
      <c r="F1284" s="295">
        <v>1</v>
      </c>
      <c r="G1284" s="296">
        <v>0</v>
      </c>
      <c r="H1284" s="296">
        <v>1400</v>
      </c>
      <c r="I1284" s="296">
        <v>1000</v>
      </c>
      <c r="J1284" s="296">
        <v>1050</v>
      </c>
      <c r="K1284" s="296">
        <v>350</v>
      </c>
      <c r="L1284" s="296">
        <v>105</v>
      </c>
      <c r="M1284" s="296">
        <v>400</v>
      </c>
      <c r="N1284" s="297">
        <v>0.2857142857142857</v>
      </c>
    </row>
    <row r="1285" spans="1:14" ht="18" customHeight="1">
      <c r="A1285" s="293" t="s">
        <v>2887</v>
      </c>
      <c r="B1285" s="294">
        <v>46183</v>
      </c>
      <c r="C1285" s="286" t="s">
        <v>3773</v>
      </c>
      <c r="D1285" s="286" t="s">
        <v>116</v>
      </c>
      <c r="E1285" s="295">
        <v>1</v>
      </c>
      <c r="F1285" s="295">
        <v>1</v>
      </c>
      <c r="G1285" s="296">
        <v>0</v>
      </c>
      <c r="H1285" s="296">
        <v>1964</v>
      </c>
      <c r="I1285" s="296">
        <v>1650</v>
      </c>
      <c r="J1285" s="296">
        <v>1732.5</v>
      </c>
      <c r="K1285" s="296">
        <v>231.5</v>
      </c>
      <c r="L1285" s="296">
        <v>69.45</v>
      </c>
      <c r="M1285" s="296">
        <v>314</v>
      </c>
      <c r="N1285" s="297">
        <v>0.15987780040733199</v>
      </c>
    </row>
    <row r="1286" spans="1:14" ht="18" customHeight="1">
      <c r="A1286" s="293" t="s">
        <v>2888</v>
      </c>
      <c r="B1286" s="294">
        <v>46183</v>
      </c>
      <c r="C1286" s="286" t="s">
        <v>168</v>
      </c>
      <c r="D1286" s="286" t="s">
        <v>178</v>
      </c>
      <c r="E1286" s="295">
        <v>1</v>
      </c>
      <c r="F1286" s="295">
        <v>1</v>
      </c>
      <c r="G1286" s="296">
        <v>0</v>
      </c>
      <c r="H1286" s="296">
        <v>1500</v>
      </c>
      <c r="I1286" s="296">
        <v>600</v>
      </c>
      <c r="J1286" s="296">
        <v>630</v>
      </c>
      <c r="K1286" s="296">
        <v>870</v>
      </c>
      <c r="L1286" s="296">
        <v>0</v>
      </c>
      <c r="M1286" s="296">
        <v>900</v>
      </c>
      <c r="N1286" s="297">
        <v>0.6</v>
      </c>
    </row>
    <row r="1287" spans="1:14" ht="18" customHeight="1">
      <c r="A1287" s="293" t="s">
        <v>2889</v>
      </c>
      <c r="B1287" s="294">
        <v>46183</v>
      </c>
      <c r="C1287" s="286" t="s">
        <v>168</v>
      </c>
      <c r="D1287" s="286" t="s">
        <v>96</v>
      </c>
      <c r="E1287" s="295">
        <v>2</v>
      </c>
      <c r="F1287" s="295">
        <v>2</v>
      </c>
      <c r="G1287" s="296">
        <v>0</v>
      </c>
      <c r="H1287" s="296">
        <v>750</v>
      </c>
      <c r="I1287" s="296">
        <v>292</v>
      </c>
      <c r="J1287" s="296">
        <v>306.60000000000002</v>
      </c>
      <c r="K1287" s="296">
        <v>443.4</v>
      </c>
      <c r="L1287" s="296">
        <v>0</v>
      </c>
      <c r="M1287" s="296">
        <v>458</v>
      </c>
      <c r="N1287" s="297">
        <v>0.61066666666666669</v>
      </c>
    </row>
    <row r="1288" spans="1:14" ht="18" customHeight="1">
      <c r="A1288" s="293" t="s">
        <v>2890</v>
      </c>
      <c r="B1288" s="294">
        <v>46183</v>
      </c>
      <c r="C1288" s="286" t="s">
        <v>168</v>
      </c>
      <c r="D1288" s="286" t="s">
        <v>97</v>
      </c>
      <c r="E1288" s="295">
        <v>2</v>
      </c>
      <c r="F1288" s="295">
        <v>2</v>
      </c>
      <c r="G1288" s="296">
        <v>0</v>
      </c>
      <c r="H1288" s="296">
        <v>491</v>
      </c>
      <c r="I1288" s="296">
        <v>190</v>
      </c>
      <c r="J1288" s="296">
        <v>199.5</v>
      </c>
      <c r="K1288" s="296">
        <v>291.5</v>
      </c>
      <c r="L1288" s="296">
        <v>0</v>
      </c>
      <c r="M1288" s="296">
        <v>301</v>
      </c>
      <c r="N1288" s="297">
        <v>0.61303462321792257</v>
      </c>
    </row>
    <row r="1289" spans="1:14" ht="18" customHeight="1">
      <c r="A1289" s="293" t="s">
        <v>2891</v>
      </c>
      <c r="B1289" s="294">
        <v>46183</v>
      </c>
      <c r="C1289" s="286" t="s">
        <v>3773</v>
      </c>
      <c r="D1289" s="286" t="s">
        <v>230</v>
      </c>
      <c r="E1289" s="295">
        <v>4</v>
      </c>
      <c r="F1289" s="295">
        <v>11</v>
      </c>
      <c r="G1289" s="296">
        <v>0</v>
      </c>
      <c r="H1289" s="296">
        <v>670</v>
      </c>
      <c r="I1289" s="296">
        <v>427</v>
      </c>
      <c r="J1289" s="296">
        <v>445.15000000000003</v>
      </c>
      <c r="K1289" s="296">
        <v>224.85</v>
      </c>
      <c r="L1289" s="296">
        <v>67.454999999999998</v>
      </c>
      <c r="M1289" s="296">
        <v>243</v>
      </c>
      <c r="N1289" s="297">
        <v>0.36268656716417913</v>
      </c>
    </row>
    <row r="1290" spans="1:14" ht="18" customHeight="1">
      <c r="A1290" s="293" t="s">
        <v>2892</v>
      </c>
      <c r="B1290" s="294">
        <v>46183</v>
      </c>
      <c r="C1290" s="286" t="s">
        <v>168</v>
      </c>
      <c r="D1290" s="286" t="s">
        <v>131</v>
      </c>
      <c r="E1290" s="295">
        <v>1</v>
      </c>
      <c r="F1290" s="295">
        <v>15</v>
      </c>
      <c r="G1290" s="296">
        <v>0</v>
      </c>
      <c r="H1290" s="296">
        <v>2100</v>
      </c>
      <c r="I1290" s="296">
        <v>1125</v>
      </c>
      <c r="J1290" s="296">
        <v>1158.75</v>
      </c>
      <c r="K1290" s="296">
        <v>941.25</v>
      </c>
      <c r="L1290" s="296">
        <v>0</v>
      </c>
      <c r="M1290" s="296">
        <v>975</v>
      </c>
      <c r="N1290" s="297">
        <v>0.4642857142857143</v>
      </c>
    </row>
    <row r="1291" spans="1:14" ht="18" customHeight="1">
      <c r="A1291" s="293" t="s">
        <v>2893</v>
      </c>
      <c r="B1291" s="294">
        <v>46183</v>
      </c>
      <c r="C1291" s="286" t="s">
        <v>168</v>
      </c>
      <c r="D1291" s="286" t="s">
        <v>99</v>
      </c>
      <c r="E1291" s="295">
        <v>2</v>
      </c>
      <c r="F1291" s="295">
        <v>2</v>
      </c>
      <c r="G1291" s="296">
        <v>0</v>
      </c>
      <c r="H1291" s="296">
        <v>590</v>
      </c>
      <c r="I1291" s="296">
        <v>240</v>
      </c>
      <c r="J1291" s="296">
        <v>252</v>
      </c>
      <c r="K1291" s="296">
        <v>338</v>
      </c>
      <c r="L1291" s="296">
        <v>0</v>
      </c>
      <c r="M1291" s="296">
        <v>350</v>
      </c>
      <c r="N1291" s="297">
        <v>0.59322033898305082</v>
      </c>
    </row>
    <row r="1292" spans="1:14" ht="18" customHeight="1">
      <c r="A1292" s="293" t="s">
        <v>2894</v>
      </c>
      <c r="B1292" s="294">
        <v>46184</v>
      </c>
      <c r="C1292" s="286" t="s">
        <v>168</v>
      </c>
      <c r="D1292" s="286" t="s">
        <v>156</v>
      </c>
      <c r="E1292" s="295">
        <v>1</v>
      </c>
      <c r="F1292" s="295">
        <v>1</v>
      </c>
      <c r="G1292" s="296">
        <v>0</v>
      </c>
      <c r="H1292" s="296">
        <v>500</v>
      </c>
      <c r="I1292" s="296">
        <v>260</v>
      </c>
      <c r="J1292" s="296">
        <v>273</v>
      </c>
      <c r="K1292" s="296">
        <v>227</v>
      </c>
      <c r="L1292" s="296">
        <v>0</v>
      </c>
      <c r="M1292" s="296">
        <v>240</v>
      </c>
      <c r="N1292" s="297">
        <v>0.48</v>
      </c>
    </row>
    <row r="1293" spans="1:14" ht="18" customHeight="1">
      <c r="A1293" s="293" t="s">
        <v>2895</v>
      </c>
      <c r="B1293" s="294">
        <v>46184</v>
      </c>
      <c r="C1293" s="286" t="s">
        <v>168</v>
      </c>
      <c r="D1293" s="286" t="s">
        <v>150</v>
      </c>
      <c r="E1293" s="295">
        <v>1</v>
      </c>
      <c r="F1293" s="295">
        <v>1</v>
      </c>
      <c r="G1293" s="296">
        <v>0</v>
      </c>
      <c r="H1293" s="296">
        <v>8900</v>
      </c>
      <c r="I1293" s="296">
        <v>0</v>
      </c>
      <c r="J1293" s="296">
        <v>0</v>
      </c>
      <c r="K1293" s="296">
        <v>8900</v>
      </c>
      <c r="L1293" s="296">
        <v>0</v>
      </c>
      <c r="M1293" s="296">
        <v>8900</v>
      </c>
      <c r="N1293" s="297">
        <v>1</v>
      </c>
    </row>
    <row r="1294" spans="1:14" ht="18" customHeight="1">
      <c r="A1294" s="293" t="s">
        <v>2896</v>
      </c>
      <c r="B1294" s="294">
        <v>46184</v>
      </c>
      <c r="C1294" s="286" t="s">
        <v>168</v>
      </c>
      <c r="D1294" s="286" t="s">
        <v>96</v>
      </c>
      <c r="E1294" s="295">
        <v>2</v>
      </c>
      <c r="F1294" s="295">
        <v>3</v>
      </c>
      <c r="G1294" s="296">
        <v>0</v>
      </c>
      <c r="H1294" s="296">
        <v>740</v>
      </c>
      <c r="I1294" s="296">
        <v>390</v>
      </c>
      <c r="J1294" s="296">
        <v>409.5</v>
      </c>
      <c r="K1294" s="296">
        <v>330.5</v>
      </c>
      <c r="L1294" s="296">
        <v>0</v>
      </c>
      <c r="M1294" s="296">
        <v>350</v>
      </c>
      <c r="N1294" s="297">
        <v>0.47297297297297297</v>
      </c>
    </row>
    <row r="1295" spans="1:14" ht="18" customHeight="1">
      <c r="A1295" s="293" t="s">
        <v>2897</v>
      </c>
      <c r="B1295" s="294">
        <v>46184</v>
      </c>
      <c r="C1295" s="286" t="s">
        <v>168</v>
      </c>
      <c r="D1295" s="286" t="s">
        <v>115</v>
      </c>
      <c r="E1295" s="295">
        <v>1</v>
      </c>
      <c r="F1295" s="295">
        <v>1</v>
      </c>
      <c r="G1295" s="296">
        <v>0</v>
      </c>
      <c r="H1295" s="296">
        <v>2100</v>
      </c>
      <c r="I1295" s="296">
        <v>1350</v>
      </c>
      <c r="J1295" s="296">
        <v>1417.5</v>
      </c>
      <c r="K1295" s="296">
        <v>682.5</v>
      </c>
      <c r="L1295" s="296">
        <v>0</v>
      </c>
      <c r="M1295" s="296">
        <v>750</v>
      </c>
      <c r="N1295" s="297">
        <v>0.35714285714285715</v>
      </c>
    </row>
    <row r="1296" spans="1:14" ht="18" customHeight="1">
      <c r="A1296" s="293" t="s">
        <v>2898</v>
      </c>
      <c r="B1296" s="294">
        <v>46184</v>
      </c>
      <c r="C1296" s="286" t="s">
        <v>168</v>
      </c>
      <c r="D1296" s="286" t="s">
        <v>124</v>
      </c>
      <c r="E1296" s="295">
        <v>1</v>
      </c>
      <c r="F1296" s="295">
        <v>1</v>
      </c>
      <c r="G1296" s="296">
        <v>0</v>
      </c>
      <c r="H1296" s="296">
        <v>2100</v>
      </c>
      <c r="I1296" s="296">
        <v>1150</v>
      </c>
      <c r="J1296" s="296">
        <v>1207.5</v>
      </c>
      <c r="K1296" s="296">
        <v>892.5</v>
      </c>
      <c r="L1296" s="296">
        <v>0</v>
      </c>
      <c r="M1296" s="296">
        <v>950</v>
      </c>
      <c r="N1296" s="297">
        <v>0.45238095238095238</v>
      </c>
    </row>
    <row r="1297" spans="1:14" ht="18" customHeight="1">
      <c r="A1297" s="293" t="s">
        <v>2899</v>
      </c>
      <c r="B1297" s="294">
        <v>46184</v>
      </c>
      <c r="C1297" s="286" t="s">
        <v>168</v>
      </c>
      <c r="D1297" s="286" t="s">
        <v>231</v>
      </c>
      <c r="E1297" s="295">
        <v>18</v>
      </c>
      <c r="F1297" s="295">
        <v>86.2</v>
      </c>
      <c r="G1297" s="296">
        <v>0</v>
      </c>
      <c r="H1297" s="296">
        <v>8730</v>
      </c>
      <c r="I1297" s="296">
        <v>5444.5000000000009</v>
      </c>
      <c r="J1297" s="296">
        <v>5630.4170000000013</v>
      </c>
      <c r="K1297" s="296">
        <v>3099.5829999999996</v>
      </c>
      <c r="L1297" s="296">
        <v>0</v>
      </c>
      <c r="M1297" s="296">
        <v>3285.4999999999991</v>
      </c>
      <c r="N1297" s="297">
        <v>0.37634593356242829</v>
      </c>
    </row>
    <row r="1298" spans="1:14" ht="18" customHeight="1">
      <c r="A1298" s="293" t="s">
        <v>2900</v>
      </c>
      <c r="B1298" s="294">
        <v>46184</v>
      </c>
      <c r="C1298" s="286" t="s">
        <v>3773</v>
      </c>
      <c r="D1298" s="286" t="s">
        <v>230</v>
      </c>
      <c r="E1298" s="295">
        <v>4</v>
      </c>
      <c r="F1298" s="295">
        <v>4</v>
      </c>
      <c r="G1298" s="296">
        <v>0</v>
      </c>
      <c r="H1298" s="296">
        <v>528</v>
      </c>
      <c r="I1298" s="296">
        <v>349</v>
      </c>
      <c r="J1298" s="296">
        <v>359.47</v>
      </c>
      <c r="K1298" s="296">
        <v>168.53</v>
      </c>
      <c r="L1298" s="296">
        <v>50.55899999999999</v>
      </c>
      <c r="M1298" s="296">
        <v>179</v>
      </c>
      <c r="N1298" s="297">
        <v>0.33901515151515149</v>
      </c>
    </row>
    <row r="1299" spans="1:14" ht="18" customHeight="1">
      <c r="A1299" s="293" t="s">
        <v>2901</v>
      </c>
      <c r="B1299" s="294">
        <v>46184</v>
      </c>
      <c r="C1299" s="286" t="s">
        <v>168</v>
      </c>
      <c r="D1299" s="286" t="s">
        <v>99</v>
      </c>
      <c r="E1299" s="295">
        <v>1</v>
      </c>
      <c r="F1299" s="295">
        <v>1</v>
      </c>
      <c r="G1299" s="296">
        <v>0</v>
      </c>
      <c r="H1299" s="296">
        <v>680</v>
      </c>
      <c r="I1299" s="296">
        <v>480</v>
      </c>
      <c r="J1299" s="296">
        <v>504</v>
      </c>
      <c r="K1299" s="296">
        <v>176</v>
      </c>
      <c r="L1299" s="296">
        <v>0</v>
      </c>
      <c r="M1299" s="296">
        <v>200</v>
      </c>
      <c r="N1299" s="297">
        <v>0.29411764705882354</v>
      </c>
    </row>
    <row r="1300" spans="1:14" ht="18" customHeight="1">
      <c r="A1300" s="293" t="s">
        <v>2902</v>
      </c>
      <c r="B1300" s="294">
        <v>46185</v>
      </c>
      <c r="C1300" s="286" t="s">
        <v>168</v>
      </c>
      <c r="D1300" s="286" t="s">
        <v>181</v>
      </c>
      <c r="E1300" s="295">
        <v>2</v>
      </c>
      <c r="F1300" s="295">
        <v>2</v>
      </c>
      <c r="G1300" s="296">
        <v>0</v>
      </c>
      <c r="H1300" s="296">
        <v>700</v>
      </c>
      <c r="I1300" s="296">
        <v>290</v>
      </c>
      <c r="J1300" s="296">
        <v>304.5</v>
      </c>
      <c r="K1300" s="296">
        <v>395.5</v>
      </c>
      <c r="L1300" s="296">
        <v>0</v>
      </c>
      <c r="M1300" s="296">
        <v>410</v>
      </c>
      <c r="N1300" s="297">
        <v>0.58571428571428574</v>
      </c>
    </row>
    <row r="1301" spans="1:14" ht="18" customHeight="1">
      <c r="A1301" s="293" t="s">
        <v>2903</v>
      </c>
      <c r="B1301" s="294">
        <v>46185</v>
      </c>
      <c r="C1301" s="286" t="s">
        <v>168</v>
      </c>
      <c r="D1301" s="286" t="s">
        <v>232</v>
      </c>
      <c r="E1301" s="295">
        <v>5</v>
      </c>
      <c r="F1301" s="295">
        <v>22</v>
      </c>
      <c r="G1301" s="296">
        <v>0</v>
      </c>
      <c r="H1301" s="296">
        <v>1220</v>
      </c>
      <c r="I1301" s="296">
        <v>530</v>
      </c>
      <c r="J1301" s="296">
        <v>556.5</v>
      </c>
      <c r="K1301" s="296">
        <v>663.5</v>
      </c>
      <c r="L1301" s="296">
        <v>0</v>
      </c>
      <c r="M1301" s="296">
        <v>690</v>
      </c>
      <c r="N1301" s="297">
        <v>0.56557377049180324</v>
      </c>
    </row>
    <row r="1302" spans="1:14" ht="18" customHeight="1">
      <c r="A1302" s="293" t="s">
        <v>2904</v>
      </c>
      <c r="B1302" s="294">
        <v>46185</v>
      </c>
      <c r="C1302" s="286" t="s">
        <v>354</v>
      </c>
      <c r="D1302" s="286" t="s">
        <v>109</v>
      </c>
      <c r="E1302" s="295">
        <v>3</v>
      </c>
      <c r="F1302" s="295">
        <v>4.5</v>
      </c>
      <c r="G1302" s="296">
        <v>0</v>
      </c>
      <c r="H1302" s="296">
        <v>2365</v>
      </c>
      <c r="I1302" s="296">
        <v>1728.5</v>
      </c>
      <c r="J1302" s="296">
        <v>1814.925</v>
      </c>
      <c r="K1302" s="296">
        <v>550.07500000000005</v>
      </c>
      <c r="L1302" s="296">
        <v>165.02250000000001</v>
      </c>
      <c r="M1302" s="296">
        <v>636.5</v>
      </c>
      <c r="N1302" s="297">
        <v>0.26913319238900635</v>
      </c>
    </row>
    <row r="1303" spans="1:14" ht="18" customHeight="1">
      <c r="A1303" s="293" t="s">
        <v>2905</v>
      </c>
      <c r="B1303" s="294">
        <v>46185</v>
      </c>
      <c r="C1303" s="286" t="s">
        <v>168</v>
      </c>
      <c r="D1303" s="286" t="s">
        <v>121</v>
      </c>
      <c r="E1303" s="295">
        <v>1</v>
      </c>
      <c r="F1303" s="295">
        <v>1</v>
      </c>
      <c r="G1303" s="296">
        <v>0</v>
      </c>
      <c r="H1303" s="296">
        <v>8700</v>
      </c>
      <c r="I1303" s="296">
        <v>0</v>
      </c>
      <c r="J1303" s="296">
        <v>0</v>
      </c>
      <c r="K1303" s="296">
        <v>8700</v>
      </c>
      <c r="L1303" s="296">
        <v>0</v>
      </c>
      <c r="M1303" s="296">
        <v>8700</v>
      </c>
      <c r="N1303" s="297">
        <v>1</v>
      </c>
    </row>
    <row r="1304" spans="1:14" ht="18" customHeight="1">
      <c r="A1304" s="293" t="s">
        <v>2906</v>
      </c>
      <c r="B1304" s="294">
        <v>46185</v>
      </c>
      <c r="C1304" s="286" t="s">
        <v>353</v>
      </c>
      <c r="D1304" s="286" t="s">
        <v>94</v>
      </c>
      <c r="E1304" s="295">
        <v>1</v>
      </c>
      <c r="F1304" s="295">
        <v>1</v>
      </c>
      <c r="G1304" s="296">
        <v>0</v>
      </c>
      <c r="H1304" s="296">
        <v>420</v>
      </c>
      <c r="I1304" s="296">
        <v>260</v>
      </c>
      <c r="J1304" s="296">
        <v>273</v>
      </c>
      <c r="K1304" s="296">
        <v>147</v>
      </c>
      <c r="L1304" s="296">
        <v>44.1</v>
      </c>
      <c r="M1304" s="296">
        <v>160</v>
      </c>
      <c r="N1304" s="297">
        <v>0.38095238095238093</v>
      </c>
    </row>
    <row r="1305" spans="1:14" ht="18" customHeight="1">
      <c r="A1305" s="293" t="s">
        <v>2907</v>
      </c>
      <c r="B1305" s="294">
        <v>46185</v>
      </c>
      <c r="C1305" s="286" t="s">
        <v>168</v>
      </c>
      <c r="D1305" s="286" t="s">
        <v>142</v>
      </c>
      <c r="E1305" s="295">
        <v>1</v>
      </c>
      <c r="F1305" s="295">
        <v>1</v>
      </c>
      <c r="G1305" s="296">
        <v>0</v>
      </c>
      <c r="H1305" s="296">
        <v>1900</v>
      </c>
      <c r="I1305" s="296">
        <v>1000</v>
      </c>
      <c r="J1305" s="296">
        <v>1050</v>
      </c>
      <c r="K1305" s="296">
        <v>850</v>
      </c>
      <c r="L1305" s="296">
        <v>0</v>
      </c>
      <c r="M1305" s="296">
        <v>900</v>
      </c>
      <c r="N1305" s="297">
        <v>0.47368421052631576</v>
      </c>
    </row>
    <row r="1306" spans="1:14" ht="18" customHeight="1">
      <c r="A1306" s="293" t="s">
        <v>2908</v>
      </c>
      <c r="B1306" s="294">
        <v>46185</v>
      </c>
      <c r="C1306" s="286" t="s">
        <v>168</v>
      </c>
      <c r="D1306" s="286" t="s">
        <v>115</v>
      </c>
      <c r="E1306" s="295">
        <v>1</v>
      </c>
      <c r="F1306" s="295">
        <v>1</v>
      </c>
      <c r="G1306" s="296">
        <v>0</v>
      </c>
      <c r="H1306" s="296">
        <v>8700</v>
      </c>
      <c r="I1306" s="296">
        <v>0</v>
      </c>
      <c r="J1306" s="296">
        <v>0</v>
      </c>
      <c r="K1306" s="296">
        <v>8700</v>
      </c>
      <c r="L1306" s="296">
        <v>0</v>
      </c>
      <c r="M1306" s="296">
        <v>8700</v>
      </c>
      <c r="N1306" s="297">
        <v>1</v>
      </c>
    </row>
    <row r="1307" spans="1:14" ht="18" customHeight="1">
      <c r="A1307" s="293" t="s">
        <v>2909</v>
      </c>
      <c r="B1307" s="294">
        <v>46185</v>
      </c>
      <c r="C1307" s="286" t="s">
        <v>168</v>
      </c>
      <c r="D1307" s="286" t="s">
        <v>132</v>
      </c>
      <c r="E1307" s="295">
        <v>1</v>
      </c>
      <c r="F1307" s="295">
        <v>1</v>
      </c>
      <c r="G1307" s="296">
        <v>0</v>
      </c>
      <c r="H1307" s="296">
        <v>430</v>
      </c>
      <c r="I1307" s="296">
        <v>330</v>
      </c>
      <c r="J1307" s="296">
        <v>339.90000000000003</v>
      </c>
      <c r="K1307" s="296">
        <v>90.099999999999966</v>
      </c>
      <c r="L1307" s="296">
        <v>0</v>
      </c>
      <c r="M1307" s="296">
        <v>100</v>
      </c>
      <c r="N1307" s="297">
        <v>0.23255813953488372</v>
      </c>
    </row>
    <row r="1308" spans="1:14" ht="18" customHeight="1">
      <c r="A1308" s="293" t="s">
        <v>2910</v>
      </c>
      <c r="B1308" s="294">
        <v>46185</v>
      </c>
      <c r="C1308" s="286" t="s">
        <v>168</v>
      </c>
      <c r="D1308" s="286" t="s">
        <v>124</v>
      </c>
      <c r="E1308" s="295">
        <v>2</v>
      </c>
      <c r="F1308" s="295">
        <v>3</v>
      </c>
      <c r="G1308" s="296">
        <v>0</v>
      </c>
      <c r="H1308" s="296">
        <v>790</v>
      </c>
      <c r="I1308" s="296">
        <v>360</v>
      </c>
      <c r="J1308" s="296">
        <v>378</v>
      </c>
      <c r="K1308" s="296">
        <v>412</v>
      </c>
      <c r="L1308" s="296">
        <v>0</v>
      </c>
      <c r="M1308" s="296">
        <v>430</v>
      </c>
      <c r="N1308" s="297">
        <v>0.54430379746835444</v>
      </c>
    </row>
    <row r="1309" spans="1:14" ht="18" customHeight="1">
      <c r="A1309" s="293" t="s">
        <v>2911</v>
      </c>
      <c r="B1309" s="294">
        <v>46185</v>
      </c>
      <c r="C1309" s="286" t="s">
        <v>168</v>
      </c>
      <c r="D1309" s="286" t="s">
        <v>97</v>
      </c>
      <c r="E1309" s="295">
        <v>2</v>
      </c>
      <c r="F1309" s="295">
        <v>2</v>
      </c>
      <c r="G1309" s="296">
        <v>0</v>
      </c>
      <c r="H1309" s="296">
        <v>9250</v>
      </c>
      <c r="I1309" s="296">
        <v>360</v>
      </c>
      <c r="J1309" s="296">
        <v>378</v>
      </c>
      <c r="K1309" s="296">
        <v>8872</v>
      </c>
      <c r="L1309" s="296">
        <v>0</v>
      </c>
      <c r="M1309" s="296">
        <v>8890</v>
      </c>
      <c r="N1309" s="297">
        <v>0.96108108108108103</v>
      </c>
    </row>
    <row r="1310" spans="1:14" ht="18" customHeight="1">
      <c r="A1310" s="293" t="s">
        <v>2912</v>
      </c>
      <c r="B1310" s="294">
        <v>46185</v>
      </c>
      <c r="C1310" s="286" t="s">
        <v>168</v>
      </c>
      <c r="D1310" s="286" t="s">
        <v>233</v>
      </c>
      <c r="E1310" s="295">
        <v>1</v>
      </c>
      <c r="F1310" s="295">
        <v>4</v>
      </c>
      <c r="G1310" s="296">
        <v>0</v>
      </c>
      <c r="H1310" s="296">
        <v>100</v>
      </c>
      <c r="I1310" s="296">
        <v>36</v>
      </c>
      <c r="J1310" s="296">
        <v>37.800000000000004</v>
      </c>
      <c r="K1310" s="296">
        <v>62.199999999999996</v>
      </c>
      <c r="L1310" s="296">
        <v>0</v>
      </c>
      <c r="M1310" s="296">
        <v>64</v>
      </c>
      <c r="N1310" s="297">
        <v>0.64</v>
      </c>
    </row>
    <row r="1311" spans="1:14" ht="18" customHeight="1">
      <c r="A1311" s="293" t="s">
        <v>2913</v>
      </c>
      <c r="B1311" s="294">
        <v>46185</v>
      </c>
      <c r="C1311" s="286" t="s">
        <v>168</v>
      </c>
      <c r="D1311" s="286" t="s">
        <v>99</v>
      </c>
      <c r="E1311" s="295">
        <v>7</v>
      </c>
      <c r="F1311" s="295">
        <v>11</v>
      </c>
      <c r="G1311" s="296">
        <v>0</v>
      </c>
      <c r="H1311" s="296">
        <v>2948</v>
      </c>
      <c r="I1311" s="296">
        <v>1820.6</v>
      </c>
      <c r="J1311" s="296">
        <v>1909.6179999999999</v>
      </c>
      <c r="K1311" s="296">
        <v>1038.3820000000001</v>
      </c>
      <c r="L1311" s="296">
        <v>0</v>
      </c>
      <c r="M1311" s="296">
        <v>1127.4000000000001</v>
      </c>
      <c r="N1311" s="297">
        <v>0.38242876526458619</v>
      </c>
    </row>
    <row r="1312" spans="1:14" ht="18" customHeight="1">
      <c r="A1312" s="293" t="s">
        <v>2914</v>
      </c>
      <c r="B1312" s="294">
        <v>46186</v>
      </c>
      <c r="C1312" s="286" t="s">
        <v>3773</v>
      </c>
      <c r="D1312" s="286" t="s">
        <v>102</v>
      </c>
      <c r="E1312" s="295">
        <v>1</v>
      </c>
      <c r="F1312" s="295">
        <v>2</v>
      </c>
      <c r="G1312" s="296">
        <v>0</v>
      </c>
      <c r="H1312" s="296">
        <v>2600</v>
      </c>
      <c r="I1312" s="296">
        <v>1500</v>
      </c>
      <c r="J1312" s="296">
        <v>1575</v>
      </c>
      <c r="K1312" s="296">
        <v>1025</v>
      </c>
      <c r="L1312" s="296">
        <v>307.5</v>
      </c>
      <c r="M1312" s="296">
        <v>1100</v>
      </c>
      <c r="N1312" s="297">
        <v>0.42307692307692307</v>
      </c>
    </row>
    <row r="1313" spans="1:14" ht="18" customHeight="1">
      <c r="A1313" s="293" t="s">
        <v>2915</v>
      </c>
      <c r="B1313" s="294">
        <v>46186</v>
      </c>
      <c r="C1313" s="286" t="s">
        <v>168</v>
      </c>
      <c r="D1313" s="286" t="s">
        <v>120</v>
      </c>
      <c r="E1313" s="295">
        <v>1</v>
      </c>
      <c r="F1313" s="295">
        <v>1</v>
      </c>
      <c r="G1313" s="296">
        <v>0</v>
      </c>
      <c r="H1313" s="296">
        <v>350</v>
      </c>
      <c r="I1313" s="296">
        <v>100</v>
      </c>
      <c r="J1313" s="296">
        <v>105</v>
      </c>
      <c r="K1313" s="296">
        <v>245</v>
      </c>
      <c r="L1313" s="296">
        <v>0</v>
      </c>
      <c r="M1313" s="296">
        <v>250</v>
      </c>
      <c r="N1313" s="297">
        <v>0.7142857142857143</v>
      </c>
    </row>
    <row r="1314" spans="1:14" ht="18" customHeight="1">
      <c r="A1314" s="293" t="s">
        <v>2916</v>
      </c>
      <c r="B1314" s="294">
        <v>46186</v>
      </c>
      <c r="C1314" s="286" t="s">
        <v>353</v>
      </c>
      <c r="D1314" s="286" t="s">
        <v>108</v>
      </c>
      <c r="E1314" s="295">
        <v>2</v>
      </c>
      <c r="F1314" s="295">
        <v>2</v>
      </c>
      <c r="G1314" s="296">
        <v>0</v>
      </c>
      <c r="H1314" s="296">
        <v>4000</v>
      </c>
      <c r="I1314" s="296">
        <v>2700</v>
      </c>
      <c r="J1314" s="296">
        <v>2835</v>
      </c>
      <c r="K1314" s="296">
        <v>1165</v>
      </c>
      <c r="L1314" s="296">
        <v>349.5</v>
      </c>
      <c r="M1314" s="296">
        <v>1300</v>
      </c>
      <c r="N1314" s="297">
        <v>0.32500000000000001</v>
      </c>
    </row>
    <row r="1315" spans="1:14" ht="18" customHeight="1">
      <c r="A1315" s="293" t="s">
        <v>2917</v>
      </c>
      <c r="B1315" s="294">
        <v>46186</v>
      </c>
      <c r="C1315" s="286" t="s">
        <v>354</v>
      </c>
      <c r="D1315" s="286" t="s">
        <v>109</v>
      </c>
      <c r="E1315" s="295">
        <v>1</v>
      </c>
      <c r="F1315" s="295">
        <v>1</v>
      </c>
      <c r="G1315" s="296">
        <v>0</v>
      </c>
      <c r="H1315" s="296">
        <v>1800</v>
      </c>
      <c r="I1315" s="296">
        <v>1100</v>
      </c>
      <c r="J1315" s="296">
        <v>1155</v>
      </c>
      <c r="K1315" s="296">
        <v>645</v>
      </c>
      <c r="L1315" s="296">
        <v>193.5</v>
      </c>
      <c r="M1315" s="296">
        <v>700</v>
      </c>
      <c r="N1315" s="297">
        <v>0.3888888888888889</v>
      </c>
    </row>
    <row r="1316" spans="1:14" ht="18" customHeight="1">
      <c r="A1316" s="293" t="s">
        <v>2918</v>
      </c>
      <c r="B1316" s="294">
        <v>46186</v>
      </c>
      <c r="C1316" s="286" t="s">
        <v>353</v>
      </c>
      <c r="D1316" s="286" t="s">
        <v>103</v>
      </c>
      <c r="E1316" s="295">
        <v>2</v>
      </c>
      <c r="F1316" s="295">
        <v>10</v>
      </c>
      <c r="G1316" s="296">
        <v>0</v>
      </c>
      <c r="H1316" s="296">
        <v>5520</v>
      </c>
      <c r="I1316" s="296">
        <v>3050</v>
      </c>
      <c r="J1316" s="296">
        <v>3202.5</v>
      </c>
      <c r="K1316" s="296">
        <v>2317.5</v>
      </c>
      <c r="L1316" s="296">
        <v>695.25</v>
      </c>
      <c r="M1316" s="296">
        <v>2470</v>
      </c>
      <c r="N1316" s="297">
        <v>0.44746376811594202</v>
      </c>
    </row>
    <row r="1317" spans="1:14" ht="18" customHeight="1">
      <c r="A1317" s="293" t="s">
        <v>2919</v>
      </c>
      <c r="B1317" s="294">
        <v>46186</v>
      </c>
      <c r="C1317" s="286" t="s">
        <v>353</v>
      </c>
      <c r="D1317" s="286" t="s">
        <v>94</v>
      </c>
      <c r="E1317" s="295">
        <v>7</v>
      </c>
      <c r="F1317" s="295">
        <v>8</v>
      </c>
      <c r="G1317" s="296">
        <v>0</v>
      </c>
      <c r="H1317" s="296">
        <v>5469</v>
      </c>
      <c r="I1317" s="296">
        <v>3550</v>
      </c>
      <c r="J1317" s="296">
        <v>3727.5</v>
      </c>
      <c r="K1317" s="296">
        <v>1741.5</v>
      </c>
      <c r="L1317" s="296">
        <v>522.45000000000005</v>
      </c>
      <c r="M1317" s="296">
        <v>1919</v>
      </c>
      <c r="N1317" s="297">
        <v>0.35088681660266957</v>
      </c>
    </row>
    <row r="1318" spans="1:14" ht="18" customHeight="1">
      <c r="A1318" s="293" t="s">
        <v>2920</v>
      </c>
      <c r="B1318" s="294">
        <v>46186</v>
      </c>
      <c r="C1318" s="286" t="s">
        <v>3773</v>
      </c>
      <c r="D1318" s="286" t="s">
        <v>116</v>
      </c>
      <c r="E1318" s="295">
        <v>1</v>
      </c>
      <c r="F1318" s="295">
        <v>1</v>
      </c>
      <c r="G1318" s="296">
        <v>0</v>
      </c>
      <c r="H1318" s="296">
        <v>550</v>
      </c>
      <c r="I1318" s="296">
        <v>260</v>
      </c>
      <c r="J1318" s="296">
        <v>273</v>
      </c>
      <c r="K1318" s="296">
        <v>277</v>
      </c>
      <c r="L1318" s="296">
        <v>83.1</v>
      </c>
      <c r="M1318" s="296">
        <v>290</v>
      </c>
      <c r="N1318" s="297">
        <v>0.52727272727272723</v>
      </c>
    </row>
    <row r="1319" spans="1:14" ht="18" customHeight="1">
      <c r="A1319" s="293" t="s">
        <v>2921</v>
      </c>
      <c r="B1319" s="294">
        <v>46186</v>
      </c>
      <c r="C1319" s="286" t="s">
        <v>168</v>
      </c>
      <c r="D1319" s="286" t="s">
        <v>162</v>
      </c>
      <c r="E1319" s="295">
        <v>6</v>
      </c>
      <c r="F1319" s="295">
        <v>19</v>
      </c>
      <c r="G1319" s="296">
        <v>0</v>
      </c>
      <c r="H1319" s="296">
        <v>6675</v>
      </c>
      <c r="I1319" s="296">
        <v>5484</v>
      </c>
      <c r="J1319" s="296">
        <v>5648.5199999999995</v>
      </c>
      <c r="K1319" s="296">
        <v>1026.4799999999998</v>
      </c>
      <c r="L1319" s="296">
        <v>0</v>
      </c>
      <c r="M1319" s="296">
        <v>1191</v>
      </c>
      <c r="N1319" s="297">
        <v>0.17842696629213484</v>
      </c>
    </row>
    <row r="1320" spans="1:14" ht="18" customHeight="1">
      <c r="A1320" s="293" t="s">
        <v>2922</v>
      </c>
      <c r="B1320" s="294">
        <v>46186</v>
      </c>
      <c r="C1320" s="286" t="s">
        <v>168</v>
      </c>
      <c r="D1320" s="286" t="s">
        <v>96</v>
      </c>
      <c r="E1320" s="295">
        <v>2</v>
      </c>
      <c r="F1320" s="295">
        <v>2</v>
      </c>
      <c r="G1320" s="296">
        <v>0</v>
      </c>
      <c r="H1320" s="296">
        <v>2250</v>
      </c>
      <c r="I1320" s="296">
        <v>1390</v>
      </c>
      <c r="J1320" s="296">
        <v>1459.5</v>
      </c>
      <c r="K1320" s="296">
        <v>790.5</v>
      </c>
      <c r="L1320" s="296">
        <v>0</v>
      </c>
      <c r="M1320" s="296">
        <v>860</v>
      </c>
      <c r="N1320" s="297">
        <v>0.38222222222222224</v>
      </c>
    </row>
    <row r="1321" spans="1:14" ht="18" customHeight="1">
      <c r="A1321" s="293" t="s">
        <v>2923</v>
      </c>
      <c r="B1321" s="294">
        <v>46186</v>
      </c>
      <c r="C1321" s="286" t="s">
        <v>3773</v>
      </c>
      <c r="D1321" s="286" t="s">
        <v>193</v>
      </c>
      <c r="E1321" s="295">
        <v>5</v>
      </c>
      <c r="F1321" s="295">
        <v>10.8</v>
      </c>
      <c r="G1321" s="296">
        <v>0</v>
      </c>
      <c r="H1321" s="296">
        <v>3530</v>
      </c>
      <c r="I1321" s="296">
        <v>2604</v>
      </c>
      <c r="J1321" s="296">
        <v>2682.1200000000003</v>
      </c>
      <c r="K1321" s="296">
        <v>847.87999999999977</v>
      </c>
      <c r="L1321" s="296">
        <v>254.36399999999992</v>
      </c>
      <c r="M1321" s="296">
        <v>926</v>
      </c>
      <c r="N1321" s="297">
        <v>0.26232294617563739</v>
      </c>
    </row>
    <row r="1322" spans="1:14" ht="18" customHeight="1">
      <c r="A1322" s="293" t="s">
        <v>2924</v>
      </c>
      <c r="B1322" s="294">
        <v>46186</v>
      </c>
      <c r="C1322" s="286" t="s">
        <v>168</v>
      </c>
      <c r="D1322" s="286" t="s">
        <v>105</v>
      </c>
      <c r="E1322" s="295">
        <v>1</v>
      </c>
      <c r="F1322" s="295">
        <v>1</v>
      </c>
      <c r="G1322" s="296">
        <v>0</v>
      </c>
      <c r="H1322" s="296">
        <v>550</v>
      </c>
      <c r="I1322" s="296">
        <v>250</v>
      </c>
      <c r="J1322" s="296">
        <v>262.5</v>
      </c>
      <c r="K1322" s="296">
        <v>287.5</v>
      </c>
      <c r="L1322" s="296">
        <v>0</v>
      </c>
      <c r="M1322" s="296">
        <v>300</v>
      </c>
      <c r="N1322" s="297">
        <v>0.54545454545454541</v>
      </c>
    </row>
    <row r="1323" spans="1:14" ht="18" customHeight="1">
      <c r="A1323" s="293" t="s">
        <v>2925</v>
      </c>
      <c r="B1323" s="294">
        <v>46186</v>
      </c>
      <c r="C1323" s="286" t="s">
        <v>168</v>
      </c>
      <c r="D1323" s="286" t="s">
        <v>115</v>
      </c>
      <c r="E1323" s="295">
        <v>3</v>
      </c>
      <c r="F1323" s="295">
        <v>3</v>
      </c>
      <c r="G1323" s="296">
        <v>0</v>
      </c>
      <c r="H1323" s="296">
        <v>4430</v>
      </c>
      <c r="I1323" s="296">
        <v>1980</v>
      </c>
      <c r="J1323" s="296">
        <v>2072.4</v>
      </c>
      <c r="K1323" s="296">
        <v>2357.6</v>
      </c>
      <c r="L1323" s="296">
        <v>0</v>
      </c>
      <c r="M1323" s="296">
        <v>2450</v>
      </c>
      <c r="N1323" s="297">
        <v>0.55304740406320541</v>
      </c>
    </row>
    <row r="1324" spans="1:14" ht="18" customHeight="1">
      <c r="A1324" s="293" t="s">
        <v>2926</v>
      </c>
      <c r="B1324" s="294">
        <v>46186</v>
      </c>
      <c r="C1324" s="286" t="s">
        <v>168</v>
      </c>
      <c r="D1324" s="286" t="s">
        <v>124</v>
      </c>
      <c r="E1324" s="295">
        <v>1</v>
      </c>
      <c r="F1324" s="295">
        <v>1</v>
      </c>
      <c r="G1324" s="296">
        <v>0</v>
      </c>
      <c r="H1324" s="296">
        <v>2000</v>
      </c>
      <c r="I1324" s="296">
        <v>1300</v>
      </c>
      <c r="J1324" s="296">
        <v>1365</v>
      </c>
      <c r="K1324" s="296">
        <v>635</v>
      </c>
      <c r="L1324" s="296">
        <v>0</v>
      </c>
      <c r="M1324" s="296">
        <v>700</v>
      </c>
      <c r="N1324" s="297">
        <v>0.35</v>
      </c>
    </row>
    <row r="1325" spans="1:14" ht="18" customHeight="1">
      <c r="A1325" s="293" t="s">
        <v>2927</v>
      </c>
      <c r="B1325" s="294">
        <v>46186</v>
      </c>
      <c r="C1325" s="286" t="s">
        <v>168</v>
      </c>
      <c r="D1325" s="286" t="s">
        <v>234</v>
      </c>
      <c r="E1325" s="295">
        <v>1</v>
      </c>
      <c r="F1325" s="295">
        <v>1</v>
      </c>
      <c r="G1325" s="296">
        <v>0</v>
      </c>
      <c r="H1325" s="296">
        <v>8700</v>
      </c>
      <c r="I1325" s="296">
        <v>0</v>
      </c>
      <c r="J1325" s="296">
        <v>0</v>
      </c>
      <c r="K1325" s="296">
        <v>8700</v>
      </c>
      <c r="L1325" s="296">
        <v>0</v>
      </c>
      <c r="M1325" s="296">
        <v>8700</v>
      </c>
      <c r="N1325" s="297">
        <v>1</v>
      </c>
    </row>
    <row r="1326" spans="1:14" ht="18" customHeight="1">
      <c r="A1326" s="293" t="s">
        <v>2928</v>
      </c>
      <c r="B1326" s="294">
        <v>46186</v>
      </c>
      <c r="C1326" s="286" t="s">
        <v>358</v>
      </c>
      <c r="D1326" s="286" t="s">
        <v>98</v>
      </c>
      <c r="E1326" s="295">
        <v>2</v>
      </c>
      <c r="F1326" s="295">
        <v>2</v>
      </c>
      <c r="G1326" s="296">
        <v>0</v>
      </c>
      <c r="H1326" s="296">
        <v>9350</v>
      </c>
      <c r="I1326" s="296">
        <v>215</v>
      </c>
      <c r="J1326" s="296">
        <v>225.75</v>
      </c>
      <c r="K1326" s="296">
        <v>9124.25</v>
      </c>
      <c r="L1326" s="296">
        <v>2737.2750000000001</v>
      </c>
      <c r="M1326" s="296">
        <v>9135</v>
      </c>
      <c r="N1326" s="297">
        <v>0.97700534759358293</v>
      </c>
    </row>
    <row r="1327" spans="1:14" ht="18" customHeight="1">
      <c r="A1327" s="293" t="s">
        <v>2929</v>
      </c>
      <c r="B1327" s="294">
        <v>46186</v>
      </c>
      <c r="C1327" s="286" t="s">
        <v>168</v>
      </c>
      <c r="D1327" s="286" t="s">
        <v>99</v>
      </c>
      <c r="E1327" s="295">
        <v>1</v>
      </c>
      <c r="F1327" s="295">
        <v>1</v>
      </c>
      <c r="G1327" s="296">
        <v>0</v>
      </c>
      <c r="H1327" s="296">
        <v>220</v>
      </c>
      <c r="I1327" s="296">
        <v>70</v>
      </c>
      <c r="J1327" s="296">
        <v>73.5</v>
      </c>
      <c r="K1327" s="296">
        <v>146.5</v>
      </c>
      <c r="L1327" s="296">
        <v>0</v>
      </c>
      <c r="M1327" s="296">
        <v>150</v>
      </c>
      <c r="N1327" s="297">
        <v>0.68181818181818177</v>
      </c>
    </row>
    <row r="1328" spans="1:14" ht="18" customHeight="1">
      <c r="A1328" s="293" t="s">
        <v>2930</v>
      </c>
      <c r="B1328" s="294">
        <v>46188</v>
      </c>
      <c r="C1328" s="286" t="s">
        <v>3773</v>
      </c>
      <c r="D1328" s="286" t="s">
        <v>100</v>
      </c>
      <c r="E1328" s="295">
        <v>1</v>
      </c>
      <c r="F1328" s="295">
        <v>1</v>
      </c>
      <c r="G1328" s="296">
        <v>0</v>
      </c>
      <c r="H1328" s="296">
        <v>680</v>
      </c>
      <c r="I1328" s="296">
        <v>480</v>
      </c>
      <c r="J1328" s="296">
        <v>504</v>
      </c>
      <c r="K1328" s="296">
        <v>176</v>
      </c>
      <c r="L1328" s="296">
        <v>52.8</v>
      </c>
      <c r="M1328" s="296">
        <v>200</v>
      </c>
      <c r="N1328" s="297">
        <v>0.29411764705882354</v>
      </c>
    </row>
    <row r="1329" spans="1:14" ht="18" customHeight="1">
      <c r="A1329" s="293" t="s">
        <v>2931</v>
      </c>
      <c r="B1329" s="294">
        <v>46188</v>
      </c>
      <c r="C1329" s="286" t="s">
        <v>348</v>
      </c>
      <c r="D1329" s="286" t="s">
        <v>101</v>
      </c>
      <c r="E1329" s="295">
        <v>2</v>
      </c>
      <c r="F1329" s="295">
        <v>10</v>
      </c>
      <c r="G1329" s="296">
        <v>0</v>
      </c>
      <c r="H1329" s="296">
        <v>1555</v>
      </c>
      <c r="I1329" s="296">
        <v>1005</v>
      </c>
      <c r="J1329" s="296">
        <v>1035.1500000000001</v>
      </c>
      <c r="K1329" s="296">
        <v>519.84999999999991</v>
      </c>
      <c r="L1329" s="296">
        <v>155.95499999999998</v>
      </c>
      <c r="M1329" s="296">
        <v>550</v>
      </c>
      <c r="N1329" s="297">
        <v>0.3536977491961415</v>
      </c>
    </row>
    <row r="1330" spans="1:14" ht="18" customHeight="1">
      <c r="A1330" s="293" t="s">
        <v>2932</v>
      </c>
      <c r="B1330" s="294">
        <v>46188</v>
      </c>
      <c r="C1330" s="286" t="s">
        <v>3773</v>
      </c>
      <c r="D1330" s="286" t="s">
        <v>102</v>
      </c>
      <c r="E1330" s="295">
        <v>4</v>
      </c>
      <c r="F1330" s="295">
        <v>9</v>
      </c>
      <c r="G1330" s="296">
        <v>0</v>
      </c>
      <c r="H1330" s="296">
        <v>1230</v>
      </c>
      <c r="I1330" s="296">
        <v>523</v>
      </c>
      <c r="J1330" s="296">
        <v>548.31000000000006</v>
      </c>
      <c r="K1330" s="296">
        <v>681.69</v>
      </c>
      <c r="L1330" s="296">
        <v>204.50700000000001</v>
      </c>
      <c r="M1330" s="296">
        <v>707</v>
      </c>
      <c r="N1330" s="297">
        <v>0.5747967479674797</v>
      </c>
    </row>
    <row r="1331" spans="1:14" ht="18" customHeight="1">
      <c r="A1331" s="293" t="s">
        <v>2933</v>
      </c>
      <c r="B1331" s="294">
        <v>46188</v>
      </c>
      <c r="C1331" s="286" t="s">
        <v>353</v>
      </c>
      <c r="D1331" s="286" t="s">
        <v>108</v>
      </c>
      <c r="E1331" s="295">
        <v>1</v>
      </c>
      <c r="F1331" s="295">
        <v>1</v>
      </c>
      <c r="G1331" s="296">
        <v>0</v>
      </c>
      <c r="H1331" s="296">
        <v>1800</v>
      </c>
      <c r="I1331" s="296">
        <v>1150</v>
      </c>
      <c r="J1331" s="296">
        <v>1207.5</v>
      </c>
      <c r="K1331" s="296">
        <v>592.5</v>
      </c>
      <c r="L1331" s="296">
        <v>177.75</v>
      </c>
      <c r="M1331" s="296">
        <v>650</v>
      </c>
      <c r="N1331" s="297">
        <v>0.3611111111111111</v>
      </c>
    </row>
    <row r="1332" spans="1:14" ht="18" customHeight="1">
      <c r="A1332" s="293" t="s">
        <v>2934</v>
      </c>
      <c r="B1332" s="294">
        <v>46188</v>
      </c>
      <c r="C1332" s="286" t="s">
        <v>168</v>
      </c>
      <c r="D1332" s="286" t="s">
        <v>121</v>
      </c>
      <c r="E1332" s="295">
        <v>2</v>
      </c>
      <c r="F1332" s="295">
        <v>2</v>
      </c>
      <c r="G1332" s="296">
        <v>0</v>
      </c>
      <c r="H1332" s="296">
        <v>4200</v>
      </c>
      <c r="I1332" s="296">
        <v>2550</v>
      </c>
      <c r="J1332" s="296">
        <v>2677.5</v>
      </c>
      <c r="K1332" s="296">
        <v>1522.5</v>
      </c>
      <c r="L1332" s="296">
        <v>0</v>
      </c>
      <c r="M1332" s="296">
        <v>1650</v>
      </c>
      <c r="N1332" s="297">
        <v>0.39285714285714285</v>
      </c>
    </row>
    <row r="1333" spans="1:14" ht="18" customHeight="1">
      <c r="A1333" s="293" t="s">
        <v>2935</v>
      </c>
      <c r="B1333" s="294">
        <v>46188</v>
      </c>
      <c r="C1333" s="286" t="s">
        <v>3773</v>
      </c>
      <c r="D1333" s="286" t="s">
        <v>116</v>
      </c>
      <c r="E1333" s="295">
        <v>1</v>
      </c>
      <c r="F1333" s="295">
        <v>1</v>
      </c>
      <c r="G1333" s="296">
        <v>0</v>
      </c>
      <c r="H1333" s="296">
        <v>2200</v>
      </c>
      <c r="I1333" s="296">
        <v>1500</v>
      </c>
      <c r="J1333" s="296">
        <v>1575</v>
      </c>
      <c r="K1333" s="296">
        <v>625</v>
      </c>
      <c r="L1333" s="296">
        <v>187.5</v>
      </c>
      <c r="M1333" s="296">
        <v>700</v>
      </c>
      <c r="N1333" s="297">
        <v>0.31818181818181818</v>
      </c>
    </row>
    <row r="1334" spans="1:14" ht="18" customHeight="1">
      <c r="A1334" s="293" t="s">
        <v>2936</v>
      </c>
      <c r="B1334" s="294">
        <v>46188</v>
      </c>
      <c r="C1334" s="286" t="s">
        <v>168</v>
      </c>
      <c r="D1334" s="286" t="s">
        <v>96</v>
      </c>
      <c r="E1334" s="295">
        <v>5</v>
      </c>
      <c r="F1334" s="295">
        <v>6</v>
      </c>
      <c r="G1334" s="296">
        <v>0</v>
      </c>
      <c r="H1334" s="296">
        <v>5690</v>
      </c>
      <c r="I1334" s="296">
        <v>2965</v>
      </c>
      <c r="J1334" s="296">
        <v>3113.25</v>
      </c>
      <c r="K1334" s="296">
        <v>2576.75</v>
      </c>
      <c r="L1334" s="296">
        <v>0</v>
      </c>
      <c r="M1334" s="296">
        <v>2725</v>
      </c>
      <c r="N1334" s="297">
        <v>0.47891036906854129</v>
      </c>
    </row>
    <row r="1335" spans="1:14" ht="18" customHeight="1">
      <c r="A1335" s="293" t="s">
        <v>2937</v>
      </c>
      <c r="B1335" s="294">
        <v>46188</v>
      </c>
      <c r="C1335" s="286" t="s">
        <v>168</v>
      </c>
      <c r="D1335" s="286" t="s">
        <v>105</v>
      </c>
      <c r="E1335" s="295">
        <v>1</v>
      </c>
      <c r="F1335" s="295">
        <v>1</v>
      </c>
      <c r="G1335" s="296">
        <v>0</v>
      </c>
      <c r="H1335" s="296">
        <v>8700</v>
      </c>
      <c r="I1335" s="296">
        <v>0</v>
      </c>
      <c r="J1335" s="296">
        <v>0</v>
      </c>
      <c r="K1335" s="296">
        <v>8700</v>
      </c>
      <c r="L1335" s="296">
        <v>0</v>
      </c>
      <c r="M1335" s="296">
        <v>8700</v>
      </c>
      <c r="N1335" s="297">
        <v>1</v>
      </c>
    </row>
    <row r="1336" spans="1:14" ht="18" customHeight="1">
      <c r="A1336" s="293" t="s">
        <v>2938</v>
      </c>
      <c r="B1336" s="294">
        <v>46188</v>
      </c>
      <c r="C1336" s="286" t="s">
        <v>168</v>
      </c>
      <c r="D1336" s="286" t="s">
        <v>115</v>
      </c>
      <c r="E1336" s="295">
        <v>2</v>
      </c>
      <c r="F1336" s="295">
        <v>2</v>
      </c>
      <c r="G1336" s="296">
        <v>0</v>
      </c>
      <c r="H1336" s="296">
        <v>4100</v>
      </c>
      <c r="I1336" s="296">
        <v>1980</v>
      </c>
      <c r="J1336" s="296">
        <v>2079</v>
      </c>
      <c r="K1336" s="296">
        <v>2021</v>
      </c>
      <c r="L1336" s="296">
        <v>0</v>
      </c>
      <c r="M1336" s="296">
        <v>2120</v>
      </c>
      <c r="N1336" s="297">
        <v>0.51707317073170733</v>
      </c>
    </row>
    <row r="1337" spans="1:14" ht="18" customHeight="1">
      <c r="A1337" s="293" t="s">
        <v>2939</v>
      </c>
      <c r="B1337" s="294">
        <v>46188</v>
      </c>
      <c r="C1337" s="286" t="s">
        <v>168</v>
      </c>
      <c r="D1337" s="286" t="s">
        <v>124</v>
      </c>
      <c r="E1337" s="295">
        <v>1</v>
      </c>
      <c r="F1337" s="295">
        <v>1</v>
      </c>
      <c r="G1337" s="296">
        <v>0</v>
      </c>
      <c r="H1337" s="296">
        <v>2000</v>
      </c>
      <c r="I1337" s="296">
        <v>1300</v>
      </c>
      <c r="J1337" s="296">
        <v>1365</v>
      </c>
      <c r="K1337" s="296">
        <v>635</v>
      </c>
      <c r="L1337" s="296">
        <v>0</v>
      </c>
      <c r="M1337" s="296">
        <v>700</v>
      </c>
      <c r="N1337" s="297">
        <v>0.35</v>
      </c>
    </row>
    <row r="1338" spans="1:14" ht="18" customHeight="1">
      <c r="A1338" s="293" t="s">
        <v>2940</v>
      </c>
      <c r="B1338" s="294">
        <v>46188</v>
      </c>
      <c r="C1338" s="286" t="s">
        <v>356</v>
      </c>
      <c r="D1338" s="286" t="s">
        <v>235</v>
      </c>
      <c r="E1338" s="295">
        <v>1</v>
      </c>
      <c r="F1338" s="295">
        <v>1</v>
      </c>
      <c r="G1338" s="296">
        <v>0</v>
      </c>
      <c r="H1338" s="296">
        <v>415</v>
      </c>
      <c r="I1338" s="296">
        <v>160</v>
      </c>
      <c r="J1338" s="296">
        <v>168</v>
      </c>
      <c r="K1338" s="296">
        <v>247</v>
      </c>
      <c r="L1338" s="296">
        <v>74.099999999999994</v>
      </c>
      <c r="M1338" s="296">
        <v>255</v>
      </c>
      <c r="N1338" s="297">
        <v>0.61445783132530118</v>
      </c>
    </row>
    <row r="1339" spans="1:14" ht="18" customHeight="1">
      <c r="A1339" s="293" t="s">
        <v>2941</v>
      </c>
      <c r="B1339" s="294">
        <v>46188</v>
      </c>
      <c r="C1339" s="286" t="s">
        <v>358</v>
      </c>
      <c r="D1339" s="286" t="s">
        <v>98</v>
      </c>
      <c r="E1339" s="295">
        <v>4</v>
      </c>
      <c r="F1339" s="295">
        <v>7</v>
      </c>
      <c r="G1339" s="296">
        <v>0</v>
      </c>
      <c r="H1339" s="296">
        <v>2080</v>
      </c>
      <c r="I1339" s="296">
        <v>820</v>
      </c>
      <c r="J1339" s="296">
        <v>856</v>
      </c>
      <c r="K1339" s="296">
        <v>1224</v>
      </c>
      <c r="L1339" s="296">
        <v>367.2</v>
      </c>
      <c r="M1339" s="296">
        <v>1260</v>
      </c>
      <c r="N1339" s="297">
        <v>0.60576923076923073</v>
      </c>
    </row>
    <row r="1340" spans="1:14" ht="18" customHeight="1">
      <c r="A1340" s="293" t="s">
        <v>2942</v>
      </c>
      <c r="B1340" s="294">
        <v>46188</v>
      </c>
      <c r="C1340" s="286" t="s">
        <v>168</v>
      </c>
      <c r="D1340" s="286" t="s">
        <v>99</v>
      </c>
      <c r="E1340" s="295">
        <v>6</v>
      </c>
      <c r="F1340" s="295">
        <v>8</v>
      </c>
      <c r="G1340" s="296">
        <v>0</v>
      </c>
      <c r="H1340" s="296">
        <v>936</v>
      </c>
      <c r="I1340" s="296">
        <v>443</v>
      </c>
      <c r="J1340" s="296">
        <v>460.49</v>
      </c>
      <c r="K1340" s="296">
        <v>475.51</v>
      </c>
      <c r="L1340" s="296">
        <v>0</v>
      </c>
      <c r="M1340" s="296">
        <v>493</v>
      </c>
      <c r="N1340" s="297">
        <v>0.52670940170940173</v>
      </c>
    </row>
    <row r="1341" spans="1:14" ht="18" customHeight="1">
      <c r="A1341" s="293" t="s">
        <v>2943</v>
      </c>
      <c r="B1341" s="294">
        <v>46189</v>
      </c>
      <c r="C1341" s="286" t="s">
        <v>168</v>
      </c>
      <c r="D1341" s="286" t="s">
        <v>196</v>
      </c>
      <c r="E1341" s="295">
        <v>3</v>
      </c>
      <c r="F1341" s="295">
        <v>3</v>
      </c>
      <c r="G1341" s="296">
        <v>0</v>
      </c>
      <c r="H1341" s="296">
        <v>3200</v>
      </c>
      <c r="I1341" s="296">
        <v>1950</v>
      </c>
      <c r="J1341" s="296">
        <v>2047.5</v>
      </c>
      <c r="K1341" s="296">
        <v>1152.5</v>
      </c>
      <c r="L1341" s="296">
        <v>0</v>
      </c>
      <c r="M1341" s="296">
        <v>1250</v>
      </c>
      <c r="N1341" s="297">
        <v>0.390625</v>
      </c>
    </row>
    <row r="1342" spans="1:14" ht="18" customHeight="1">
      <c r="A1342" s="293" t="s">
        <v>2944</v>
      </c>
      <c r="B1342" s="294">
        <v>46189</v>
      </c>
      <c r="C1342" s="286" t="s">
        <v>3773</v>
      </c>
      <c r="D1342" s="286" t="s">
        <v>102</v>
      </c>
      <c r="E1342" s="295">
        <v>4</v>
      </c>
      <c r="F1342" s="295">
        <v>4</v>
      </c>
      <c r="G1342" s="296">
        <v>0</v>
      </c>
      <c r="H1342" s="296">
        <v>9595</v>
      </c>
      <c r="I1342" s="296">
        <v>356</v>
      </c>
      <c r="J1342" s="296">
        <v>373.8</v>
      </c>
      <c r="K1342" s="296">
        <v>9221.2000000000007</v>
      </c>
      <c r="L1342" s="296">
        <v>2766.36</v>
      </c>
      <c r="M1342" s="296">
        <v>9239</v>
      </c>
      <c r="N1342" s="297">
        <v>0.96289734236581548</v>
      </c>
    </row>
    <row r="1343" spans="1:14" ht="18" customHeight="1">
      <c r="A1343" s="293" t="s">
        <v>2945</v>
      </c>
      <c r="B1343" s="294">
        <v>46189</v>
      </c>
      <c r="C1343" s="286" t="s">
        <v>168</v>
      </c>
      <c r="D1343" s="286" t="s">
        <v>120</v>
      </c>
      <c r="E1343" s="295">
        <v>1</v>
      </c>
      <c r="F1343" s="295">
        <v>1</v>
      </c>
      <c r="G1343" s="296">
        <v>0</v>
      </c>
      <c r="H1343" s="296">
        <v>350</v>
      </c>
      <c r="I1343" s="296">
        <v>85</v>
      </c>
      <c r="J1343" s="296">
        <v>89.25</v>
      </c>
      <c r="K1343" s="296">
        <v>260.75</v>
      </c>
      <c r="L1343" s="296">
        <v>0</v>
      </c>
      <c r="M1343" s="296">
        <v>265</v>
      </c>
      <c r="N1343" s="297">
        <v>0.75714285714285712</v>
      </c>
    </row>
    <row r="1344" spans="1:14" ht="18" customHeight="1">
      <c r="A1344" s="293" t="s">
        <v>2946</v>
      </c>
      <c r="B1344" s="294">
        <v>46189</v>
      </c>
      <c r="C1344" s="286" t="s">
        <v>168</v>
      </c>
      <c r="D1344" s="286" t="s">
        <v>92</v>
      </c>
      <c r="E1344" s="295">
        <v>1</v>
      </c>
      <c r="F1344" s="295">
        <v>1</v>
      </c>
      <c r="G1344" s="296">
        <v>0</v>
      </c>
      <c r="H1344" s="296">
        <v>2100</v>
      </c>
      <c r="I1344" s="296">
        <v>1300</v>
      </c>
      <c r="J1344" s="296">
        <v>1365</v>
      </c>
      <c r="K1344" s="296">
        <v>735</v>
      </c>
      <c r="L1344" s="296">
        <v>0</v>
      </c>
      <c r="M1344" s="296">
        <v>800</v>
      </c>
      <c r="N1344" s="297">
        <v>0.38095238095238093</v>
      </c>
    </row>
    <row r="1345" spans="1:14" ht="18" customHeight="1">
      <c r="A1345" s="293" t="s">
        <v>2947</v>
      </c>
      <c r="B1345" s="294">
        <v>46189</v>
      </c>
      <c r="C1345" s="286" t="s">
        <v>353</v>
      </c>
      <c r="D1345" s="286" t="s">
        <v>103</v>
      </c>
      <c r="E1345" s="295">
        <v>5</v>
      </c>
      <c r="F1345" s="295">
        <v>8</v>
      </c>
      <c r="G1345" s="296">
        <v>0</v>
      </c>
      <c r="H1345" s="296">
        <v>5775</v>
      </c>
      <c r="I1345" s="296">
        <v>3115</v>
      </c>
      <c r="J1345" s="296">
        <v>3270.75</v>
      </c>
      <c r="K1345" s="296">
        <v>2504.25</v>
      </c>
      <c r="L1345" s="296">
        <v>751.27500000000009</v>
      </c>
      <c r="M1345" s="296">
        <v>2660</v>
      </c>
      <c r="N1345" s="297">
        <v>0.46060606060606063</v>
      </c>
    </row>
    <row r="1346" spans="1:14" ht="18" customHeight="1">
      <c r="A1346" s="293" t="s">
        <v>2948</v>
      </c>
      <c r="B1346" s="294">
        <v>46189</v>
      </c>
      <c r="C1346" s="286" t="s">
        <v>168</v>
      </c>
      <c r="D1346" s="286" t="s">
        <v>128</v>
      </c>
      <c r="E1346" s="295">
        <v>1</v>
      </c>
      <c r="F1346" s="295">
        <v>1</v>
      </c>
      <c r="G1346" s="296">
        <v>0</v>
      </c>
      <c r="H1346" s="296">
        <v>650</v>
      </c>
      <c r="I1346" s="296">
        <v>280</v>
      </c>
      <c r="J1346" s="296">
        <v>294</v>
      </c>
      <c r="K1346" s="296">
        <v>356</v>
      </c>
      <c r="L1346" s="296">
        <v>0</v>
      </c>
      <c r="M1346" s="296">
        <v>370</v>
      </c>
      <c r="N1346" s="297">
        <v>0.56923076923076921</v>
      </c>
    </row>
    <row r="1347" spans="1:14" ht="18" customHeight="1">
      <c r="A1347" s="293" t="s">
        <v>2949</v>
      </c>
      <c r="B1347" s="294">
        <v>46189</v>
      </c>
      <c r="C1347" s="286" t="s">
        <v>168</v>
      </c>
      <c r="D1347" s="286" t="s">
        <v>124</v>
      </c>
      <c r="E1347" s="295">
        <v>1</v>
      </c>
      <c r="F1347" s="295">
        <v>1</v>
      </c>
      <c r="G1347" s="296">
        <v>0</v>
      </c>
      <c r="H1347" s="296">
        <v>650</v>
      </c>
      <c r="I1347" s="296">
        <v>450</v>
      </c>
      <c r="J1347" s="296">
        <v>472.5</v>
      </c>
      <c r="K1347" s="296">
        <v>177.5</v>
      </c>
      <c r="L1347" s="296">
        <v>0</v>
      </c>
      <c r="M1347" s="296">
        <v>200</v>
      </c>
      <c r="N1347" s="297">
        <v>0.30769230769230771</v>
      </c>
    </row>
    <row r="1348" spans="1:14" ht="18" customHeight="1">
      <c r="A1348" s="293" t="s">
        <v>2950</v>
      </c>
      <c r="B1348" s="294">
        <v>46189</v>
      </c>
      <c r="C1348" s="286" t="s">
        <v>168</v>
      </c>
      <c r="D1348" s="286" t="s">
        <v>97</v>
      </c>
      <c r="E1348" s="295">
        <v>2</v>
      </c>
      <c r="F1348" s="295">
        <v>5</v>
      </c>
      <c r="G1348" s="296">
        <v>0</v>
      </c>
      <c r="H1348" s="296">
        <v>680</v>
      </c>
      <c r="I1348" s="296">
        <v>282</v>
      </c>
      <c r="J1348" s="296">
        <v>296.10000000000002</v>
      </c>
      <c r="K1348" s="296">
        <v>383.9</v>
      </c>
      <c r="L1348" s="296">
        <v>0</v>
      </c>
      <c r="M1348" s="296">
        <v>398</v>
      </c>
      <c r="N1348" s="297">
        <v>0.58529411764705885</v>
      </c>
    </row>
    <row r="1349" spans="1:14" ht="18" customHeight="1">
      <c r="A1349" s="293" t="s">
        <v>2951</v>
      </c>
      <c r="B1349" s="294">
        <v>46189</v>
      </c>
      <c r="C1349" s="286" t="s">
        <v>3773</v>
      </c>
      <c r="D1349" s="286" t="s">
        <v>230</v>
      </c>
      <c r="E1349" s="295">
        <v>4</v>
      </c>
      <c r="F1349" s="295">
        <v>8.1999999999999993</v>
      </c>
      <c r="G1349" s="296">
        <v>0</v>
      </c>
      <c r="H1349" s="296">
        <v>1560</v>
      </c>
      <c r="I1349" s="296">
        <v>1087.3000000000002</v>
      </c>
      <c r="J1349" s="296">
        <v>1128.319</v>
      </c>
      <c r="K1349" s="296">
        <v>431.68099999999993</v>
      </c>
      <c r="L1349" s="296">
        <v>129.50429999999997</v>
      </c>
      <c r="M1349" s="296">
        <v>472.69999999999982</v>
      </c>
      <c r="N1349" s="297">
        <v>0.30301282051282041</v>
      </c>
    </row>
    <row r="1350" spans="1:14" ht="18" customHeight="1">
      <c r="A1350" s="293" t="s">
        <v>2952</v>
      </c>
      <c r="B1350" s="294">
        <v>46189</v>
      </c>
      <c r="C1350" s="286" t="s">
        <v>358</v>
      </c>
      <c r="D1350" s="286" t="s">
        <v>130</v>
      </c>
      <c r="E1350" s="295">
        <v>1</v>
      </c>
      <c r="F1350" s="295">
        <v>1</v>
      </c>
      <c r="G1350" s="296">
        <v>0</v>
      </c>
      <c r="H1350" s="296">
        <v>8700</v>
      </c>
      <c r="I1350" s="296">
        <v>0</v>
      </c>
      <c r="J1350" s="296">
        <v>0</v>
      </c>
      <c r="K1350" s="296">
        <v>8700</v>
      </c>
      <c r="L1350" s="296">
        <v>2610</v>
      </c>
      <c r="M1350" s="296">
        <v>8700</v>
      </c>
      <c r="N1350" s="297">
        <v>1</v>
      </c>
    </row>
    <row r="1351" spans="1:14" ht="18" customHeight="1">
      <c r="A1351" s="293" t="s">
        <v>2953</v>
      </c>
      <c r="B1351" s="294">
        <v>46190</v>
      </c>
      <c r="C1351" s="286" t="s">
        <v>168</v>
      </c>
      <c r="D1351" s="286" t="s">
        <v>196</v>
      </c>
      <c r="E1351" s="295">
        <v>3</v>
      </c>
      <c r="F1351" s="295">
        <v>3</v>
      </c>
      <c r="G1351" s="296">
        <v>0</v>
      </c>
      <c r="H1351" s="296">
        <v>1050</v>
      </c>
      <c r="I1351" s="296">
        <v>455</v>
      </c>
      <c r="J1351" s="296">
        <v>477.75</v>
      </c>
      <c r="K1351" s="296">
        <v>572.25</v>
      </c>
      <c r="L1351" s="296">
        <v>0</v>
      </c>
      <c r="M1351" s="296">
        <v>595</v>
      </c>
      <c r="N1351" s="297">
        <v>0.56666666666666665</v>
      </c>
    </row>
    <row r="1352" spans="1:14" ht="18" customHeight="1">
      <c r="A1352" s="293" t="s">
        <v>2954</v>
      </c>
      <c r="B1352" s="294">
        <v>46190</v>
      </c>
      <c r="C1352" s="286" t="s">
        <v>168</v>
      </c>
      <c r="D1352" s="286" t="s">
        <v>207</v>
      </c>
      <c r="E1352" s="295">
        <v>1</v>
      </c>
      <c r="F1352" s="295">
        <v>1</v>
      </c>
      <c r="G1352" s="296">
        <v>0</v>
      </c>
      <c r="H1352" s="296">
        <v>2100</v>
      </c>
      <c r="I1352" s="296">
        <v>1500</v>
      </c>
      <c r="J1352" s="296">
        <v>1575</v>
      </c>
      <c r="K1352" s="296">
        <v>525</v>
      </c>
      <c r="L1352" s="296">
        <v>0</v>
      </c>
      <c r="M1352" s="296">
        <v>600</v>
      </c>
      <c r="N1352" s="297">
        <v>0.2857142857142857</v>
      </c>
    </row>
    <row r="1353" spans="1:14" ht="18" customHeight="1">
      <c r="A1353" s="293" t="s">
        <v>2955</v>
      </c>
      <c r="B1353" s="294">
        <v>46190</v>
      </c>
      <c r="C1353" s="286" t="s">
        <v>168</v>
      </c>
      <c r="D1353" s="286" t="s">
        <v>120</v>
      </c>
      <c r="E1353" s="295">
        <v>4</v>
      </c>
      <c r="F1353" s="295">
        <v>4</v>
      </c>
      <c r="G1353" s="296">
        <v>0</v>
      </c>
      <c r="H1353" s="296">
        <v>11800</v>
      </c>
      <c r="I1353" s="296">
        <v>1730</v>
      </c>
      <c r="J1353" s="296">
        <v>1816.5</v>
      </c>
      <c r="K1353" s="296">
        <v>9983.5</v>
      </c>
      <c r="L1353" s="296">
        <v>0</v>
      </c>
      <c r="M1353" s="296">
        <v>10070</v>
      </c>
      <c r="N1353" s="297">
        <v>0.85338983050847461</v>
      </c>
    </row>
    <row r="1354" spans="1:14" ht="18" customHeight="1">
      <c r="A1354" s="293" t="s">
        <v>2956</v>
      </c>
      <c r="B1354" s="294">
        <v>46190</v>
      </c>
      <c r="C1354" s="286" t="s">
        <v>3773</v>
      </c>
      <c r="D1354" s="286" t="s">
        <v>126</v>
      </c>
      <c r="E1354" s="295">
        <v>1</v>
      </c>
      <c r="F1354" s="295">
        <v>1</v>
      </c>
      <c r="G1354" s="296">
        <v>0</v>
      </c>
      <c r="H1354" s="296">
        <v>1950</v>
      </c>
      <c r="I1354" s="296">
        <v>1150</v>
      </c>
      <c r="J1354" s="296">
        <v>1207.5</v>
      </c>
      <c r="K1354" s="296">
        <v>742.5</v>
      </c>
      <c r="L1354" s="296">
        <v>222.75</v>
      </c>
      <c r="M1354" s="296">
        <v>800</v>
      </c>
      <c r="N1354" s="297">
        <v>0.41025641025641024</v>
      </c>
    </row>
    <row r="1355" spans="1:14" ht="18" customHeight="1">
      <c r="A1355" s="293" t="s">
        <v>2957</v>
      </c>
      <c r="B1355" s="294">
        <v>46190</v>
      </c>
      <c r="C1355" s="286" t="s">
        <v>353</v>
      </c>
      <c r="D1355" s="286" t="s">
        <v>108</v>
      </c>
      <c r="E1355" s="295">
        <v>1</v>
      </c>
      <c r="F1355" s="295">
        <v>1</v>
      </c>
      <c r="G1355" s="296">
        <v>0</v>
      </c>
      <c r="H1355" s="296">
        <v>2000</v>
      </c>
      <c r="I1355" s="296">
        <v>1200</v>
      </c>
      <c r="J1355" s="296">
        <v>1260</v>
      </c>
      <c r="K1355" s="296">
        <v>740</v>
      </c>
      <c r="L1355" s="296">
        <v>222</v>
      </c>
      <c r="M1355" s="296">
        <v>800</v>
      </c>
      <c r="N1355" s="297">
        <v>0.4</v>
      </c>
    </row>
    <row r="1356" spans="1:14" ht="18" customHeight="1">
      <c r="A1356" s="293" t="s">
        <v>2958</v>
      </c>
      <c r="B1356" s="294">
        <v>46190</v>
      </c>
      <c r="C1356" s="286" t="s">
        <v>354</v>
      </c>
      <c r="D1356" s="286" t="s">
        <v>109</v>
      </c>
      <c r="E1356" s="295">
        <v>4</v>
      </c>
      <c r="F1356" s="295">
        <v>4</v>
      </c>
      <c r="G1356" s="296">
        <v>0</v>
      </c>
      <c r="H1356" s="296">
        <v>7940</v>
      </c>
      <c r="I1356" s="296">
        <v>5500</v>
      </c>
      <c r="J1356" s="296">
        <v>5775</v>
      </c>
      <c r="K1356" s="296">
        <v>2165</v>
      </c>
      <c r="L1356" s="296">
        <v>649.5</v>
      </c>
      <c r="M1356" s="296">
        <v>2440</v>
      </c>
      <c r="N1356" s="297">
        <v>0.30730478589420657</v>
      </c>
    </row>
    <row r="1357" spans="1:14" ht="18" customHeight="1">
      <c r="A1357" s="293" t="s">
        <v>2959</v>
      </c>
      <c r="B1357" s="294">
        <v>46190</v>
      </c>
      <c r="C1357" s="286" t="s">
        <v>168</v>
      </c>
      <c r="D1357" s="286" t="s">
        <v>149</v>
      </c>
      <c r="E1357" s="295">
        <v>7</v>
      </c>
      <c r="F1357" s="295">
        <v>33.799999999999997</v>
      </c>
      <c r="G1357" s="296">
        <v>0</v>
      </c>
      <c r="H1357" s="296">
        <v>4365</v>
      </c>
      <c r="I1357" s="296">
        <v>3104</v>
      </c>
      <c r="J1357" s="296">
        <v>3210.2200000000007</v>
      </c>
      <c r="K1357" s="296">
        <v>1154.7799999999997</v>
      </c>
      <c r="L1357" s="296">
        <v>0</v>
      </c>
      <c r="M1357" s="296">
        <v>1261</v>
      </c>
      <c r="N1357" s="297">
        <v>0.28888888888888886</v>
      </c>
    </row>
    <row r="1358" spans="1:14" ht="18" customHeight="1">
      <c r="A1358" s="293" t="s">
        <v>2960</v>
      </c>
      <c r="B1358" s="294">
        <v>46190</v>
      </c>
      <c r="C1358" s="286" t="s">
        <v>168</v>
      </c>
      <c r="D1358" s="286" t="s">
        <v>96</v>
      </c>
      <c r="E1358" s="295">
        <v>1</v>
      </c>
      <c r="F1358" s="295">
        <v>1</v>
      </c>
      <c r="G1358" s="296">
        <v>0</v>
      </c>
      <c r="H1358" s="296">
        <v>2500</v>
      </c>
      <c r="I1358" s="296">
        <v>850</v>
      </c>
      <c r="J1358" s="296">
        <v>892.5</v>
      </c>
      <c r="K1358" s="296">
        <v>1607.5</v>
      </c>
      <c r="L1358" s="296">
        <v>0</v>
      </c>
      <c r="M1358" s="296">
        <v>1650</v>
      </c>
      <c r="N1358" s="297">
        <v>0.66</v>
      </c>
    </row>
    <row r="1359" spans="1:14" ht="18" customHeight="1">
      <c r="A1359" s="293" t="s">
        <v>2961</v>
      </c>
      <c r="B1359" s="294">
        <v>46190</v>
      </c>
      <c r="C1359" s="286" t="s">
        <v>168</v>
      </c>
      <c r="D1359" s="286" t="s">
        <v>105</v>
      </c>
      <c r="E1359" s="295">
        <v>2</v>
      </c>
      <c r="F1359" s="295">
        <v>2</v>
      </c>
      <c r="G1359" s="296">
        <v>0</v>
      </c>
      <c r="H1359" s="296">
        <v>2800</v>
      </c>
      <c r="I1359" s="296">
        <v>1770</v>
      </c>
      <c r="J1359" s="296">
        <v>1858.5</v>
      </c>
      <c r="K1359" s="296">
        <v>941.5</v>
      </c>
      <c r="L1359" s="296">
        <v>0</v>
      </c>
      <c r="M1359" s="296">
        <v>1030</v>
      </c>
      <c r="N1359" s="297">
        <v>0.36785714285714288</v>
      </c>
    </row>
    <row r="1360" spans="1:14" ht="18" customHeight="1">
      <c r="A1360" s="293" t="s">
        <v>2962</v>
      </c>
      <c r="B1360" s="294">
        <v>46190</v>
      </c>
      <c r="C1360" s="286" t="s">
        <v>168</v>
      </c>
      <c r="D1360" s="286" t="s">
        <v>115</v>
      </c>
      <c r="E1360" s="295">
        <v>1</v>
      </c>
      <c r="F1360" s="295">
        <v>1</v>
      </c>
      <c r="G1360" s="296">
        <v>0</v>
      </c>
      <c r="H1360" s="296">
        <v>2000</v>
      </c>
      <c r="I1360" s="296">
        <v>900</v>
      </c>
      <c r="J1360" s="296">
        <v>945</v>
      </c>
      <c r="K1360" s="296">
        <v>1055</v>
      </c>
      <c r="L1360" s="296">
        <v>0</v>
      </c>
      <c r="M1360" s="296">
        <v>1100</v>
      </c>
      <c r="N1360" s="297">
        <v>0.55000000000000004</v>
      </c>
    </row>
    <row r="1361" spans="1:14" ht="18" customHeight="1">
      <c r="A1361" s="293" t="s">
        <v>2963</v>
      </c>
      <c r="B1361" s="294">
        <v>46190</v>
      </c>
      <c r="C1361" s="286" t="s">
        <v>168</v>
      </c>
      <c r="D1361" s="286" t="s">
        <v>124</v>
      </c>
      <c r="E1361" s="295">
        <v>2</v>
      </c>
      <c r="F1361" s="295">
        <v>2</v>
      </c>
      <c r="G1361" s="296">
        <v>0</v>
      </c>
      <c r="H1361" s="296">
        <v>3900</v>
      </c>
      <c r="I1361" s="296">
        <v>1700</v>
      </c>
      <c r="J1361" s="296">
        <v>1785</v>
      </c>
      <c r="K1361" s="296">
        <v>2115</v>
      </c>
      <c r="L1361" s="296">
        <v>0</v>
      </c>
      <c r="M1361" s="296">
        <v>2200</v>
      </c>
      <c r="N1361" s="297">
        <v>0.5641025641025641</v>
      </c>
    </row>
    <row r="1362" spans="1:14" ht="18" customHeight="1">
      <c r="A1362" s="293" t="s">
        <v>2964</v>
      </c>
      <c r="B1362" s="294">
        <v>46190</v>
      </c>
      <c r="C1362" s="286" t="s">
        <v>358</v>
      </c>
      <c r="D1362" s="286" t="s">
        <v>98</v>
      </c>
      <c r="E1362" s="295">
        <v>7</v>
      </c>
      <c r="F1362" s="295">
        <v>20</v>
      </c>
      <c r="G1362" s="296">
        <v>0</v>
      </c>
      <c r="H1362" s="296">
        <v>11260</v>
      </c>
      <c r="I1362" s="296">
        <v>1179</v>
      </c>
      <c r="J1362" s="296">
        <v>1231.3500000000001</v>
      </c>
      <c r="K1362" s="296">
        <v>10028.65</v>
      </c>
      <c r="L1362" s="296">
        <v>3008.5950000000007</v>
      </c>
      <c r="M1362" s="296">
        <v>10081</v>
      </c>
      <c r="N1362" s="297">
        <v>0.89529307282415627</v>
      </c>
    </row>
    <row r="1363" spans="1:14" ht="18" customHeight="1">
      <c r="A1363" s="293" t="s">
        <v>2965</v>
      </c>
      <c r="B1363" s="294">
        <v>46190</v>
      </c>
      <c r="C1363" s="286" t="s">
        <v>168</v>
      </c>
      <c r="D1363" s="286" t="s">
        <v>99</v>
      </c>
      <c r="E1363" s="295">
        <v>2</v>
      </c>
      <c r="F1363" s="295">
        <v>2</v>
      </c>
      <c r="G1363" s="296">
        <v>0</v>
      </c>
      <c r="H1363" s="296">
        <v>900</v>
      </c>
      <c r="I1363" s="296">
        <v>470</v>
      </c>
      <c r="J1363" s="296">
        <v>493.5</v>
      </c>
      <c r="K1363" s="296">
        <v>406.5</v>
      </c>
      <c r="L1363" s="296">
        <v>0</v>
      </c>
      <c r="M1363" s="296">
        <v>430</v>
      </c>
      <c r="N1363" s="297">
        <v>0.4777777777777778</v>
      </c>
    </row>
    <row r="1364" spans="1:14" ht="18" customHeight="1">
      <c r="A1364" s="293" t="s">
        <v>2966</v>
      </c>
      <c r="B1364" s="294">
        <v>46191</v>
      </c>
      <c r="C1364" s="286" t="s">
        <v>168</v>
      </c>
      <c r="D1364" s="286" t="s">
        <v>196</v>
      </c>
      <c r="E1364" s="295">
        <v>1</v>
      </c>
      <c r="F1364" s="295">
        <v>1</v>
      </c>
      <c r="G1364" s="296">
        <v>0</v>
      </c>
      <c r="H1364" s="296">
        <v>250</v>
      </c>
      <c r="I1364" s="296">
        <v>90</v>
      </c>
      <c r="J1364" s="296">
        <v>94.5</v>
      </c>
      <c r="K1364" s="296">
        <v>155.5</v>
      </c>
      <c r="L1364" s="296">
        <v>0</v>
      </c>
      <c r="M1364" s="296">
        <v>160</v>
      </c>
      <c r="N1364" s="297">
        <v>0.64</v>
      </c>
    </row>
    <row r="1365" spans="1:14" ht="18" customHeight="1">
      <c r="A1365" s="293" t="s">
        <v>2967</v>
      </c>
      <c r="B1365" s="294">
        <v>46191</v>
      </c>
      <c r="C1365" s="286" t="s">
        <v>168</v>
      </c>
      <c r="D1365" s="286" t="s">
        <v>125</v>
      </c>
      <c r="E1365" s="295">
        <v>1</v>
      </c>
      <c r="F1365" s="295">
        <v>1</v>
      </c>
      <c r="G1365" s="296">
        <v>0</v>
      </c>
      <c r="H1365" s="296">
        <v>550</v>
      </c>
      <c r="I1365" s="296">
        <v>250</v>
      </c>
      <c r="J1365" s="296">
        <v>262.5</v>
      </c>
      <c r="K1365" s="296">
        <v>287.5</v>
      </c>
      <c r="L1365" s="296">
        <v>0</v>
      </c>
      <c r="M1365" s="296">
        <v>300</v>
      </c>
      <c r="N1365" s="297">
        <v>0.54545454545454541</v>
      </c>
    </row>
    <row r="1366" spans="1:14" ht="18" customHeight="1">
      <c r="A1366" s="293" t="s">
        <v>2968</v>
      </c>
      <c r="B1366" s="294">
        <v>46191</v>
      </c>
      <c r="C1366" s="286" t="s">
        <v>3773</v>
      </c>
      <c r="D1366" s="286" t="s">
        <v>102</v>
      </c>
      <c r="E1366" s="295">
        <v>1</v>
      </c>
      <c r="F1366" s="295">
        <v>1</v>
      </c>
      <c r="G1366" s="296">
        <v>0</v>
      </c>
      <c r="H1366" s="296">
        <v>500</v>
      </c>
      <c r="I1366" s="296">
        <v>120</v>
      </c>
      <c r="J1366" s="296">
        <v>126</v>
      </c>
      <c r="K1366" s="296">
        <v>374</v>
      </c>
      <c r="L1366" s="296">
        <v>112.2</v>
      </c>
      <c r="M1366" s="296">
        <v>380</v>
      </c>
      <c r="N1366" s="297">
        <v>0.76</v>
      </c>
    </row>
    <row r="1367" spans="1:14" ht="18" customHeight="1">
      <c r="A1367" s="293" t="s">
        <v>2969</v>
      </c>
      <c r="B1367" s="294">
        <v>46191</v>
      </c>
      <c r="C1367" s="286" t="s">
        <v>3773</v>
      </c>
      <c r="D1367" s="286" t="s">
        <v>236</v>
      </c>
      <c r="E1367" s="295">
        <v>2</v>
      </c>
      <c r="F1367" s="295">
        <v>5</v>
      </c>
      <c r="G1367" s="296">
        <v>0</v>
      </c>
      <c r="H1367" s="296">
        <v>39500</v>
      </c>
      <c r="I1367" s="296">
        <v>31400</v>
      </c>
      <c r="J1367" s="296">
        <v>32970</v>
      </c>
      <c r="K1367" s="296">
        <v>6530</v>
      </c>
      <c r="L1367" s="296">
        <v>1959</v>
      </c>
      <c r="M1367" s="296">
        <v>8100</v>
      </c>
      <c r="N1367" s="297">
        <v>0.20506329113924052</v>
      </c>
    </row>
    <row r="1368" spans="1:14" ht="18" customHeight="1">
      <c r="A1368" s="293" t="s">
        <v>2970</v>
      </c>
      <c r="B1368" s="294">
        <v>46191</v>
      </c>
      <c r="C1368" s="286" t="s">
        <v>353</v>
      </c>
      <c r="D1368" s="286" t="s">
        <v>103</v>
      </c>
      <c r="E1368" s="295">
        <v>2</v>
      </c>
      <c r="F1368" s="295">
        <v>3</v>
      </c>
      <c r="G1368" s="296">
        <v>0</v>
      </c>
      <c r="H1368" s="296">
        <v>2420</v>
      </c>
      <c r="I1368" s="296">
        <v>1710</v>
      </c>
      <c r="J1368" s="296">
        <v>1795.5</v>
      </c>
      <c r="K1368" s="296">
        <v>624.5</v>
      </c>
      <c r="L1368" s="296">
        <v>187.35</v>
      </c>
      <c r="M1368" s="296">
        <v>710</v>
      </c>
      <c r="N1368" s="297">
        <v>0.29338842975206614</v>
      </c>
    </row>
    <row r="1369" spans="1:14" ht="18" customHeight="1">
      <c r="A1369" s="293" t="s">
        <v>2971</v>
      </c>
      <c r="B1369" s="294">
        <v>46191</v>
      </c>
      <c r="C1369" s="286" t="s">
        <v>359</v>
      </c>
      <c r="D1369" s="286" t="s">
        <v>114</v>
      </c>
      <c r="E1369" s="295">
        <v>1</v>
      </c>
      <c r="F1369" s="295">
        <v>1</v>
      </c>
      <c r="G1369" s="296">
        <v>0</v>
      </c>
      <c r="H1369" s="296">
        <v>1700</v>
      </c>
      <c r="I1369" s="296">
        <v>750</v>
      </c>
      <c r="J1369" s="296">
        <v>787.5</v>
      </c>
      <c r="K1369" s="296">
        <v>912.5</v>
      </c>
      <c r="L1369" s="296">
        <v>273.75</v>
      </c>
      <c r="M1369" s="296">
        <v>950</v>
      </c>
      <c r="N1369" s="297">
        <v>0.55882352941176472</v>
      </c>
    </row>
    <row r="1370" spans="1:14" ht="18" customHeight="1">
      <c r="A1370" s="293" t="s">
        <v>2972</v>
      </c>
      <c r="B1370" s="294">
        <v>46191</v>
      </c>
      <c r="C1370" s="286" t="s">
        <v>168</v>
      </c>
      <c r="D1370" s="286" t="s">
        <v>142</v>
      </c>
      <c r="E1370" s="295">
        <v>1</v>
      </c>
      <c r="F1370" s="295">
        <v>1</v>
      </c>
      <c r="G1370" s="296">
        <v>0</v>
      </c>
      <c r="H1370" s="296">
        <v>1600</v>
      </c>
      <c r="I1370" s="296">
        <v>900</v>
      </c>
      <c r="J1370" s="296">
        <v>945</v>
      </c>
      <c r="K1370" s="296">
        <v>655</v>
      </c>
      <c r="L1370" s="296">
        <v>0</v>
      </c>
      <c r="M1370" s="296">
        <v>700</v>
      </c>
      <c r="N1370" s="297">
        <v>0.4375</v>
      </c>
    </row>
    <row r="1371" spans="1:14" ht="18" customHeight="1">
      <c r="A1371" s="293" t="s">
        <v>2973</v>
      </c>
      <c r="B1371" s="294">
        <v>46191</v>
      </c>
      <c r="C1371" s="286" t="s">
        <v>168</v>
      </c>
      <c r="D1371" s="286" t="s">
        <v>124</v>
      </c>
      <c r="E1371" s="295">
        <v>8</v>
      </c>
      <c r="F1371" s="295">
        <v>12</v>
      </c>
      <c r="G1371" s="296">
        <v>0</v>
      </c>
      <c r="H1371" s="296">
        <v>3970</v>
      </c>
      <c r="I1371" s="296">
        <v>1954</v>
      </c>
      <c r="J1371" s="296">
        <v>2051.6999999999998</v>
      </c>
      <c r="K1371" s="296">
        <v>1918.3000000000002</v>
      </c>
      <c r="L1371" s="296">
        <v>0</v>
      </c>
      <c r="M1371" s="296">
        <v>2016</v>
      </c>
      <c r="N1371" s="297">
        <v>0.50780856423173804</v>
      </c>
    </row>
    <row r="1372" spans="1:14" ht="18" customHeight="1">
      <c r="A1372" s="293" t="s">
        <v>2974</v>
      </c>
      <c r="B1372" s="294">
        <v>46191</v>
      </c>
      <c r="C1372" s="286" t="s">
        <v>168</v>
      </c>
      <c r="D1372" s="286" t="s">
        <v>117</v>
      </c>
      <c r="E1372" s="295">
        <v>1</v>
      </c>
      <c r="F1372" s="295">
        <v>1</v>
      </c>
      <c r="G1372" s="296">
        <v>0</v>
      </c>
      <c r="H1372" s="296">
        <v>2500</v>
      </c>
      <c r="I1372" s="296">
        <v>1500</v>
      </c>
      <c r="J1372" s="296">
        <v>1575</v>
      </c>
      <c r="K1372" s="296">
        <v>925</v>
      </c>
      <c r="L1372" s="296">
        <v>0</v>
      </c>
      <c r="M1372" s="296">
        <v>1000</v>
      </c>
      <c r="N1372" s="297">
        <v>0.4</v>
      </c>
    </row>
    <row r="1373" spans="1:14" ht="18" customHeight="1">
      <c r="A1373" s="293" t="s">
        <v>2975</v>
      </c>
      <c r="B1373" s="294">
        <v>46191</v>
      </c>
      <c r="C1373" s="286" t="s">
        <v>168</v>
      </c>
      <c r="D1373" s="286" t="s">
        <v>99</v>
      </c>
      <c r="E1373" s="295">
        <v>2</v>
      </c>
      <c r="F1373" s="295">
        <v>4</v>
      </c>
      <c r="G1373" s="296">
        <v>0</v>
      </c>
      <c r="H1373" s="296">
        <v>1406</v>
      </c>
      <c r="I1373" s="296">
        <v>638</v>
      </c>
      <c r="J1373" s="296">
        <v>669.14</v>
      </c>
      <c r="K1373" s="296">
        <v>736.86</v>
      </c>
      <c r="L1373" s="296">
        <v>0</v>
      </c>
      <c r="M1373" s="296">
        <v>768</v>
      </c>
      <c r="N1373" s="297">
        <v>0.54623044096728313</v>
      </c>
    </row>
    <row r="1374" spans="1:14" ht="18" customHeight="1">
      <c r="A1374" s="293" t="s">
        <v>2976</v>
      </c>
      <c r="B1374" s="294">
        <v>46192</v>
      </c>
      <c r="C1374" s="286" t="s">
        <v>3773</v>
      </c>
      <c r="D1374" s="286" t="s">
        <v>102</v>
      </c>
      <c r="E1374" s="295">
        <v>2</v>
      </c>
      <c r="F1374" s="295">
        <v>2</v>
      </c>
      <c r="G1374" s="296">
        <v>0</v>
      </c>
      <c r="H1374" s="296">
        <v>4200</v>
      </c>
      <c r="I1374" s="296">
        <v>2750</v>
      </c>
      <c r="J1374" s="296">
        <v>2887.5</v>
      </c>
      <c r="K1374" s="296">
        <v>1312.5</v>
      </c>
      <c r="L1374" s="296">
        <v>393.75</v>
      </c>
      <c r="M1374" s="296">
        <v>1450</v>
      </c>
      <c r="N1374" s="297">
        <v>0.34523809523809523</v>
      </c>
    </row>
    <row r="1375" spans="1:14" ht="18" customHeight="1">
      <c r="A1375" s="293" t="s">
        <v>2977</v>
      </c>
      <c r="B1375" s="294">
        <v>46192</v>
      </c>
      <c r="C1375" s="286" t="s">
        <v>359</v>
      </c>
      <c r="D1375" s="286" t="s">
        <v>114</v>
      </c>
      <c r="E1375" s="295">
        <v>1</v>
      </c>
      <c r="F1375" s="295">
        <v>1</v>
      </c>
      <c r="G1375" s="296">
        <v>0</v>
      </c>
      <c r="H1375" s="296">
        <v>1786</v>
      </c>
      <c r="I1375" s="296">
        <v>1050</v>
      </c>
      <c r="J1375" s="296">
        <v>1102.5</v>
      </c>
      <c r="K1375" s="296">
        <v>683.5</v>
      </c>
      <c r="L1375" s="296">
        <v>205.04999999999998</v>
      </c>
      <c r="M1375" s="296">
        <v>736</v>
      </c>
      <c r="N1375" s="297">
        <v>0.41209406494960804</v>
      </c>
    </row>
    <row r="1376" spans="1:14" ht="18" customHeight="1">
      <c r="A1376" s="293" t="s">
        <v>2978</v>
      </c>
      <c r="B1376" s="294">
        <v>46192</v>
      </c>
      <c r="C1376" s="286" t="s">
        <v>168</v>
      </c>
      <c r="D1376" s="286" t="s">
        <v>96</v>
      </c>
      <c r="E1376" s="295">
        <v>2</v>
      </c>
      <c r="F1376" s="295">
        <v>2</v>
      </c>
      <c r="G1376" s="296">
        <v>0</v>
      </c>
      <c r="H1376" s="296">
        <v>2300</v>
      </c>
      <c r="I1376" s="296">
        <v>910</v>
      </c>
      <c r="J1376" s="296">
        <v>955.5</v>
      </c>
      <c r="K1376" s="296">
        <v>1344.5</v>
      </c>
      <c r="L1376" s="296">
        <v>0</v>
      </c>
      <c r="M1376" s="296">
        <v>1390</v>
      </c>
      <c r="N1376" s="297">
        <v>0.60434782608695647</v>
      </c>
    </row>
    <row r="1377" spans="1:14" ht="18" customHeight="1">
      <c r="A1377" s="293" t="s">
        <v>2979</v>
      </c>
      <c r="B1377" s="294">
        <v>46192</v>
      </c>
      <c r="C1377" s="286" t="s">
        <v>168</v>
      </c>
      <c r="D1377" s="286" t="s">
        <v>115</v>
      </c>
      <c r="E1377" s="295">
        <v>1</v>
      </c>
      <c r="F1377" s="295">
        <v>1</v>
      </c>
      <c r="G1377" s="296">
        <v>0</v>
      </c>
      <c r="H1377" s="296">
        <v>2000</v>
      </c>
      <c r="I1377" s="296">
        <v>1000</v>
      </c>
      <c r="J1377" s="296">
        <v>1050</v>
      </c>
      <c r="K1377" s="296">
        <v>950</v>
      </c>
      <c r="L1377" s="296">
        <v>0</v>
      </c>
      <c r="M1377" s="296">
        <v>1000</v>
      </c>
      <c r="N1377" s="297">
        <v>0.5</v>
      </c>
    </row>
    <row r="1378" spans="1:14" ht="18" customHeight="1">
      <c r="A1378" s="293" t="s">
        <v>2980</v>
      </c>
      <c r="B1378" s="294">
        <v>46192</v>
      </c>
      <c r="C1378" s="286" t="s">
        <v>168</v>
      </c>
      <c r="D1378" s="286" t="s">
        <v>124</v>
      </c>
      <c r="E1378" s="295">
        <v>1</v>
      </c>
      <c r="F1378" s="295">
        <v>1</v>
      </c>
      <c r="G1378" s="296">
        <v>0</v>
      </c>
      <c r="H1378" s="296">
        <v>1900</v>
      </c>
      <c r="I1378" s="296">
        <v>1250</v>
      </c>
      <c r="J1378" s="296">
        <v>1312.5</v>
      </c>
      <c r="K1378" s="296">
        <v>587.5</v>
      </c>
      <c r="L1378" s="296">
        <v>0</v>
      </c>
      <c r="M1378" s="296">
        <v>650</v>
      </c>
      <c r="N1378" s="297">
        <v>0.34210526315789475</v>
      </c>
    </row>
    <row r="1379" spans="1:14" ht="18" customHeight="1">
      <c r="A1379" s="293" t="s">
        <v>2981</v>
      </c>
      <c r="B1379" s="294">
        <v>46192</v>
      </c>
      <c r="C1379" s="286" t="s">
        <v>168</v>
      </c>
      <c r="D1379" s="286" t="s">
        <v>237</v>
      </c>
      <c r="E1379" s="295">
        <v>1</v>
      </c>
      <c r="F1379" s="295">
        <v>3</v>
      </c>
      <c r="G1379" s="296">
        <v>0</v>
      </c>
      <c r="H1379" s="296">
        <v>375</v>
      </c>
      <c r="I1379" s="296">
        <v>225</v>
      </c>
      <c r="J1379" s="296">
        <v>231.75</v>
      </c>
      <c r="K1379" s="296">
        <v>143.25</v>
      </c>
      <c r="L1379" s="296">
        <v>0</v>
      </c>
      <c r="M1379" s="296">
        <v>150</v>
      </c>
      <c r="N1379" s="297">
        <v>0.4</v>
      </c>
    </row>
    <row r="1380" spans="1:14" ht="18" customHeight="1">
      <c r="A1380" s="293" t="s">
        <v>2982</v>
      </c>
      <c r="B1380" s="294">
        <v>46192</v>
      </c>
      <c r="C1380" s="286" t="s">
        <v>358</v>
      </c>
      <c r="D1380" s="286" t="s">
        <v>98</v>
      </c>
      <c r="E1380" s="295">
        <v>1</v>
      </c>
      <c r="F1380" s="295">
        <v>1</v>
      </c>
      <c r="G1380" s="296">
        <v>0</v>
      </c>
      <c r="H1380" s="296">
        <v>8800</v>
      </c>
      <c r="I1380" s="296">
        <v>0</v>
      </c>
      <c r="J1380" s="296">
        <v>0</v>
      </c>
      <c r="K1380" s="296">
        <v>8800</v>
      </c>
      <c r="L1380" s="296">
        <v>2640</v>
      </c>
      <c r="M1380" s="296">
        <v>8800</v>
      </c>
      <c r="N1380" s="297">
        <v>1</v>
      </c>
    </row>
    <row r="1381" spans="1:14" ht="18" customHeight="1">
      <c r="A1381" s="293" t="s">
        <v>2983</v>
      </c>
      <c r="B1381" s="294">
        <v>46192</v>
      </c>
      <c r="C1381" s="286" t="s">
        <v>168</v>
      </c>
      <c r="D1381" s="286" t="s">
        <v>99</v>
      </c>
      <c r="E1381" s="295">
        <v>16</v>
      </c>
      <c r="F1381" s="295">
        <v>21.4</v>
      </c>
      <c r="G1381" s="296">
        <v>0</v>
      </c>
      <c r="H1381" s="296">
        <v>10593</v>
      </c>
      <c r="I1381" s="296">
        <v>6567.4</v>
      </c>
      <c r="J1381" s="296">
        <v>6832.2020000000002</v>
      </c>
      <c r="K1381" s="296">
        <v>3760.7979999999998</v>
      </c>
      <c r="L1381" s="296">
        <v>0</v>
      </c>
      <c r="M1381" s="296">
        <v>4025.6000000000004</v>
      </c>
      <c r="N1381" s="297">
        <v>0.38002454451052586</v>
      </c>
    </row>
    <row r="1382" spans="1:14" ht="18" customHeight="1">
      <c r="A1382" s="293" t="s">
        <v>2984</v>
      </c>
      <c r="B1382" s="294">
        <v>46193</v>
      </c>
      <c r="C1382" s="286" t="s">
        <v>3773</v>
      </c>
      <c r="D1382" s="286" t="s">
        <v>102</v>
      </c>
      <c r="E1382" s="295">
        <v>2</v>
      </c>
      <c r="F1382" s="295">
        <v>2</v>
      </c>
      <c r="G1382" s="296">
        <v>0</v>
      </c>
      <c r="H1382" s="296">
        <v>800</v>
      </c>
      <c r="I1382" s="296">
        <v>330</v>
      </c>
      <c r="J1382" s="296">
        <v>346.5</v>
      </c>
      <c r="K1382" s="296">
        <v>453.5</v>
      </c>
      <c r="L1382" s="296">
        <v>136.05000000000001</v>
      </c>
      <c r="M1382" s="296">
        <v>470</v>
      </c>
      <c r="N1382" s="297">
        <v>0.58750000000000002</v>
      </c>
    </row>
    <row r="1383" spans="1:14" ht="18" customHeight="1">
      <c r="A1383" s="293" t="s">
        <v>2985</v>
      </c>
      <c r="B1383" s="294">
        <v>46193</v>
      </c>
      <c r="C1383" s="286" t="s">
        <v>168</v>
      </c>
      <c r="D1383" s="286" t="s">
        <v>238</v>
      </c>
      <c r="E1383" s="295">
        <v>1</v>
      </c>
      <c r="F1383" s="295">
        <v>1</v>
      </c>
      <c r="G1383" s="296">
        <v>0</v>
      </c>
      <c r="H1383" s="296">
        <v>600</v>
      </c>
      <c r="I1383" s="296">
        <v>205</v>
      </c>
      <c r="J1383" s="296">
        <v>215.25</v>
      </c>
      <c r="K1383" s="296">
        <v>384.75</v>
      </c>
      <c r="L1383" s="296">
        <v>0</v>
      </c>
      <c r="M1383" s="296">
        <v>395</v>
      </c>
      <c r="N1383" s="297">
        <v>0.65833333333333333</v>
      </c>
    </row>
    <row r="1384" spans="1:14" ht="18" customHeight="1">
      <c r="A1384" s="293" t="s">
        <v>2986</v>
      </c>
      <c r="B1384" s="294">
        <v>46193</v>
      </c>
      <c r="C1384" s="286" t="s">
        <v>168</v>
      </c>
      <c r="D1384" s="286" t="s">
        <v>112</v>
      </c>
      <c r="E1384" s="295">
        <v>4</v>
      </c>
      <c r="F1384" s="295">
        <v>9</v>
      </c>
      <c r="G1384" s="296">
        <v>0</v>
      </c>
      <c r="H1384" s="296">
        <v>1070</v>
      </c>
      <c r="I1384" s="296">
        <v>685</v>
      </c>
      <c r="J1384" s="296">
        <v>705.55000000000007</v>
      </c>
      <c r="K1384" s="296">
        <v>364.44999999999993</v>
      </c>
      <c r="L1384" s="296">
        <v>0</v>
      </c>
      <c r="M1384" s="296">
        <v>385</v>
      </c>
      <c r="N1384" s="297">
        <v>0.35981308411214952</v>
      </c>
    </row>
    <row r="1385" spans="1:14" ht="18" customHeight="1">
      <c r="A1385" s="293" t="s">
        <v>2987</v>
      </c>
      <c r="B1385" s="294">
        <v>46193</v>
      </c>
      <c r="C1385" s="286" t="s">
        <v>3773</v>
      </c>
      <c r="D1385" s="286" t="s">
        <v>126</v>
      </c>
      <c r="E1385" s="295">
        <v>1</v>
      </c>
      <c r="F1385" s="295">
        <v>1</v>
      </c>
      <c r="G1385" s="296">
        <v>0</v>
      </c>
      <c r="H1385" s="296">
        <v>1800</v>
      </c>
      <c r="I1385" s="296">
        <v>1100</v>
      </c>
      <c r="J1385" s="296">
        <v>1155</v>
      </c>
      <c r="K1385" s="296">
        <v>645</v>
      </c>
      <c r="L1385" s="296">
        <v>193.5</v>
      </c>
      <c r="M1385" s="296">
        <v>700</v>
      </c>
      <c r="N1385" s="297">
        <v>0.3888888888888889</v>
      </c>
    </row>
    <row r="1386" spans="1:14" ht="18" customHeight="1">
      <c r="A1386" s="293" t="s">
        <v>2988</v>
      </c>
      <c r="B1386" s="294">
        <v>46193</v>
      </c>
      <c r="C1386" s="286" t="s">
        <v>168</v>
      </c>
      <c r="D1386" s="286" t="s">
        <v>92</v>
      </c>
      <c r="E1386" s="295">
        <v>1</v>
      </c>
      <c r="F1386" s="295">
        <v>1</v>
      </c>
      <c r="G1386" s="296">
        <v>0</v>
      </c>
      <c r="H1386" s="296">
        <v>8800</v>
      </c>
      <c r="I1386" s="296">
        <v>7684</v>
      </c>
      <c r="J1386" s="296">
        <v>8068.2000000000007</v>
      </c>
      <c r="K1386" s="296">
        <v>731.79999999999927</v>
      </c>
      <c r="L1386" s="296">
        <v>0</v>
      </c>
      <c r="M1386" s="296">
        <v>1116</v>
      </c>
      <c r="N1386" s="297">
        <v>0.12681818181818183</v>
      </c>
    </row>
    <row r="1387" spans="1:14" ht="18" customHeight="1">
      <c r="A1387" s="293" t="s">
        <v>2989</v>
      </c>
      <c r="B1387" s="294">
        <v>46193</v>
      </c>
      <c r="C1387" s="286" t="s">
        <v>354</v>
      </c>
      <c r="D1387" s="286" t="s">
        <v>109</v>
      </c>
      <c r="E1387" s="295">
        <v>1</v>
      </c>
      <c r="F1387" s="295">
        <v>1</v>
      </c>
      <c r="G1387" s="296">
        <v>0</v>
      </c>
      <c r="H1387" s="296">
        <v>1786</v>
      </c>
      <c r="I1387" s="296">
        <v>1400</v>
      </c>
      <c r="J1387" s="296">
        <v>1470</v>
      </c>
      <c r="K1387" s="296">
        <v>316</v>
      </c>
      <c r="L1387" s="296">
        <v>94.8</v>
      </c>
      <c r="M1387" s="296">
        <v>386</v>
      </c>
      <c r="N1387" s="297">
        <v>0.21612541993281076</v>
      </c>
    </row>
    <row r="1388" spans="1:14" ht="18" customHeight="1">
      <c r="A1388" s="293" t="s">
        <v>2990</v>
      </c>
      <c r="B1388" s="294">
        <v>46193</v>
      </c>
      <c r="C1388" s="286" t="s">
        <v>353</v>
      </c>
      <c r="D1388" s="286" t="s">
        <v>94</v>
      </c>
      <c r="E1388" s="295">
        <v>9</v>
      </c>
      <c r="F1388" s="295">
        <v>15</v>
      </c>
      <c r="G1388" s="296">
        <v>0</v>
      </c>
      <c r="H1388" s="296">
        <v>9895</v>
      </c>
      <c r="I1388" s="296">
        <v>7000</v>
      </c>
      <c r="J1388" s="296">
        <v>7347.5</v>
      </c>
      <c r="K1388" s="296">
        <v>2547.5</v>
      </c>
      <c r="L1388" s="296">
        <v>764.24999999999989</v>
      </c>
      <c r="M1388" s="296">
        <v>2895</v>
      </c>
      <c r="N1388" s="297">
        <v>0.29257200606366851</v>
      </c>
    </row>
    <row r="1389" spans="1:14" ht="18" customHeight="1">
      <c r="A1389" s="293" t="s">
        <v>2991</v>
      </c>
      <c r="B1389" s="294">
        <v>46193</v>
      </c>
      <c r="C1389" s="286" t="s">
        <v>3773</v>
      </c>
      <c r="D1389" s="286" t="s">
        <v>116</v>
      </c>
      <c r="E1389" s="295">
        <v>2</v>
      </c>
      <c r="F1389" s="295">
        <v>2</v>
      </c>
      <c r="G1389" s="296">
        <v>0</v>
      </c>
      <c r="H1389" s="296">
        <v>982</v>
      </c>
      <c r="I1389" s="296">
        <v>535</v>
      </c>
      <c r="J1389" s="296">
        <v>561.75</v>
      </c>
      <c r="K1389" s="296">
        <v>420.25</v>
      </c>
      <c r="L1389" s="296">
        <v>126.07499999999999</v>
      </c>
      <c r="M1389" s="296">
        <v>447</v>
      </c>
      <c r="N1389" s="297">
        <v>0.45519348268839105</v>
      </c>
    </row>
    <row r="1390" spans="1:14" ht="18" customHeight="1">
      <c r="A1390" s="293" t="s">
        <v>2992</v>
      </c>
      <c r="B1390" s="294">
        <v>46193</v>
      </c>
      <c r="C1390" s="286" t="s">
        <v>168</v>
      </c>
      <c r="D1390" s="286" t="s">
        <v>124</v>
      </c>
      <c r="E1390" s="295">
        <v>1</v>
      </c>
      <c r="F1390" s="295">
        <v>1</v>
      </c>
      <c r="G1390" s="296">
        <v>0</v>
      </c>
      <c r="H1390" s="296">
        <v>8800</v>
      </c>
      <c r="I1390" s="296">
        <v>0</v>
      </c>
      <c r="J1390" s="296">
        <v>0</v>
      </c>
      <c r="K1390" s="296">
        <v>8800</v>
      </c>
      <c r="L1390" s="296">
        <v>0</v>
      </c>
      <c r="M1390" s="296">
        <v>8800</v>
      </c>
      <c r="N1390" s="297">
        <v>1</v>
      </c>
    </row>
    <row r="1391" spans="1:14" ht="18" customHeight="1">
      <c r="A1391" s="293" t="s">
        <v>2993</v>
      </c>
      <c r="B1391" s="294">
        <v>46193</v>
      </c>
      <c r="C1391" s="286" t="s">
        <v>351</v>
      </c>
      <c r="D1391" s="286" t="s">
        <v>106</v>
      </c>
      <c r="E1391" s="295">
        <v>1</v>
      </c>
      <c r="F1391" s="295">
        <v>1</v>
      </c>
      <c r="G1391" s="296">
        <v>0</v>
      </c>
      <c r="H1391" s="296">
        <v>400</v>
      </c>
      <c r="I1391" s="296">
        <v>100</v>
      </c>
      <c r="J1391" s="296">
        <v>105</v>
      </c>
      <c r="K1391" s="296">
        <v>295</v>
      </c>
      <c r="L1391" s="296">
        <v>88.5</v>
      </c>
      <c r="M1391" s="296">
        <v>300</v>
      </c>
      <c r="N1391" s="297">
        <v>0.75</v>
      </c>
    </row>
    <row r="1392" spans="1:14" ht="18" customHeight="1">
      <c r="A1392" s="293" t="s">
        <v>2994</v>
      </c>
      <c r="B1392" s="294">
        <v>46193</v>
      </c>
      <c r="C1392" s="286" t="s">
        <v>168</v>
      </c>
      <c r="D1392" s="286" t="s">
        <v>99</v>
      </c>
      <c r="E1392" s="295">
        <v>9</v>
      </c>
      <c r="F1392" s="295">
        <v>23.799999999999997</v>
      </c>
      <c r="G1392" s="296">
        <v>0</v>
      </c>
      <c r="H1392" s="296">
        <v>4335</v>
      </c>
      <c r="I1392" s="296">
        <v>2767.3</v>
      </c>
      <c r="J1392" s="296">
        <v>2851.7190000000001</v>
      </c>
      <c r="K1392" s="296">
        <v>1483.2809999999997</v>
      </c>
      <c r="L1392" s="296">
        <v>0</v>
      </c>
      <c r="M1392" s="296">
        <v>1567.6999999999998</v>
      </c>
      <c r="N1392" s="297">
        <v>0.36163783160322949</v>
      </c>
    </row>
    <row r="1393" spans="1:14" ht="18" customHeight="1">
      <c r="A1393" s="293" t="s">
        <v>2995</v>
      </c>
      <c r="B1393" s="294">
        <v>46195</v>
      </c>
      <c r="C1393" s="286" t="s">
        <v>3773</v>
      </c>
      <c r="D1393" s="286" t="s">
        <v>100</v>
      </c>
      <c r="E1393" s="295">
        <v>8</v>
      </c>
      <c r="F1393" s="295">
        <v>14.4</v>
      </c>
      <c r="G1393" s="296">
        <v>0</v>
      </c>
      <c r="H1393" s="296">
        <v>2308</v>
      </c>
      <c r="I1393" s="296">
        <v>1625.6</v>
      </c>
      <c r="J1393" s="296">
        <v>1676.9400000000003</v>
      </c>
      <c r="K1393" s="296">
        <v>631.05999999999983</v>
      </c>
      <c r="L1393" s="296">
        <v>189.31799999999998</v>
      </c>
      <c r="M1393" s="296">
        <v>682.40000000000009</v>
      </c>
      <c r="N1393" s="297">
        <v>0.2956672443674177</v>
      </c>
    </row>
    <row r="1394" spans="1:14" ht="18" customHeight="1">
      <c r="A1394" s="293" t="s">
        <v>2996</v>
      </c>
      <c r="B1394" s="294">
        <v>46195</v>
      </c>
      <c r="C1394" s="286" t="s">
        <v>3773</v>
      </c>
      <c r="D1394" s="286" t="s">
        <v>102</v>
      </c>
      <c r="E1394" s="295">
        <v>6</v>
      </c>
      <c r="F1394" s="295">
        <v>8</v>
      </c>
      <c r="G1394" s="296">
        <v>0</v>
      </c>
      <c r="H1394" s="296">
        <v>3920</v>
      </c>
      <c r="I1394" s="296">
        <v>2250</v>
      </c>
      <c r="J1394" s="296">
        <v>2360</v>
      </c>
      <c r="K1394" s="296">
        <v>1560</v>
      </c>
      <c r="L1394" s="296">
        <v>468</v>
      </c>
      <c r="M1394" s="296">
        <v>1670</v>
      </c>
      <c r="N1394" s="297">
        <v>0.42602040816326531</v>
      </c>
    </row>
    <row r="1395" spans="1:14" ht="18" customHeight="1">
      <c r="A1395" s="293" t="s">
        <v>2997</v>
      </c>
      <c r="B1395" s="294">
        <v>46195</v>
      </c>
      <c r="C1395" s="286" t="s">
        <v>168</v>
      </c>
      <c r="D1395" s="286" t="s">
        <v>155</v>
      </c>
      <c r="E1395" s="295">
        <v>6</v>
      </c>
      <c r="F1395" s="295">
        <v>27</v>
      </c>
      <c r="G1395" s="296">
        <v>0</v>
      </c>
      <c r="H1395" s="296">
        <v>10490</v>
      </c>
      <c r="I1395" s="296">
        <v>8588</v>
      </c>
      <c r="J1395" s="296">
        <v>8849.840000000002</v>
      </c>
      <c r="K1395" s="296">
        <v>1640.1599999999994</v>
      </c>
      <c r="L1395" s="296">
        <v>0</v>
      </c>
      <c r="M1395" s="296">
        <v>1902</v>
      </c>
      <c r="N1395" s="297">
        <v>0.1813155386081983</v>
      </c>
    </row>
    <row r="1396" spans="1:14" ht="18" customHeight="1">
      <c r="A1396" s="293" t="s">
        <v>2998</v>
      </c>
      <c r="B1396" s="294">
        <v>46195</v>
      </c>
      <c r="C1396" s="286" t="s">
        <v>353</v>
      </c>
      <c r="D1396" s="286" t="s">
        <v>108</v>
      </c>
      <c r="E1396" s="295">
        <v>6</v>
      </c>
      <c r="F1396" s="295">
        <v>24</v>
      </c>
      <c r="G1396" s="296">
        <v>0</v>
      </c>
      <c r="H1396" s="296">
        <v>12050</v>
      </c>
      <c r="I1396" s="296">
        <v>9254</v>
      </c>
      <c r="J1396" s="296">
        <v>9716.7000000000007</v>
      </c>
      <c r="K1396" s="296">
        <v>2333.2999999999993</v>
      </c>
      <c r="L1396" s="296">
        <v>699.98999999999978</v>
      </c>
      <c r="M1396" s="296">
        <v>2796</v>
      </c>
      <c r="N1396" s="297">
        <v>0.2320331950207469</v>
      </c>
    </row>
    <row r="1397" spans="1:14" ht="18" customHeight="1">
      <c r="A1397" s="293" t="s">
        <v>2999</v>
      </c>
      <c r="B1397" s="294">
        <v>46195</v>
      </c>
      <c r="C1397" s="286" t="s">
        <v>168</v>
      </c>
      <c r="D1397" s="286" t="s">
        <v>92</v>
      </c>
      <c r="E1397" s="295">
        <v>1</v>
      </c>
      <c r="F1397" s="295">
        <v>1</v>
      </c>
      <c r="G1397" s="296">
        <v>0</v>
      </c>
      <c r="H1397" s="296">
        <v>2000</v>
      </c>
      <c r="I1397" s="296">
        <v>780</v>
      </c>
      <c r="J1397" s="296">
        <v>819</v>
      </c>
      <c r="K1397" s="296">
        <v>1181</v>
      </c>
      <c r="L1397" s="296">
        <v>0</v>
      </c>
      <c r="M1397" s="296">
        <v>1220</v>
      </c>
      <c r="N1397" s="297">
        <v>0.61</v>
      </c>
    </row>
    <row r="1398" spans="1:14" ht="18" customHeight="1">
      <c r="A1398" s="293" t="s">
        <v>3000</v>
      </c>
      <c r="B1398" s="294">
        <v>46195</v>
      </c>
      <c r="C1398" s="286" t="s">
        <v>359</v>
      </c>
      <c r="D1398" s="286" t="s">
        <v>114</v>
      </c>
      <c r="E1398" s="295">
        <v>3</v>
      </c>
      <c r="F1398" s="295">
        <v>3</v>
      </c>
      <c r="G1398" s="296">
        <v>0</v>
      </c>
      <c r="H1398" s="296">
        <v>2900</v>
      </c>
      <c r="I1398" s="296">
        <v>1635</v>
      </c>
      <c r="J1398" s="296">
        <v>1716.75</v>
      </c>
      <c r="K1398" s="296">
        <v>1183.25</v>
      </c>
      <c r="L1398" s="296">
        <v>354.97500000000002</v>
      </c>
      <c r="M1398" s="296">
        <v>1265</v>
      </c>
      <c r="N1398" s="297">
        <v>0.43620689655172412</v>
      </c>
    </row>
    <row r="1399" spans="1:14" ht="18" customHeight="1">
      <c r="A1399" s="293" t="s">
        <v>3001</v>
      </c>
      <c r="B1399" s="294">
        <v>46195</v>
      </c>
      <c r="C1399" s="286" t="s">
        <v>168</v>
      </c>
      <c r="D1399" s="286" t="s">
        <v>149</v>
      </c>
      <c r="E1399" s="295">
        <v>1</v>
      </c>
      <c r="F1399" s="295">
        <v>1</v>
      </c>
      <c r="G1399" s="296">
        <v>0</v>
      </c>
      <c r="H1399" s="296">
        <v>7200</v>
      </c>
      <c r="I1399" s="296">
        <v>6441</v>
      </c>
      <c r="J1399" s="296">
        <v>6763.05</v>
      </c>
      <c r="K1399" s="296">
        <v>436.94999999999982</v>
      </c>
      <c r="L1399" s="296">
        <v>0</v>
      </c>
      <c r="M1399" s="296">
        <v>759</v>
      </c>
      <c r="N1399" s="297">
        <v>0.10541666666666667</v>
      </c>
    </row>
    <row r="1400" spans="1:14" ht="18" customHeight="1">
      <c r="A1400" s="293" t="s">
        <v>3002</v>
      </c>
      <c r="B1400" s="294">
        <v>46195</v>
      </c>
      <c r="C1400" s="286" t="s">
        <v>3773</v>
      </c>
      <c r="D1400" s="286" t="s">
        <v>116</v>
      </c>
      <c r="E1400" s="295">
        <v>3</v>
      </c>
      <c r="F1400" s="295">
        <v>5</v>
      </c>
      <c r="G1400" s="296">
        <v>0</v>
      </c>
      <c r="H1400" s="296">
        <v>4200</v>
      </c>
      <c r="I1400" s="296">
        <v>2470</v>
      </c>
      <c r="J1400" s="296">
        <v>2593.5</v>
      </c>
      <c r="K1400" s="296">
        <v>1606.5</v>
      </c>
      <c r="L1400" s="296">
        <v>481.95</v>
      </c>
      <c r="M1400" s="296">
        <v>1730</v>
      </c>
      <c r="N1400" s="297">
        <v>0.41190476190476188</v>
      </c>
    </row>
    <row r="1401" spans="1:14" ht="18" customHeight="1">
      <c r="A1401" s="293" t="s">
        <v>3003</v>
      </c>
      <c r="B1401" s="294">
        <v>46195</v>
      </c>
      <c r="C1401" s="286" t="s">
        <v>168</v>
      </c>
      <c r="D1401" s="286" t="s">
        <v>96</v>
      </c>
      <c r="E1401" s="295">
        <v>3</v>
      </c>
      <c r="F1401" s="295">
        <v>4</v>
      </c>
      <c r="G1401" s="296">
        <v>0</v>
      </c>
      <c r="H1401" s="296">
        <v>2580</v>
      </c>
      <c r="I1401" s="296">
        <v>380</v>
      </c>
      <c r="J1401" s="296">
        <v>399</v>
      </c>
      <c r="K1401" s="296">
        <v>2181</v>
      </c>
      <c r="L1401" s="296">
        <v>0</v>
      </c>
      <c r="M1401" s="296">
        <v>2200</v>
      </c>
      <c r="N1401" s="297">
        <v>0.8527131782945736</v>
      </c>
    </row>
    <row r="1402" spans="1:14" ht="18" customHeight="1">
      <c r="A1402" s="293" t="s">
        <v>3004</v>
      </c>
      <c r="B1402" s="294">
        <v>46195</v>
      </c>
      <c r="C1402" s="286" t="s">
        <v>168</v>
      </c>
      <c r="D1402" s="286" t="s">
        <v>115</v>
      </c>
      <c r="E1402" s="295">
        <v>2</v>
      </c>
      <c r="F1402" s="295">
        <v>2</v>
      </c>
      <c r="G1402" s="296">
        <v>0</v>
      </c>
      <c r="H1402" s="296">
        <v>10900</v>
      </c>
      <c r="I1402" s="296">
        <v>8984</v>
      </c>
      <c r="J1402" s="296">
        <v>9433.2000000000007</v>
      </c>
      <c r="K1402" s="296">
        <v>1466.7999999999993</v>
      </c>
      <c r="L1402" s="296">
        <v>0</v>
      </c>
      <c r="M1402" s="296">
        <v>1916</v>
      </c>
      <c r="N1402" s="297">
        <v>0.17577981651376146</v>
      </c>
    </row>
    <row r="1403" spans="1:14" ht="18" customHeight="1">
      <c r="A1403" s="293" t="s">
        <v>3005</v>
      </c>
      <c r="B1403" s="294">
        <v>46195</v>
      </c>
      <c r="C1403" s="286" t="s">
        <v>168</v>
      </c>
      <c r="D1403" s="286" t="s">
        <v>132</v>
      </c>
      <c r="E1403" s="295">
        <v>4</v>
      </c>
      <c r="F1403" s="295">
        <v>6</v>
      </c>
      <c r="G1403" s="296">
        <v>0</v>
      </c>
      <c r="H1403" s="296">
        <v>2340</v>
      </c>
      <c r="I1403" s="296">
        <v>1950.1</v>
      </c>
      <c r="J1403" s="296">
        <v>2008.6030000000001</v>
      </c>
      <c r="K1403" s="296">
        <v>331.39699999999999</v>
      </c>
      <c r="L1403" s="296">
        <v>0</v>
      </c>
      <c r="M1403" s="296">
        <v>389.90000000000009</v>
      </c>
      <c r="N1403" s="297">
        <v>0.16662393162393166</v>
      </c>
    </row>
    <row r="1404" spans="1:14" ht="18" customHeight="1">
      <c r="A1404" s="293" t="s">
        <v>3006</v>
      </c>
      <c r="B1404" s="294">
        <v>46195</v>
      </c>
      <c r="C1404" s="286" t="s">
        <v>168</v>
      </c>
      <c r="D1404" s="286" t="s">
        <v>144</v>
      </c>
      <c r="E1404" s="295">
        <v>1</v>
      </c>
      <c r="F1404" s="295">
        <v>1</v>
      </c>
      <c r="G1404" s="296">
        <v>0</v>
      </c>
      <c r="H1404" s="296">
        <v>350</v>
      </c>
      <c r="I1404" s="296">
        <v>170</v>
      </c>
      <c r="J1404" s="296">
        <v>178.5</v>
      </c>
      <c r="K1404" s="296">
        <v>171.5</v>
      </c>
      <c r="L1404" s="296">
        <v>0</v>
      </c>
      <c r="M1404" s="296">
        <v>180</v>
      </c>
      <c r="N1404" s="297">
        <v>0.51428571428571423</v>
      </c>
    </row>
    <row r="1405" spans="1:14" ht="18" customHeight="1">
      <c r="A1405" s="293" t="s">
        <v>3007</v>
      </c>
      <c r="B1405" s="294">
        <v>46195</v>
      </c>
      <c r="C1405" s="286" t="s">
        <v>168</v>
      </c>
      <c r="D1405" s="286" t="s">
        <v>97</v>
      </c>
      <c r="E1405" s="295">
        <v>1</v>
      </c>
      <c r="F1405" s="295">
        <v>1</v>
      </c>
      <c r="G1405" s="296">
        <v>0</v>
      </c>
      <c r="H1405" s="296">
        <v>2000</v>
      </c>
      <c r="I1405" s="296">
        <v>1300</v>
      </c>
      <c r="J1405" s="296">
        <v>1365</v>
      </c>
      <c r="K1405" s="296">
        <v>635</v>
      </c>
      <c r="L1405" s="296">
        <v>0</v>
      </c>
      <c r="M1405" s="296">
        <v>700</v>
      </c>
      <c r="N1405" s="297">
        <v>0.35</v>
      </c>
    </row>
    <row r="1406" spans="1:14" ht="18" customHeight="1">
      <c r="A1406" s="293" t="s">
        <v>3008</v>
      </c>
      <c r="B1406" s="294">
        <v>46195</v>
      </c>
      <c r="C1406" s="286" t="s">
        <v>358</v>
      </c>
      <c r="D1406" s="286" t="s">
        <v>98</v>
      </c>
      <c r="E1406" s="295">
        <v>1</v>
      </c>
      <c r="F1406" s="295">
        <v>1</v>
      </c>
      <c r="G1406" s="296">
        <v>0</v>
      </c>
      <c r="H1406" s="296">
        <v>450</v>
      </c>
      <c r="I1406" s="296">
        <v>180</v>
      </c>
      <c r="J1406" s="296">
        <v>189</v>
      </c>
      <c r="K1406" s="296">
        <v>261</v>
      </c>
      <c r="L1406" s="296">
        <v>78.3</v>
      </c>
      <c r="M1406" s="296">
        <v>270</v>
      </c>
      <c r="N1406" s="297">
        <v>0.6</v>
      </c>
    </row>
    <row r="1407" spans="1:14" ht="18" customHeight="1">
      <c r="A1407" s="293" t="s">
        <v>3009</v>
      </c>
      <c r="B1407" s="294">
        <v>46195</v>
      </c>
      <c r="C1407" s="286" t="s">
        <v>168</v>
      </c>
      <c r="D1407" s="286" t="s">
        <v>99</v>
      </c>
      <c r="E1407" s="295">
        <v>10</v>
      </c>
      <c r="F1407" s="295">
        <v>23</v>
      </c>
      <c r="G1407" s="296">
        <v>0</v>
      </c>
      <c r="H1407" s="296">
        <v>4833</v>
      </c>
      <c r="I1407" s="296">
        <v>3204.7000000000003</v>
      </c>
      <c r="J1407" s="296">
        <v>3302.7010000000005</v>
      </c>
      <c r="K1407" s="296">
        <v>1530.2989999999995</v>
      </c>
      <c r="L1407" s="296">
        <v>0</v>
      </c>
      <c r="M1407" s="296">
        <v>1628.2999999999997</v>
      </c>
      <c r="N1407" s="297">
        <v>0.33691289054417539</v>
      </c>
    </row>
    <row r="1408" spans="1:14" ht="18" customHeight="1">
      <c r="A1408" s="293" t="s">
        <v>3010</v>
      </c>
      <c r="B1408" s="294">
        <v>46195</v>
      </c>
      <c r="C1408" s="286" t="s">
        <v>168</v>
      </c>
      <c r="D1408" s="286" t="s">
        <v>239</v>
      </c>
      <c r="E1408" s="295">
        <v>2</v>
      </c>
      <c r="F1408" s="295">
        <v>2</v>
      </c>
      <c r="G1408" s="296">
        <v>0</v>
      </c>
      <c r="H1408" s="296">
        <v>485</v>
      </c>
      <c r="I1408" s="296">
        <v>270</v>
      </c>
      <c r="J1408" s="296">
        <v>278.10000000000002</v>
      </c>
      <c r="K1408" s="296">
        <v>206.9</v>
      </c>
      <c r="L1408" s="296">
        <v>0</v>
      </c>
      <c r="M1408" s="296">
        <v>215</v>
      </c>
      <c r="N1408" s="297">
        <v>0.44329896907216493</v>
      </c>
    </row>
    <row r="1409" spans="1:14" ht="18" customHeight="1">
      <c r="A1409" s="293" t="s">
        <v>3011</v>
      </c>
      <c r="B1409" s="294">
        <v>46196</v>
      </c>
      <c r="C1409" s="286" t="s">
        <v>3773</v>
      </c>
      <c r="D1409" s="286" t="s">
        <v>209</v>
      </c>
      <c r="E1409" s="295">
        <v>2</v>
      </c>
      <c r="F1409" s="295">
        <v>2</v>
      </c>
      <c r="G1409" s="296">
        <v>0</v>
      </c>
      <c r="H1409" s="296">
        <v>900</v>
      </c>
      <c r="I1409" s="296">
        <v>375</v>
      </c>
      <c r="J1409" s="296">
        <v>393.75</v>
      </c>
      <c r="K1409" s="296">
        <v>506.25</v>
      </c>
      <c r="L1409" s="296">
        <v>151.875</v>
      </c>
      <c r="M1409" s="296">
        <v>525</v>
      </c>
      <c r="N1409" s="297">
        <v>0.58333333333333337</v>
      </c>
    </row>
    <row r="1410" spans="1:14" ht="18" customHeight="1">
      <c r="A1410" s="293" t="s">
        <v>3012</v>
      </c>
      <c r="B1410" s="294">
        <v>46196</v>
      </c>
      <c r="C1410" s="286" t="s">
        <v>168</v>
      </c>
      <c r="D1410" s="286" t="s">
        <v>215</v>
      </c>
      <c r="E1410" s="295">
        <v>2</v>
      </c>
      <c r="F1410" s="295">
        <v>4</v>
      </c>
      <c r="G1410" s="296">
        <v>0</v>
      </c>
      <c r="H1410" s="296">
        <v>464</v>
      </c>
      <c r="I1410" s="296">
        <v>307</v>
      </c>
      <c r="J1410" s="296">
        <v>316.20999999999998</v>
      </c>
      <c r="K1410" s="296">
        <v>147.79</v>
      </c>
      <c r="L1410" s="296">
        <v>0</v>
      </c>
      <c r="M1410" s="296">
        <v>157</v>
      </c>
      <c r="N1410" s="297">
        <v>0.33836206896551724</v>
      </c>
    </row>
    <row r="1411" spans="1:14" ht="18" customHeight="1">
      <c r="A1411" s="293" t="s">
        <v>3013</v>
      </c>
      <c r="B1411" s="294">
        <v>46196</v>
      </c>
      <c r="C1411" s="286" t="s">
        <v>3773</v>
      </c>
      <c r="D1411" s="286" t="s">
        <v>102</v>
      </c>
      <c r="E1411" s="295">
        <v>2</v>
      </c>
      <c r="F1411" s="295">
        <v>2</v>
      </c>
      <c r="G1411" s="296">
        <v>0</v>
      </c>
      <c r="H1411" s="296">
        <v>1000</v>
      </c>
      <c r="I1411" s="296">
        <v>410</v>
      </c>
      <c r="J1411" s="296">
        <v>430.5</v>
      </c>
      <c r="K1411" s="296">
        <v>569.5</v>
      </c>
      <c r="L1411" s="296">
        <v>170.85</v>
      </c>
      <c r="M1411" s="296">
        <v>590</v>
      </c>
      <c r="N1411" s="297">
        <v>0.59</v>
      </c>
    </row>
    <row r="1412" spans="1:14" ht="18" customHeight="1">
      <c r="A1412" s="293" t="s">
        <v>3014</v>
      </c>
      <c r="B1412" s="294">
        <v>46196</v>
      </c>
      <c r="C1412" s="286" t="s">
        <v>168</v>
      </c>
      <c r="D1412" s="286" t="s">
        <v>120</v>
      </c>
      <c r="E1412" s="295">
        <v>1</v>
      </c>
      <c r="F1412" s="295">
        <v>1</v>
      </c>
      <c r="G1412" s="296">
        <v>0</v>
      </c>
      <c r="H1412" s="296">
        <v>1800</v>
      </c>
      <c r="I1412" s="296">
        <v>1100</v>
      </c>
      <c r="J1412" s="296">
        <v>1155</v>
      </c>
      <c r="K1412" s="296">
        <v>645</v>
      </c>
      <c r="L1412" s="296">
        <v>0</v>
      </c>
      <c r="M1412" s="296">
        <v>700</v>
      </c>
      <c r="N1412" s="297">
        <v>0.3888888888888889</v>
      </c>
    </row>
    <row r="1413" spans="1:14" ht="18" customHeight="1">
      <c r="A1413" s="293" t="s">
        <v>3015</v>
      </c>
      <c r="B1413" s="294">
        <v>46196</v>
      </c>
      <c r="C1413" s="286" t="s">
        <v>168</v>
      </c>
      <c r="D1413" s="286" t="s">
        <v>112</v>
      </c>
      <c r="E1413" s="295">
        <v>1</v>
      </c>
      <c r="F1413" s="295">
        <v>2</v>
      </c>
      <c r="G1413" s="296">
        <v>0</v>
      </c>
      <c r="H1413" s="296">
        <v>1360</v>
      </c>
      <c r="I1413" s="296">
        <v>960</v>
      </c>
      <c r="J1413" s="296">
        <v>1008</v>
      </c>
      <c r="K1413" s="296">
        <v>352</v>
      </c>
      <c r="L1413" s="296">
        <v>0</v>
      </c>
      <c r="M1413" s="296">
        <v>400</v>
      </c>
      <c r="N1413" s="297">
        <v>0.29411764705882354</v>
      </c>
    </row>
    <row r="1414" spans="1:14" ht="18" customHeight="1">
      <c r="A1414" s="293" t="s">
        <v>3016</v>
      </c>
      <c r="B1414" s="294">
        <v>46196</v>
      </c>
      <c r="C1414" s="286" t="s">
        <v>353</v>
      </c>
      <c r="D1414" s="286" t="s">
        <v>108</v>
      </c>
      <c r="E1414" s="295">
        <v>2</v>
      </c>
      <c r="F1414" s="295">
        <v>2</v>
      </c>
      <c r="G1414" s="296">
        <v>0</v>
      </c>
      <c r="H1414" s="296">
        <v>982</v>
      </c>
      <c r="I1414" s="296">
        <v>550</v>
      </c>
      <c r="J1414" s="296">
        <v>577.5</v>
      </c>
      <c r="K1414" s="296">
        <v>404.5</v>
      </c>
      <c r="L1414" s="296">
        <v>121.35</v>
      </c>
      <c r="M1414" s="296">
        <v>432</v>
      </c>
      <c r="N1414" s="297">
        <v>0.43991853360488797</v>
      </c>
    </row>
    <row r="1415" spans="1:14" ht="18" customHeight="1">
      <c r="A1415" s="293" t="s">
        <v>3017</v>
      </c>
      <c r="B1415" s="294">
        <v>46196</v>
      </c>
      <c r="C1415" s="286" t="s">
        <v>168</v>
      </c>
      <c r="D1415" s="286" t="s">
        <v>121</v>
      </c>
      <c r="E1415" s="295">
        <v>3</v>
      </c>
      <c r="F1415" s="295">
        <v>3</v>
      </c>
      <c r="G1415" s="296">
        <v>0</v>
      </c>
      <c r="H1415" s="296">
        <v>9680</v>
      </c>
      <c r="I1415" s="296">
        <v>8194</v>
      </c>
      <c r="J1415" s="296">
        <v>8597.1</v>
      </c>
      <c r="K1415" s="296">
        <v>1082.8999999999992</v>
      </c>
      <c r="L1415" s="296">
        <v>0</v>
      </c>
      <c r="M1415" s="296">
        <v>1486</v>
      </c>
      <c r="N1415" s="297">
        <v>0.15351239669421488</v>
      </c>
    </row>
    <row r="1416" spans="1:14" ht="18" customHeight="1">
      <c r="A1416" s="293" t="s">
        <v>3018</v>
      </c>
      <c r="B1416" s="294">
        <v>46196</v>
      </c>
      <c r="C1416" s="286" t="s">
        <v>168</v>
      </c>
      <c r="D1416" s="286" t="s">
        <v>96</v>
      </c>
      <c r="E1416" s="295">
        <v>5</v>
      </c>
      <c r="F1416" s="295">
        <v>6</v>
      </c>
      <c r="G1416" s="296">
        <v>0</v>
      </c>
      <c r="H1416" s="296">
        <v>3602</v>
      </c>
      <c r="I1416" s="296">
        <v>1385</v>
      </c>
      <c r="J1416" s="296">
        <v>1454.25</v>
      </c>
      <c r="K1416" s="296">
        <v>2147.75</v>
      </c>
      <c r="L1416" s="296">
        <v>0</v>
      </c>
      <c r="M1416" s="296">
        <v>2217</v>
      </c>
      <c r="N1416" s="297">
        <v>0.61549139367018324</v>
      </c>
    </row>
    <row r="1417" spans="1:14" ht="18" customHeight="1">
      <c r="A1417" s="293" t="s">
        <v>3019</v>
      </c>
      <c r="B1417" s="294">
        <v>46196</v>
      </c>
      <c r="C1417" s="286" t="s">
        <v>168</v>
      </c>
      <c r="D1417" s="286" t="s">
        <v>128</v>
      </c>
      <c r="E1417" s="295">
        <v>2</v>
      </c>
      <c r="F1417" s="295">
        <v>2</v>
      </c>
      <c r="G1417" s="296">
        <v>0</v>
      </c>
      <c r="H1417" s="296">
        <v>2380</v>
      </c>
      <c r="I1417" s="296">
        <v>1450</v>
      </c>
      <c r="J1417" s="296">
        <v>1517.5</v>
      </c>
      <c r="K1417" s="296">
        <v>862.5</v>
      </c>
      <c r="L1417" s="296">
        <v>0</v>
      </c>
      <c r="M1417" s="296">
        <v>930</v>
      </c>
      <c r="N1417" s="297">
        <v>0.3907563025210084</v>
      </c>
    </row>
    <row r="1418" spans="1:14" ht="18" customHeight="1">
      <c r="A1418" s="293" t="s">
        <v>3020</v>
      </c>
      <c r="B1418" s="294">
        <v>46196</v>
      </c>
      <c r="C1418" s="286" t="s">
        <v>168</v>
      </c>
      <c r="D1418" s="286" t="s">
        <v>124</v>
      </c>
      <c r="E1418" s="295">
        <v>2</v>
      </c>
      <c r="F1418" s="295">
        <v>2</v>
      </c>
      <c r="G1418" s="296">
        <v>0</v>
      </c>
      <c r="H1418" s="296">
        <v>893</v>
      </c>
      <c r="I1418" s="296">
        <v>480</v>
      </c>
      <c r="J1418" s="296">
        <v>504</v>
      </c>
      <c r="K1418" s="296">
        <v>389</v>
      </c>
      <c r="L1418" s="296">
        <v>0</v>
      </c>
      <c r="M1418" s="296">
        <v>413</v>
      </c>
      <c r="N1418" s="297">
        <v>0.46248600223964165</v>
      </c>
    </row>
    <row r="1419" spans="1:14" ht="18" customHeight="1">
      <c r="A1419" s="293" t="s">
        <v>3021</v>
      </c>
      <c r="B1419" s="294">
        <v>46196</v>
      </c>
      <c r="C1419" s="286" t="s">
        <v>168</v>
      </c>
      <c r="D1419" s="286" t="s">
        <v>99</v>
      </c>
      <c r="E1419" s="295">
        <v>1</v>
      </c>
      <c r="F1419" s="295">
        <v>1</v>
      </c>
      <c r="G1419" s="296">
        <v>0</v>
      </c>
      <c r="H1419" s="296">
        <v>680</v>
      </c>
      <c r="I1419" s="296">
        <v>480</v>
      </c>
      <c r="J1419" s="296">
        <v>504</v>
      </c>
      <c r="K1419" s="296">
        <v>176</v>
      </c>
      <c r="L1419" s="296">
        <v>0</v>
      </c>
      <c r="M1419" s="296">
        <v>200</v>
      </c>
      <c r="N1419" s="297">
        <v>0.29411764705882354</v>
      </c>
    </row>
    <row r="1420" spans="1:14" ht="18" customHeight="1">
      <c r="A1420" s="293" t="s">
        <v>3022</v>
      </c>
      <c r="B1420" s="294">
        <v>46197</v>
      </c>
      <c r="C1420" s="286" t="s">
        <v>168</v>
      </c>
      <c r="D1420" s="286" t="s">
        <v>196</v>
      </c>
      <c r="E1420" s="295">
        <v>1</v>
      </c>
      <c r="F1420" s="295">
        <v>1</v>
      </c>
      <c r="G1420" s="296">
        <v>0</v>
      </c>
      <c r="H1420" s="296">
        <v>1600</v>
      </c>
      <c r="I1420" s="296">
        <v>1000</v>
      </c>
      <c r="J1420" s="296">
        <v>1050</v>
      </c>
      <c r="K1420" s="296">
        <v>550</v>
      </c>
      <c r="L1420" s="296">
        <v>0</v>
      </c>
      <c r="M1420" s="296">
        <v>600</v>
      </c>
      <c r="N1420" s="297">
        <v>0.375</v>
      </c>
    </row>
    <row r="1421" spans="1:14" ht="18" customHeight="1">
      <c r="A1421" s="293" t="s">
        <v>3023</v>
      </c>
      <c r="B1421" s="294">
        <v>46197</v>
      </c>
      <c r="C1421" s="286" t="s">
        <v>168</v>
      </c>
      <c r="D1421" s="286" t="s">
        <v>207</v>
      </c>
      <c r="E1421" s="295">
        <v>3</v>
      </c>
      <c r="F1421" s="295">
        <v>5.5</v>
      </c>
      <c r="G1421" s="296">
        <v>0</v>
      </c>
      <c r="H1421" s="296">
        <v>805</v>
      </c>
      <c r="I1421" s="296">
        <v>381.5</v>
      </c>
      <c r="J1421" s="296">
        <v>400.57499999999999</v>
      </c>
      <c r="K1421" s="296">
        <v>404.42500000000001</v>
      </c>
      <c r="L1421" s="296">
        <v>0</v>
      </c>
      <c r="M1421" s="296">
        <v>423.5</v>
      </c>
      <c r="N1421" s="297">
        <v>0.52608695652173909</v>
      </c>
    </row>
    <row r="1422" spans="1:14" ht="18" customHeight="1">
      <c r="A1422" s="293" t="s">
        <v>3024</v>
      </c>
      <c r="B1422" s="294">
        <v>46197</v>
      </c>
      <c r="C1422" s="286" t="s">
        <v>3773</v>
      </c>
      <c r="D1422" s="286" t="s">
        <v>102</v>
      </c>
      <c r="E1422" s="295">
        <v>1</v>
      </c>
      <c r="F1422" s="295">
        <v>2</v>
      </c>
      <c r="G1422" s="296">
        <v>0</v>
      </c>
      <c r="H1422" s="296">
        <v>1100</v>
      </c>
      <c r="I1422" s="296">
        <v>580</v>
      </c>
      <c r="J1422" s="296">
        <v>609</v>
      </c>
      <c r="K1422" s="296">
        <v>491</v>
      </c>
      <c r="L1422" s="296">
        <v>147.29999999999998</v>
      </c>
      <c r="M1422" s="296">
        <v>520</v>
      </c>
      <c r="N1422" s="297">
        <v>0.47272727272727272</v>
      </c>
    </row>
    <row r="1423" spans="1:14" ht="18" customHeight="1">
      <c r="A1423" s="293" t="s">
        <v>3025</v>
      </c>
      <c r="B1423" s="294">
        <v>46197</v>
      </c>
      <c r="C1423" s="286" t="s">
        <v>168</v>
      </c>
      <c r="D1423" s="286" t="s">
        <v>155</v>
      </c>
      <c r="E1423" s="295">
        <v>1</v>
      </c>
      <c r="F1423" s="295">
        <v>1</v>
      </c>
      <c r="G1423" s="296">
        <v>0</v>
      </c>
      <c r="H1423" s="296">
        <v>7500</v>
      </c>
      <c r="I1423" s="296">
        <v>6441</v>
      </c>
      <c r="J1423" s="296">
        <v>6763.05</v>
      </c>
      <c r="K1423" s="296">
        <v>736.94999999999982</v>
      </c>
      <c r="L1423" s="296">
        <v>0</v>
      </c>
      <c r="M1423" s="296">
        <v>1059</v>
      </c>
      <c r="N1423" s="297">
        <v>0.14119999999999999</v>
      </c>
    </row>
    <row r="1424" spans="1:14" ht="18" customHeight="1">
      <c r="A1424" s="293" t="s">
        <v>3026</v>
      </c>
      <c r="B1424" s="294">
        <v>46197</v>
      </c>
      <c r="C1424" s="286" t="s">
        <v>168</v>
      </c>
      <c r="D1424" s="286" t="s">
        <v>120</v>
      </c>
      <c r="E1424" s="295">
        <v>1</v>
      </c>
      <c r="F1424" s="295">
        <v>1</v>
      </c>
      <c r="G1424" s="296">
        <v>0</v>
      </c>
      <c r="H1424" s="296">
        <v>1900</v>
      </c>
      <c r="I1424" s="296">
        <v>1300</v>
      </c>
      <c r="J1424" s="296">
        <v>1365</v>
      </c>
      <c r="K1424" s="296">
        <v>535</v>
      </c>
      <c r="L1424" s="296">
        <v>0</v>
      </c>
      <c r="M1424" s="296">
        <v>600</v>
      </c>
      <c r="N1424" s="297">
        <v>0.31578947368421051</v>
      </c>
    </row>
    <row r="1425" spans="1:14" ht="18" customHeight="1">
      <c r="A1425" s="293" t="s">
        <v>3027</v>
      </c>
      <c r="B1425" s="294">
        <v>46197</v>
      </c>
      <c r="C1425" s="286" t="s">
        <v>353</v>
      </c>
      <c r="D1425" s="286" t="s">
        <v>108</v>
      </c>
      <c r="E1425" s="295">
        <v>1</v>
      </c>
      <c r="F1425" s="295">
        <v>5</v>
      </c>
      <c r="G1425" s="296">
        <v>0</v>
      </c>
      <c r="H1425" s="296">
        <v>1000</v>
      </c>
      <c r="I1425" s="296">
        <v>125</v>
      </c>
      <c r="J1425" s="296">
        <v>131.25</v>
      </c>
      <c r="K1425" s="296">
        <v>868.75</v>
      </c>
      <c r="L1425" s="296">
        <v>260.625</v>
      </c>
      <c r="M1425" s="296">
        <v>875</v>
      </c>
      <c r="N1425" s="297">
        <v>0.875</v>
      </c>
    </row>
    <row r="1426" spans="1:14" ht="18" customHeight="1">
      <c r="A1426" s="293" t="s">
        <v>3028</v>
      </c>
      <c r="B1426" s="294">
        <v>46197</v>
      </c>
      <c r="C1426" s="286" t="s">
        <v>168</v>
      </c>
      <c r="D1426" s="286" t="s">
        <v>224</v>
      </c>
      <c r="E1426" s="295">
        <v>3</v>
      </c>
      <c r="F1426" s="295">
        <v>16</v>
      </c>
      <c r="G1426" s="296">
        <v>0</v>
      </c>
      <c r="H1426" s="296">
        <v>2095</v>
      </c>
      <c r="I1426" s="296">
        <v>1090</v>
      </c>
      <c r="J1426" s="296">
        <v>1144.5</v>
      </c>
      <c r="K1426" s="296">
        <v>950.5</v>
      </c>
      <c r="L1426" s="296">
        <v>0</v>
      </c>
      <c r="M1426" s="296">
        <v>1005</v>
      </c>
      <c r="N1426" s="297">
        <v>0.47971360381861577</v>
      </c>
    </row>
    <row r="1427" spans="1:14" ht="18" customHeight="1">
      <c r="A1427" s="293" t="s">
        <v>3029</v>
      </c>
      <c r="B1427" s="294">
        <v>46197</v>
      </c>
      <c r="C1427" s="286" t="s">
        <v>168</v>
      </c>
      <c r="D1427" s="286" t="s">
        <v>156</v>
      </c>
      <c r="E1427" s="295">
        <v>1</v>
      </c>
      <c r="F1427" s="295">
        <v>1</v>
      </c>
      <c r="G1427" s="296">
        <v>0</v>
      </c>
      <c r="H1427" s="296">
        <v>550</v>
      </c>
      <c r="I1427" s="296">
        <v>260</v>
      </c>
      <c r="J1427" s="296">
        <v>273</v>
      </c>
      <c r="K1427" s="296">
        <v>277</v>
      </c>
      <c r="L1427" s="296">
        <v>0</v>
      </c>
      <c r="M1427" s="296">
        <v>290</v>
      </c>
      <c r="N1427" s="297">
        <v>0.52727272727272723</v>
      </c>
    </row>
    <row r="1428" spans="1:14" ht="18" customHeight="1">
      <c r="A1428" s="293" t="s">
        <v>3030</v>
      </c>
      <c r="B1428" s="294">
        <v>46197</v>
      </c>
      <c r="C1428" s="286" t="s">
        <v>168</v>
      </c>
      <c r="D1428" s="286" t="s">
        <v>221</v>
      </c>
      <c r="E1428" s="295">
        <v>4</v>
      </c>
      <c r="F1428" s="295">
        <v>6</v>
      </c>
      <c r="G1428" s="296">
        <v>0</v>
      </c>
      <c r="H1428" s="296">
        <v>3110</v>
      </c>
      <c r="I1428" s="296">
        <v>1565</v>
      </c>
      <c r="J1428" s="296">
        <v>1643.25</v>
      </c>
      <c r="K1428" s="296">
        <v>1466.75</v>
      </c>
      <c r="L1428" s="296">
        <v>0</v>
      </c>
      <c r="M1428" s="296">
        <v>1545</v>
      </c>
      <c r="N1428" s="297">
        <v>0.49678456591639869</v>
      </c>
    </row>
    <row r="1429" spans="1:14" ht="18" customHeight="1">
      <c r="A1429" s="293" t="s">
        <v>3031</v>
      </c>
      <c r="B1429" s="294">
        <v>46197</v>
      </c>
      <c r="C1429" s="286" t="s">
        <v>3773</v>
      </c>
      <c r="D1429" s="286" t="s">
        <v>116</v>
      </c>
      <c r="E1429" s="295">
        <v>1</v>
      </c>
      <c r="F1429" s="295">
        <v>1</v>
      </c>
      <c r="G1429" s="296">
        <v>0</v>
      </c>
      <c r="H1429" s="296">
        <v>1900</v>
      </c>
      <c r="I1429" s="296">
        <v>1100</v>
      </c>
      <c r="J1429" s="296">
        <v>1155</v>
      </c>
      <c r="K1429" s="296">
        <v>745</v>
      </c>
      <c r="L1429" s="296">
        <v>223.5</v>
      </c>
      <c r="M1429" s="296">
        <v>800</v>
      </c>
      <c r="N1429" s="297">
        <v>0.42105263157894735</v>
      </c>
    </row>
    <row r="1430" spans="1:14" ht="18" customHeight="1">
      <c r="A1430" s="293" t="s">
        <v>3032</v>
      </c>
      <c r="B1430" s="294">
        <v>46197</v>
      </c>
      <c r="C1430" s="286" t="s">
        <v>168</v>
      </c>
      <c r="D1430" s="286" t="s">
        <v>105</v>
      </c>
      <c r="E1430" s="295">
        <v>2</v>
      </c>
      <c r="F1430" s="295">
        <v>3</v>
      </c>
      <c r="G1430" s="296">
        <v>0</v>
      </c>
      <c r="H1430" s="296">
        <v>1650</v>
      </c>
      <c r="I1430" s="296">
        <v>635</v>
      </c>
      <c r="J1430" s="296">
        <v>666.75</v>
      </c>
      <c r="K1430" s="296">
        <v>983.25</v>
      </c>
      <c r="L1430" s="296">
        <v>0</v>
      </c>
      <c r="M1430" s="296">
        <v>1015</v>
      </c>
      <c r="N1430" s="297">
        <v>0.61515151515151512</v>
      </c>
    </row>
    <row r="1431" spans="1:14" ht="18" customHeight="1">
      <c r="A1431" s="293" t="s">
        <v>3033</v>
      </c>
      <c r="B1431" s="294">
        <v>46197</v>
      </c>
      <c r="C1431" s="286" t="s">
        <v>168</v>
      </c>
      <c r="D1431" s="286" t="s">
        <v>240</v>
      </c>
      <c r="E1431" s="295">
        <v>1</v>
      </c>
      <c r="F1431" s="295">
        <v>1</v>
      </c>
      <c r="G1431" s="296">
        <v>0</v>
      </c>
      <c r="H1431" s="296">
        <v>1696</v>
      </c>
      <c r="I1431" s="296">
        <v>1150</v>
      </c>
      <c r="J1431" s="296">
        <v>1207.5</v>
      </c>
      <c r="K1431" s="296">
        <v>488.5</v>
      </c>
      <c r="L1431" s="296">
        <v>0</v>
      </c>
      <c r="M1431" s="296">
        <v>546</v>
      </c>
      <c r="N1431" s="297">
        <v>0.32193396226415094</v>
      </c>
    </row>
    <row r="1432" spans="1:14" ht="18" customHeight="1">
      <c r="A1432" s="293" t="s">
        <v>3034</v>
      </c>
      <c r="B1432" s="294">
        <v>46197</v>
      </c>
      <c r="C1432" s="286" t="s">
        <v>168</v>
      </c>
      <c r="D1432" s="286" t="s">
        <v>123</v>
      </c>
      <c r="E1432" s="295">
        <v>1</v>
      </c>
      <c r="F1432" s="295">
        <v>1</v>
      </c>
      <c r="G1432" s="296">
        <v>0</v>
      </c>
      <c r="H1432" s="296">
        <v>2000</v>
      </c>
      <c r="I1432" s="296">
        <v>1350</v>
      </c>
      <c r="J1432" s="296">
        <v>1417.5</v>
      </c>
      <c r="K1432" s="296">
        <v>582.5</v>
      </c>
      <c r="L1432" s="296">
        <v>0</v>
      </c>
      <c r="M1432" s="296">
        <v>650</v>
      </c>
      <c r="N1432" s="297">
        <v>0.32500000000000001</v>
      </c>
    </row>
    <row r="1433" spans="1:14" ht="18" customHeight="1">
      <c r="A1433" s="293" t="s">
        <v>3035</v>
      </c>
      <c r="B1433" s="294">
        <v>46197</v>
      </c>
      <c r="C1433" s="286" t="s">
        <v>358</v>
      </c>
      <c r="D1433" s="286" t="s">
        <v>98</v>
      </c>
      <c r="E1433" s="295">
        <v>2</v>
      </c>
      <c r="F1433" s="295">
        <v>2</v>
      </c>
      <c r="G1433" s="296">
        <v>0</v>
      </c>
      <c r="H1433" s="296">
        <v>9250</v>
      </c>
      <c r="I1433" s="296">
        <v>7864</v>
      </c>
      <c r="J1433" s="296">
        <v>8257.2000000000007</v>
      </c>
      <c r="K1433" s="296">
        <v>992.79999999999927</v>
      </c>
      <c r="L1433" s="296">
        <v>297.83999999999975</v>
      </c>
      <c r="M1433" s="296">
        <v>1386</v>
      </c>
      <c r="N1433" s="297">
        <v>0.14983783783783783</v>
      </c>
    </row>
    <row r="1434" spans="1:14" ht="18" customHeight="1">
      <c r="A1434" s="293" t="s">
        <v>3036</v>
      </c>
      <c r="B1434" s="294">
        <v>46197</v>
      </c>
      <c r="C1434" s="286" t="s">
        <v>168</v>
      </c>
      <c r="D1434" s="286" t="s">
        <v>99</v>
      </c>
      <c r="E1434" s="295">
        <v>1</v>
      </c>
      <c r="F1434" s="295">
        <v>1</v>
      </c>
      <c r="G1434" s="296">
        <v>0</v>
      </c>
      <c r="H1434" s="296">
        <v>270</v>
      </c>
      <c r="I1434" s="296">
        <v>90</v>
      </c>
      <c r="J1434" s="296">
        <v>94.5</v>
      </c>
      <c r="K1434" s="296">
        <v>175.5</v>
      </c>
      <c r="L1434" s="296">
        <v>0</v>
      </c>
      <c r="M1434" s="296">
        <v>180</v>
      </c>
      <c r="N1434" s="297">
        <v>0.66666666666666663</v>
      </c>
    </row>
    <row r="1435" spans="1:14" ht="18" customHeight="1">
      <c r="A1435" s="293" t="s">
        <v>3037</v>
      </c>
      <c r="B1435" s="294">
        <v>46198</v>
      </c>
      <c r="C1435" s="286" t="s">
        <v>3773</v>
      </c>
      <c r="D1435" s="286" t="s">
        <v>116</v>
      </c>
      <c r="E1435" s="295">
        <v>1</v>
      </c>
      <c r="F1435" s="295">
        <v>2</v>
      </c>
      <c r="G1435" s="296">
        <v>0</v>
      </c>
      <c r="H1435" s="296">
        <v>3380</v>
      </c>
      <c r="I1435" s="296">
        <v>2400</v>
      </c>
      <c r="J1435" s="296">
        <v>2520</v>
      </c>
      <c r="K1435" s="296">
        <v>860</v>
      </c>
      <c r="L1435" s="296">
        <v>258</v>
      </c>
      <c r="M1435" s="296">
        <v>980</v>
      </c>
      <c r="N1435" s="297">
        <v>0.28994082840236685</v>
      </c>
    </row>
    <row r="1436" spans="1:14" ht="18" customHeight="1">
      <c r="A1436" s="293" t="s">
        <v>3038</v>
      </c>
      <c r="B1436" s="294">
        <v>46198</v>
      </c>
      <c r="C1436" s="286" t="s">
        <v>168</v>
      </c>
      <c r="D1436" s="286" t="s">
        <v>129</v>
      </c>
      <c r="E1436" s="295">
        <v>8</v>
      </c>
      <c r="F1436" s="295">
        <v>42</v>
      </c>
      <c r="G1436" s="296">
        <v>0</v>
      </c>
      <c r="H1436" s="296">
        <v>2930</v>
      </c>
      <c r="I1436" s="296">
        <v>1589.45</v>
      </c>
      <c r="J1436" s="296">
        <v>1646.8834999999999</v>
      </c>
      <c r="K1436" s="296">
        <v>1283.1165000000001</v>
      </c>
      <c r="L1436" s="296">
        <v>0</v>
      </c>
      <c r="M1436" s="296">
        <v>1340.55</v>
      </c>
      <c r="N1436" s="297">
        <v>0.45752559726962455</v>
      </c>
    </row>
    <row r="1437" spans="1:14" ht="18" customHeight="1">
      <c r="A1437" s="293" t="s">
        <v>3039</v>
      </c>
      <c r="B1437" s="294">
        <v>46198</v>
      </c>
      <c r="C1437" s="286" t="s">
        <v>168</v>
      </c>
      <c r="D1437" s="286" t="s">
        <v>122</v>
      </c>
      <c r="E1437" s="295">
        <v>1</v>
      </c>
      <c r="F1437" s="295">
        <v>1</v>
      </c>
      <c r="G1437" s="296">
        <v>0</v>
      </c>
      <c r="H1437" s="296">
        <v>430</v>
      </c>
      <c r="I1437" s="296">
        <v>330</v>
      </c>
      <c r="J1437" s="296">
        <v>339.90000000000003</v>
      </c>
      <c r="K1437" s="296">
        <v>90.099999999999966</v>
      </c>
      <c r="L1437" s="296">
        <v>0</v>
      </c>
      <c r="M1437" s="296">
        <v>100</v>
      </c>
      <c r="N1437" s="297">
        <v>0.23255813953488372</v>
      </c>
    </row>
    <row r="1438" spans="1:14" ht="18" customHeight="1">
      <c r="A1438" s="293" t="s">
        <v>3040</v>
      </c>
      <c r="B1438" s="294">
        <v>46199</v>
      </c>
      <c r="C1438" s="286" t="s">
        <v>3773</v>
      </c>
      <c r="D1438" s="286" t="s">
        <v>102</v>
      </c>
      <c r="E1438" s="295">
        <v>2</v>
      </c>
      <c r="F1438" s="295">
        <v>2</v>
      </c>
      <c r="G1438" s="296">
        <v>0</v>
      </c>
      <c r="H1438" s="296">
        <v>800</v>
      </c>
      <c r="I1438" s="296">
        <v>320</v>
      </c>
      <c r="J1438" s="296">
        <v>336</v>
      </c>
      <c r="K1438" s="296">
        <v>464</v>
      </c>
      <c r="L1438" s="296">
        <v>139.19999999999999</v>
      </c>
      <c r="M1438" s="296">
        <v>480</v>
      </c>
      <c r="N1438" s="297">
        <v>0.6</v>
      </c>
    </row>
    <row r="1439" spans="1:14" ht="18" customHeight="1">
      <c r="A1439" s="293" t="s">
        <v>3041</v>
      </c>
      <c r="B1439" s="294">
        <v>46199</v>
      </c>
      <c r="C1439" s="286" t="s">
        <v>168</v>
      </c>
      <c r="D1439" s="286" t="s">
        <v>112</v>
      </c>
      <c r="E1439" s="295">
        <v>5</v>
      </c>
      <c r="F1439" s="295">
        <v>7.2</v>
      </c>
      <c r="G1439" s="296">
        <v>0</v>
      </c>
      <c r="H1439" s="296">
        <v>2560</v>
      </c>
      <c r="I1439" s="296">
        <v>1754.8</v>
      </c>
      <c r="J1439" s="296">
        <v>1826.6440000000002</v>
      </c>
      <c r="K1439" s="296">
        <v>733.35599999999999</v>
      </c>
      <c r="L1439" s="296">
        <v>0</v>
      </c>
      <c r="M1439" s="296">
        <v>805.2</v>
      </c>
      <c r="N1439" s="297">
        <v>0.31453125000000004</v>
      </c>
    </row>
    <row r="1440" spans="1:14" ht="18" customHeight="1">
      <c r="A1440" s="293" t="s">
        <v>3042</v>
      </c>
      <c r="B1440" s="294">
        <v>46199</v>
      </c>
      <c r="C1440" s="286" t="s">
        <v>168</v>
      </c>
      <c r="D1440" s="286" t="s">
        <v>241</v>
      </c>
      <c r="E1440" s="295">
        <v>6</v>
      </c>
      <c r="F1440" s="295">
        <v>36</v>
      </c>
      <c r="G1440" s="296">
        <v>0</v>
      </c>
      <c r="H1440" s="296">
        <v>12640</v>
      </c>
      <c r="I1440" s="296">
        <v>10863.3</v>
      </c>
      <c r="J1440" s="296">
        <v>11189.199000000001</v>
      </c>
      <c r="K1440" s="296">
        <v>1450.8009999999999</v>
      </c>
      <c r="L1440" s="296">
        <v>0</v>
      </c>
      <c r="M1440" s="296">
        <v>1776.7000000000007</v>
      </c>
      <c r="N1440" s="297">
        <v>0.14056170886075955</v>
      </c>
    </row>
    <row r="1441" spans="1:14" ht="18" customHeight="1">
      <c r="A1441" s="293" t="s">
        <v>3043</v>
      </c>
      <c r="B1441" s="294">
        <v>46199</v>
      </c>
      <c r="C1441" s="286" t="s">
        <v>3773</v>
      </c>
      <c r="D1441" s="286" t="s">
        <v>116</v>
      </c>
      <c r="E1441" s="295">
        <v>1</v>
      </c>
      <c r="F1441" s="295">
        <v>1</v>
      </c>
      <c r="G1441" s="296">
        <v>0</v>
      </c>
      <c r="H1441" s="296">
        <v>2000</v>
      </c>
      <c r="I1441" s="296">
        <v>1400</v>
      </c>
      <c r="J1441" s="296">
        <v>1470</v>
      </c>
      <c r="K1441" s="296">
        <v>530</v>
      </c>
      <c r="L1441" s="296">
        <v>159</v>
      </c>
      <c r="M1441" s="296">
        <v>600</v>
      </c>
      <c r="N1441" s="297">
        <v>0.3</v>
      </c>
    </row>
    <row r="1442" spans="1:14" ht="18" customHeight="1">
      <c r="A1442" s="293" t="s">
        <v>3044</v>
      </c>
      <c r="B1442" s="294">
        <v>46199</v>
      </c>
      <c r="C1442" s="286" t="s">
        <v>168</v>
      </c>
      <c r="D1442" s="286" t="s">
        <v>162</v>
      </c>
      <c r="E1442" s="295">
        <v>1</v>
      </c>
      <c r="F1442" s="295">
        <v>1</v>
      </c>
      <c r="G1442" s="296">
        <v>0</v>
      </c>
      <c r="H1442" s="296">
        <v>3950</v>
      </c>
      <c r="I1442" s="296">
        <v>3636</v>
      </c>
      <c r="J1442" s="296">
        <v>3745.08</v>
      </c>
      <c r="K1442" s="296">
        <v>204.92000000000007</v>
      </c>
      <c r="L1442" s="296">
        <v>0</v>
      </c>
      <c r="M1442" s="296">
        <v>314</v>
      </c>
      <c r="N1442" s="297">
        <v>7.9493670886075951E-2</v>
      </c>
    </row>
    <row r="1443" spans="1:14" ht="18" customHeight="1">
      <c r="A1443" s="293" t="s">
        <v>3045</v>
      </c>
      <c r="B1443" s="294">
        <v>46199</v>
      </c>
      <c r="C1443" s="286" t="s">
        <v>168</v>
      </c>
      <c r="D1443" s="286" t="s">
        <v>178</v>
      </c>
      <c r="E1443" s="295">
        <v>1</v>
      </c>
      <c r="F1443" s="295">
        <v>1</v>
      </c>
      <c r="G1443" s="296">
        <v>0</v>
      </c>
      <c r="H1443" s="296">
        <v>2100</v>
      </c>
      <c r="I1443" s="296">
        <v>1450</v>
      </c>
      <c r="J1443" s="296">
        <v>1522.5</v>
      </c>
      <c r="K1443" s="296">
        <v>577.5</v>
      </c>
      <c r="L1443" s="296">
        <v>0</v>
      </c>
      <c r="M1443" s="296">
        <v>650</v>
      </c>
      <c r="N1443" s="297">
        <v>0.30952380952380953</v>
      </c>
    </row>
    <row r="1444" spans="1:14" ht="18" customHeight="1">
      <c r="A1444" s="293" t="s">
        <v>3046</v>
      </c>
      <c r="B1444" s="294">
        <v>46199</v>
      </c>
      <c r="C1444" s="286" t="s">
        <v>168</v>
      </c>
      <c r="D1444" s="286" t="s">
        <v>115</v>
      </c>
      <c r="E1444" s="295">
        <v>4</v>
      </c>
      <c r="F1444" s="295">
        <v>4</v>
      </c>
      <c r="G1444" s="296">
        <v>0</v>
      </c>
      <c r="H1444" s="296">
        <v>6150</v>
      </c>
      <c r="I1444" s="296">
        <v>3840</v>
      </c>
      <c r="J1444" s="296">
        <v>4032</v>
      </c>
      <c r="K1444" s="296">
        <v>2118</v>
      </c>
      <c r="L1444" s="296">
        <v>0</v>
      </c>
      <c r="M1444" s="296">
        <v>2310</v>
      </c>
      <c r="N1444" s="297">
        <v>0.37560975609756098</v>
      </c>
    </row>
    <row r="1445" spans="1:14" ht="18" customHeight="1">
      <c r="A1445" s="293" t="s">
        <v>3047</v>
      </c>
      <c r="B1445" s="294">
        <v>46199</v>
      </c>
      <c r="C1445" s="286" t="s">
        <v>168</v>
      </c>
      <c r="D1445" s="286" t="s">
        <v>242</v>
      </c>
      <c r="E1445" s="295">
        <v>6</v>
      </c>
      <c r="F1445" s="295">
        <v>9.4</v>
      </c>
      <c r="G1445" s="296">
        <v>0</v>
      </c>
      <c r="H1445" s="296">
        <v>1645</v>
      </c>
      <c r="I1445" s="296">
        <v>1150.8</v>
      </c>
      <c r="J1445" s="296">
        <v>1186.0360000000003</v>
      </c>
      <c r="K1445" s="296">
        <v>458.96399999999994</v>
      </c>
      <c r="L1445" s="296">
        <v>0</v>
      </c>
      <c r="M1445" s="296">
        <v>494.20000000000005</v>
      </c>
      <c r="N1445" s="297">
        <v>0.30042553191489363</v>
      </c>
    </row>
    <row r="1446" spans="1:14" ht="18" customHeight="1">
      <c r="A1446" s="293" t="s">
        <v>3048</v>
      </c>
      <c r="B1446" s="294">
        <v>46199</v>
      </c>
      <c r="C1446" s="286" t="s">
        <v>168</v>
      </c>
      <c r="D1446" s="286" t="s">
        <v>97</v>
      </c>
      <c r="E1446" s="295">
        <v>3</v>
      </c>
      <c r="F1446" s="295">
        <v>5</v>
      </c>
      <c r="G1446" s="296">
        <v>0</v>
      </c>
      <c r="H1446" s="296">
        <v>9700</v>
      </c>
      <c r="I1446" s="296">
        <v>5600</v>
      </c>
      <c r="J1446" s="296">
        <v>5880</v>
      </c>
      <c r="K1446" s="296">
        <v>3820</v>
      </c>
      <c r="L1446" s="296">
        <v>0</v>
      </c>
      <c r="M1446" s="296">
        <v>4100</v>
      </c>
      <c r="N1446" s="297">
        <v>0.42268041237113402</v>
      </c>
    </row>
    <row r="1447" spans="1:14" ht="18" customHeight="1">
      <c r="A1447" s="293" t="s">
        <v>3049</v>
      </c>
      <c r="B1447" s="294">
        <v>46199</v>
      </c>
      <c r="C1447" s="286" t="s">
        <v>168</v>
      </c>
      <c r="D1447" s="286" t="s">
        <v>99</v>
      </c>
      <c r="E1447" s="295">
        <v>2</v>
      </c>
      <c r="F1447" s="295">
        <v>2</v>
      </c>
      <c r="G1447" s="296">
        <v>0</v>
      </c>
      <c r="H1447" s="296">
        <v>9250</v>
      </c>
      <c r="I1447" s="296">
        <v>7979</v>
      </c>
      <c r="J1447" s="296">
        <v>8372.0500000000011</v>
      </c>
      <c r="K1447" s="296">
        <v>877.94999999999925</v>
      </c>
      <c r="L1447" s="296">
        <v>0</v>
      </c>
      <c r="M1447" s="296">
        <v>1271</v>
      </c>
      <c r="N1447" s="297">
        <v>0.13740540540540541</v>
      </c>
    </row>
    <row r="1448" spans="1:14" ht="18" customHeight="1">
      <c r="A1448" s="293" t="s">
        <v>3050</v>
      </c>
      <c r="B1448" s="294">
        <v>46200</v>
      </c>
      <c r="C1448" s="286" t="s">
        <v>3773</v>
      </c>
      <c r="D1448" s="286" t="s">
        <v>102</v>
      </c>
      <c r="E1448" s="295">
        <v>4</v>
      </c>
      <c r="F1448" s="295">
        <v>4</v>
      </c>
      <c r="G1448" s="296">
        <v>0</v>
      </c>
      <c r="H1448" s="296">
        <v>12050</v>
      </c>
      <c r="I1448" s="296">
        <v>9614</v>
      </c>
      <c r="J1448" s="296">
        <v>10094.700000000001</v>
      </c>
      <c r="K1448" s="296">
        <v>1955.2999999999993</v>
      </c>
      <c r="L1448" s="296">
        <v>586.58999999999969</v>
      </c>
      <c r="M1448" s="296">
        <v>2436</v>
      </c>
      <c r="N1448" s="297">
        <v>0.20215767634854773</v>
      </c>
    </row>
    <row r="1449" spans="1:14" ht="18" customHeight="1">
      <c r="A1449" s="293" t="s">
        <v>3051</v>
      </c>
      <c r="B1449" s="294">
        <v>46200</v>
      </c>
      <c r="C1449" s="286" t="s">
        <v>168</v>
      </c>
      <c r="D1449" s="286" t="s">
        <v>92</v>
      </c>
      <c r="E1449" s="295">
        <v>1</v>
      </c>
      <c r="F1449" s="295">
        <v>1</v>
      </c>
      <c r="G1449" s="296">
        <v>0</v>
      </c>
      <c r="H1449" s="296">
        <v>1900</v>
      </c>
      <c r="I1449" s="296">
        <v>800</v>
      </c>
      <c r="J1449" s="296">
        <v>840</v>
      </c>
      <c r="K1449" s="296">
        <v>1060</v>
      </c>
      <c r="L1449" s="296">
        <v>0</v>
      </c>
      <c r="M1449" s="296">
        <v>1100</v>
      </c>
      <c r="N1449" s="297">
        <v>0.57894736842105265</v>
      </c>
    </row>
    <row r="1450" spans="1:14" ht="18" customHeight="1">
      <c r="A1450" s="293" t="s">
        <v>3052</v>
      </c>
      <c r="B1450" s="294">
        <v>46200</v>
      </c>
      <c r="C1450" s="286" t="s">
        <v>359</v>
      </c>
      <c r="D1450" s="286" t="s">
        <v>114</v>
      </c>
      <c r="E1450" s="295">
        <v>4</v>
      </c>
      <c r="F1450" s="295">
        <v>14</v>
      </c>
      <c r="G1450" s="296">
        <v>0</v>
      </c>
      <c r="H1450" s="296">
        <v>4330</v>
      </c>
      <c r="I1450" s="296">
        <v>2213</v>
      </c>
      <c r="J1450" s="296">
        <v>2323.65</v>
      </c>
      <c r="K1450" s="296">
        <v>2006.3500000000001</v>
      </c>
      <c r="L1450" s="296">
        <v>601.90499999999997</v>
      </c>
      <c r="M1450" s="296">
        <v>2117</v>
      </c>
      <c r="N1450" s="297">
        <v>0.48891454965357967</v>
      </c>
    </row>
    <row r="1451" spans="1:14" ht="18" customHeight="1">
      <c r="A1451" s="293" t="s">
        <v>3053</v>
      </c>
      <c r="B1451" s="294">
        <v>46200</v>
      </c>
      <c r="C1451" s="286" t="s">
        <v>168</v>
      </c>
      <c r="D1451" s="286" t="s">
        <v>121</v>
      </c>
      <c r="E1451" s="295">
        <v>1</v>
      </c>
      <c r="F1451" s="295">
        <v>1</v>
      </c>
      <c r="G1451" s="296">
        <v>0</v>
      </c>
      <c r="H1451" s="296">
        <v>2000</v>
      </c>
      <c r="I1451" s="296">
        <v>1300</v>
      </c>
      <c r="J1451" s="296">
        <v>1365</v>
      </c>
      <c r="K1451" s="296">
        <v>635</v>
      </c>
      <c r="L1451" s="296">
        <v>0</v>
      </c>
      <c r="M1451" s="296">
        <v>700</v>
      </c>
      <c r="N1451" s="297">
        <v>0.35</v>
      </c>
    </row>
    <row r="1452" spans="1:14" ht="18" customHeight="1">
      <c r="A1452" s="293" t="s">
        <v>3054</v>
      </c>
      <c r="B1452" s="294">
        <v>46200</v>
      </c>
      <c r="C1452" s="286" t="s">
        <v>353</v>
      </c>
      <c r="D1452" s="286" t="s">
        <v>94</v>
      </c>
      <c r="E1452" s="295">
        <v>6</v>
      </c>
      <c r="F1452" s="295">
        <v>7</v>
      </c>
      <c r="G1452" s="296">
        <v>0</v>
      </c>
      <c r="H1452" s="296">
        <v>6560</v>
      </c>
      <c r="I1452" s="296">
        <v>4775</v>
      </c>
      <c r="J1452" s="296">
        <v>5013.75</v>
      </c>
      <c r="K1452" s="296">
        <v>1546.25</v>
      </c>
      <c r="L1452" s="296">
        <v>463.875</v>
      </c>
      <c r="M1452" s="296">
        <v>1785</v>
      </c>
      <c r="N1452" s="297">
        <v>0.27210365853658536</v>
      </c>
    </row>
    <row r="1453" spans="1:14" ht="18" customHeight="1">
      <c r="A1453" s="293" t="s">
        <v>3055</v>
      </c>
      <c r="B1453" s="294">
        <v>46200</v>
      </c>
      <c r="C1453" s="286" t="s">
        <v>168</v>
      </c>
      <c r="D1453" s="286" t="s">
        <v>96</v>
      </c>
      <c r="E1453" s="295">
        <v>2</v>
      </c>
      <c r="F1453" s="295">
        <v>3</v>
      </c>
      <c r="G1453" s="296">
        <v>0</v>
      </c>
      <c r="H1453" s="296">
        <v>670</v>
      </c>
      <c r="I1453" s="296">
        <v>460</v>
      </c>
      <c r="J1453" s="296">
        <v>476.40000000000003</v>
      </c>
      <c r="K1453" s="296">
        <v>193.59999999999997</v>
      </c>
      <c r="L1453" s="296">
        <v>0</v>
      </c>
      <c r="M1453" s="296">
        <v>210</v>
      </c>
      <c r="N1453" s="297">
        <v>0.31343283582089554</v>
      </c>
    </row>
    <row r="1454" spans="1:14" ht="18" customHeight="1">
      <c r="A1454" s="293" t="s">
        <v>3056</v>
      </c>
      <c r="B1454" s="294">
        <v>46200</v>
      </c>
      <c r="C1454" s="286" t="s">
        <v>168</v>
      </c>
      <c r="D1454" s="286" t="s">
        <v>105</v>
      </c>
      <c r="E1454" s="295">
        <v>1</v>
      </c>
      <c r="F1454" s="295">
        <v>1</v>
      </c>
      <c r="G1454" s="296">
        <v>0</v>
      </c>
      <c r="H1454" s="296">
        <v>8800</v>
      </c>
      <c r="I1454" s="296">
        <v>7684</v>
      </c>
      <c r="J1454" s="296">
        <v>8068.2000000000007</v>
      </c>
      <c r="K1454" s="296">
        <v>731.79999999999927</v>
      </c>
      <c r="L1454" s="296">
        <v>0</v>
      </c>
      <c r="M1454" s="296">
        <v>1116</v>
      </c>
      <c r="N1454" s="297">
        <v>0.12681818181818183</v>
      </c>
    </row>
    <row r="1455" spans="1:14" ht="18" customHeight="1">
      <c r="A1455" s="293" t="s">
        <v>3057</v>
      </c>
      <c r="B1455" s="294">
        <v>46200</v>
      </c>
      <c r="C1455" s="286" t="s">
        <v>168</v>
      </c>
      <c r="D1455" s="286" t="s">
        <v>145</v>
      </c>
      <c r="E1455" s="295">
        <v>14</v>
      </c>
      <c r="F1455" s="295">
        <v>153.80000000000001</v>
      </c>
      <c r="G1455" s="296">
        <v>0</v>
      </c>
      <c r="H1455" s="296">
        <v>10217</v>
      </c>
      <c r="I1455" s="296">
        <v>6382.44</v>
      </c>
      <c r="J1455" s="296">
        <v>6636.8132000000005</v>
      </c>
      <c r="K1455" s="296">
        <v>3580.1867999999995</v>
      </c>
      <c r="L1455" s="296">
        <v>0</v>
      </c>
      <c r="M1455" s="296">
        <v>3834.5600000000004</v>
      </c>
      <c r="N1455" s="297">
        <v>0.37531173534305573</v>
      </c>
    </row>
    <row r="1456" spans="1:14" ht="18" customHeight="1">
      <c r="A1456" s="293" t="s">
        <v>3058</v>
      </c>
      <c r="B1456" s="294">
        <v>46200</v>
      </c>
      <c r="C1456" s="286" t="s">
        <v>168</v>
      </c>
      <c r="D1456" s="286" t="s">
        <v>97</v>
      </c>
      <c r="E1456" s="295">
        <v>3</v>
      </c>
      <c r="F1456" s="295">
        <v>4</v>
      </c>
      <c r="G1456" s="296">
        <v>0</v>
      </c>
      <c r="H1456" s="296">
        <v>2540</v>
      </c>
      <c r="I1456" s="296">
        <v>1552</v>
      </c>
      <c r="J1456" s="296">
        <v>1629.6</v>
      </c>
      <c r="K1456" s="296">
        <v>910.4</v>
      </c>
      <c r="L1456" s="296">
        <v>0</v>
      </c>
      <c r="M1456" s="296">
        <v>988</v>
      </c>
      <c r="N1456" s="297">
        <v>0.38897637795275591</v>
      </c>
    </row>
    <row r="1457" spans="1:14" ht="18" customHeight="1">
      <c r="A1457" s="293" t="s">
        <v>3059</v>
      </c>
      <c r="B1457" s="294">
        <v>46200</v>
      </c>
      <c r="C1457" s="286" t="s">
        <v>168</v>
      </c>
      <c r="D1457" s="286" t="s">
        <v>99</v>
      </c>
      <c r="E1457" s="295">
        <v>4</v>
      </c>
      <c r="F1457" s="295">
        <v>6</v>
      </c>
      <c r="G1457" s="296">
        <v>0</v>
      </c>
      <c r="H1457" s="296">
        <v>3295</v>
      </c>
      <c r="I1457" s="296">
        <v>2860.7</v>
      </c>
      <c r="J1457" s="296">
        <v>2946.5209999999997</v>
      </c>
      <c r="K1457" s="296">
        <v>348.47899999999993</v>
      </c>
      <c r="L1457" s="296">
        <v>0</v>
      </c>
      <c r="M1457" s="296">
        <v>434.30000000000018</v>
      </c>
      <c r="N1457" s="297">
        <v>0.13180576631259489</v>
      </c>
    </row>
    <row r="1458" spans="1:14" ht="18" customHeight="1">
      <c r="A1458" s="293" t="s">
        <v>3060</v>
      </c>
      <c r="B1458" s="294">
        <v>46200</v>
      </c>
      <c r="C1458" s="286" t="s">
        <v>168</v>
      </c>
      <c r="D1458" s="286" t="s">
        <v>243</v>
      </c>
      <c r="E1458" s="295">
        <v>1</v>
      </c>
      <c r="F1458" s="295">
        <v>1</v>
      </c>
      <c r="G1458" s="296">
        <v>0</v>
      </c>
      <c r="H1458" s="296">
        <v>6500</v>
      </c>
      <c r="I1458" s="296">
        <v>3955</v>
      </c>
      <c r="J1458" s="296">
        <v>4152.75</v>
      </c>
      <c r="K1458" s="296">
        <v>2347.25</v>
      </c>
      <c r="L1458" s="296">
        <v>0</v>
      </c>
      <c r="M1458" s="296">
        <v>2545</v>
      </c>
      <c r="N1458" s="297">
        <v>0.39153846153846156</v>
      </c>
    </row>
    <row r="1459" spans="1:14" ht="18" customHeight="1">
      <c r="A1459" s="293" t="s">
        <v>3061</v>
      </c>
      <c r="B1459" s="294">
        <v>46202</v>
      </c>
      <c r="C1459" s="286" t="s">
        <v>168</v>
      </c>
      <c r="D1459" s="286" t="s">
        <v>244</v>
      </c>
      <c r="E1459" s="295">
        <v>7</v>
      </c>
      <c r="F1459" s="295">
        <v>9.8000000000000007</v>
      </c>
      <c r="G1459" s="296">
        <v>0</v>
      </c>
      <c r="H1459" s="296">
        <v>3303</v>
      </c>
      <c r="I1459" s="296">
        <v>2441</v>
      </c>
      <c r="J1459" s="296">
        <v>2514.9100000000008</v>
      </c>
      <c r="K1459" s="296">
        <v>788.08999999999969</v>
      </c>
      <c r="L1459" s="296">
        <v>0</v>
      </c>
      <c r="M1459" s="296">
        <v>862</v>
      </c>
      <c r="N1459" s="297">
        <v>0.26097487132909475</v>
      </c>
    </row>
    <row r="1460" spans="1:14" ht="18" customHeight="1">
      <c r="A1460" s="293" t="s">
        <v>3062</v>
      </c>
      <c r="B1460" s="294">
        <v>46202</v>
      </c>
      <c r="C1460" s="286" t="s">
        <v>3773</v>
      </c>
      <c r="D1460" s="286" t="s">
        <v>102</v>
      </c>
      <c r="E1460" s="295">
        <v>3</v>
      </c>
      <c r="F1460" s="295">
        <v>3</v>
      </c>
      <c r="G1460" s="296">
        <v>0</v>
      </c>
      <c r="H1460" s="296">
        <v>4550</v>
      </c>
      <c r="I1460" s="296">
        <v>2740</v>
      </c>
      <c r="J1460" s="296">
        <v>2877</v>
      </c>
      <c r="K1460" s="296">
        <v>1673</v>
      </c>
      <c r="L1460" s="296">
        <v>501.9</v>
      </c>
      <c r="M1460" s="296">
        <v>1810</v>
      </c>
      <c r="N1460" s="297">
        <v>0.39780219780219778</v>
      </c>
    </row>
    <row r="1461" spans="1:14" ht="18" customHeight="1">
      <c r="A1461" s="293" t="s">
        <v>3063</v>
      </c>
      <c r="B1461" s="294">
        <v>46202</v>
      </c>
      <c r="C1461" s="286" t="s">
        <v>168</v>
      </c>
      <c r="D1461" s="286" t="s">
        <v>155</v>
      </c>
      <c r="E1461" s="295">
        <v>10</v>
      </c>
      <c r="F1461" s="295">
        <v>77</v>
      </c>
      <c r="G1461" s="296">
        <v>0</v>
      </c>
      <c r="H1461" s="296">
        <v>47680</v>
      </c>
      <c r="I1461" s="296">
        <v>40256</v>
      </c>
      <c r="J1461" s="296">
        <v>41467.879999999997</v>
      </c>
      <c r="K1461" s="296">
        <v>6212.1199999999981</v>
      </c>
      <c r="L1461" s="296">
        <v>0</v>
      </c>
      <c r="M1461" s="296">
        <v>7424</v>
      </c>
      <c r="N1461" s="297">
        <v>0.15570469798657718</v>
      </c>
    </row>
    <row r="1462" spans="1:14" ht="18" customHeight="1">
      <c r="A1462" s="293" t="s">
        <v>3064</v>
      </c>
      <c r="B1462" s="294">
        <v>46202</v>
      </c>
      <c r="C1462" s="286" t="s">
        <v>168</v>
      </c>
      <c r="D1462" s="286" t="s">
        <v>165</v>
      </c>
      <c r="E1462" s="295">
        <v>11</v>
      </c>
      <c r="F1462" s="295">
        <v>22.4</v>
      </c>
      <c r="G1462" s="296">
        <v>0</v>
      </c>
      <c r="H1462" s="296">
        <v>3534</v>
      </c>
      <c r="I1462" s="296">
        <v>2354.3200000000002</v>
      </c>
      <c r="J1462" s="296">
        <v>2445.6796000000004</v>
      </c>
      <c r="K1462" s="296">
        <v>1088.3203999999998</v>
      </c>
      <c r="L1462" s="296">
        <v>0</v>
      </c>
      <c r="M1462" s="296">
        <v>1179.6799999999998</v>
      </c>
      <c r="N1462" s="297">
        <v>0.33380871533672885</v>
      </c>
    </row>
    <row r="1463" spans="1:14" ht="18" customHeight="1">
      <c r="A1463" s="293" t="s">
        <v>3065</v>
      </c>
      <c r="B1463" s="294">
        <v>46202</v>
      </c>
      <c r="C1463" s="286" t="s">
        <v>353</v>
      </c>
      <c r="D1463" s="286" t="s">
        <v>108</v>
      </c>
      <c r="E1463" s="295">
        <v>1</v>
      </c>
      <c r="F1463" s="295">
        <v>1</v>
      </c>
      <c r="G1463" s="296">
        <v>0</v>
      </c>
      <c r="H1463" s="296">
        <v>550</v>
      </c>
      <c r="I1463" s="296">
        <v>280</v>
      </c>
      <c r="J1463" s="296">
        <v>294</v>
      </c>
      <c r="K1463" s="296">
        <v>256</v>
      </c>
      <c r="L1463" s="296">
        <v>76.8</v>
      </c>
      <c r="M1463" s="296">
        <v>270</v>
      </c>
      <c r="N1463" s="297">
        <v>0.49090909090909091</v>
      </c>
    </row>
    <row r="1464" spans="1:14" ht="18" customHeight="1">
      <c r="A1464" s="293" t="s">
        <v>3066</v>
      </c>
      <c r="B1464" s="294">
        <v>46202</v>
      </c>
      <c r="C1464" s="286" t="s">
        <v>354</v>
      </c>
      <c r="D1464" s="286" t="s">
        <v>109</v>
      </c>
      <c r="E1464" s="295">
        <v>1</v>
      </c>
      <c r="F1464" s="295">
        <v>1</v>
      </c>
      <c r="G1464" s="296">
        <v>0</v>
      </c>
      <c r="H1464" s="296">
        <v>2000</v>
      </c>
      <c r="I1464" s="296">
        <v>1450</v>
      </c>
      <c r="J1464" s="296">
        <v>1522.5</v>
      </c>
      <c r="K1464" s="296">
        <v>477.5</v>
      </c>
      <c r="L1464" s="296">
        <v>143.25</v>
      </c>
      <c r="M1464" s="296">
        <v>550</v>
      </c>
      <c r="N1464" s="297">
        <v>0.27500000000000002</v>
      </c>
    </row>
    <row r="1465" spans="1:14" ht="18" customHeight="1">
      <c r="A1465" s="293" t="s">
        <v>3067</v>
      </c>
      <c r="B1465" s="294">
        <v>46202</v>
      </c>
      <c r="C1465" s="286" t="s">
        <v>168</v>
      </c>
      <c r="D1465" s="286" t="s">
        <v>93</v>
      </c>
      <c r="E1465" s="295">
        <v>10</v>
      </c>
      <c r="F1465" s="295">
        <v>52.8</v>
      </c>
      <c r="G1465" s="296">
        <v>0</v>
      </c>
      <c r="H1465" s="296">
        <v>5729</v>
      </c>
      <c r="I1465" s="296">
        <v>4005.2000000000003</v>
      </c>
      <c r="J1465" s="296">
        <v>4139.8160000000007</v>
      </c>
      <c r="K1465" s="296">
        <v>1589.1839999999997</v>
      </c>
      <c r="L1465" s="296">
        <v>0</v>
      </c>
      <c r="M1465" s="296">
        <v>1723.7999999999997</v>
      </c>
      <c r="N1465" s="297">
        <v>0.30089020771513347</v>
      </c>
    </row>
    <row r="1466" spans="1:14" ht="18" customHeight="1">
      <c r="A1466" s="293" t="s">
        <v>3068</v>
      </c>
      <c r="B1466" s="294">
        <v>46202</v>
      </c>
      <c r="C1466" s="286" t="s">
        <v>3773</v>
      </c>
      <c r="D1466" s="286" t="s">
        <v>116</v>
      </c>
      <c r="E1466" s="295">
        <v>3</v>
      </c>
      <c r="F1466" s="295">
        <v>3</v>
      </c>
      <c r="G1466" s="296">
        <v>0</v>
      </c>
      <c r="H1466" s="296">
        <v>4500</v>
      </c>
      <c r="I1466" s="296">
        <v>2640</v>
      </c>
      <c r="J1466" s="296">
        <v>2772</v>
      </c>
      <c r="K1466" s="296">
        <v>1728</v>
      </c>
      <c r="L1466" s="296">
        <v>518.4</v>
      </c>
      <c r="M1466" s="296">
        <v>1860</v>
      </c>
      <c r="N1466" s="297">
        <v>0.41333333333333333</v>
      </c>
    </row>
    <row r="1467" spans="1:14" ht="18" customHeight="1">
      <c r="A1467" s="293" t="s">
        <v>3069</v>
      </c>
      <c r="B1467" s="294">
        <v>46202</v>
      </c>
      <c r="C1467" s="286" t="s">
        <v>168</v>
      </c>
      <c r="D1467" s="286" t="s">
        <v>99</v>
      </c>
      <c r="E1467" s="295">
        <v>4</v>
      </c>
      <c r="F1467" s="295">
        <v>7</v>
      </c>
      <c r="G1467" s="296">
        <v>0</v>
      </c>
      <c r="H1467" s="296">
        <v>666</v>
      </c>
      <c r="I1467" s="296">
        <v>380.6</v>
      </c>
      <c r="J1467" s="296">
        <v>392.73</v>
      </c>
      <c r="K1467" s="296">
        <v>273.27</v>
      </c>
      <c r="L1467" s="296">
        <v>0</v>
      </c>
      <c r="M1467" s="296">
        <v>285.39999999999998</v>
      </c>
      <c r="N1467" s="297">
        <v>0.42852852852852852</v>
      </c>
    </row>
    <row r="1468" spans="1:14" ht="18" customHeight="1">
      <c r="A1468" s="293" t="s">
        <v>3070</v>
      </c>
      <c r="B1468" s="294">
        <v>46203</v>
      </c>
      <c r="C1468" s="286" t="s">
        <v>3773</v>
      </c>
      <c r="D1468" s="286" t="s">
        <v>116</v>
      </c>
      <c r="E1468" s="295">
        <v>1</v>
      </c>
      <c r="F1468" s="295">
        <v>1</v>
      </c>
      <c r="G1468" s="296">
        <v>0</v>
      </c>
      <c r="H1468" s="296">
        <v>1900</v>
      </c>
      <c r="I1468" s="296">
        <v>1100</v>
      </c>
      <c r="J1468" s="296">
        <v>1155</v>
      </c>
      <c r="K1468" s="296">
        <v>745</v>
      </c>
      <c r="L1468" s="296">
        <v>223.5</v>
      </c>
      <c r="M1468" s="296">
        <v>800</v>
      </c>
      <c r="N1468" s="297">
        <v>0.42105263157894735</v>
      </c>
    </row>
    <row r="1469" spans="1:14" ht="18" customHeight="1">
      <c r="A1469" s="293" t="s">
        <v>3071</v>
      </c>
      <c r="B1469" s="294">
        <v>46203</v>
      </c>
      <c r="C1469" s="286" t="s">
        <v>168</v>
      </c>
      <c r="D1469" s="286" t="s">
        <v>129</v>
      </c>
      <c r="E1469" s="295">
        <v>5</v>
      </c>
      <c r="F1469" s="295">
        <v>6.4</v>
      </c>
      <c r="G1469" s="296">
        <v>0</v>
      </c>
      <c r="H1469" s="296">
        <v>2185</v>
      </c>
      <c r="I1469" s="296">
        <v>1427.4</v>
      </c>
      <c r="J1469" s="296">
        <v>1475.982</v>
      </c>
      <c r="K1469" s="296">
        <v>709.01799999999992</v>
      </c>
      <c r="L1469" s="296">
        <v>0</v>
      </c>
      <c r="M1469" s="296">
        <v>757.59999999999991</v>
      </c>
      <c r="N1469" s="297">
        <v>0.3467276887871853</v>
      </c>
    </row>
    <row r="1470" spans="1:14" ht="18" customHeight="1">
      <c r="A1470" s="293" t="s">
        <v>3072</v>
      </c>
      <c r="B1470" s="294">
        <v>46203</v>
      </c>
      <c r="C1470" s="286" t="s">
        <v>3773</v>
      </c>
      <c r="D1470" s="286" t="s">
        <v>245</v>
      </c>
      <c r="E1470" s="295">
        <v>1</v>
      </c>
      <c r="F1470" s="295">
        <v>1</v>
      </c>
      <c r="G1470" s="296">
        <v>0</v>
      </c>
      <c r="H1470" s="296">
        <v>3000</v>
      </c>
      <c r="I1470" s="296">
        <v>2100</v>
      </c>
      <c r="J1470" s="296">
        <v>2205</v>
      </c>
      <c r="K1470" s="296">
        <v>795</v>
      </c>
      <c r="L1470" s="296">
        <v>238.5</v>
      </c>
      <c r="M1470" s="296">
        <v>900</v>
      </c>
      <c r="N1470" s="297">
        <v>0.3</v>
      </c>
    </row>
    <row r="1471" spans="1:14" ht="18" customHeight="1">
      <c r="A1471" s="293" t="s">
        <v>3073</v>
      </c>
      <c r="B1471" s="294">
        <v>46203</v>
      </c>
      <c r="C1471" s="286" t="s">
        <v>3773</v>
      </c>
      <c r="D1471" s="286" t="s">
        <v>230</v>
      </c>
      <c r="E1471" s="295">
        <v>1</v>
      </c>
      <c r="F1471" s="295">
        <v>1</v>
      </c>
      <c r="G1471" s="296">
        <v>0</v>
      </c>
      <c r="H1471" s="296">
        <v>460</v>
      </c>
      <c r="I1471" s="296">
        <v>295</v>
      </c>
      <c r="J1471" s="296">
        <v>303.85000000000002</v>
      </c>
      <c r="K1471" s="296">
        <v>156.14999999999998</v>
      </c>
      <c r="L1471" s="296">
        <v>46.844999999999992</v>
      </c>
      <c r="M1471" s="296">
        <v>165</v>
      </c>
      <c r="N1471" s="297">
        <v>0.35869565217391303</v>
      </c>
    </row>
    <row r="1472" spans="1:14" ht="18" customHeight="1">
      <c r="A1472" s="293" t="s">
        <v>3074</v>
      </c>
      <c r="B1472" s="294">
        <v>46203</v>
      </c>
      <c r="C1472" s="286" t="s">
        <v>168</v>
      </c>
      <c r="D1472" s="286" t="s">
        <v>99</v>
      </c>
      <c r="E1472" s="295">
        <v>3</v>
      </c>
      <c r="F1472" s="295">
        <v>19</v>
      </c>
      <c r="G1472" s="296">
        <v>0</v>
      </c>
      <c r="H1472" s="296">
        <v>359</v>
      </c>
      <c r="I1472" s="296">
        <v>98.5</v>
      </c>
      <c r="J1472" s="296">
        <v>102.285</v>
      </c>
      <c r="K1472" s="296">
        <v>256.71500000000003</v>
      </c>
      <c r="L1472" s="296">
        <v>0</v>
      </c>
      <c r="M1472" s="296">
        <v>260.5</v>
      </c>
      <c r="N1472" s="297">
        <v>0.72562674094707524</v>
      </c>
    </row>
    <row r="1473" spans="1:14" ht="18" customHeight="1">
      <c r="A1473" s="293" t="s">
        <v>3075</v>
      </c>
      <c r="B1473" s="294">
        <v>46204</v>
      </c>
      <c r="C1473" s="286" t="s">
        <v>353</v>
      </c>
      <c r="D1473" s="286" t="s">
        <v>108</v>
      </c>
      <c r="E1473" s="295">
        <v>2</v>
      </c>
      <c r="F1473" s="295">
        <v>5</v>
      </c>
      <c r="G1473" s="296">
        <v>0</v>
      </c>
      <c r="H1473" s="296">
        <v>3452</v>
      </c>
      <c r="I1473" s="296">
        <v>1750</v>
      </c>
      <c r="J1473" s="296">
        <v>1837.5</v>
      </c>
      <c r="K1473" s="296">
        <v>1614.5</v>
      </c>
      <c r="L1473" s="296">
        <v>484.35</v>
      </c>
      <c r="M1473" s="296">
        <v>1702</v>
      </c>
      <c r="N1473" s="297">
        <v>0.49304750869061414</v>
      </c>
    </row>
    <row r="1474" spans="1:14" ht="18" customHeight="1">
      <c r="A1474" s="293" t="s">
        <v>3076</v>
      </c>
      <c r="B1474" s="294">
        <v>46204</v>
      </c>
      <c r="C1474" s="286" t="s">
        <v>168</v>
      </c>
      <c r="D1474" s="286" t="s">
        <v>121</v>
      </c>
      <c r="E1474" s="295">
        <v>1</v>
      </c>
      <c r="F1474" s="295">
        <v>1</v>
      </c>
      <c r="G1474" s="296">
        <v>0</v>
      </c>
      <c r="H1474" s="296">
        <v>2100</v>
      </c>
      <c r="I1474" s="296">
        <v>1200</v>
      </c>
      <c r="J1474" s="296">
        <v>1260</v>
      </c>
      <c r="K1474" s="296">
        <v>840</v>
      </c>
      <c r="L1474" s="296">
        <v>0</v>
      </c>
      <c r="M1474" s="296">
        <v>900</v>
      </c>
      <c r="N1474" s="297">
        <v>0.42857142857142855</v>
      </c>
    </row>
    <row r="1475" spans="1:14" ht="18" customHeight="1">
      <c r="A1475" s="293" t="s">
        <v>3077</v>
      </c>
      <c r="B1475" s="294">
        <v>46204</v>
      </c>
      <c r="C1475" s="286" t="s">
        <v>168</v>
      </c>
      <c r="D1475" s="286" t="s">
        <v>199</v>
      </c>
      <c r="E1475" s="295">
        <v>2</v>
      </c>
      <c r="F1475" s="295">
        <v>2</v>
      </c>
      <c r="G1475" s="296">
        <v>0</v>
      </c>
      <c r="H1475" s="296">
        <v>3100</v>
      </c>
      <c r="I1475" s="296">
        <v>1950</v>
      </c>
      <c r="J1475" s="296">
        <v>2047.5</v>
      </c>
      <c r="K1475" s="296">
        <v>1052.5</v>
      </c>
      <c r="L1475" s="296">
        <v>0</v>
      </c>
      <c r="M1475" s="296">
        <v>1150</v>
      </c>
      <c r="N1475" s="297">
        <v>0.37096774193548387</v>
      </c>
    </row>
    <row r="1476" spans="1:14" ht="18" customHeight="1">
      <c r="A1476" s="293" t="s">
        <v>3078</v>
      </c>
      <c r="B1476" s="294">
        <v>46204</v>
      </c>
      <c r="C1476" s="286" t="s">
        <v>168</v>
      </c>
      <c r="D1476" s="286" t="s">
        <v>96</v>
      </c>
      <c r="E1476" s="295">
        <v>3</v>
      </c>
      <c r="F1476" s="295">
        <v>4</v>
      </c>
      <c r="G1476" s="296">
        <v>0</v>
      </c>
      <c r="H1476" s="296">
        <v>9240</v>
      </c>
      <c r="I1476" s="296">
        <v>7849</v>
      </c>
      <c r="J1476" s="296">
        <v>8241.4500000000007</v>
      </c>
      <c r="K1476" s="296">
        <v>998.54999999999927</v>
      </c>
      <c r="L1476" s="296">
        <v>0</v>
      </c>
      <c r="M1476" s="296">
        <v>1391</v>
      </c>
      <c r="N1476" s="297">
        <v>0.15054112554112553</v>
      </c>
    </row>
    <row r="1477" spans="1:14" ht="18" customHeight="1">
      <c r="A1477" s="293" t="s">
        <v>3079</v>
      </c>
      <c r="B1477" s="294">
        <v>46204</v>
      </c>
      <c r="C1477" s="286" t="s">
        <v>168</v>
      </c>
      <c r="D1477" s="286" t="s">
        <v>246</v>
      </c>
      <c r="E1477" s="295">
        <v>1</v>
      </c>
      <c r="F1477" s="295">
        <v>1</v>
      </c>
      <c r="G1477" s="296">
        <v>0</v>
      </c>
      <c r="H1477" s="296">
        <v>1964</v>
      </c>
      <c r="I1477" s="296">
        <v>1550</v>
      </c>
      <c r="J1477" s="296">
        <v>1627.5</v>
      </c>
      <c r="K1477" s="296">
        <v>336.5</v>
      </c>
      <c r="L1477" s="296">
        <v>0</v>
      </c>
      <c r="M1477" s="296">
        <v>414</v>
      </c>
      <c r="N1477" s="297">
        <v>0.21079429735234215</v>
      </c>
    </row>
    <row r="1478" spans="1:14" ht="18" customHeight="1">
      <c r="A1478" s="293" t="s">
        <v>3080</v>
      </c>
      <c r="B1478" s="294">
        <v>46204</v>
      </c>
      <c r="C1478" s="286" t="s">
        <v>168</v>
      </c>
      <c r="D1478" s="286" t="s">
        <v>99</v>
      </c>
      <c r="E1478" s="295">
        <v>4</v>
      </c>
      <c r="F1478" s="295">
        <v>5</v>
      </c>
      <c r="G1478" s="296">
        <v>0</v>
      </c>
      <c r="H1478" s="296">
        <v>2190</v>
      </c>
      <c r="I1478" s="296">
        <v>950</v>
      </c>
      <c r="J1478" s="296">
        <v>997.5</v>
      </c>
      <c r="K1478" s="296">
        <v>1192.5</v>
      </c>
      <c r="L1478" s="296">
        <v>0</v>
      </c>
      <c r="M1478" s="296">
        <v>1240</v>
      </c>
      <c r="N1478" s="297">
        <v>0.56621004566210043</v>
      </c>
    </row>
    <row r="1479" spans="1:14" ht="18" customHeight="1">
      <c r="A1479" s="293" t="s">
        <v>3081</v>
      </c>
      <c r="B1479" s="294">
        <v>46205</v>
      </c>
      <c r="C1479" s="286" t="s">
        <v>168</v>
      </c>
      <c r="D1479" s="286" t="s">
        <v>207</v>
      </c>
      <c r="E1479" s="295">
        <v>2</v>
      </c>
      <c r="F1479" s="295">
        <v>21</v>
      </c>
      <c r="G1479" s="296">
        <v>0</v>
      </c>
      <c r="H1479" s="296">
        <v>300</v>
      </c>
      <c r="I1479" s="296">
        <v>120</v>
      </c>
      <c r="J1479" s="296">
        <v>126</v>
      </c>
      <c r="K1479" s="296">
        <v>174</v>
      </c>
      <c r="L1479" s="296">
        <v>0</v>
      </c>
      <c r="M1479" s="296">
        <v>180</v>
      </c>
      <c r="N1479" s="297">
        <v>0.6</v>
      </c>
    </row>
    <row r="1480" spans="1:14" ht="18" customHeight="1">
      <c r="A1480" s="293" t="s">
        <v>3082</v>
      </c>
      <c r="B1480" s="294">
        <v>46205</v>
      </c>
      <c r="C1480" s="286" t="s">
        <v>348</v>
      </c>
      <c r="D1480" s="286" t="s">
        <v>247</v>
      </c>
      <c r="E1480" s="295">
        <v>2</v>
      </c>
      <c r="F1480" s="295">
        <v>2</v>
      </c>
      <c r="G1480" s="296">
        <v>0</v>
      </c>
      <c r="H1480" s="296">
        <v>2300</v>
      </c>
      <c r="I1480" s="296">
        <v>1340</v>
      </c>
      <c r="J1480" s="296">
        <v>1407</v>
      </c>
      <c r="K1480" s="296">
        <v>893</v>
      </c>
      <c r="L1480" s="296">
        <v>267.89999999999998</v>
      </c>
      <c r="M1480" s="296">
        <v>960</v>
      </c>
      <c r="N1480" s="297">
        <v>0.41739130434782606</v>
      </c>
    </row>
    <row r="1481" spans="1:14" ht="18" customHeight="1">
      <c r="A1481" s="293" t="s">
        <v>3083</v>
      </c>
      <c r="B1481" s="294">
        <v>46205</v>
      </c>
      <c r="C1481" s="286" t="s">
        <v>168</v>
      </c>
      <c r="D1481" s="286" t="s">
        <v>110</v>
      </c>
      <c r="E1481" s="295">
        <v>10</v>
      </c>
      <c r="F1481" s="295">
        <v>17.399999999999999</v>
      </c>
      <c r="G1481" s="296">
        <v>0</v>
      </c>
      <c r="H1481" s="296">
        <v>2988</v>
      </c>
      <c r="I1481" s="296">
        <v>2065.7199999999998</v>
      </c>
      <c r="J1481" s="296">
        <v>2136.3516</v>
      </c>
      <c r="K1481" s="296">
        <v>851.64840000000004</v>
      </c>
      <c r="L1481" s="296">
        <v>0</v>
      </c>
      <c r="M1481" s="296">
        <v>922.2800000000002</v>
      </c>
      <c r="N1481" s="297">
        <v>0.30866131191432405</v>
      </c>
    </row>
    <row r="1482" spans="1:14" ht="18" customHeight="1">
      <c r="A1482" s="293" t="s">
        <v>3084</v>
      </c>
      <c r="B1482" s="294">
        <v>46205</v>
      </c>
      <c r="C1482" s="286" t="s">
        <v>168</v>
      </c>
      <c r="D1482" s="286" t="s">
        <v>96</v>
      </c>
      <c r="E1482" s="295">
        <v>1</v>
      </c>
      <c r="F1482" s="295">
        <v>1</v>
      </c>
      <c r="G1482" s="296">
        <v>0</v>
      </c>
      <c r="H1482" s="296">
        <v>750</v>
      </c>
      <c r="I1482" s="296">
        <v>400</v>
      </c>
      <c r="J1482" s="296">
        <v>420</v>
      </c>
      <c r="K1482" s="296">
        <v>330</v>
      </c>
      <c r="L1482" s="296">
        <v>0</v>
      </c>
      <c r="M1482" s="296">
        <v>350</v>
      </c>
      <c r="N1482" s="297">
        <v>0.46666666666666667</v>
      </c>
    </row>
    <row r="1483" spans="1:14" ht="18" customHeight="1">
      <c r="A1483" s="293" t="s">
        <v>3085</v>
      </c>
      <c r="B1483" s="294">
        <v>46205</v>
      </c>
      <c r="C1483" s="286" t="s">
        <v>168</v>
      </c>
      <c r="D1483" s="286" t="s">
        <v>115</v>
      </c>
      <c r="E1483" s="295">
        <v>1</v>
      </c>
      <c r="F1483" s="295">
        <v>1</v>
      </c>
      <c r="G1483" s="296">
        <v>0</v>
      </c>
      <c r="H1483" s="296">
        <v>8800</v>
      </c>
      <c r="I1483" s="296">
        <v>7684</v>
      </c>
      <c r="J1483" s="296">
        <v>8068.2000000000007</v>
      </c>
      <c r="K1483" s="296">
        <v>731.79999999999927</v>
      </c>
      <c r="L1483" s="296">
        <v>0</v>
      </c>
      <c r="M1483" s="296">
        <v>1116</v>
      </c>
      <c r="N1483" s="297">
        <v>0.12681818181818183</v>
      </c>
    </row>
    <row r="1484" spans="1:14" ht="18" customHeight="1">
      <c r="A1484" s="293" t="s">
        <v>3086</v>
      </c>
      <c r="B1484" s="294">
        <v>46205</v>
      </c>
      <c r="C1484" s="286" t="s">
        <v>168</v>
      </c>
      <c r="D1484" s="286" t="s">
        <v>128</v>
      </c>
      <c r="E1484" s="295">
        <v>1</v>
      </c>
      <c r="F1484" s="295">
        <v>3</v>
      </c>
      <c r="G1484" s="296">
        <v>0</v>
      </c>
      <c r="H1484" s="296">
        <v>4500</v>
      </c>
      <c r="I1484" s="296">
        <v>2250</v>
      </c>
      <c r="J1484" s="296">
        <v>2362.5</v>
      </c>
      <c r="K1484" s="296">
        <v>2137.5</v>
      </c>
      <c r="L1484" s="296">
        <v>0</v>
      </c>
      <c r="M1484" s="296">
        <v>2250</v>
      </c>
      <c r="N1484" s="297">
        <v>0.5</v>
      </c>
    </row>
    <row r="1485" spans="1:14" ht="18" customHeight="1">
      <c r="A1485" s="293" t="s">
        <v>3087</v>
      </c>
      <c r="B1485" s="294">
        <v>46205</v>
      </c>
      <c r="C1485" s="286" t="s">
        <v>358</v>
      </c>
      <c r="D1485" s="286" t="s">
        <v>98</v>
      </c>
      <c r="E1485" s="295">
        <v>2</v>
      </c>
      <c r="F1485" s="295">
        <v>3</v>
      </c>
      <c r="G1485" s="296">
        <v>0</v>
      </c>
      <c r="H1485" s="296">
        <v>9700</v>
      </c>
      <c r="I1485" s="296">
        <v>8024</v>
      </c>
      <c r="J1485" s="296">
        <v>8425.2000000000007</v>
      </c>
      <c r="K1485" s="296">
        <v>1274.7999999999993</v>
      </c>
      <c r="L1485" s="296">
        <v>382.43999999999977</v>
      </c>
      <c r="M1485" s="296">
        <v>1676</v>
      </c>
      <c r="N1485" s="297">
        <v>0.17278350515463917</v>
      </c>
    </row>
    <row r="1486" spans="1:14" ht="18" customHeight="1">
      <c r="A1486" s="293" t="s">
        <v>3088</v>
      </c>
      <c r="B1486" s="294">
        <v>46205</v>
      </c>
      <c r="C1486" s="286" t="s">
        <v>168</v>
      </c>
      <c r="D1486" s="286" t="s">
        <v>99</v>
      </c>
      <c r="E1486" s="295">
        <v>3</v>
      </c>
      <c r="F1486" s="295">
        <v>6</v>
      </c>
      <c r="G1486" s="296">
        <v>0</v>
      </c>
      <c r="H1486" s="296">
        <v>676</v>
      </c>
      <c r="I1486" s="296">
        <v>341.72</v>
      </c>
      <c r="J1486" s="296">
        <v>351.97159999999997</v>
      </c>
      <c r="K1486" s="296">
        <v>324.02840000000003</v>
      </c>
      <c r="L1486" s="296">
        <v>0</v>
      </c>
      <c r="M1486" s="296">
        <v>334.28</v>
      </c>
      <c r="N1486" s="297">
        <v>0.4944970414201183</v>
      </c>
    </row>
    <row r="1487" spans="1:14" ht="18" customHeight="1">
      <c r="A1487" s="293" t="s">
        <v>3089</v>
      </c>
      <c r="B1487" s="294">
        <v>46206</v>
      </c>
      <c r="C1487" s="286" t="s">
        <v>168</v>
      </c>
      <c r="D1487" s="286" t="s">
        <v>155</v>
      </c>
      <c r="E1487" s="295">
        <v>10</v>
      </c>
      <c r="F1487" s="295">
        <v>45</v>
      </c>
      <c r="G1487" s="296">
        <v>0</v>
      </c>
      <c r="H1487" s="296">
        <v>18970</v>
      </c>
      <c r="I1487" s="296">
        <v>15755.5</v>
      </c>
      <c r="J1487" s="296">
        <v>16232.365000000002</v>
      </c>
      <c r="K1487" s="296">
        <v>2737.6349999999989</v>
      </c>
      <c r="L1487" s="296">
        <v>0</v>
      </c>
      <c r="M1487" s="296">
        <v>3214.5</v>
      </c>
      <c r="N1487" s="297">
        <v>0.1694517659462309</v>
      </c>
    </row>
    <row r="1488" spans="1:14" ht="18" customHeight="1">
      <c r="A1488" s="293" t="s">
        <v>3090</v>
      </c>
      <c r="B1488" s="294">
        <v>46206</v>
      </c>
      <c r="C1488" s="286" t="s">
        <v>354</v>
      </c>
      <c r="D1488" s="286" t="s">
        <v>109</v>
      </c>
      <c r="E1488" s="295">
        <v>1</v>
      </c>
      <c r="F1488" s="295">
        <v>1</v>
      </c>
      <c r="G1488" s="296">
        <v>0</v>
      </c>
      <c r="H1488" s="296">
        <v>2000</v>
      </c>
      <c r="I1488" s="296">
        <v>1350</v>
      </c>
      <c r="J1488" s="296">
        <v>1417.5</v>
      </c>
      <c r="K1488" s="296">
        <v>582.5</v>
      </c>
      <c r="L1488" s="296">
        <v>174.75</v>
      </c>
      <c r="M1488" s="296">
        <v>650</v>
      </c>
      <c r="N1488" s="297">
        <v>0.32500000000000001</v>
      </c>
    </row>
    <row r="1489" spans="1:14" ht="18" customHeight="1">
      <c r="A1489" s="293" t="s">
        <v>3091</v>
      </c>
      <c r="B1489" s="294">
        <v>46206</v>
      </c>
      <c r="C1489" s="286" t="s">
        <v>168</v>
      </c>
      <c r="D1489" s="286" t="s">
        <v>149</v>
      </c>
      <c r="E1489" s="295">
        <v>14</v>
      </c>
      <c r="F1489" s="295">
        <v>59.8</v>
      </c>
      <c r="G1489" s="296">
        <v>0</v>
      </c>
      <c r="H1489" s="296">
        <v>7471</v>
      </c>
      <c r="I1489" s="296">
        <v>4960.5200000000004</v>
      </c>
      <c r="J1489" s="296">
        <v>5139.3756000000003</v>
      </c>
      <c r="K1489" s="296">
        <v>2331.6244000000002</v>
      </c>
      <c r="L1489" s="296">
        <v>0</v>
      </c>
      <c r="M1489" s="296">
        <v>2510.4799999999996</v>
      </c>
      <c r="N1489" s="297">
        <v>0.33602998259938421</v>
      </c>
    </row>
    <row r="1490" spans="1:14" ht="18" customHeight="1">
      <c r="A1490" s="293" t="s">
        <v>3092</v>
      </c>
      <c r="B1490" s="294">
        <v>46206</v>
      </c>
      <c r="C1490" s="286" t="s">
        <v>168</v>
      </c>
      <c r="D1490" s="286" t="s">
        <v>115</v>
      </c>
      <c r="E1490" s="295">
        <v>4</v>
      </c>
      <c r="F1490" s="295">
        <v>4</v>
      </c>
      <c r="G1490" s="296">
        <v>0</v>
      </c>
      <c r="H1490" s="296">
        <v>6800</v>
      </c>
      <c r="I1490" s="296">
        <v>3600</v>
      </c>
      <c r="J1490" s="296">
        <v>3780</v>
      </c>
      <c r="K1490" s="296">
        <v>3020</v>
      </c>
      <c r="L1490" s="296">
        <v>0</v>
      </c>
      <c r="M1490" s="296">
        <v>3200</v>
      </c>
      <c r="N1490" s="297">
        <v>0.47058823529411764</v>
      </c>
    </row>
    <row r="1491" spans="1:14" ht="18" customHeight="1">
      <c r="A1491" s="293" t="s">
        <v>3093</v>
      </c>
      <c r="B1491" s="294">
        <v>46206</v>
      </c>
      <c r="C1491" s="286" t="s">
        <v>168</v>
      </c>
      <c r="D1491" s="286" t="s">
        <v>127</v>
      </c>
      <c r="E1491" s="295">
        <v>2</v>
      </c>
      <c r="F1491" s="295">
        <v>6</v>
      </c>
      <c r="G1491" s="296">
        <v>0</v>
      </c>
      <c r="H1491" s="296">
        <v>2275</v>
      </c>
      <c r="I1491" s="296">
        <v>1895</v>
      </c>
      <c r="J1491" s="296">
        <v>1951.85</v>
      </c>
      <c r="K1491" s="296">
        <v>323.14999999999998</v>
      </c>
      <c r="L1491" s="296">
        <v>0</v>
      </c>
      <c r="M1491" s="296">
        <v>380</v>
      </c>
      <c r="N1491" s="297">
        <v>0.16703296703296702</v>
      </c>
    </row>
    <row r="1492" spans="1:14" ht="18" customHeight="1">
      <c r="A1492" s="293" t="s">
        <v>3094</v>
      </c>
      <c r="B1492" s="294">
        <v>46206</v>
      </c>
      <c r="C1492" s="286" t="s">
        <v>168</v>
      </c>
      <c r="D1492" s="286" t="s">
        <v>99</v>
      </c>
      <c r="E1492" s="295">
        <v>3</v>
      </c>
      <c r="F1492" s="295">
        <v>3</v>
      </c>
      <c r="G1492" s="296">
        <v>0</v>
      </c>
      <c r="H1492" s="296">
        <v>1415</v>
      </c>
      <c r="I1492" s="296">
        <v>1002</v>
      </c>
      <c r="J1492" s="296">
        <v>1052.0999999999999</v>
      </c>
      <c r="K1492" s="296">
        <v>362.9</v>
      </c>
      <c r="L1492" s="296">
        <v>0</v>
      </c>
      <c r="M1492" s="296">
        <v>413</v>
      </c>
      <c r="N1492" s="297">
        <v>0.29187279151943463</v>
      </c>
    </row>
    <row r="1493" spans="1:14" ht="18" customHeight="1">
      <c r="A1493" s="293" t="s">
        <v>3095</v>
      </c>
      <c r="B1493" s="294">
        <v>46207</v>
      </c>
      <c r="C1493" s="286" t="s">
        <v>348</v>
      </c>
      <c r="D1493" s="286" t="s">
        <v>247</v>
      </c>
      <c r="E1493" s="295">
        <v>1</v>
      </c>
      <c r="F1493" s="295">
        <v>1</v>
      </c>
      <c r="G1493" s="296">
        <v>0</v>
      </c>
      <c r="H1493" s="296">
        <v>2100</v>
      </c>
      <c r="I1493" s="296">
        <v>1450</v>
      </c>
      <c r="J1493" s="296">
        <v>1522.5</v>
      </c>
      <c r="K1493" s="296">
        <v>577.5</v>
      </c>
      <c r="L1493" s="296">
        <v>173.25</v>
      </c>
      <c r="M1493" s="296">
        <v>650</v>
      </c>
      <c r="N1493" s="297">
        <v>0.30952380952380953</v>
      </c>
    </row>
    <row r="1494" spans="1:14" ht="18" customHeight="1">
      <c r="A1494" s="293" t="s">
        <v>3096</v>
      </c>
      <c r="B1494" s="294">
        <v>46207</v>
      </c>
      <c r="C1494" s="286" t="s">
        <v>3773</v>
      </c>
      <c r="D1494" s="286" t="s">
        <v>102</v>
      </c>
      <c r="E1494" s="295">
        <v>2</v>
      </c>
      <c r="F1494" s="295">
        <v>3</v>
      </c>
      <c r="G1494" s="296">
        <v>0</v>
      </c>
      <c r="H1494" s="296">
        <v>1950</v>
      </c>
      <c r="I1494" s="296">
        <v>1110</v>
      </c>
      <c r="J1494" s="296">
        <v>1165.5</v>
      </c>
      <c r="K1494" s="296">
        <v>784.5</v>
      </c>
      <c r="L1494" s="296">
        <v>235.35</v>
      </c>
      <c r="M1494" s="296">
        <v>840</v>
      </c>
      <c r="N1494" s="297">
        <v>0.43076923076923079</v>
      </c>
    </row>
    <row r="1495" spans="1:14" ht="18" customHeight="1">
      <c r="A1495" s="293" t="s">
        <v>3097</v>
      </c>
      <c r="B1495" s="294">
        <v>46207</v>
      </c>
      <c r="C1495" s="286" t="s">
        <v>168</v>
      </c>
      <c r="D1495" s="286" t="s">
        <v>120</v>
      </c>
      <c r="E1495" s="295">
        <v>3</v>
      </c>
      <c r="F1495" s="295">
        <v>3</v>
      </c>
      <c r="G1495" s="296">
        <v>0</v>
      </c>
      <c r="H1495" s="296">
        <v>1800</v>
      </c>
      <c r="I1495" s="296">
        <v>840</v>
      </c>
      <c r="J1495" s="296">
        <v>882</v>
      </c>
      <c r="K1495" s="296">
        <v>918</v>
      </c>
      <c r="L1495" s="296">
        <v>0</v>
      </c>
      <c r="M1495" s="296">
        <v>960</v>
      </c>
      <c r="N1495" s="297">
        <v>0.53333333333333333</v>
      </c>
    </row>
    <row r="1496" spans="1:14" ht="18" customHeight="1">
      <c r="A1496" s="293" t="s">
        <v>3098</v>
      </c>
      <c r="B1496" s="294">
        <v>46207</v>
      </c>
      <c r="C1496" s="286" t="s">
        <v>3773</v>
      </c>
      <c r="D1496" s="286" t="s">
        <v>126</v>
      </c>
      <c r="E1496" s="295">
        <v>2</v>
      </c>
      <c r="F1496" s="295">
        <v>2</v>
      </c>
      <c r="G1496" s="296">
        <v>0</v>
      </c>
      <c r="H1496" s="296">
        <v>2250</v>
      </c>
      <c r="I1496" s="296">
        <v>1400</v>
      </c>
      <c r="J1496" s="296">
        <v>1470</v>
      </c>
      <c r="K1496" s="296">
        <v>780</v>
      </c>
      <c r="L1496" s="296">
        <v>234</v>
      </c>
      <c r="M1496" s="296">
        <v>850</v>
      </c>
      <c r="N1496" s="297">
        <v>0.37777777777777777</v>
      </c>
    </row>
    <row r="1497" spans="1:14" ht="18" customHeight="1">
      <c r="A1497" s="293" t="s">
        <v>3099</v>
      </c>
      <c r="B1497" s="294">
        <v>46207</v>
      </c>
      <c r="C1497" s="286" t="s">
        <v>353</v>
      </c>
      <c r="D1497" s="286" t="s">
        <v>108</v>
      </c>
      <c r="E1497" s="295">
        <v>4</v>
      </c>
      <c r="F1497" s="295">
        <v>4</v>
      </c>
      <c r="G1497" s="296">
        <v>0</v>
      </c>
      <c r="H1497" s="296">
        <v>7900</v>
      </c>
      <c r="I1497" s="296">
        <v>5100</v>
      </c>
      <c r="J1497" s="296">
        <v>5355</v>
      </c>
      <c r="K1497" s="296">
        <v>2545</v>
      </c>
      <c r="L1497" s="296">
        <v>763.5</v>
      </c>
      <c r="M1497" s="296">
        <v>2800</v>
      </c>
      <c r="N1497" s="297">
        <v>0.35443037974683544</v>
      </c>
    </row>
    <row r="1498" spans="1:14" ht="18" customHeight="1">
      <c r="A1498" s="293" t="s">
        <v>3100</v>
      </c>
      <c r="B1498" s="294">
        <v>46207</v>
      </c>
      <c r="C1498" s="286" t="s">
        <v>168</v>
      </c>
      <c r="D1498" s="286" t="s">
        <v>121</v>
      </c>
      <c r="E1498" s="295">
        <v>2</v>
      </c>
      <c r="F1498" s="295">
        <v>2</v>
      </c>
      <c r="G1498" s="296">
        <v>0</v>
      </c>
      <c r="H1498" s="296">
        <v>3500</v>
      </c>
      <c r="I1498" s="296">
        <v>2250</v>
      </c>
      <c r="J1498" s="296">
        <v>2362.5</v>
      </c>
      <c r="K1498" s="296">
        <v>1137.5</v>
      </c>
      <c r="L1498" s="296">
        <v>0</v>
      </c>
      <c r="M1498" s="296">
        <v>1250</v>
      </c>
      <c r="N1498" s="297">
        <v>0.35714285714285715</v>
      </c>
    </row>
    <row r="1499" spans="1:14" ht="18" customHeight="1">
      <c r="A1499" s="293" t="s">
        <v>3101</v>
      </c>
      <c r="B1499" s="294">
        <v>46207</v>
      </c>
      <c r="C1499" s="286" t="s">
        <v>353</v>
      </c>
      <c r="D1499" s="286" t="s">
        <v>94</v>
      </c>
      <c r="E1499" s="295">
        <v>4</v>
      </c>
      <c r="F1499" s="295">
        <v>11</v>
      </c>
      <c r="G1499" s="296">
        <v>0</v>
      </c>
      <c r="H1499" s="296">
        <v>1574</v>
      </c>
      <c r="I1499" s="296">
        <v>975</v>
      </c>
      <c r="J1499" s="296">
        <v>1023.75</v>
      </c>
      <c r="K1499" s="296">
        <v>550.25</v>
      </c>
      <c r="L1499" s="296">
        <v>165.07499999999999</v>
      </c>
      <c r="M1499" s="296">
        <v>599</v>
      </c>
      <c r="N1499" s="297">
        <v>0.38055908513341802</v>
      </c>
    </row>
    <row r="1500" spans="1:14" ht="18" customHeight="1">
      <c r="A1500" s="293" t="s">
        <v>3102</v>
      </c>
      <c r="B1500" s="294">
        <v>46207</v>
      </c>
      <c r="C1500" s="286" t="s">
        <v>168</v>
      </c>
      <c r="D1500" s="286" t="s">
        <v>212</v>
      </c>
      <c r="E1500" s="295">
        <v>3</v>
      </c>
      <c r="F1500" s="295">
        <v>3</v>
      </c>
      <c r="G1500" s="296">
        <v>0</v>
      </c>
      <c r="H1500" s="296">
        <v>3400</v>
      </c>
      <c r="I1500" s="296">
        <v>2050</v>
      </c>
      <c r="J1500" s="296">
        <v>2152.5</v>
      </c>
      <c r="K1500" s="296">
        <v>1247.5</v>
      </c>
      <c r="L1500" s="296">
        <v>0</v>
      </c>
      <c r="M1500" s="296">
        <v>1350</v>
      </c>
      <c r="N1500" s="297">
        <v>0.39705882352941174</v>
      </c>
    </row>
    <row r="1501" spans="1:14" ht="18" customHeight="1">
      <c r="A1501" s="293" t="s">
        <v>3103</v>
      </c>
      <c r="B1501" s="294">
        <v>46207</v>
      </c>
      <c r="C1501" s="286" t="s">
        <v>168</v>
      </c>
      <c r="D1501" s="286" t="s">
        <v>96</v>
      </c>
      <c r="E1501" s="295">
        <v>2</v>
      </c>
      <c r="F1501" s="295">
        <v>2</v>
      </c>
      <c r="G1501" s="296">
        <v>0</v>
      </c>
      <c r="H1501" s="296">
        <v>1100</v>
      </c>
      <c r="I1501" s="296">
        <v>540</v>
      </c>
      <c r="J1501" s="296">
        <v>567</v>
      </c>
      <c r="K1501" s="296">
        <v>533</v>
      </c>
      <c r="L1501" s="296">
        <v>0</v>
      </c>
      <c r="M1501" s="296">
        <v>560</v>
      </c>
      <c r="N1501" s="297">
        <v>0.50909090909090904</v>
      </c>
    </row>
    <row r="1502" spans="1:14" ht="18" customHeight="1">
      <c r="A1502" s="293" t="s">
        <v>3104</v>
      </c>
      <c r="B1502" s="294">
        <v>46207</v>
      </c>
      <c r="C1502" s="286" t="s">
        <v>168</v>
      </c>
      <c r="D1502" s="286" t="s">
        <v>142</v>
      </c>
      <c r="E1502" s="295">
        <v>1</v>
      </c>
      <c r="F1502" s="295">
        <v>1</v>
      </c>
      <c r="G1502" s="296">
        <v>0</v>
      </c>
      <c r="H1502" s="296">
        <v>1600</v>
      </c>
      <c r="I1502" s="296">
        <v>900</v>
      </c>
      <c r="J1502" s="296">
        <v>945</v>
      </c>
      <c r="K1502" s="296">
        <v>655</v>
      </c>
      <c r="L1502" s="296">
        <v>0</v>
      </c>
      <c r="M1502" s="296">
        <v>700</v>
      </c>
      <c r="N1502" s="297">
        <v>0.4375</v>
      </c>
    </row>
    <row r="1503" spans="1:14" ht="18" customHeight="1">
      <c r="A1503" s="293" t="s">
        <v>3105</v>
      </c>
      <c r="B1503" s="294">
        <v>46207</v>
      </c>
      <c r="C1503" s="286" t="s">
        <v>168</v>
      </c>
      <c r="D1503" s="286" t="s">
        <v>115</v>
      </c>
      <c r="E1503" s="295">
        <v>2</v>
      </c>
      <c r="F1503" s="295">
        <v>2</v>
      </c>
      <c r="G1503" s="296">
        <v>0</v>
      </c>
      <c r="H1503" s="296">
        <v>4000</v>
      </c>
      <c r="I1503" s="296">
        <v>2200</v>
      </c>
      <c r="J1503" s="296">
        <v>2310</v>
      </c>
      <c r="K1503" s="296">
        <v>1690</v>
      </c>
      <c r="L1503" s="296">
        <v>0</v>
      </c>
      <c r="M1503" s="296">
        <v>1800</v>
      </c>
      <c r="N1503" s="297">
        <v>0.45</v>
      </c>
    </row>
    <row r="1504" spans="1:14" ht="18" customHeight="1">
      <c r="A1504" s="293" t="s">
        <v>3106</v>
      </c>
      <c r="B1504" s="294">
        <v>46207</v>
      </c>
      <c r="C1504" s="286" t="s">
        <v>168</v>
      </c>
      <c r="D1504" s="286" t="s">
        <v>124</v>
      </c>
      <c r="E1504" s="295">
        <v>4</v>
      </c>
      <c r="F1504" s="295">
        <v>4</v>
      </c>
      <c r="G1504" s="296">
        <v>0</v>
      </c>
      <c r="H1504" s="296">
        <v>11500</v>
      </c>
      <c r="I1504" s="296">
        <v>9324</v>
      </c>
      <c r="J1504" s="296">
        <v>9790.2000000000007</v>
      </c>
      <c r="K1504" s="296">
        <v>1709.7999999999993</v>
      </c>
      <c r="L1504" s="296">
        <v>0</v>
      </c>
      <c r="M1504" s="296">
        <v>2176</v>
      </c>
      <c r="N1504" s="297">
        <v>0.18921739130434784</v>
      </c>
    </row>
    <row r="1505" spans="1:14" ht="18" customHeight="1">
      <c r="A1505" s="293" t="s">
        <v>3107</v>
      </c>
      <c r="B1505" s="294">
        <v>46207</v>
      </c>
      <c r="C1505" s="286" t="s">
        <v>168</v>
      </c>
      <c r="D1505" s="286" t="s">
        <v>248</v>
      </c>
      <c r="E1505" s="295">
        <v>1</v>
      </c>
      <c r="F1505" s="295">
        <v>5</v>
      </c>
      <c r="G1505" s="296">
        <v>0</v>
      </c>
      <c r="H1505" s="296">
        <v>525</v>
      </c>
      <c r="I1505" s="296">
        <v>350</v>
      </c>
      <c r="J1505" s="296">
        <v>360.5</v>
      </c>
      <c r="K1505" s="296">
        <v>164.5</v>
      </c>
      <c r="L1505" s="296">
        <v>0</v>
      </c>
      <c r="M1505" s="296">
        <v>175</v>
      </c>
      <c r="N1505" s="297">
        <v>0.33333333333333331</v>
      </c>
    </row>
    <row r="1506" spans="1:14" ht="18" customHeight="1">
      <c r="A1506" s="293" t="s">
        <v>3108</v>
      </c>
      <c r="B1506" s="294">
        <v>46207</v>
      </c>
      <c r="C1506" s="286" t="s">
        <v>168</v>
      </c>
      <c r="D1506" s="286" t="s">
        <v>99</v>
      </c>
      <c r="E1506" s="295">
        <v>5</v>
      </c>
      <c r="F1506" s="295">
        <v>8</v>
      </c>
      <c r="G1506" s="296">
        <v>0</v>
      </c>
      <c r="H1506" s="296">
        <v>2996</v>
      </c>
      <c r="I1506" s="296">
        <v>1794</v>
      </c>
      <c r="J1506" s="296">
        <v>1874.76</v>
      </c>
      <c r="K1506" s="296">
        <v>1121.24</v>
      </c>
      <c r="L1506" s="296">
        <v>0</v>
      </c>
      <c r="M1506" s="296">
        <v>1202</v>
      </c>
      <c r="N1506" s="297">
        <v>0.40120160213618156</v>
      </c>
    </row>
    <row r="1507" spans="1:14" ht="18" customHeight="1">
      <c r="A1507" s="293" t="s">
        <v>3109</v>
      </c>
      <c r="B1507" s="294">
        <v>46209</v>
      </c>
      <c r="C1507" s="286" t="s">
        <v>3773</v>
      </c>
      <c r="D1507" s="286" t="s">
        <v>102</v>
      </c>
      <c r="E1507" s="295">
        <v>3</v>
      </c>
      <c r="F1507" s="295">
        <v>3</v>
      </c>
      <c r="G1507" s="296">
        <v>0</v>
      </c>
      <c r="H1507" s="296">
        <v>2950</v>
      </c>
      <c r="I1507" s="296">
        <v>1790</v>
      </c>
      <c r="J1507" s="296">
        <v>1879.5</v>
      </c>
      <c r="K1507" s="296">
        <v>1070.5</v>
      </c>
      <c r="L1507" s="296">
        <v>321.14999999999998</v>
      </c>
      <c r="M1507" s="296">
        <v>1160</v>
      </c>
      <c r="N1507" s="297">
        <v>0.39322033898305087</v>
      </c>
    </row>
    <row r="1508" spans="1:14" ht="18" customHeight="1">
      <c r="A1508" s="293" t="s">
        <v>3110</v>
      </c>
      <c r="B1508" s="294">
        <v>46209</v>
      </c>
      <c r="C1508" s="286" t="s">
        <v>168</v>
      </c>
      <c r="D1508" s="286" t="s">
        <v>176</v>
      </c>
      <c r="E1508" s="295">
        <v>1</v>
      </c>
      <c r="F1508" s="295">
        <v>1</v>
      </c>
      <c r="G1508" s="296">
        <v>0</v>
      </c>
      <c r="H1508" s="296">
        <v>8800</v>
      </c>
      <c r="I1508" s="296">
        <v>7684</v>
      </c>
      <c r="J1508" s="296">
        <v>8068.2000000000007</v>
      </c>
      <c r="K1508" s="296">
        <v>731.79999999999927</v>
      </c>
      <c r="L1508" s="296">
        <v>0</v>
      </c>
      <c r="M1508" s="296">
        <v>1116</v>
      </c>
      <c r="N1508" s="297">
        <v>0.12681818181818183</v>
      </c>
    </row>
    <row r="1509" spans="1:14" ht="18" customHeight="1">
      <c r="A1509" s="293" t="s">
        <v>3111</v>
      </c>
      <c r="B1509" s="294">
        <v>46209</v>
      </c>
      <c r="C1509" s="286" t="s">
        <v>168</v>
      </c>
      <c r="D1509" s="286" t="s">
        <v>156</v>
      </c>
      <c r="E1509" s="295">
        <v>2</v>
      </c>
      <c r="F1509" s="295">
        <v>2</v>
      </c>
      <c r="G1509" s="296">
        <v>0</v>
      </c>
      <c r="H1509" s="296">
        <v>1050</v>
      </c>
      <c r="I1509" s="296">
        <v>495</v>
      </c>
      <c r="J1509" s="296">
        <v>519.75</v>
      </c>
      <c r="K1509" s="296">
        <v>530.25</v>
      </c>
      <c r="L1509" s="296">
        <v>0</v>
      </c>
      <c r="M1509" s="296">
        <v>555</v>
      </c>
      <c r="N1509" s="297">
        <v>0.52857142857142858</v>
      </c>
    </row>
    <row r="1510" spans="1:14" ht="18" customHeight="1">
      <c r="A1510" s="293" t="s">
        <v>3112</v>
      </c>
      <c r="B1510" s="294">
        <v>46209</v>
      </c>
      <c r="C1510" s="286" t="s">
        <v>168</v>
      </c>
      <c r="D1510" s="286" t="s">
        <v>92</v>
      </c>
      <c r="E1510" s="295">
        <v>1</v>
      </c>
      <c r="F1510" s="295">
        <v>1</v>
      </c>
      <c r="G1510" s="296">
        <v>0</v>
      </c>
      <c r="H1510" s="296">
        <v>2000</v>
      </c>
      <c r="I1510" s="296">
        <v>1380</v>
      </c>
      <c r="J1510" s="296">
        <v>1449</v>
      </c>
      <c r="K1510" s="296">
        <v>551</v>
      </c>
      <c r="L1510" s="296">
        <v>0</v>
      </c>
      <c r="M1510" s="296">
        <v>620</v>
      </c>
      <c r="N1510" s="297">
        <v>0.31</v>
      </c>
    </row>
    <row r="1511" spans="1:14" ht="18" customHeight="1">
      <c r="A1511" s="293" t="s">
        <v>3113</v>
      </c>
      <c r="B1511" s="294">
        <v>46209</v>
      </c>
      <c r="C1511" s="286" t="s">
        <v>354</v>
      </c>
      <c r="D1511" s="286" t="s">
        <v>109</v>
      </c>
      <c r="E1511" s="295">
        <v>1</v>
      </c>
      <c r="F1511" s="295">
        <v>1</v>
      </c>
      <c r="G1511" s="296">
        <v>0</v>
      </c>
      <c r="H1511" s="296">
        <v>1700</v>
      </c>
      <c r="I1511" s="296">
        <v>900</v>
      </c>
      <c r="J1511" s="296">
        <v>945</v>
      </c>
      <c r="K1511" s="296">
        <v>755</v>
      </c>
      <c r="L1511" s="296">
        <v>226.5</v>
      </c>
      <c r="M1511" s="296">
        <v>800</v>
      </c>
      <c r="N1511" s="297">
        <v>0.47058823529411764</v>
      </c>
    </row>
    <row r="1512" spans="1:14" ht="18" customHeight="1">
      <c r="A1512" s="293" t="s">
        <v>3114</v>
      </c>
      <c r="B1512" s="294">
        <v>46209</v>
      </c>
      <c r="C1512" s="286" t="s">
        <v>353</v>
      </c>
      <c r="D1512" s="286" t="s">
        <v>94</v>
      </c>
      <c r="E1512" s="295">
        <v>4</v>
      </c>
      <c r="F1512" s="295">
        <v>4</v>
      </c>
      <c r="G1512" s="296">
        <v>0</v>
      </c>
      <c r="H1512" s="296">
        <v>3047</v>
      </c>
      <c r="I1512" s="296">
        <v>2050</v>
      </c>
      <c r="J1512" s="296">
        <v>2152.5</v>
      </c>
      <c r="K1512" s="296">
        <v>894.5</v>
      </c>
      <c r="L1512" s="296">
        <v>268.35000000000002</v>
      </c>
      <c r="M1512" s="296">
        <v>997</v>
      </c>
      <c r="N1512" s="297">
        <v>0.32720708893994094</v>
      </c>
    </row>
    <row r="1513" spans="1:14" ht="18" customHeight="1">
      <c r="A1513" s="293" t="s">
        <v>3115</v>
      </c>
      <c r="B1513" s="294">
        <v>46209</v>
      </c>
      <c r="C1513" s="286" t="s">
        <v>3773</v>
      </c>
      <c r="D1513" s="286" t="s">
        <v>116</v>
      </c>
      <c r="E1513" s="295">
        <v>1</v>
      </c>
      <c r="F1513" s="295">
        <v>1</v>
      </c>
      <c r="G1513" s="296">
        <v>0</v>
      </c>
      <c r="H1513" s="296">
        <v>1964</v>
      </c>
      <c r="I1513" s="296">
        <v>1500</v>
      </c>
      <c r="J1513" s="296">
        <v>1575</v>
      </c>
      <c r="K1513" s="296">
        <v>389</v>
      </c>
      <c r="L1513" s="296">
        <v>116.69999999999999</v>
      </c>
      <c r="M1513" s="296">
        <v>464</v>
      </c>
      <c r="N1513" s="297">
        <v>0.23625254582484725</v>
      </c>
    </row>
    <row r="1514" spans="1:14" ht="18" customHeight="1">
      <c r="A1514" s="293" t="s">
        <v>3116</v>
      </c>
      <c r="B1514" s="294">
        <v>46209</v>
      </c>
      <c r="C1514" s="286" t="s">
        <v>168</v>
      </c>
      <c r="D1514" s="286" t="s">
        <v>96</v>
      </c>
      <c r="E1514" s="295">
        <v>6</v>
      </c>
      <c r="F1514" s="295">
        <v>10</v>
      </c>
      <c r="G1514" s="296">
        <v>0</v>
      </c>
      <c r="H1514" s="296">
        <v>3935</v>
      </c>
      <c r="I1514" s="296">
        <v>2300</v>
      </c>
      <c r="J1514" s="296">
        <v>2415</v>
      </c>
      <c r="K1514" s="296">
        <v>1520.0000000000002</v>
      </c>
      <c r="L1514" s="296">
        <v>0</v>
      </c>
      <c r="M1514" s="296">
        <v>1635</v>
      </c>
      <c r="N1514" s="297">
        <v>0.41550190597204573</v>
      </c>
    </row>
    <row r="1515" spans="1:14" ht="18" customHeight="1">
      <c r="A1515" s="293" t="s">
        <v>3117</v>
      </c>
      <c r="B1515" s="294">
        <v>46209</v>
      </c>
      <c r="C1515" s="286" t="s">
        <v>358</v>
      </c>
      <c r="D1515" s="286" t="s">
        <v>98</v>
      </c>
      <c r="E1515" s="295">
        <v>1</v>
      </c>
      <c r="F1515" s="295">
        <v>1</v>
      </c>
      <c r="G1515" s="296">
        <v>0</v>
      </c>
      <c r="H1515" s="296">
        <v>491</v>
      </c>
      <c r="I1515" s="296">
        <v>250</v>
      </c>
      <c r="J1515" s="296">
        <v>262.5</v>
      </c>
      <c r="K1515" s="296">
        <v>228.5</v>
      </c>
      <c r="L1515" s="296">
        <v>68.55</v>
      </c>
      <c r="M1515" s="296">
        <v>241</v>
      </c>
      <c r="N1515" s="297">
        <v>0.49083503054989819</v>
      </c>
    </row>
    <row r="1516" spans="1:14" ht="18" customHeight="1">
      <c r="A1516" s="293" t="s">
        <v>3118</v>
      </c>
      <c r="B1516" s="294">
        <v>46209</v>
      </c>
      <c r="C1516" s="286" t="s">
        <v>168</v>
      </c>
      <c r="D1516" s="286" t="s">
        <v>99</v>
      </c>
      <c r="E1516" s="295">
        <v>13</v>
      </c>
      <c r="F1516" s="295">
        <v>30.4</v>
      </c>
      <c r="G1516" s="296">
        <v>0</v>
      </c>
      <c r="H1516" s="296">
        <v>4476</v>
      </c>
      <c r="I1516" s="296">
        <v>2887.4199999999996</v>
      </c>
      <c r="J1516" s="296">
        <v>2986.1546000000003</v>
      </c>
      <c r="K1516" s="296">
        <v>1489.8453999999997</v>
      </c>
      <c r="L1516" s="296">
        <v>0</v>
      </c>
      <c r="M1516" s="296">
        <v>1588.5800000000004</v>
      </c>
      <c r="N1516" s="297">
        <v>0.35491063449508498</v>
      </c>
    </row>
    <row r="1517" spans="1:14" ht="18" customHeight="1">
      <c r="A1517" s="293" t="s">
        <v>3119</v>
      </c>
      <c r="B1517" s="294">
        <v>46210</v>
      </c>
      <c r="C1517" s="286" t="s">
        <v>3773</v>
      </c>
      <c r="D1517" s="286" t="s">
        <v>100</v>
      </c>
      <c r="E1517" s="295">
        <v>4</v>
      </c>
      <c r="F1517" s="295">
        <v>6</v>
      </c>
      <c r="G1517" s="296">
        <v>0</v>
      </c>
      <c r="H1517" s="296">
        <v>6325</v>
      </c>
      <c r="I1517" s="296">
        <v>5612.2</v>
      </c>
      <c r="J1517" s="296">
        <v>5780.5659999999998</v>
      </c>
      <c r="K1517" s="296">
        <v>544.43399999999997</v>
      </c>
      <c r="L1517" s="296">
        <v>163.33020000000002</v>
      </c>
      <c r="M1517" s="296">
        <v>712.80000000000018</v>
      </c>
      <c r="N1517" s="297">
        <v>0.11269565217391307</v>
      </c>
    </row>
    <row r="1518" spans="1:14" ht="18" customHeight="1">
      <c r="A1518" s="293" t="s">
        <v>3120</v>
      </c>
      <c r="B1518" s="294">
        <v>46210</v>
      </c>
      <c r="C1518" s="286" t="s">
        <v>3773</v>
      </c>
      <c r="D1518" s="286" t="s">
        <v>102</v>
      </c>
      <c r="E1518" s="295">
        <v>7</v>
      </c>
      <c r="F1518" s="295">
        <v>7</v>
      </c>
      <c r="G1518" s="296">
        <v>0</v>
      </c>
      <c r="H1518" s="296">
        <v>8460</v>
      </c>
      <c r="I1518" s="296">
        <v>4540</v>
      </c>
      <c r="J1518" s="296">
        <v>4767</v>
      </c>
      <c r="K1518" s="296">
        <v>3693</v>
      </c>
      <c r="L1518" s="296">
        <v>1107.9000000000001</v>
      </c>
      <c r="M1518" s="296">
        <v>3920</v>
      </c>
      <c r="N1518" s="297">
        <v>0.46335697399527187</v>
      </c>
    </row>
    <row r="1519" spans="1:14" ht="18" customHeight="1">
      <c r="A1519" s="293" t="s">
        <v>3121</v>
      </c>
      <c r="B1519" s="294">
        <v>46210</v>
      </c>
      <c r="C1519" s="286" t="s">
        <v>353</v>
      </c>
      <c r="D1519" s="286" t="s">
        <v>108</v>
      </c>
      <c r="E1519" s="295">
        <v>1</v>
      </c>
      <c r="F1519" s="295">
        <v>1</v>
      </c>
      <c r="G1519" s="296">
        <v>0</v>
      </c>
      <c r="H1519" s="296">
        <v>2000</v>
      </c>
      <c r="I1519" s="296">
        <v>1350</v>
      </c>
      <c r="J1519" s="296">
        <v>1417.5</v>
      </c>
      <c r="K1519" s="296">
        <v>582.5</v>
      </c>
      <c r="L1519" s="296">
        <v>174.75</v>
      </c>
      <c r="M1519" s="296">
        <v>650</v>
      </c>
      <c r="N1519" s="297">
        <v>0.32500000000000001</v>
      </c>
    </row>
    <row r="1520" spans="1:14" ht="18" customHeight="1">
      <c r="A1520" s="293" t="s">
        <v>3122</v>
      </c>
      <c r="B1520" s="294">
        <v>46210</v>
      </c>
      <c r="C1520" s="286" t="s">
        <v>168</v>
      </c>
      <c r="D1520" s="286" t="s">
        <v>121</v>
      </c>
      <c r="E1520" s="295">
        <v>4</v>
      </c>
      <c r="F1520" s="295">
        <v>4</v>
      </c>
      <c r="G1520" s="296">
        <v>0</v>
      </c>
      <c r="H1520" s="296">
        <v>12880</v>
      </c>
      <c r="I1520" s="296">
        <v>9944</v>
      </c>
      <c r="J1520" s="296">
        <v>10441.200000000001</v>
      </c>
      <c r="K1520" s="296">
        <v>2438.7999999999993</v>
      </c>
      <c r="L1520" s="296">
        <v>0</v>
      </c>
      <c r="M1520" s="296">
        <v>2936</v>
      </c>
      <c r="N1520" s="297">
        <v>0.22795031055900622</v>
      </c>
    </row>
    <row r="1521" spans="1:14" ht="18" customHeight="1">
      <c r="A1521" s="293" t="s">
        <v>3123</v>
      </c>
      <c r="B1521" s="294">
        <v>46210</v>
      </c>
      <c r="C1521" s="286" t="s">
        <v>353</v>
      </c>
      <c r="D1521" s="286" t="s">
        <v>94</v>
      </c>
      <c r="E1521" s="295">
        <v>1</v>
      </c>
      <c r="F1521" s="295">
        <v>1</v>
      </c>
      <c r="G1521" s="296">
        <v>0</v>
      </c>
      <c r="H1521" s="296">
        <v>2100</v>
      </c>
      <c r="I1521" s="296">
        <v>1500</v>
      </c>
      <c r="J1521" s="296">
        <v>1575</v>
      </c>
      <c r="K1521" s="296">
        <v>525</v>
      </c>
      <c r="L1521" s="296">
        <v>157.5</v>
      </c>
      <c r="M1521" s="296">
        <v>600</v>
      </c>
      <c r="N1521" s="297">
        <v>0.2857142857142857</v>
      </c>
    </row>
    <row r="1522" spans="1:14" ht="18" customHeight="1">
      <c r="A1522" s="293" t="s">
        <v>3124</v>
      </c>
      <c r="B1522" s="294">
        <v>46210</v>
      </c>
      <c r="C1522" s="286" t="s">
        <v>168</v>
      </c>
      <c r="D1522" s="286" t="s">
        <v>115</v>
      </c>
      <c r="E1522" s="295">
        <v>3</v>
      </c>
      <c r="F1522" s="295">
        <v>3</v>
      </c>
      <c r="G1522" s="296">
        <v>0</v>
      </c>
      <c r="H1522" s="296">
        <v>5700</v>
      </c>
      <c r="I1522" s="296">
        <v>3650</v>
      </c>
      <c r="J1522" s="296">
        <v>3832.5</v>
      </c>
      <c r="K1522" s="296">
        <v>1867.5</v>
      </c>
      <c r="L1522" s="296">
        <v>0</v>
      </c>
      <c r="M1522" s="296">
        <v>2050</v>
      </c>
      <c r="N1522" s="297">
        <v>0.35964912280701755</v>
      </c>
    </row>
    <row r="1523" spans="1:14" ht="18" customHeight="1">
      <c r="A1523" s="293" t="s">
        <v>3125</v>
      </c>
      <c r="B1523" s="294">
        <v>46210</v>
      </c>
      <c r="C1523" s="286" t="s">
        <v>168</v>
      </c>
      <c r="D1523" s="286" t="s">
        <v>249</v>
      </c>
      <c r="E1523" s="295">
        <v>1</v>
      </c>
      <c r="F1523" s="295">
        <v>1</v>
      </c>
      <c r="G1523" s="296">
        <v>0</v>
      </c>
      <c r="H1523" s="296">
        <v>350</v>
      </c>
      <c r="I1523" s="296">
        <v>170</v>
      </c>
      <c r="J1523" s="296">
        <v>178.5</v>
      </c>
      <c r="K1523" s="296">
        <v>171.5</v>
      </c>
      <c r="L1523" s="296">
        <v>0</v>
      </c>
      <c r="M1523" s="296">
        <v>180</v>
      </c>
      <c r="N1523" s="297">
        <v>0.51428571428571423</v>
      </c>
    </row>
    <row r="1524" spans="1:14" ht="18" customHeight="1">
      <c r="A1524" s="293" t="s">
        <v>3126</v>
      </c>
      <c r="B1524" s="294">
        <v>46210</v>
      </c>
      <c r="C1524" s="286" t="s">
        <v>358</v>
      </c>
      <c r="D1524" s="286" t="s">
        <v>130</v>
      </c>
      <c r="E1524" s="295">
        <v>1</v>
      </c>
      <c r="F1524" s="295">
        <v>1</v>
      </c>
      <c r="G1524" s="296">
        <v>0</v>
      </c>
      <c r="H1524" s="296">
        <v>550</v>
      </c>
      <c r="I1524" s="296">
        <v>260</v>
      </c>
      <c r="J1524" s="296">
        <v>273</v>
      </c>
      <c r="K1524" s="296">
        <v>277</v>
      </c>
      <c r="L1524" s="296">
        <v>83.1</v>
      </c>
      <c r="M1524" s="296">
        <v>290</v>
      </c>
      <c r="N1524" s="297">
        <v>0.52727272727272723</v>
      </c>
    </row>
    <row r="1525" spans="1:14" ht="18" customHeight="1">
      <c r="A1525" s="293" t="s">
        <v>3127</v>
      </c>
      <c r="B1525" s="294">
        <v>46210</v>
      </c>
      <c r="C1525" s="286" t="s">
        <v>168</v>
      </c>
      <c r="D1525" s="286" t="s">
        <v>99</v>
      </c>
      <c r="E1525" s="295">
        <v>2</v>
      </c>
      <c r="F1525" s="295">
        <v>2</v>
      </c>
      <c r="G1525" s="296">
        <v>0</v>
      </c>
      <c r="H1525" s="296">
        <v>3950</v>
      </c>
      <c r="I1525" s="296">
        <v>2849</v>
      </c>
      <c r="J1525" s="296">
        <v>2957.4700000000003</v>
      </c>
      <c r="K1525" s="296">
        <v>992.53</v>
      </c>
      <c r="L1525" s="296">
        <v>0</v>
      </c>
      <c r="M1525" s="296">
        <v>1101</v>
      </c>
      <c r="N1525" s="297">
        <v>0.27873417721518989</v>
      </c>
    </row>
    <row r="1526" spans="1:14" ht="18" customHeight="1">
      <c r="A1526" s="293" t="s">
        <v>3128</v>
      </c>
      <c r="B1526" s="294">
        <v>46211</v>
      </c>
      <c r="C1526" s="286" t="s">
        <v>353</v>
      </c>
      <c r="D1526" s="286" t="s">
        <v>133</v>
      </c>
      <c r="E1526" s="295">
        <v>1</v>
      </c>
      <c r="F1526" s="295">
        <v>1</v>
      </c>
      <c r="G1526" s="296">
        <v>0</v>
      </c>
      <c r="H1526" s="296">
        <v>2000</v>
      </c>
      <c r="I1526" s="296">
        <v>1350</v>
      </c>
      <c r="J1526" s="296">
        <v>1417.5</v>
      </c>
      <c r="K1526" s="296">
        <v>582.5</v>
      </c>
      <c r="L1526" s="296">
        <v>174.75</v>
      </c>
      <c r="M1526" s="296">
        <v>650</v>
      </c>
      <c r="N1526" s="297">
        <v>0.32500000000000001</v>
      </c>
    </row>
    <row r="1527" spans="1:14" ht="18" customHeight="1">
      <c r="A1527" s="293" t="s">
        <v>3129</v>
      </c>
      <c r="B1527" s="294">
        <v>46211</v>
      </c>
      <c r="C1527" s="286" t="s">
        <v>3773</v>
      </c>
      <c r="D1527" s="286" t="s">
        <v>126</v>
      </c>
      <c r="E1527" s="295">
        <v>1</v>
      </c>
      <c r="F1527" s="295">
        <v>2</v>
      </c>
      <c r="G1527" s="296">
        <v>0</v>
      </c>
      <c r="H1527" s="296">
        <v>1200</v>
      </c>
      <c r="I1527" s="296">
        <v>640</v>
      </c>
      <c r="J1527" s="296">
        <v>672</v>
      </c>
      <c r="K1527" s="296">
        <v>528</v>
      </c>
      <c r="L1527" s="296">
        <v>158.4</v>
      </c>
      <c r="M1527" s="296">
        <v>560</v>
      </c>
      <c r="N1527" s="297">
        <v>0.46666666666666667</v>
      </c>
    </row>
    <row r="1528" spans="1:14" ht="18" customHeight="1">
      <c r="A1528" s="293" t="s">
        <v>3130</v>
      </c>
      <c r="B1528" s="294">
        <v>46211</v>
      </c>
      <c r="C1528" s="286" t="s">
        <v>168</v>
      </c>
      <c r="D1528" s="286" t="s">
        <v>113</v>
      </c>
      <c r="E1528" s="295">
        <v>1</v>
      </c>
      <c r="F1528" s="295">
        <v>1</v>
      </c>
      <c r="G1528" s="296">
        <v>0</v>
      </c>
      <c r="H1528" s="296">
        <v>1900</v>
      </c>
      <c r="I1528" s="296">
        <v>800</v>
      </c>
      <c r="J1528" s="296">
        <v>840</v>
      </c>
      <c r="K1528" s="296">
        <v>1060</v>
      </c>
      <c r="L1528" s="296">
        <v>0</v>
      </c>
      <c r="M1528" s="296">
        <v>1100</v>
      </c>
      <c r="N1528" s="297">
        <v>0.57894736842105265</v>
      </c>
    </row>
    <row r="1529" spans="1:14" ht="18" customHeight="1">
      <c r="A1529" s="293" t="s">
        <v>3131</v>
      </c>
      <c r="B1529" s="294">
        <v>46211</v>
      </c>
      <c r="C1529" s="286" t="s">
        <v>353</v>
      </c>
      <c r="D1529" s="286" t="s">
        <v>103</v>
      </c>
      <c r="E1529" s="295">
        <v>4</v>
      </c>
      <c r="F1529" s="295">
        <v>41</v>
      </c>
      <c r="G1529" s="296">
        <v>0</v>
      </c>
      <c r="H1529" s="296">
        <v>3000</v>
      </c>
      <c r="I1529" s="296">
        <v>1725</v>
      </c>
      <c r="J1529" s="296">
        <v>1811.25</v>
      </c>
      <c r="K1529" s="296">
        <v>1188.75</v>
      </c>
      <c r="L1529" s="296">
        <v>356.625</v>
      </c>
      <c r="M1529" s="296">
        <v>1275</v>
      </c>
      <c r="N1529" s="297">
        <v>0.42499999999999999</v>
      </c>
    </row>
    <row r="1530" spans="1:14" ht="18" customHeight="1">
      <c r="A1530" s="293" t="s">
        <v>3132</v>
      </c>
      <c r="B1530" s="294">
        <v>46211</v>
      </c>
      <c r="C1530" s="286" t="s">
        <v>168</v>
      </c>
      <c r="D1530" s="286" t="s">
        <v>96</v>
      </c>
      <c r="E1530" s="295">
        <v>2</v>
      </c>
      <c r="F1530" s="295">
        <v>2</v>
      </c>
      <c r="G1530" s="296">
        <v>0</v>
      </c>
      <c r="H1530" s="296">
        <v>820</v>
      </c>
      <c r="I1530" s="296">
        <v>360</v>
      </c>
      <c r="J1530" s="296">
        <v>375.5</v>
      </c>
      <c r="K1530" s="296">
        <v>444.5</v>
      </c>
      <c r="L1530" s="296">
        <v>0</v>
      </c>
      <c r="M1530" s="296">
        <v>460</v>
      </c>
      <c r="N1530" s="297">
        <v>0.56097560975609762</v>
      </c>
    </row>
    <row r="1531" spans="1:14" ht="18" customHeight="1">
      <c r="A1531" s="293" t="s">
        <v>3133</v>
      </c>
      <c r="B1531" s="294">
        <v>46211</v>
      </c>
      <c r="C1531" s="286" t="s">
        <v>168</v>
      </c>
      <c r="D1531" s="286" t="s">
        <v>115</v>
      </c>
      <c r="E1531" s="295">
        <v>3</v>
      </c>
      <c r="F1531" s="295">
        <v>16</v>
      </c>
      <c r="G1531" s="296">
        <v>0</v>
      </c>
      <c r="H1531" s="296">
        <v>990</v>
      </c>
      <c r="I1531" s="296">
        <v>490</v>
      </c>
      <c r="J1531" s="296">
        <v>514.5</v>
      </c>
      <c r="K1531" s="296">
        <v>475.5</v>
      </c>
      <c r="L1531" s="296">
        <v>0</v>
      </c>
      <c r="M1531" s="296">
        <v>500</v>
      </c>
      <c r="N1531" s="297">
        <v>0.50505050505050508</v>
      </c>
    </row>
    <row r="1532" spans="1:14" ht="18" customHeight="1">
      <c r="A1532" s="293" t="s">
        <v>3134</v>
      </c>
      <c r="B1532" s="294">
        <v>46211</v>
      </c>
      <c r="C1532" s="286" t="s">
        <v>168</v>
      </c>
      <c r="D1532" s="286" t="s">
        <v>124</v>
      </c>
      <c r="E1532" s="295">
        <v>1</v>
      </c>
      <c r="F1532" s="295">
        <v>1</v>
      </c>
      <c r="G1532" s="296">
        <v>0</v>
      </c>
      <c r="H1532" s="296">
        <v>2000</v>
      </c>
      <c r="I1532" s="296">
        <v>1300</v>
      </c>
      <c r="J1532" s="296">
        <v>1365</v>
      </c>
      <c r="K1532" s="296">
        <v>635</v>
      </c>
      <c r="L1532" s="296">
        <v>0</v>
      </c>
      <c r="M1532" s="296">
        <v>700</v>
      </c>
      <c r="N1532" s="297">
        <v>0.35</v>
      </c>
    </row>
    <row r="1533" spans="1:14" ht="18" customHeight="1">
      <c r="A1533" s="293" t="s">
        <v>3135</v>
      </c>
      <c r="B1533" s="294">
        <v>46211</v>
      </c>
      <c r="C1533" s="286" t="s">
        <v>168</v>
      </c>
      <c r="D1533" s="286" t="s">
        <v>250</v>
      </c>
      <c r="E1533" s="295">
        <v>1</v>
      </c>
      <c r="F1533" s="295">
        <v>1</v>
      </c>
      <c r="G1533" s="296">
        <v>0</v>
      </c>
      <c r="H1533" s="296">
        <v>8800</v>
      </c>
      <c r="I1533" s="296">
        <v>7684</v>
      </c>
      <c r="J1533" s="296">
        <v>8068.2000000000007</v>
      </c>
      <c r="K1533" s="296">
        <v>731.79999999999927</v>
      </c>
      <c r="L1533" s="296">
        <v>0</v>
      </c>
      <c r="M1533" s="296">
        <v>1116</v>
      </c>
      <c r="N1533" s="297">
        <v>0.12681818181818183</v>
      </c>
    </row>
    <row r="1534" spans="1:14" ht="18" customHeight="1">
      <c r="A1534" s="293" t="s">
        <v>3136</v>
      </c>
      <c r="B1534" s="294">
        <v>46211</v>
      </c>
      <c r="C1534" s="286" t="s">
        <v>168</v>
      </c>
      <c r="D1534" s="286" t="s">
        <v>99</v>
      </c>
      <c r="E1534" s="295">
        <v>18</v>
      </c>
      <c r="F1534" s="295">
        <v>46.2</v>
      </c>
      <c r="G1534" s="296">
        <v>0</v>
      </c>
      <c r="H1534" s="296">
        <v>11625</v>
      </c>
      <c r="I1534" s="296">
        <v>7452.2</v>
      </c>
      <c r="J1534" s="296">
        <v>7731.826</v>
      </c>
      <c r="K1534" s="296">
        <v>3893.174</v>
      </c>
      <c r="L1534" s="296">
        <v>0</v>
      </c>
      <c r="M1534" s="296">
        <v>4172.8</v>
      </c>
      <c r="N1534" s="297">
        <v>0.3589505376344086</v>
      </c>
    </row>
    <row r="1535" spans="1:14" ht="18" customHeight="1">
      <c r="A1535" s="293" t="s">
        <v>3137</v>
      </c>
      <c r="B1535" s="294">
        <v>46212</v>
      </c>
      <c r="C1535" s="286" t="s">
        <v>168</v>
      </c>
      <c r="D1535" s="286" t="s">
        <v>92</v>
      </c>
      <c r="E1535" s="295">
        <v>1</v>
      </c>
      <c r="F1535" s="295">
        <v>1</v>
      </c>
      <c r="G1535" s="296">
        <v>0</v>
      </c>
      <c r="H1535" s="296">
        <v>1800</v>
      </c>
      <c r="I1535" s="296">
        <v>1150</v>
      </c>
      <c r="J1535" s="296">
        <v>1207.5</v>
      </c>
      <c r="K1535" s="296">
        <v>592.5</v>
      </c>
      <c r="L1535" s="296">
        <v>0</v>
      </c>
      <c r="M1535" s="296">
        <v>650</v>
      </c>
      <c r="N1535" s="297">
        <v>0.3611111111111111</v>
      </c>
    </row>
    <row r="1536" spans="1:14" ht="18" customHeight="1">
      <c r="A1536" s="293" t="s">
        <v>3138</v>
      </c>
      <c r="B1536" s="294">
        <v>46212</v>
      </c>
      <c r="C1536" s="286" t="s">
        <v>168</v>
      </c>
      <c r="D1536" s="286" t="s">
        <v>227</v>
      </c>
      <c r="E1536" s="295">
        <v>2</v>
      </c>
      <c r="F1536" s="295">
        <v>2</v>
      </c>
      <c r="G1536" s="296">
        <v>0</v>
      </c>
      <c r="H1536" s="296">
        <v>4900</v>
      </c>
      <c r="I1536" s="296">
        <v>4347</v>
      </c>
      <c r="J1536" s="296">
        <v>4477.41</v>
      </c>
      <c r="K1536" s="296">
        <v>422.58999999999992</v>
      </c>
      <c r="L1536" s="296">
        <v>0</v>
      </c>
      <c r="M1536" s="296">
        <v>553</v>
      </c>
      <c r="N1536" s="297">
        <v>0.11285714285714285</v>
      </c>
    </row>
    <row r="1537" spans="1:14" ht="18" customHeight="1">
      <c r="A1537" s="293" t="s">
        <v>3139</v>
      </c>
      <c r="B1537" s="294">
        <v>46212</v>
      </c>
      <c r="C1537" s="286" t="s">
        <v>353</v>
      </c>
      <c r="D1537" s="286" t="s">
        <v>103</v>
      </c>
      <c r="E1537" s="295">
        <v>4</v>
      </c>
      <c r="F1537" s="295">
        <v>9</v>
      </c>
      <c r="G1537" s="296">
        <v>0</v>
      </c>
      <c r="H1537" s="296">
        <v>6120</v>
      </c>
      <c r="I1537" s="296">
        <v>2920</v>
      </c>
      <c r="J1537" s="296">
        <v>3066</v>
      </c>
      <c r="K1537" s="296">
        <v>3054</v>
      </c>
      <c r="L1537" s="296">
        <v>916.2</v>
      </c>
      <c r="M1537" s="296">
        <v>3200</v>
      </c>
      <c r="N1537" s="297">
        <v>0.52287581699346408</v>
      </c>
    </row>
    <row r="1538" spans="1:14" ht="18" customHeight="1">
      <c r="A1538" s="293" t="s">
        <v>3140</v>
      </c>
      <c r="B1538" s="294">
        <v>46212</v>
      </c>
      <c r="C1538" s="286" t="s">
        <v>359</v>
      </c>
      <c r="D1538" s="286" t="s">
        <v>114</v>
      </c>
      <c r="E1538" s="295">
        <v>2</v>
      </c>
      <c r="F1538" s="295">
        <v>2</v>
      </c>
      <c r="G1538" s="296">
        <v>0</v>
      </c>
      <c r="H1538" s="296">
        <v>3896</v>
      </c>
      <c r="I1538" s="296">
        <v>2800</v>
      </c>
      <c r="J1538" s="296">
        <v>2940</v>
      </c>
      <c r="K1538" s="296">
        <v>956</v>
      </c>
      <c r="L1538" s="296">
        <v>286.8</v>
      </c>
      <c r="M1538" s="296">
        <v>1096</v>
      </c>
      <c r="N1538" s="297">
        <v>0.28131416837782341</v>
      </c>
    </row>
    <row r="1539" spans="1:14" ht="18" customHeight="1">
      <c r="A1539" s="293" t="s">
        <v>3141</v>
      </c>
      <c r="B1539" s="294">
        <v>46212</v>
      </c>
      <c r="C1539" s="286" t="s">
        <v>168</v>
      </c>
      <c r="D1539" s="286" t="s">
        <v>221</v>
      </c>
      <c r="E1539" s="295">
        <v>1</v>
      </c>
      <c r="F1539" s="295">
        <v>1</v>
      </c>
      <c r="G1539" s="296">
        <v>0</v>
      </c>
      <c r="H1539" s="296">
        <v>1800</v>
      </c>
      <c r="I1539" s="296">
        <v>1100</v>
      </c>
      <c r="J1539" s="296">
        <v>1155</v>
      </c>
      <c r="K1539" s="296">
        <v>645</v>
      </c>
      <c r="L1539" s="296">
        <v>0</v>
      </c>
      <c r="M1539" s="296">
        <v>700</v>
      </c>
      <c r="N1539" s="297">
        <v>0.3888888888888889</v>
      </c>
    </row>
    <row r="1540" spans="1:14" ht="18" customHeight="1">
      <c r="A1540" s="293" t="s">
        <v>3142</v>
      </c>
      <c r="B1540" s="294">
        <v>46212</v>
      </c>
      <c r="C1540" s="286" t="s">
        <v>168</v>
      </c>
      <c r="D1540" s="286" t="s">
        <v>212</v>
      </c>
      <c r="E1540" s="295">
        <v>7</v>
      </c>
      <c r="F1540" s="295">
        <v>23</v>
      </c>
      <c r="G1540" s="296">
        <v>0</v>
      </c>
      <c r="H1540" s="296">
        <v>3230</v>
      </c>
      <c r="I1540" s="296">
        <v>1932</v>
      </c>
      <c r="J1540" s="296">
        <v>2028.6</v>
      </c>
      <c r="K1540" s="296">
        <v>1201.4000000000001</v>
      </c>
      <c r="L1540" s="296">
        <v>0</v>
      </c>
      <c r="M1540" s="296">
        <v>1298</v>
      </c>
      <c r="N1540" s="297">
        <v>0.40185758513931891</v>
      </c>
    </row>
    <row r="1541" spans="1:14" ht="18" customHeight="1">
      <c r="A1541" s="293" t="s">
        <v>3143</v>
      </c>
      <c r="B1541" s="294">
        <v>46212</v>
      </c>
      <c r="C1541" s="286" t="s">
        <v>168</v>
      </c>
      <c r="D1541" s="286" t="s">
        <v>96</v>
      </c>
      <c r="E1541" s="295">
        <v>1</v>
      </c>
      <c r="F1541" s="295">
        <v>1</v>
      </c>
      <c r="G1541" s="296">
        <v>0</v>
      </c>
      <c r="H1541" s="296">
        <v>250</v>
      </c>
      <c r="I1541" s="296">
        <v>90</v>
      </c>
      <c r="J1541" s="296">
        <v>94.5</v>
      </c>
      <c r="K1541" s="296">
        <v>155.5</v>
      </c>
      <c r="L1541" s="296">
        <v>0</v>
      </c>
      <c r="M1541" s="296">
        <v>160</v>
      </c>
      <c r="N1541" s="297">
        <v>0.64</v>
      </c>
    </row>
    <row r="1542" spans="1:14" ht="18" customHeight="1">
      <c r="A1542" s="293" t="s">
        <v>3144</v>
      </c>
      <c r="B1542" s="294">
        <v>46212</v>
      </c>
      <c r="C1542" s="286" t="s">
        <v>168</v>
      </c>
      <c r="D1542" s="286" t="s">
        <v>105</v>
      </c>
      <c r="E1542" s="295">
        <v>1</v>
      </c>
      <c r="F1542" s="295">
        <v>1</v>
      </c>
      <c r="G1542" s="296">
        <v>0</v>
      </c>
      <c r="H1542" s="296">
        <v>8800</v>
      </c>
      <c r="I1542" s="296">
        <v>7684</v>
      </c>
      <c r="J1542" s="296">
        <v>8068.2000000000007</v>
      </c>
      <c r="K1542" s="296">
        <v>731.79999999999927</v>
      </c>
      <c r="L1542" s="296">
        <v>0</v>
      </c>
      <c r="M1542" s="296">
        <v>1116</v>
      </c>
      <c r="N1542" s="297">
        <v>0.12681818181818183</v>
      </c>
    </row>
    <row r="1543" spans="1:14" ht="18" customHeight="1">
      <c r="A1543" s="293" t="s">
        <v>3145</v>
      </c>
      <c r="B1543" s="294">
        <v>46212</v>
      </c>
      <c r="C1543" s="286" t="s">
        <v>168</v>
      </c>
      <c r="D1543" s="286" t="s">
        <v>115</v>
      </c>
      <c r="E1543" s="295">
        <v>1</v>
      </c>
      <c r="F1543" s="295">
        <v>1</v>
      </c>
      <c r="G1543" s="296">
        <v>0</v>
      </c>
      <c r="H1543" s="296">
        <v>2100</v>
      </c>
      <c r="I1543" s="296">
        <v>1100</v>
      </c>
      <c r="J1543" s="296">
        <v>1155</v>
      </c>
      <c r="K1543" s="296">
        <v>945</v>
      </c>
      <c r="L1543" s="296">
        <v>0</v>
      </c>
      <c r="M1543" s="296">
        <v>1000</v>
      </c>
      <c r="N1543" s="297">
        <v>0.47619047619047616</v>
      </c>
    </row>
    <row r="1544" spans="1:14" ht="18" customHeight="1">
      <c r="A1544" s="293" t="s">
        <v>3146</v>
      </c>
      <c r="B1544" s="294">
        <v>46212</v>
      </c>
      <c r="C1544" s="286" t="s">
        <v>168</v>
      </c>
      <c r="D1544" s="286" t="s">
        <v>251</v>
      </c>
      <c r="E1544" s="295">
        <v>2</v>
      </c>
      <c r="F1544" s="295">
        <v>4</v>
      </c>
      <c r="G1544" s="296">
        <v>0</v>
      </c>
      <c r="H1544" s="296">
        <v>1160</v>
      </c>
      <c r="I1544" s="296">
        <v>710</v>
      </c>
      <c r="J1544" s="296">
        <v>731.30000000000007</v>
      </c>
      <c r="K1544" s="296">
        <v>428.69999999999993</v>
      </c>
      <c r="L1544" s="296">
        <v>0</v>
      </c>
      <c r="M1544" s="296">
        <v>450</v>
      </c>
      <c r="N1544" s="297">
        <v>0.38793103448275862</v>
      </c>
    </row>
    <row r="1545" spans="1:14" ht="18" customHeight="1">
      <c r="A1545" s="293" t="s">
        <v>3147</v>
      </c>
      <c r="B1545" s="294">
        <v>46212</v>
      </c>
      <c r="C1545" s="286" t="s">
        <v>3773</v>
      </c>
      <c r="D1545" s="286" t="s">
        <v>230</v>
      </c>
      <c r="E1545" s="295">
        <v>1</v>
      </c>
      <c r="F1545" s="295">
        <v>1</v>
      </c>
      <c r="G1545" s="296">
        <v>0</v>
      </c>
      <c r="H1545" s="296">
        <v>470</v>
      </c>
      <c r="I1545" s="296">
        <v>180</v>
      </c>
      <c r="J1545" s="296">
        <v>189</v>
      </c>
      <c r="K1545" s="296">
        <v>281</v>
      </c>
      <c r="L1545" s="296">
        <v>84.3</v>
      </c>
      <c r="M1545" s="296">
        <v>290</v>
      </c>
      <c r="N1545" s="297">
        <v>0.61702127659574468</v>
      </c>
    </row>
    <row r="1546" spans="1:14" ht="18" customHeight="1">
      <c r="A1546" s="293" t="s">
        <v>3148</v>
      </c>
      <c r="B1546" s="294">
        <v>46212</v>
      </c>
      <c r="C1546" s="286" t="s">
        <v>168</v>
      </c>
      <c r="D1546" s="286" t="s">
        <v>99</v>
      </c>
      <c r="E1546" s="295">
        <v>6</v>
      </c>
      <c r="F1546" s="295">
        <v>9.4</v>
      </c>
      <c r="G1546" s="296">
        <v>0</v>
      </c>
      <c r="H1546" s="296">
        <v>2839</v>
      </c>
      <c r="I1546" s="296">
        <v>2004.8</v>
      </c>
      <c r="J1546" s="296">
        <v>2074.1840000000002</v>
      </c>
      <c r="K1546" s="296">
        <v>764.81599999999992</v>
      </c>
      <c r="L1546" s="296">
        <v>0</v>
      </c>
      <c r="M1546" s="296">
        <v>834.2</v>
      </c>
      <c r="N1546" s="297">
        <v>0.29383585769637199</v>
      </c>
    </row>
    <row r="1547" spans="1:14" ht="18" customHeight="1">
      <c r="A1547" s="293" t="s">
        <v>3149</v>
      </c>
      <c r="B1547" s="294">
        <v>46213</v>
      </c>
      <c r="C1547" s="286" t="s">
        <v>168</v>
      </c>
      <c r="D1547" s="286" t="s">
        <v>252</v>
      </c>
      <c r="E1547" s="295">
        <v>1</v>
      </c>
      <c r="F1547" s="295">
        <v>1</v>
      </c>
      <c r="G1547" s="296">
        <v>0</v>
      </c>
      <c r="H1547" s="296">
        <v>470</v>
      </c>
      <c r="I1547" s="296">
        <v>190</v>
      </c>
      <c r="J1547" s="296">
        <v>199.5</v>
      </c>
      <c r="K1547" s="296">
        <v>270.5</v>
      </c>
      <c r="L1547" s="296">
        <v>0</v>
      </c>
      <c r="M1547" s="296">
        <v>280</v>
      </c>
      <c r="N1547" s="297">
        <v>0.5957446808510638</v>
      </c>
    </row>
    <row r="1548" spans="1:14" ht="18" customHeight="1">
      <c r="A1548" s="293" t="s">
        <v>3150</v>
      </c>
      <c r="B1548" s="294">
        <v>46213</v>
      </c>
      <c r="C1548" s="286" t="s">
        <v>3773</v>
      </c>
      <c r="D1548" s="286" t="s">
        <v>102</v>
      </c>
      <c r="E1548" s="295">
        <v>2</v>
      </c>
      <c r="F1548" s="295">
        <v>2</v>
      </c>
      <c r="G1548" s="296">
        <v>0</v>
      </c>
      <c r="H1548" s="296">
        <v>900</v>
      </c>
      <c r="I1548" s="296">
        <v>390</v>
      </c>
      <c r="J1548" s="296">
        <v>409.5</v>
      </c>
      <c r="K1548" s="296">
        <v>490.5</v>
      </c>
      <c r="L1548" s="296">
        <v>147.14999999999998</v>
      </c>
      <c r="M1548" s="296">
        <v>510</v>
      </c>
      <c r="N1548" s="297">
        <v>0.56666666666666665</v>
      </c>
    </row>
    <row r="1549" spans="1:14" ht="18" customHeight="1">
      <c r="A1549" s="293" t="s">
        <v>3151</v>
      </c>
      <c r="B1549" s="294">
        <v>46213</v>
      </c>
      <c r="C1549" s="286" t="s">
        <v>168</v>
      </c>
      <c r="D1549" s="286" t="s">
        <v>136</v>
      </c>
      <c r="E1549" s="295">
        <v>9</v>
      </c>
      <c r="F1549" s="295">
        <v>61.6</v>
      </c>
      <c r="G1549" s="296">
        <v>0</v>
      </c>
      <c r="H1549" s="296">
        <v>4776</v>
      </c>
      <c r="I1549" s="296">
        <v>3165.8</v>
      </c>
      <c r="J1549" s="296">
        <v>3279.8539999999998</v>
      </c>
      <c r="K1549" s="296">
        <v>1496.1459999999997</v>
      </c>
      <c r="L1549" s="296">
        <v>0</v>
      </c>
      <c r="M1549" s="296">
        <v>1610.1999999999998</v>
      </c>
      <c r="N1549" s="297">
        <v>0.33714405360133998</v>
      </c>
    </row>
    <row r="1550" spans="1:14" ht="18" customHeight="1">
      <c r="A1550" s="293" t="s">
        <v>3152</v>
      </c>
      <c r="B1550" s="294">
        <v>46213</v>
      </c>
      <c r="C1550" s="286" t="s">
        <v>353</v>
      </c>
      <c r="D1550" s="286" t="s">
        <v>108</v>
      </c>
      <c r="E1550" s="295">
        <v>1</v>
      </c>
      <c r="F1550" s="295">
        <v>1</v>
      </c>
      <c r="G1550" s="296">
        <v>0</v>
      </c>
      <c r="H1550" s="296">
        <v>8800</v>
      </c>
      <c r="I1550" s="296">
        <v>7684</v>
      </c>
      <c r="J1550" s="296">
        <v>8068.2000000000007</v>
      </c>
      <c r="K1550" s="296">
        <v>731.79999999999927</v>
      </c>
      <c r="L1550" s="296">
        <v>219.53999999999976</v>
      </c>
      <c r="M1550" s="296">
        <v>1116</v>
      </c>
      <c r="N1550" s="297">
        <v>0.12681818181818183</v>
      </c>
    </row>
    <row r="1551" spans="1:14" ht="18" customHeight="1">
      <c r="A1551" s="293" t="s">
        <v>3153</v>
      </c>
      <c r="B1551" s="294">
        <v>46213</v>
      </c>
      <c r="C1551" s="286" t="s">
        <v>358</v>
      </c>
      <c r="D1551" s="286" t="s">
        <v>253</v>
      </c>
      <c r="E1551" s="295">
        <v>7</v>
      </c>
      <c r="F1551" s="295">
        <v>14.2</v>
      </c>
      <c r="G1551" s="296">
        <v>0</v>
      </c>
      <c r="H1551" s="296">
        <v>1871</v>
      </c>
      <c r="I1551" s="296">
        <v>1314.52</v>
      </c>
      <c r="J1551" s="296">
        <v>1354.6676000000002</v>
      </c>
      <c r="K1551" s="296">
        <v>516.33239999999989</v>
      </c>
      <c r="L1551" s="296">
        <v>154.89971999999997</v>
      </c>
      <c r="M1551" s="296">
        <v>556.48</v>
      </c>
      <c r="N1551" s="297">
        <v>0.29742383752004276</v>
      </c>
    </row>
    <row r="1552" spans="1:14" ht="18" customHeight="1">
      <c r="A1552" s="293" t="s">
        <v>3154</v>
      </c>
      <c r="B1552" s="294">
        <v>46213</v>
      </c>
      <c r="C1552" s="286" t="s">
        <v>168</v>
      </c>
      <c r="D1552" s="286" t="s">
        <v>121</v>
      </c>
      <c r="E1552" s="295">
        <v>1</v>
      </c>
      <c r="F1552" s="295">
        <v>1</v>
      </c>
      <c r="G1552" s="296">
        <v>0</v>
      </c>
      <c r="H1552" s="296">
        <v>2000</v>
      </c>
      <c r="I1552" s="296">
        <v>1100</v>
      </c>
      <c r="J1552" s="296">
        <v>1155</v>
      </c>
      <c r="K1552" s="296">
        <v>845</v>
      </c>
      <c r="L1552" s="296">
        <v>0</v>
      </c>
      <c r="M1552" s="296">
        <v>900</v>
      </c>
      <c r="N1552" s="297">
        <v>0.45</v>
      </c>
    </row>
    <row r="1553" spans="1:14" ht="18" customHeight="1">
      <c r="A1553" s="293" t="s">
        <v>3155</v>
      </c>
      <c r="B1553" s="294">
        <v>46213</v>
      </c>
      <c r="C1553" s="286" t="s">
        <v>358</v>
      </c>
      <c r="D1553" s="286" t="s">
        <v>254</v>
      </c>
      <c r="E1553" s="295">
        <v>1</v>
      </c>
      <c r="F1553" s="295">
        <v>1</v>
      </c>
      <c r="G1553" s="296">
        <v>0</v>
      </c>
      <c r="H1553" s="296">
        <v>180</v>
      </c>
      <c r="I1553" s="296">
        <v>70</v>
      </c>
      <c r="J1553" s="296">
        <v>73.5</v>
      </c>
      <c r="K1553" s="296">
        <v>106.5</v>
      </c>
      <c r="L1553" s="296">
        <v>31.95</v>
      </c>
      <c r="M1553" s="296">
        <v>110</v>
      </c>
      <c r="N1553" s="297">
        <v>0.61111111111111116</v>
      </c>
    </row>
    <row r="1554" spans="1:14" ht="18" customHeight="1">
      <c r="A1554" s="293" t="s">
        <v>3156</v>
      </c>
      <c r="B1554" s="294">
        <v>46213</v>
      </c>
      <c r="C1554" s="286" t="s">
        <v>168</v>
      </c>
      <c r="D1554" s="286" t="s">
        <v>96</v>
      </c>
      <c r="E1554" s="295">
        <v>3</v>
      </c>
      <c r="F1554" s="295">
        <v>4</v>
      </c>
      <c r="G1554" s="296">
        <v>0</v>
      </c>
      <c r="H1554" s="296">
        <v>770</v>
      </c>
      <c r="I1554" s="296">
        <v>302</v>
      </c>
      <c r="J1554" s="296">
        <v>317.10000000000002</v>
      </c>
      <c r="K1554" s="296">
        <v>452.9</v>
      </c>
      <c r="L1554" s="296">
        <v>0</v>
      </c>
      <c r="M1554" s="296">
        <v>468</v>
      </c>
      <c r="N1554" s="297">
        <v>0.60779220779220777</v>
      </c>
    </row>
    <row r="1555" spans="1:14" ht="18" customHeight="1">
      <c r="A1555" s="293" t="s">
        <v>3157</v>
      </c>
      <c r="B1555" s="294">
        <v>46213</v>
      </c>
      <c r="C1555" s="286" t="s">
        <v>168</v>
      </c>
      <c r="D1555" s="286" t="s">
        <v>104</v>
      </c>
      <c r="E1555" s="295">
        <v>5</v>
      </c>
      <c r="F1555" s="295">
        <v>13</v>
      </c>
      <c r="G1555" s="296">
        <v>0</v>
      </c>
      <c r="H1555" s="296">
        <v>720</v>
      </c>
      <c r="I1555" s="296">
        <v>378.7</v>
      </c>
      <c r="J1555" s="296">
        <v>390.58100000000002</v>
      </c>
      <c r="K1555" s="296">
        <v>329.41899999999998</v>
      </c>
      <c r="L1555" s="296">
        <v>0</v>
      </c>
      <c r="M1555" s="296">
        <v>341.3</v>
      </c>
      <c r="N1555" s="297">
        <v>0.47402777777777777</v>
      </c>
    </row>
    <row r="1556" spans="1:14" ht="18" customHeight="1">
      <c r="A1556" s="293" t="s">
        <v>3158</v>
      </c>
      <c r="B1556" s="294">
        <v>46213</v>
      </c>
      <c r="C1556" s="286" t="s">
        <v>168</v>
      </c>
      <c r="D1556" s="286" t="s">
        <v>105</v>
      </c>
      <c r="E1556" s="295">
        <v>2</v>
      </c>
      <c r="F1556" s="295">
        <v>2</v>
      </c>
      <c r="G1556" s="296">
        <v>0</v>
      </c>
      <c r="H1556" s="296">
        <v>2650</v>
      </c>
      <c r="I1556" s="296">
        <v>1765</v>
      </c>
      <c r="J1556" s="296">
        <v>1853.25</v>
      </c>
      <c r="K1556" s="296">
        <v>796.75</v>
      </c>
      <c r="L1556" s="296">
        <v>0</v>
      </c>
      <c r="M1556" s="296">
        <v>885</v>
      </c>
      <c r="N1556" s="297">
        <v>0.33396226415094338</v>
      </c>
    </row>
    <row r="1557" spans="1:14" ht="18" customHeight="1">
      <c r="A1557" s="293" t="s">
        <v>3159</v>
      </c>
      <c r="B1557" s="294">
        <v>46213</v>
      </c>
      <c r="C1557" s="286" t="s">
        <v>168</v>
      </c>
      <c r="D1557" s="286" t="s">
        <v>115</v>
      </c>
      <c r="E1557" s="295">
        <v>3</v>
      </c>
      <c r="F1557" s="295">
        <v>11</v>
      </c>
      <c r="G1557" s="296">
        <v>0</v>
      </c>
      <c r="H1557" s="296">
        <v>486</v>
      </c>
      <c r="I1557" s="296">
        <v>221</v>
      </c>
      <c r="J1557" s="296">
        <v>232.05</v>
      </c>
      <c r="K1557" s="296">
        <v>253.95</v>
      </c>
      <c r="L1557" s="296">
        <v>0</v>
      </c>
      <c r="M1557" s="296">
        <v>265</v>
      </c>
      <c r="N1557" s="297">
        <v>0.54526748971193417</v>
      </c>
    </row>
    <row r="1558" spans="1:14" ht="18" customHeight="1">
      <c r="A1558" s="293" t="s">
        <v>3160</v>
      </c>
      <c r="B1558" s="294">
        <v>46213</v>
      </c>
      <c r="C1558" s="286" t="s">
        <v>168</v>
      </c>
      <c r="D1558" s="286" t="s">
        <v>128</v>
      </c>
      <c r="E1558" s="295">
        <v>1</v>
      </c>
      <c r="F1558" s="295">
        <v>1</v>
      </c>
      <c r="G1558" s="296">
        <v>0</v>
      </c>
      <c r="H1558" s="296">
        <v>1600</v>
      </c>
      <c r="I1558" s="296">
        <v>1050</v>
      </c>
      <c r="J1558" s="296">
        <v>1102.5</v>
      </c>
      <c r="K1558" s="296">
        <v>497.5</v>
      </c>
      <c r="L1558" s="296">
        <v>0</v>
      </c>
      <c r="M1558" s="296">
        <v>550</v>
      </c>
      <c r="N1558" s="297">
        <v>0.34375</v>
      </c>
    </row>
    <row r="1559" spans="1:14" ht="18" customHeight="1">
      <c r="A1559" s="293" t="s">
        <v>3161</v>
      </c>
      <c r="B1559" s="294">
        <v>46213</v>
      </c>
      <c r="C1559" s="286" t="s">
        <v>168</v>
      </c>
      <c r="D1559" s="286" t="s">
        <v>234</v>
      </c>
      <c r="E1559" s="295">
        <v>1</v>
      </c>
      <c r="F1559" s="295">
        <v>1</v>
      </c>
      <c r="G1559" s="296">
        <v>0</v>
      </c>
      <c r="H1559" s="296">
        <v>8800</v>
      </c>
      <c r="I1559" s="296">
        <v>7684</v>
      </c>
      <c r="J1559" s="296">
        <v>8068.2000000000007</v>
      </c>
      <c r="K1559" s="296">
        <v>731.79999999999927</v>
      </c>
      <c r="L1559" s="296">
        <v>0</v>
      </c>
      <c r="M1559" s="296">
        <v>1116</v>
      </c>
      <c r="N1559" s="297">
        <v>0.12681818181818183</v>
      </c>
    </row>
    <row r="1560" spans="1:14" ht="18" customHeight="1">
      <c r="A1560" s="293" t="s">
        <v>3162</v>
      </c>
      <c r="B1560" s="294">
        <v>46213</v>
      </c>
      <c r="C1560" s="286" t="s">
        <v>168</v>
      </c>
      <c r="D1560" s="286" t="s">
        <v>255</v>
      </c>
      <c r="E1560" s="295">
        <v>1</v>
      </c>
      <c r="F1560" s="295">
        <v>1</v>
      </c>
      <c r="G1560" s="296">
        <v>0</v>
      </c>
      <c r="H1560" s="296">
        <v>125</v>
      </c>
      <c r="I1560" s="296">
        <v>75</v>
      </c>
      <c r="J1560" s="296">
        <v>77.25</v>
      </c>
      <c r="K1560" s="296">
        <v>47.75</v>
      </c>
      <c r="L1560" s="296">
        <v>0</v>
      </c>
      <c r="M1560" s="296">
        <v>50</v>
      </c>
      <c r="N1560" s="297">
        <v>0.4</v>
      </c>
    </row>
    <row r="1561" spans="1:14" ht="18" customHeight="1">
      <c r="A1561" s="293" t="s">
        <v>3163</v>
      </c>
      <c r="B1561" s="294">
        <v>46213</v>
      </c>
      <c r="C1561" s="286" t="s">
        <v>168</v>
      </c>
      <c r="D1561" s="286" t="s">
        <v>256</v>
      </c>
      <c r="E1561" s="295">
        <v>4</v>
      </c>
      <c r="F1561" s="295">
        <v>10.4</v>
      </c>
      <c r="G1561" s="296">
        <v>0</v>
      </c>
      <c r="H1561" s="296">
        <v>3880</v>
      </c>
      <c r="I1561" s="296">
        <v>2705.2</v>
      </c>
      <c r="J1561" s="296">
        <v>2812.3560000000002</v>
      </c>
      <c r="K1561" s="296">
        <v>1067.6439999999998</v>
      </c>
      <c r="L1561" s="296">
        <v>0</v>
      </c>
      <c r="M1561" s="296">
        <v>1174.8000000000002</v>
      </c>
      <c r="N1561" s="297">
        <v>0.3027835051546392</v>
      </c>
    </row>
    <row r="1562" spans="1:14" ht="18" customHeight="1">
      <c r="A1562" s="293" t="s">
        <v>3164</v>
      </c>
      <c r="B1562" s="294">
        <v>46213</v>
      </c>
      <c r="C1562" s="286" t="s">
        <v>168</v>
      </c>
      <c r="D1562" s="286" t="s">
        <v>248</v>
      </c>
      <c r="E1562" s="295">
        <v>1</v>
      </c>
      <c r="F1562" s="295">
        <v>2</v>
      </c>
      <c r="G1562" s="296">
        <v>0</v>
      </c>
      <c r="H1562" s="296">
        <v>70</v>
      </c>
      <c r="I1562" s="296">
        <v>42</v>
      </c>
      <c r="J1562" s="296">
        <v>43.26</v>
      </c>
      <c r="K1562" s="296">
        <v>26.740000000000002</v>
      </c>
      <c r="L1562" s="296">
        <v>0</v>
      </c>
      <c r="M1562" s="296">
        <v>28</v>
      </c>
      <c r="N1562" s="297">
        <v>0.4</v>
      </c>
    </row>
    <row r="1563" spans="1:14" ht="18" customHeight="1">
      <c r="A1563" s="293" t="s">
        <v>3165</v>
      </c>
      <c r="B1563" s="294">
        <v>46213</v>
      </c>
      <c r="C1563" s="286" t="s">
        <v>168</v>
      </c>
      <c r="D1563" s="286" t="s">
        <v>99</v>
      </c>
      <c r="E1563" s="295">
        <v>2</v>
      </c>
      <c r="F1563" s="295">
        <v>3</v>
      </c>
      <c r="G1563" s="296">
        <v>0</v>
      </c>
      <c r="H1563" s="296">
        <v>500</v>
      </c>
      <c r="I1563" s="296">
        <v>200</v>
      </c>
      <c r="J1563" s="296">
        <v>210</v>
      </c>
      <c r="K1563" s="296">
        <v>290</v>
      </c>
      <c r="L1563" s="296">
        <v>0</v>
      </c>
      <c r="M1563" s="296">
        <v>300</v>
      </c>
      <c r="N1563" s="297">
        <v>0.6</v>
      </c>
    </row>
    <row r="1564" spans="1:14" ht="18" customHeight="1">
      <c r="A1564" s="293" t="s">
        <v>3166</v>
      </c>
      <c r="B1564" s="294">
        <v>46214</v>
      </c>
      <c r="C1564" s="286" t="s">
        <v>3773</v>
      </c>
      <c r="D1564" s="286" t="s">
        <v>100</v>
      </c>
      <c r="E1564" s="295">
        <v>3</v>
      </c>
      <c r="F1564" s="295">
        <v>4</v>
      </c>
      <c r="G1564" s="296">
        <v>0</v>
      </c>
      <c r="H1564" s="296">
        <v>1720</v>
      </c>
      <c r="I1564" s="296">
        <v>755</v>
      </c>
      <c r="J1564" s="296">
        <v>792.75</v>
      </c>
      <c r="K1564" s="296">
        <v>927.25</v>
      </c>
      <c r="L1564" s="296">
        <v>278.17499999999995</v>
      </c>
      <c r="M1564" s="296">
        <v>965</v>
      </c>
      <c r="N1564" s="297">
        <v>0.56104651162790697</v>
      </c>
    </row>
    <row r="1565" spans="1:14" ht="18" customHeight="1">
      <c r="A1565" s="293" t="s">
        <v>3167</v>
      </c>
      <c r="B1565" s="294">
        <v>46214</v>
      </c>
      <c r="C1565" s="286" t="s">
        <v>353</v>
      </c>
      <c r="D1565" s="286" t="s">
        <v>108</v>
      </c>
      <c r="E1565" s="295">
        <v>1</v>
      </c>
      <c r="F1565" s="295">
        <v>1</v>
      </c>
      <c r="G1565" s="296">
        <v>0</v>
      </c>
      <c r="H1565" s="296">
        <v>1900</v>
      </c>
      <c r="I1565" s="296">
        <v>1250</v>
      </c>
      <c r="J1565" s="296">
        <v>1312.5</v>
      </c>
      <c r="K1565" s="296">
        <v>587.5</v>
      </c>
      <c r="L1565" s="296">
        <v>176.25</v>
      </c>
      <c r="M1565" s="296">
        <v>650</v>
      </c>
      <c r="N1565" s="297">
        <v>0.34210526315789475</v>
      </c>
    </row>
    <row r="1566" spans="1:14" ht="18" customHeight="1">
      <c r="A1566" s="293" t="s">
        <v>3168</v>
      </c>
      <c r="B1566" s="294">
        <v>46214</v>
      </c>
      <c r="C1566" s="286" t="s">
        <v>168</v>
      </c>
      <c r="D1566" s="286" t="s">
        <v>92</v>
      </c>
      <c r="E1566" s="295">
        <v>1</v>
      </c>
      <c r="F1566" s="295">
        <v>1</v>
      </c>
      <c r="G1566" s="296">
        <v>0</v>
      </c>
      <c r="H1566" s="296">
        <v>8800</v>
      </c>
      <c r="I1566" s="296">
        <v>7684</v>
      </c>
      <c r="J1566" s="296">
        <v>8068.2000000000007</v>
      </c>
      <c r="K1566" s="296">
        <v>731.79999999999927</v>
      </c>
      <c r="L1566" s="296">
        <v>0</v>
      </c>
      <c r="M1566" s="296">
        <v>1116</v>
      </c>
      <c r="N1566" s="297">
        <v>0.12681818181818183</v>
      </c>
    </row>
    <row r="1567" spans="1:14" ht="18" customHeight="1">
      <c r="A1567" s="293" t="s">
        <v>3169</v>
      </c>
      <c r="B1567" s="294">
        <v>46214</v>
      </c>
      <c r="C1567" s="286" t="s">
        <v>353</v>
      </c>
      <c r="D1567" s="286" t="s">
        <v>94</v>
      </c>
      <c r="E1567" s="295">
        <v>9</v>
      </c>
      <c r="F1567" s="295">
        <v>14</v>
      </c>
      <c r="G1567" s="296">
        <v>0</v>
      </c>
      <c r="H1567" s="296">
        <v>9036</v>
      </c>
      <c r="I1567" s="296">
        <v>4685</v>
      </c>
      <c r="J1567" s="296">
        <v>4919.25</v>
      </c>
      <c r="K1567" s="296">
        <v>4116.75</v>
      </c>
      <c r="L1567" s="296">
        <v>1235.0249999999996</v>
      </c>
      <c r="M1567" s="296">
        <v>4351</v>
      </c>
      <c r="N1567" s="297">
        <v>0.48151837096060202</v>
      </c>
    </row>
    <row r="1568" spans="1:14" ht="18" customHeight="1">
      <c r="A1568" s="293" t="s">
        <v>3170</v>
      </c>
      <c r="B1568" s="294">
        <v>46214</v>
      </c>
      <c r="C1568" s="286" t="s">
        <v>168</v>
      </c>
      <c r="D1568" s="286" t="s">
        <v>162</v>
      </c>
      <c r="E1568" s="295">
        <v>1</v>
      </c>
      <c r="F1568" s="295">
        <v>1</v>
      </c>
      <c r="G1568" s="296">
        <v>0</v>
      </c>
      <c r="H1568" s="296">
        <v>650</v>
      </c>
      <c r="I1568" s="296">
        <v>280</v>
      </c>
      <c r="J1568" s="296">
        <v>294</v>
      </c>
      <c r="K1568" s="296">
        <v>356</v>
      </c>
      <c r="L1568" s="296">
        <v>0</v>
      </c>
      <c r="M1568" s="296">
        <v>370</v>
      </c>
      <c r="N1568" s="297">
        <v>0.56923076923076921</v>
      </c>
    </row>
    <row r="1569" spans="1:14" ht="18" customHeight="1">
      <c r="A1569" s="293" t="s">
        <v>3171</v>
      </c>
      <c r="B1569" s="294">
        <v>46214</v>
      </c>
      <c r="C1569" s="286" t="s">
        <v>168</v>
      </c>
      <c r="D1569" s="286" t="s">
        <v>96</v>
      </c>
      <c r="E1569" s="295">
        <v>3</v>
      </c>
      <c r="F1569" s="295">
        <v>3</v>
      </c>
      <c r="G1569" s="296">
        <v>0</v>
      </c>
      <c r="H1569" s="296">
        <v>1060</v>
      </c>
      <c r="I1569" s="296">
        <v>485</v>
      </c>
      <c r="J1569" s="296">
        <v>509.25</v>
      </c>
      <c r="K1569" s="296">
        <v>550.75</v>
      </c>
      <c r="L1569" s="296">
        <v>0</v>
      </c>
      <c r="M1569" s="296">
        <v>575</v>
      </c>
      <c r="N1569" s="297">
        <v>0.54245283018867929</v>
      </c>
    </row>
    <row r="1570" spans="1:14" ht="18" customHeight="1">
      <c r="A1570" s="293" t="s">
        <v>3172</v>
      </c>
      <c r="B1570" s="294">
        <v>46214</v>
      </c>
      <c r="C1570" s="286" t="s">
        <v>168</v>
      </c>
      <c r="D1570" s="286" t="s">
        <v>115</v>
      </c>
      <c r="E1570" s="295">
        <v>2</v>
      </c>
      <c r="F1570" s="295">
        <v>2</v>
      </c>
      <c r="G1570" s="296">
        <v>0</v>
      </c>
      <c r="H1570" s="296">
        <v>10800</v>
      </c>
      <c r="I1570" s="296">
        <v>8584</v>
      </c>
      <c r="J1570" s="296">
        <v>9013.2000000000007</v>
      </c>
      <c r="K1570" s="296">
        <v>1786.7999999999993</v>
      </c>
      <c r="L1570" s="296">
        <v>0</v>
      </c>
      <c r="M1570" s="296">
        <v>2216</v>
      </c>
      <c r="N1570" s="297">
        <v>0.20518518518518519</v>
      </c>
    </row>
    <row r="1571" spans="1:14" ht="18" customHeight="1">
      <c r="A1571" s="293" t="s">
        <v>3173</v>
      </c>
      <c r="B1571" s="294">
        <v>46214</v>
      </c>
      <c r="C1571" s="286" t="s">
        <v>168</v>
      </c>
      <c r="D1571" s="286" t="s">
        <v>128</v>
      </c>
      <c r="E1571" s="295">
        <v>1</v>
      </c>
      <c r="F1571" s="295">
        <v>1</v>
      </c>
      <c r="G1571" s="296">
        <v>0</v>
      </c>
      <c r="H1571" s="296">
        <v>2250</v>
      </c>
      <c r="I1571" s="296">
        <v>1500</v>
      </c>
      <c r="J1571" s="296">
        <v>1575</v>
      </c>
      <c r="K1571" s="296">
        <v>675</v>
      </c>
      <c r="L1571" s="296">
        <v>0</v>
      </c>
      <c r="M1571" s="296">
        <v>750</v>
      </c>
      <c r="N1571" s="297">
        <v>0.33333333333333331</v>
      </c>
    </row>
    <row r="1572" spans="1:14" ht="18" customHeight="1">
      <c r="A1572" s="293" t="s">
        <v>3174</v>
      </c>
      <c r="B1572" s="294">
        <v>46214</v>
      </c>
      <c r="C1572" s="286" t="s">
        <v>168</v>
      </c>
      <c r="D1572" s="286" t="s">
        <v>99</v>
      </c>
      <c r="E1572" s="295">
        <v>1</v>
      </c>
      <c r="F1572" s="295">
        <v>1</v>
      </c>
      <c r="G1572" s="296">
        <v>0</v>
      </c>
      <c r="H1572" s="296">
        <v>125</v>
      </c>
      <c r="I1572" s="296">
        <v>75</v>
      </c>
      <c r="J1572" s="296">
        <v>77.25</v>
      </c>
      <c r="K1572" s="296">
        <v>47.75</v>
      </c>
      <c r="L1572" s="296">
        <v>0</v>
      </c>
      <c r="M1572" s="296">
        <v>50</v>
      </c>
      <c r="N1572" s="297">
        <v>0.4</v>
      </c>
    </row>
    <row r="1573" spans="1:14" ht="18" customHeight="1">
      <c r="A1573" s="293" t="s">
        <v>3175</v>
      </c>
      <c r="B1573" s="294">
        <v>46214</v>
      </c>
      <c r="C1573" s="286" t="s">
        <v>168</v>
      </c>
      <c r="D1573" s="286" t="s">
        <v>239</v>
      </c>
      <c r="E1573" s="295">
        <v>2</v>
      </c>
      <c r="F1573" s="295">
        <v>11</v>
      </c>
      <c r="G1573" s="296">
        <v>0</v>
      </c>
      <c r="H1573" s="296">
        <v>225</v>
      </c>
      <c r="I1573" s="296">
        <v>85</v>
      </c>
      <c r="J1573" s="296">
        <v>89.25</v>
      </c>
      <c r="K1573" s="296">
        <v>135.75</v>
      </c>
      <c r="L1573" s="296">
        <v>0</v>
      </c>
      <c r="M1573" s="296">
        <v>140</v>
      </c>
      <c r="N1573" s="297">
        <v>0.62222222222222223</v>
      </c>
    </row>
    <row r="1574" spans="1:14" ht="18" customHeight="1">
      <c r="A1574" s="293" t="s">
        <v>3176</v>
      </c>
      <c r="B1574" s="294">
        <v>46216</v>
      </c>
      <c r="C1574" s="286" t="s">
        <v>3773</v>
      </c>
      <c r="D1574" s="286" t="s">
        <v>100</v>
      </c>
      <c r="E1574" s="295">
        <v>8</v>
      </c>
      <c r="F1574" s="295">
        <v>29.8</v>
      </c>
      <c r="G1574" s="296">
        <v>0</v>
      </c>
      <c r="H1574" s="296">
        <v>4508</v>
      </c>
      <c r="I1574" s="296">
        <v>3024.6</v>
      </c>
      <c r="J1574" s="296">
        <v>3122.2500000000005</v>
      </c>
      <c r="K1574" s="296">
        <v>1385.7499999999998</v>
      </c>
      <c r="L1574" s="296">
        <v>415.72499999999991</v>
      </c>
      <c r="M1574" s="296">
        <v>1483.4</v>
      </c>
      <c r="N1574" s="297">
        <v>0.32905944986690333</v>
      </c>
    </row>
    <row r="1575" spans="1:14" ht="18" customHeight="1">
      <c r="A1575" s="293" t="s">
        <v>3177</v>
      </c>
      <c r="B1575" s="294">
        <v>46216</v>
      </c>
      <c r="C1575" s="286" t="s">
        <v>348</v>
      </c>
      <c r="D1575" s="286" t="s">
        <v>247</v>
      </c>
      <c r="E1575" s="295">
        <v>2</v>
      </c>
      <c r="F1575" s="295">
        <v>2</v>
      </c>
      <c r="G1575" s="296">
        <v>0</v>
      </c>
      <c r="H1575" s="296">
        <v>3751</v>
      </c>
      <c r="I1575" s="296">
        <v>2160</v>
      </c>
      <c r="J1575" s="296">
        <v>2268</v>
      </c>
      <c r="K1575" s="296">
        <v>1483</v>
      </c>
      <c r="L1575" s="296">
        <v>444.9</v>
      </c>
      <c r="M1575" s="296">
        <v>1591</v>
      </c>
      <c r="N1575" s="297">
        <v>0.42415355905091978</v>
      </c>
    </row>
    <row r="1576" spans="1:14" ht="18" customHeight="1">
      <c r="A1576" s="293" t="s">
        <v>3178</v>
      </c>
      <c r="B1576" s="294">
        <v>46216</v>
      </c>
      <c r="C1576" s="286" t="s">
        <v>3773</v>
      </c>
      <c r="D1576" s="286" t="s">
        <v>102</v>
      </c>
      <c r="E1576" s="295">
        <v>4</v>
      </c>
      <c r="F1576" s="295">
        <v>4</v>
      </c>
      <c r="G1576" s="296">
        <v>0</v>
      </c>
      <c r="H1576" s="296">
        <v>3280</v>
      </c>
      <c r="I1576" s="296">
        <v>1860</v>
      </c>
      <c r="J1576" s="296">
        <v>1953</v>
      </c>
      <c r="K1576" s="296">
        <v>1327</v>
      </c>
      <c r="L1576" s="296">
        <v>398.1</v>
      </c>
      <c r="M1576" s="296">
        <v>1420</v>
      </c>
      <c r="N1576" s="297">
        <v>0.43292682926829268</v>
      </c>
    </row>
    <row r="1577" spans="1:14" ht="18" customHeight="1">
      <c r="A1577" s="293" t="s">
        <v>3179</v>
      </c>
      <c r="B1577" s="294">
        <v>46216</v>
      </c>
      <c r="C1577" s="286" t="s">
        <v>168</v>
      </c>
      <c r="D1577" s="286" t="s">
        <v>92</v>
      </c>
      <c r="E1577" s="295">
        <v>2</v>
      </c>
      <c r="F1577" s="295">
        <v>2</v>
      </c>
      <c r="G1577" s="296">
        <v>0</v>
      </c>
      <c r="H1577" s="296">
        <v>3900</v>
      </c>
      <c r="I1577" s="296">
        <v>2250</v>
      </c>
      <c r="J1577" s="296">
        <v>2362.5</v>
      </c>
      <c r="K1577" s="296">
        <v>1537.5</v>
      </c>
      <c r="L1577" s="296">
        <v>0</v>
      </c>
      <c r="M1577" s="296">
        <v>1650</v>
      </c>
      <c r="N1577" s="297">
        <v>0.42307692307692307</v>
      </c>
    </row>
    <row r="1578" spans="1:14" ht="18" customHeight="1">
      <c r="A1578" s="293" t="s">
        <v>3180</v>
      </c>
      <c r="B1578" s="294">
        <v>46216</v>
      </c>
      <c r="C1578" s="286" t="s">
        <v>353</v>
      </c>
      <c r="D1578" s="286" t="s">
        <v>103</v>
      </c>
      <c r="E1578" s="295">
        <v>2</v>
      </c>
      <c r="F1578" s="295">
        <v>3</v>
      </c>
      <c r="G1578" s="296">
        <v>0</v>
      </c>
      <c r="H1578" s="296">
        <v>3300</v>
      </c>
      <c r="I1578" s="296">
        <v>2400</v>
      </c>
      <c r="J1578" s="296">
        <v>2520</v>
      </c>
      <c r="K1578" s="296">
        <v>780</v>
      </c>
      <c r="L1578" s="296">
        <v>234</v>
      </c>
      <c r="M1578" s="296">
        <v>900</v>
      </c>
      <c r="N1578" s="297">
        <v>0.27272727272727271</v>
      </c>
    </row>
    <row r="1579" spans="1:14" ht="18" customHeight="1">
      <c r="A1579" s="293" t="s">
        <v>3181</v>
      </c>
      <c r="B1579" s="294">
        <v>46216</v>
      </c>
      <c r="C1579" s="286" t="s">
        <v>358</v>
      </c>
      <c r="D1579" s="286" t="s">
        <v>98</v>
      </c>
      <c r="E1579" s="295">
        <v>3</v>
      </c>
      <c r="F1579" s="295">
        <v>3</v>
      </c>
      <c r="G1579" s="296">
        <v>0</v>
      </c>
      <c r="H1579" s="296">
        <v>9490</v>
      </c>
      <c r="I1579" s="296">
        <v>8144</v>
      </c>
      <c r="J1579" s="296">
        <v>8544.6</v>
      </c>
      <c r="K1579" s="296">
        <v>945.39999999999918</v>
      </c>
      <c r="L1579" s="296">
        <v>283.61999999999972</v>
      </c>
      <c r="M1579" s="296">
        <v>1346</v>
      </c>
      <c r="N1579" s="297">
        <v>0.14183350895679664</v>
      </c>
    </row>
    <row r="1580" spans="1:14" ht="18" customHeight="1">
      <c r="A1580" s="293" t="s">
        <v>3182</v>
      </c>
      <c r="B1580" s="294">
        <v>46217</v>
      </c>
      <c r="C1580" s="286" t="s">
        <v>3773</v>
      </c>
      <c r="D1580" s="286" t="s">
        <v>102</v>
      </c>
      <c r="E1580" s="295">
        <v>5</v>
      </c>
      <c r="F1580" s="295">
        <v>5</v>
      </c>
      <c r="G1580" s="296">
        <v>0</v>
      </c>
      <c r="H1580" s="296">
        <v>3810</v>
      </c>
      <c r="I1580" s="296">
        <v>1660</v>
      </c>
      <c r="J1580" s="296">
        <v>1743</v>
      </c>
      <c r="K1580" s="296">
        <v>2067</v>
      </c>
      <c r="L1580" s="296">
        <v>620.1</v>
      </c>
      <c r="M1580" s="296">
        <v>2150</v>
      </c>
      <c r="N1580" s="297">
        <v>0.56430446194225725</v>
      </c>
    </row>
    <row r="1581" spans="1:14" ht="18" customHeight="1">
      <c r="A1581" s="293" t="s">
        <v>3183</v>
      </c>
      <c r="B1581" s="294">
        <v>46217</v>
      </c>
      <c r="C1581" s="286" t="s">
        <v>359</v>
      </c>
      <c r="D1581" s="286" t="s">
        <v>114</v>
      </c>
      <c r="E1581" s="295">
        <v>3</v>
      </c>
      <c r="F1581" s="295">
        <v>13</v>
      </c>
      <c r="G1581" s="296">
        <v>0</v>
      </c>
      <c r="H1581" s="296">
        <v>2060</v>
      </c>
      <c r="I1581" s="296">
        <v>1138</v>
      </c>
      <c r="J1581" s="296">
        <v>1194.9000000000001</v>
      </c>
      <c r="K1581" s="296">
        <v>865.1</v>
      </c>
      <c r="L1581" s="296">
        <v>259.52999999999997</v>
      </c>
      <c r="M1581" s="296">
        <v>922</v>
      </c>
      <c r="N1581" s="297">
        <v>0.44757281553398059</v>
      </c>
    </row>
    <row r="1582" spans="1:14" ht="18" customHeight="1">
      <c r="A1582" s="293" t="s">
        <v>3184</v>
      </c>
      <c r="B1582" s="294">
        <v>46217</v>
      </c>
      <c r="C1582" s="286" t="s">
        <v>168</v>
      </c>
      <c r="D1582" s="286" t="s">
        <v>96</v>
      </c>
      <c r="E1582" s="295">
        <v>2</v>
      </c>
      <c r="F1582" s="295">
        <v>2</v>
      </c>
      <c r="G1582" s="296">
        <v>0</v>
      </c>
      <c r="H1582" s="296">
        <v>730</v>
      </c>
      <c r="I1582" s="296">
        <v>272</v>
      </c>
      <c r="J1582" s="296">
        <v>285.60000000000002</v>
      </c>
      <c r="K1582" s="296">
        <v>444.4</v>
      </c>
      <c r="L1582" s="296">
        <v>0</v>
      </c>
      <c r="M1582" s="296">
        <v>458</v>
      </c>
      <c r="N1582" s="297">
        <v>0.62739726027397258</v>
      </c>
    </row>
    <row r="1583" spans="1:14" ht="18" customHeight="1">
      <c r="A1583" s="293" t="s">
        <v>3185</v>
      </c>
      <c r="B1583" s="294">
        <v>46217</v>
      </c>
      <c r="C1583" s="286" t="s">
        <v>168</v>
      </c>
      <c r="D1583" s="286" t="s">
        <v>115</v>
      </c>
      <c r="E1583" s="295">
        <v>4</v>
      </c>
      <c r="F1583" s="295">
        <v>7</v>
      </c>
      <c r="G1583" s="296">
        <v>0</v>
      </c>
      <c r="H1583" s="296">
        <v>2230</v>
      </c>
      <c r="I1583" s="296">
        <v>1200</v>
      </c>
      <c r="J1583" s="296">
        <v>1260</v>
      </c>
      <c r="K1583" s="296">
        <v>970</v>
      </c>
      <c r="L1583" s="296">
        <v>0</v>
      </c>
      <c r="M1583" s="296">
        <v>1030</v>
      </c>
      <c r="N1583" s="297">
        <v>0.46188340807174888</v>
      </c>
    </row>
    <row r="1584" spans="1:14" ht="18" customHeight="1">
      <c r="A1584" s="293" t="s">
        <v>3186</v>
      </c>
      <c r="B1584" s="294">
        <v>46217</v>
      </c>
      <c r="C1584" s="286" t="s">
        <v>168</v>
      </c>
      <c r="D1584" s="286" t="s">
        <v>117</v>
      </c>
      <c r="E1584" s="295">
        <v>5</v>
      </c>
      <c r="F1584" s="295">
        <v>9.4</v>
      </c>
      <c r="G1584" s="296">
        <v>0</v>
      </c>
      <c r="H1584" s="296">
        <v>1501</v>
      </c>
      <c r="I1584" s="296">
        <v>1022.4000000000001</v>
      </c>
      <c r="J1584" s="296">
        <v>1053.9620000000002</v>
      </c>
      <c r="K1584" s="296">
        <v>447.0379999999999</v>
      </c>
      <c r="L1584" s="296">
        <v>0</v>
      </c>
      <c r="M1584" s="296">
        <v>478.59999999999991</v>
      </c>
      <c r="N1584" s="297">
        <v>0.31885409726848762</v>
      </c>
    </row>
    <row r="1585" spans="1:14" ht="18" customHeight="1">
      <c r="A1585" s="293" t="s">
        <v>3187</v>
      </c>
      <c r="B1585" s="294">
        <v>46217</v>
      </c>
      <c r="C1585" s="286" t="s">
        <v>168</v>
      </c>
      <c r="D1585" s="286" t="s">
        <v>99</v>
      </c>
      <c r="E1585" s="295">
        <v>2</v>
      </c>
      <c r="F1585" s="295">
        <v>3</v>
      </c>
      <c r="G1585" s="296">
        <v>0</v>
      </c>
      <c r="H1585" s="296">
        <v>2650</v>
      </c>
      <c r="I1585" s="296">
        <v>1650</v>
      </c>
      <c r="J1585" s="296">
        <v>1729.5</v>
      </c>
      <c r="K1585" s="296">
        <v>920.5</v>
      </c>
      <c r="L1585" s="296">
        <v>0</v>
      </c>
      <c r="M1585" s="296">
        <v>1000</v>
      </c>
      <c r="N1585" s="297">
        <v>0.37735849056603776</v>
      </c>
    </row>
    <row r="1586" spans="1:14" ht="18" customHeight="1">
      <c r="A1586" s="293" t="s">
        <v>3188</v>
      </c>
      <c r="B1586" s="294">
        <v>46218</v>
      </c>
      <c r="C1586" s="286" t="s">
        <v>168</v>
      </c>
      <c r="D1586" s="286" t="s">
        <v>244</v>
      </c>
      <c r="E1586" s="295">
        <v>7</v>
      </c>
      <c r="F1586" s="295">
        <v>17.399999999999999</v>
      </c>
      <c r="G1586" s="296">
        <v>0</v>
      </c>
      <c r="H1586" s="296">
        <v>1731</v>
      </c>
      <c r="I1586" s="296">
        <v>1143.0000000000002</v>
      </c>
      <c r="J1586" s="296">
        <v>1178.508</v>
      </c>
      <c r="K1586" s="296">
        <v>552.49199999999996</v>
      </c>
      <c r="L1586" s="296">
        <v>0</v>
      </c>
      <c r="M1586" s="296">
        <v>587.99999999999977</v>
      </c>
      <c r="N1586" s="297">
        <v>0.33968804159445393</v>
      </c>
    </row>
    <row r="1587" spans="1:14" ht="18" customHeight="1">
      <c r="A1587" s="293" t="s">
        <v>3189</v>
      </c>
      <c r="B1587" s="294">
        <v>46218</v>
      </c>
      <c r="C1587" s="286" t="s">
        <v>3773</v>
      </c>
      <c r="D1587" s="286" t="s">
        <v>102</v>
      </c>
      <c r="E1587" s="295">
        <v>3</v>
      </c>
      <c r="F1587" s="295">
        <v>3</v>
      </c>
      <c r="G1587" s="296">
        <v>0</v>
      </c>
      <c r="H1587" s="296">
        <v>685</v>
      </c>
      <c r="I1587" s="296">
        <v>327</v>
      </c>
      <c r="J1587" s="296">
        <v>343.35</v>
      </c>
      <c r="K1587" s="296">
        <v>341.65</v>
      </c>
      <c r="L1587" s="296">
        <v>102.49499999999999</v>
      </c>
      <c r="M1587" s="296">
        <v>358</v>
      </c>
      <c r="N1587" s="297">
        <v>0.52262773722627742</v>
      </c>
    </row>
    <row r="1588" spans="1:14" ht="18" customHeight="1">
      <c r="A1588" s="293" t="s">
        <v>3190</v>
      </c>
      <c r="B1588" s="294">
        <v>46218</v>
      </c>
      <c r="C1588" s="286" t="s">
        <v>353</v>
      </c>
      <c r="D1588" s="286" t="s">
        <v>108</v>
      </c>
      <c r="E1588" s="295">
        <v>5</v>
      </c>
      <c r="F1588" s="295">
        <v>12</v>
      </c>
      <c r="G1588" s="296">
        <v>0</v>
      </c>
      <c r="H1588" s="296">
        <v>5420</v>
      </c>
      <c r="I1588" s="296">
        <v>3090</v>
      </c>
      <c r="J1588" s="296">
        <v>3244.5</v>
      </c>
      <c r="K1588" s="296">
        <v>2175.5</v>
      </c>
      <c r="L1588" s="296">
        <v>652.65</v>
      </c>
      <c r="M1588" s="296">
        <v>2330</v>
      </c>
      <c r="N1588" s="297">
        <v>0.42988929889298894</v>
      </c>
    </row>
    <row r="1589" spans="1:14" ht="18" customHeight="1">
      <c r="A1589" s="293" t="s">
        <v>3191</v>
      </c>
      <c r="B1589" s="294">
        <v>46218</v>
      </c>
      <c r="C1589" s="286" t="s">
        <v>168</v>
      </c>
      <c r="D1589" s="286" t="s">
        <v>257</v>
      </c>
      <c r="E1589" s="295">
        <v>1</v>
      </c>
      <c r="F1589" s="295">
        <v>1</v>
      </c>
      <c r="G1589" s="296">
        <v>0</v>
      </c>
      <c r="H1589" s="296">
        <v>8800</v>
      </c>
      <c r="I1589" s="296">
        <v>7684</v>
      </c>
      <c r="J1589" s="296">
        <v>8068.2000000000007</v>
      </c>
      <c r="K1589" s="296">
        <v>731.79999999999927</v>
      </c>
      <c r="L1589" s="296">
        <v>0</v>
      </c>
      <c r="M1589" s="296">
        <v>1116</v>
      </c>
      <c r="N1589" s="297">
        <v>0.12681818181818183</v>
      </c>
    </row>
    <row r="1590" spans="1:14" ht="18" customHeight="1">
      <c r="A1590" s="293" t="s">
        <v>3192</v>
      </c>
      <c r="B1590" s="294">
        <v>46218</v>
      </c>
      <c r="C1590" s="286" t="s">
        <v>168</v>
      </c>
      <c r="D1590" s="286" t="s">
        <v>96</v>
      </c>
      <c r="E1590" s="295">
        <v>1</v>
      </c>
      <c r="F1590" s="295">
        <v>2</v>
      </c>
      <c r="G1590" s="296">
        <v>0</v>
      </c>
      <c r="H1590" s="296">
        <v>3600</v>
      </c>
      <c r="I1590" s="296">
        <v>2300</v>
      </c>
      <c r="J1590" s="296">
        <v>2415</v>
      </c>
      <c r="K1590" s="296">
        <v>1185</v>
      </c>
      <c r="L1590" s="296">
        <v>0</v>
      </c>
      <c r="M1590" s="296">
        <v>1300</v>
      </c>
      <c r="N1590" s="297">
        <v>0.3611111111111111</v>
      </c>
    </row>
    <row r="1591" spans="1:14" ht="18" customHeight="1">
      <c r="A1591" s="293" t="s">
        <v>3193</v>
      </c>
      <c r="B1591" s="294">
        <v>46218</v>
      </c>
      <c r="C1591" s="286" t="s">
        <v>168</v>
      </c>
      <c r="D1591" s="286" t="s">
        <v>115</v>
      </c>
      <c r="E1591" s="295">
        <v>3</v>
      </c>
      <c r="F1591" s="295">
        <v>3</v>
      </c>
      <c r="G1591" s="296">
        <v>0</v>
      </c>
      <c r="H1591" s="296">
        <v>1280</v>
      </c>
      <c r="I1591" s="296">
        <v>525</v>
      </c>
      <c r="J1591" s="296">
        <v>551.25</v>
      </c>
      <c r="K1591" s="296">
        <v>728.75</v>
      </c>
      <c r="L1591" s="296">
        <v>0</v>
      </c>
      <c r="M1591" s="296">
        <v>755</v>
      </c>
      <c r="N1591" s="297">
        <v>0.58984375</v>
      </c>
    </row>
    <row r="1592" spans="1:14" ht="18" customHeight="1">
      <c r="A1592" s="293" t="s">
        <v>3194</v>
      </c>
      <c r="B1592" s="294">
        <v>46218</v>
      </c>
      <c r="C1592" s="286" t="s">
        <v>350</v>
      </c>
      <c r="D1592" s="286" t="s">
        <v>119</v>
      </c>
      <c r="E1592" s="295">
        <v>1</v>
      </c>
      <c r="F1592" s="295">
        <v>1</v>
      </c>
      <c r="G1592" s="296">
        <v>0</v>
      </c>
      <c r="H1592" s="296">
        <v>1900</v>
      </c>
      <c r="I1592" s="296">
        <v>1150</v>
      </c>
      <c r="J1592" s="296">
        <v>1207.5</v>
      </c>
      <c r="K1592" s="296">
        <v>692.5</v>
      </c>
      <c r="L1592" s="296">
        <v>207.75</v>
      </c>
      <c r="M1592" s="296">
        <v>750</v>
      </c>
      <c r="N1592" s="297">
        <v>0.39473684210526316</v>
      </c>
    </row>
    <row r="1593" spans="1:14" ht="18" customHeight="1">
      <c r="A1593" s="293" t="s">
        <v>3195</v>
      </c>
      <c r="B1593" s="294">
        <v>46218</v>
      </c>
      <c r="C1593" s="286" t="s">
        <v>168</v>
      </c>
      <c r="D1593" s="286" t="s">
        <v>124</v>
      </c>
      <c r="E1593" s="295">
        <v>1</v>
      </c>
      <c r="F1593" s="295">
        <v>1</v>
      </c>
      <c r="G1593" s="296">
        <v>0</v>
      </c>
      <c r="H1593" s="296">
        <v>2000</v>
      </c>
      <c r="I1593" s="296">
        <v>1300</v>
      </c>
      <c r="J1593" s="296">
        <v>1365</v>
      </c>
      <c r="K1593" s="296">
        <v>635</v>
      </c>
      <c r="L1593" s="296">
        <v>0</v>
      </c>
      <c r="M1593" s="296">
        <v>700</v>
      </c>
      <c r="N1593" s="297">
        <v>0.35</v>
      </c>
    </row>
    <row r="1594" spans="1:14" ht="18" customHeight="1">
      <c r="A1594" s="293" t="s">
        <v>3196</v>
      </c>
      <c r="B1594" s="294">
        <v>46218</v>
      </c>
      <c r="C1594" s="286" t="s">
        <v>168</v>
      </c>
      <c r="D1594" s="286" t="s">
        <v>137</v>
      </c>
      <c r="E1594" s="295">
        <v>1</v>
      </c>
      <c r="F1594" s="295">
        <v>1</v>
      </c>
      <c r="G1594" s="296">
        <v>0</v>
      </c>
      <c r="H1594" s="296">
        <v>850</v>
      </c>
      <c r="I1594" s="296">
        <v>480</v>
      </c>
      <c r="J1594" s="296">
        <v>504</v>
      </c>
      <c r="K1594" s="296">
        <v>346</v>
      </c>
      <c r="L1594" s="296">
        <v>0</v>
      </c>
      <c r="M1594" s="296">
        <v>370</v>
      </c>
      <c r="N1594" s="297">
        <v>0.43529411764705883</v>
      </c>
    </row>
    <row r="1595" spans="1:14" ht="18" customHeight="1">
      <c r="A1595" s="293" t="s">
        <v>3197</v>
      </c>
      <c r="B1595" s="294">
        <v>46218</v>
      </c>
      <c r="C1595" s="286" t="s">
        <v>168</v>
      </c>
      <c r="D1595" s="286" t="s">
        <v>246</v>
      </c>
      <c r="E1595" s="295">
        <v>3</v>
      </c>
      <c r="F1595" s="295">
        <v>4</v>
      </c>
      <c r="G1595" s="296">
        <v>0</v>
      </c>
      <c r="H1595" s="296">
        <v>2200</v>
      </c>
      <c r="I1595" s="296">
        <v>1040</v>
      </c>
      <c r="J1595" s="296">
        <v>1092</v>
      </c>
      <c r="K1595" s="296">
        <v>1108</v>
      </c>
      <c r="L1595" s="296">
        <v>0</v>
      </c>
      <c r="M1595" s="296">
        <v>1160</v>
      </c>
      <c r="N1595" s="297">
        <v>0.52727272727272723</v>
      </c>
    </row>
    <row r="1596" spans="1:14" ht="18" customHeight="1">
      <c r="A1596" s="293" t="s">
        <v>3198</v>
      </c>
      <c r="B1596" s="294">
        <v>46218</v>
      </c>
      <c r="C1596" s="286" t="s">
        <v>168</v>
      </c>
      <c r="D1596" s="286" t="s">
        <v>248</v>
      </c>
      <c r="E1596" s="295">
        <v>1</v>
      </c>
      <c r="F1596" s="295">
        <v>3</v>
      </c>
      <c r="G1596" s="296">
        <v>0</v>
      </c>
      <c r="H1596" s="296">
        <v>108</v>
      </c>
      <c r="I1596" s="296">
        <v>63</v>
      </c>
      <c r="J1596" s="296">
        <v>64.89</v>
      </c>
      <c r="K1596" s="296">
        <v>43.11</v>
      </c>
      <c r="L1596" s="296">
        <v>0</v>
      </c>
      <c r="M1596" s="296">
        <v>45</v>
      </c>
      <c r="N1596" s="297">
        <v>0.41666666666666669</v>
      </c>
    </row>
    <row r="1597" spans="1:14" ht="18" customHeight="1">
      <c r="A1597" s="293" t="s">
        <v>3199</v>
      </c>
      <c r="B1597" s="294">
        <v>46218</v>
      </c>
      <c r="C1597" s="286" t="s">
        <v>168</v>
      </c>
      <c r="D1597" s="286" t="s">
        <v>99</v>
      </c>
      <c r="E1597" s="295">
        <v>11</v>
      </c>
      <c r="F1597" s="295">
        <v>34.799999999999997</v>
      </c>
      <c r="G1597" s="296">
        <v>0</v>
      </c>
      <c r="H1597" s="296">
        <v>7615</v>
      </c>
      <c r="I1597" s="296">
        <v>5094.2000000000007</v>
      </c>
      <c r="J1597" s="296">
        <v>5300.4260000000004</v>
      </c>
      <c r="K1597" s="296">
        <v>2314.5739999999996</v>
      </c>
      <c r="L1597" s="296">
        <v>0</v>
      </c>
      <c r="M1597" s="296">
        <v>2520.7999999999993</v>
      </c>
      <c r="N1597" s="297">
        <v>0.33103086014445166</v>
      </c>
    </row>
    <row r="1598" spans="1:14" ht="18" customHeight="1">
      <c r="A1598" s="293" t="s">
        <v>3200</v>
      </c>
      <c r="B1598" s="294">
        <v>46219</v>
      </c>
      <c r="C1598" s="286" t="s">
        <v>168</v>
      </c>
      <c r="D1598" s="286" t="s">
        <v>196</v>
      </c>
      <c r="E1598" s="295">
        <v>1</v>
      </c>
      <c r="F1598" s="295">
        <v>1</v>
      </c>
      <c r="G1598" s="296">
        <v>0</v>
      </c>
      <c r="H1598" s="296">
        <v>550</v>
      </c>
      <c r="I1598" s="296">
        <v>250</v>
      </c>
      <c r="J1598" s="296">
        <v>262.5</v>
      </c>
      <c r="K1598" s="296">
        <v>287.5</v>
      </c>
      <c r="L1598" s="296">
        <v>0</v>
      </c>
      <c r="M1598" s="296">
        <v>300</v>
      </c>
      <c r="N1598" s="297">
        <v>0.54545454545454541</v>
      </c>
    </row>
    <row r="1599" spans="1:14" ht="18" customHeight="1">
      <c r="A1599" s="293" t="s">
        <v>3201</v>
      </c>
      <c r="B1599" s="294">
        <v>46219</v>
      </c>
      <c r="C1599" s="286" t="s">
        <v>3773</v>
      </c>
      <c r="D1599" s="286" t="s">
        <v>102</v>
      </c>
      <c r="E1599" s="295">
        <v>5</v>
      </c>
      <c r="F1599" s="295">
        <v>5</v>
      </c>
      <c r="G1599" s="296">
        <v>0</v>
      </c>
      <c r="H1599" s="296">
        <v>13800</v>
      </c>
      <c r="I1599" s="296">
        <v>10754</v>
      </c>
      <c r="J1599" s="296">
        <v>11291.7</v>
      </c>
      <c r="K1599" s="296">
        <v>2508.2999999999993</v>
      </c>
      <c r="L1599" s="296">
        <v>752.48999999999978</v>
      </c>
      <c r="M1599" s="296">
        <v>3046</v>
      </c>
      <c r="N1599" s="297">
        <v>0.22072463768115941</v>
      </c>
    </row>
    <row r="1600" spans="1:14" ht="18" customHeight="1">
      <c r="A1600" s="293" t="s">
        <v>3202</v>
      </c>
      <c r="B1600" s="294">
        <v>46219</v>
      </c>
      <c r="C1600" s="286" t="s">
        <v>168</v>
      </c>
      <c r="D1600" s="286" t="s">
        <v>92</v>
      </c>
      <c r="E1600" s="295">
        <v>1</v>
      </c>
      <c r="F1600" s="295">
        <v>1</v>
      </c>
      <c r="G1600" s="296">
        <v>0</v>
      </c>
      <c r="H1600" s="296">
        <v>2000</v>
      </c>
      <c r="I1600" s="296">
        <v>1075</v>
      </c>
      <c r="J1600" s="296">
        <v>1128.75</v>
      </c>
      <c r="K1600" s="296">
        <v>871.25</v>
      </c>
      <c r="L1600" s="296">
        <v>0</v>
      </c>
      <c r="M1600" s="296">
        <v>925</v>
      </c>
      <c r="N1600" s="297">
        <v>0.46250000000000002</v>
      </c>
    </row>
    <row r="1601" spans="1:14" ht="18" customHeight="1">
      <c r="A1601" s="293" t="s">
        <v>3203</v>
      </c>
      <c r="B1601" s="294">
        <v>46219</v>
      </c>
      <c r="C1601" s="286" t="s">
        <v>353</v>
      </c>
      <c r="D1601" s="286" t="s">
        <v>103</v>
      </c>
      <c r="E1601" s="295">
        <v>2</v>
      </c>
      <c r="F1601" s="295">
        <v>3</v>
      </c>
      <c r="G1601" s="296">
        <v>0</v>
      </c>
      <c r="H1601" s="296">
        <v>3220</v>
      </c>
      <c r="I1601" s="296">
        <v>1860</v>
      </c>
      <c r="J1601" s="296">
        <v>1953</v>
      </c>
      <c r="K1601" s="296">
        <v>1267</v>
      </c>
      <c r="L1601" s="296">
        <v>380.1</v>
      </c>
      <c r="M1601" s="296">
        <v>1360</v>
      </c>
      <c r="N1601" s="297">
        <v>0.42236024844720499</v>
      </c>
    </row>
    <row r="1602" spans="1:14" ht="18" customHeight="1">
      <c r="A1602" s="293" t="s">
        <v>3204</v>
      </c>
      <c r="B1602" s="294">
        <v>46219</v>
      </c>
      <c r="C1602" s="286" t="s">
        <v>168</v>
      </c>
      <c r="D1602" s="286" t="s">
        <v>96</v>
      </c>
      <c r="E1602" s="295">
        <v>1</v>
      </c>
      <c r="F1602" s="295">
        <v>1</v>
      </c>
      <c r="G1602" s="296">
        <v>0</v>
      </c>
      <c r="H1602" s="296">
        <v>1900</v>
      </c>
      <c r="I1602" s="296">
        <v>1250</v>
      </c>
      <c r="J1602" s="296">
        <v>1312.5</v>
      </c>
      <c r="K1602" s="296">
        <v>587.5</v>
      </c>
      <c r="L1602" s="296">
        <v>0</v>
      </c>
      <c r="M1602" s="296">
        <v>650</v>
      </c>
      <c r="N1602" s="297">
        <v>0.34210526315789475</v>
      </c>
    </row>
    <row r="1603" spans="1:14" ht="18" customHeight="1">
      <c r="A1603" s="293" t="s">
        <v>3205</v>
      </c>
      <c r="B1603" s="294">
        <v>46219</v>
      </c>
      <c r="C1603" s="286" t="s">
        <v>168</v>
      </c>
      <c r="D1603" s="286" t="s">
        <v>124</v>
      </c>
      <c r="E1603" s="295">
        <v>2</v>
      </c>
      <c r="F1603" s="295">
        <v>2</v>
      </c>
      <c r="G1603" s="296">
        <v>0</v>
      </c>
      <c r="H1603" s="296">
        <v>2280</v>
      </c>
      <c r="I1603" s="296">
        <v>1350</v>
      </c>
      <c r="J1603" s="296">
        <v>1412.5</v>
      </c>
      <c r="K1603" s="296">
        <v>867.5</v>
      </c>
      <c r="L1603" s="296">
        <v>0</v>
      </c>
      <c r="M1603" s="296">
        <v>930</v>
      </c>
      <c r="N1603" s="297">
        <v>0.40789473684210525</v>
      </c>
    </row>
    <row r="1604" spans="1:14" ht="18" customHeight="1">
      <c r="A1604" s="293" t="s">
        <v>3206</v>
      </c>
      <c r="B1604" s="294">
        <v>46219</v>
      </c>
      <c r="C1604" s="286" t="s">
        <v>168</v>
      </c>
      <c r="D1604" s="286" t="s">
        <v>99</v>
      </c>
      <c r="E1604" s="295">
        <v>2</v>
      </c>
      <c r="F1604" s="295">
        <v>2</v>
      </c>
      <c r="G1604" s="296">
        <v>0</v>
      </c>
      <c r="H1604" s="296">
        <v>215</v>
      </c>
      <c r="I1604" s="296">
        <v>126.8</v>
      </c>
      <c r="J1604" s="296">
        <v>130.60399999999998</v>
      </c>
      <c r="K1604" s="296">
        <v>84.396000000000001</v>
      </c>
      <c r="L1604" s="296">
        <v>0</v>
      </c>
      <c r="M1604" s="296">
        <v>88.2</v>
      </c>
      <c r="N1604" s="297">
        <v>0.41023255813953491</v>
      </c>
    </row>
    <row r="1605" spans="1:14" ht="18" customHeight="1">
      <c r="A1605" s="293" t="s">
        <v>3207</v>
      </c>
      <c r="B1605" s="294">
        <v>46220</v>
      </c>
      <c r="C1605" s="286" t="s">
        <v>168</v>
      </c>
      <c r="D1605" s="286" t="s">
        <v>125</v>
      </c>
      <c r="E1605" s="295">
        <v>4</v>
      </c>
      <c r="F1605" s="295">
        <v>4</v>
      </c>
      <c r="G1605" s="296">
        <v>0</v>
      </c>
      <c r="H1605" s="296">
        <v>1630</v>
      </c>
      <c r="I1605" s="296">
        <v>625</v>
      </c>
      <c r="J1605" s="296">
        <v>656.25</v>
      </c>
      <c r="K1605" s="296">
        <v>973.75</v>
      </c>
      <c r="L1605" s="296">
        <v>0</v>
      </c>
      <c r="M1605" s="296">
        <v>1005</v>
      </c>
      <c r="N1605" s="297">
        <v>0.6165644171779141</v>
      </c>
    </row>
    <row r="1606" spans="1:14" ht="18" customHeight="1">
      <c r="A1606" s="293" t="s">
        <v>3208</v>
      </c>
      <c r="B1606" s="294">
        <v>46220</v>
      </c>
      <c r="C1606" s="286" t="s">
        <v>3773</v>
      </c>
      <c r="D1606" s="286" t="s">
        <v>102</v>
      </c>
      <c r="E1606" s="295">
        <v>5</v>
      </c>
      <c r="F1606" s="295">
        <v>6</v>
      </c>
      <c r="G1606" s="296">
        <v>0</v>
      </c>
      <c r="H1606" s="296">
        <v>2100</v>
      </c>
      <c r="I1606" s="296">
        <v>915</v>
      </c>
      <c r="J1606" s="296">
        <v>960.75</v>
      </c>
      <c r="K1606" s="296">
        <v>1139.25</v>
      </c>
      <c r="L1606" s="296">
        <v>341.77500000000003</v>
      </c>
      <c r="M1606" s="296">
        <v>1185</v>
      </c>
      <c r="N1606" s="297">
        <v>0.56428571428571428</v>
      </c>
    </row>
    <row r="1607" spans="1:14" ht="18" customHeight="1">
      <c r="A1607" s="293" t="s">
        <v>3209</v>
      </c>
      <c r="B1607" s="294">
        <v>46220</v>
      </c>
      <c r="C1607" s="286" t="s">
        <v>168</v>
      </c>
      <c r="D1607" s="286" t="s">
        <v>155</v>
      </c>
      <c r="E1607" s="295">
        <v>8</v>
      </c>
      <c r="F1607" s="295">
        <v>33</v>
      </c>
      <c r="G1607" s="296">
        <v>0</v>
      </c>
      <c r="H1607" s="296">
        <v>11690</v>
      </c>
      <c r="I1607" s="296">
        <v>9199.4</v>
      </c>
      <c r="J1607" s="296">
        <v>9529.982</v>
      </c>
      <c r="K1607" s="296">
        <v>2160.018</v>
      </c>
      <c r="L1607" s="296">
        <v>0</v>
      </c>
      <c r="M1607" s="296">
        <v>2490.6000000000004</v>
      </c>
      <c r="N1607" s="297">
        <v>0.21305389221556889</v>
      </c>
    </row>
    <row r="1608" spans="1:14" ht="18" customHeight="1">
      <c r="A1608" s="293" t="s">
        <v>3210</v>
      </c>
      <c r="B1608" s="294">
        <v>46220</v>
      </c>
      <c r="C1608" s="286" t="s">
        <v>168</v>
      </c>
      <c r="D1608" s="286" t="s">
        <v>112</v>
      </c>
      <c r="E1608" s="295">
        <v>1</v>
      </c>
      <c r="F1608" s="295">
        <v>1</v>
      </c>
      <c r="G1608" s="296">
        <v>0</v>
      </c>
      <c r="H1608" s="296">
        <v>680</v>
      </c>
      <c r="I1608" s="296">
        <v>480</v>
      </c>
      <c r="J1608" s="296">
        <v>504</v>
      </c>
      <c r="K1608" s="296">
        <v>176</v>
      </c>
      <c r="L1608" s="296">
        <v>0</v>
      </c>
      <c r="M1608" s="296">
        <v>200</v>
      </c>
      <c r="N1608" s="297">
        <v>0.29411764705882354</v>
      </c>
    </row>
    <row r="1609" spans="1:14" ht="18" customHeight="1">
      <c r="A1609" s="293" t="s">
        <v>3211</v>
      </c>
      <c r="B1609" s="294">
        <v>46220</v>
      </c>
      <c r="C1609" s="286" t="s">
        <v>354</v>
      </c>
      <c r="D1609" s="286" t="s">
        <v>109</v>
      </c>
      <c r="E1609" s="295">
        <v>1</v>
      </c>
      <c r="F1609" s="295">
        <v>1</v>
      </c>
      <c r="G1609" s="296">
        <v>0</v>
      </c>
      <c r="H1609" s="296">
        <v>2100</v>
      </c>
      <c r="I1609" s="296">
        <v>1350</v>
      </c>
      <c r="J1609" s="296">
        <v>1417.5</v>
      </c>
      <c r="K1609" s="296">
        <v>682.5</v>
      </c>
      <c r="L1609" s="296">
        <v>204.75</v>
      </c>
      <c r="M1609" s="296">
        <v>750</v>
      </c>
      <c r="N1609" s="297">
        <v>0.35714285714285715</v>
      </c>
    </row>
    <row r="1610" spans="1:14" ht="18" customHeight="1">
      <c r="A1610" s="293" t="s">
        <v>3212</v>
      </c>
      <c r="B1610" s="294">
        <v>46220</v>
      </c>
      <c r="C1610" s="286" t="s">
        <v>168</v>
      </c>
      <c r="D1610" s="286" t="s">
        <v>197</v>
      </c>
      <c r="E1610" s="295">
        <v>8</v>
      </c>
      <c r="F1610" s="295">
        <v>32</v>
      </c>
      <c r="G1610" s="296">
        <v>0</v>
      </c>
      <c r="H1610" s="296">
        <v>1393</v>
      </c>
      <c r="I1610" s="296">
        <v>815.45</v>
      </c>
      <c r="J1610" s="296">
        <v>841.06850000000009</v>
      </c>
      <c r="K1610" s="296">
        <v>551.93149999999991</v>
      </c>
      <c r="L1610" s="296">
        <v>0</v>
      </c>
      <c r="M1610" s="296">
        <v>577.54999999999995</v>
      </c>
      <c r="N1610" s="297">
        <v>0.41460875807609471</v>
      </c>
    </row>
    <row r="1611" spans="1:14" ht="18" customHeight="1">
      <c r="A1611" s="293" t="s">
        <v>3213</v>
      </c>
      <c r="B1611" s="294">
        <v>46220</v>
      </c>
      <c r="C1611" s="286" t="s">
        <v>168</v>
      </c>
      <c r="D1611" s="286" t="s">
        <v>121</v>
      </c>
      <c r="E1611" s="295">
        <v>3</v>
      </c>
      <c r="F1611" s="295">
        <v>3</v>
      </c>
      <c r="G1611" s="296">
        <v>0</v>
      </c>
      <c r="H1611" s="296">
        <v>5900</v>
      </c>
      <c r="I1611" s="296">
        <v>3650</v>
      </c>
      <c r="J1611" s="296">
        <v>3832.5</v>
      </c>
      <c r="K1611" s="296">
        <v>2067.5</v>
      </c>
      <c r="L1611" s="296">
        <v>0</v>
      </c>
      <c r="M1611" s="296">
        <v>2250</v>
      </c>
      <c r="N1611" s="297">
        <v>0.38135593220338981</v>
      </c>
    </row>
    <row r="1612" spans="1:14" ht="18" customHeight="1">
      <c r="A1612" s="293" t="s">
        <v>3214</v>
      </c>
      <c r="B1612" s="294">
        <v>46220</v>
      </c>
      <c r="C1612" s="286" t="s">
        <v>353</v>
      </c>
      <c r="D1612" s="286" t="s">
        <v>94</v>
      </c>
      <c r="E1612" s="295">
        <v>1</v>
      </c>
      <c r="F1612" s="295">
        <v>1</v>
      </c>
      <c r="G1612" s="296">
        <v>0</v>
      </c>
      <c r="H1612" s="296">
        <v>1625</v>
      </c>
      <c r="I1612" s="296">
        <v>1050</v>
      </c>
      <c r="J1612" s="296">
        <v>1102.5</v>
      </c>
      <c r="K1612" s="296">
        <v>522.5</v>
      </c>
      <c r="L1612" s="296">
        <v>156.75</v>
      </c>
      <c r="M1612" s="296">
        <v>575</v>
      </c>
      <c r="N1612" s="297">
        <v>0.35384615384615387</v>
      </c>
    </row>
    <row r="1613" spans="1:14" ht="18" customHeight="1">
      <c r="A1613" s="293" t="s">
        <v>3215</v>
      </c>
      <c r="B1613" s="294">
        <v>46220</v>
      </c>
      <c r="C1613" s="286" t="s">
        <v>168</v>
      </c>
      <c r="D1613" s="286" t="s">
        <v>96</v>
      </c>
      <c r="E1613" s="295">
        <v>3</v>
      </c>
      <c r="F1613" s="295">
        <v>4</v>
      </c>
      <c r="G1613" s="296">
        <v>0</v>
      </c>
      <c r="H1613" s="296">
        <v>2420</v>
      </c>
      <c r="I1613" s="296">
        <v>1352</v>
      </c>
      <c r="J1613" s="296">
        <v>1419.6</v>
      </c>
      <c r="K1613" s="296">
        <v>1000.4</v>
      </c>
      <c r="L1613" s="296">
        <v>0</v>
      </c>
      <c r="M1613" s="296">
        <v>1068</v>
      </c>
      <c r="N1613" s="297">
        <v>0.44132231404958677</v>
      </c>
    </row>
    <row r="1614" spans="1:14" ht="18" customHeight="1">
      <c r="A1614" s="293" t="s">
        <v>3216</v>
      </c>
      <c r="B1614" s="294">
        <v>46220</v>
      </c>
      <c r="C1614" s="286" t="s">
        <v>168</v>
      </c>
      <c r="D1614" s="286" t="s">
        <v>115</v>
      </c>
      <c r="E1614" s="295">
        <v>5</v>
      </c>
      <c r="F1614" s="295">
        <v>10</v>
      </c>
      <c r="G1614" s="296">
        <v>0</v>
      </c>
      <c r="H1614" s="296">
        <v>700</v>
      </c>
      <c r="I1614" s="296">
        <v>277.5</v>
      </c>
      <c r="J1614" s="296">
        <v>290.67500000000001</v>
      </c>
      <c r="K1614" s="296">
        <v>409.32499999999993</v>
      </c>
      <c r="L1614" s="296">
        <v>0</v>
      </c>
      <c r="M1614" s="296">
        <v>422.5</v>
      </c>
      <c r="N1614" s="297">
        <v>0.60357142857142854</v>
      </c>
    </row>
    <row r="1615" spans="1:14" ht="18" customHeight="1">
      <c r="A1615" s="293" t="s">
        <v>3217</v>
      </c>
      <c r="B1615" s="294">
        <v>46220</v>
      </c>
      <c r="C1615" s="286" t="s">
        <v>168</v>
      </c>
      <c r="D1615" s="286" t="s">
        <v>145</v>
      </c>
      <c r="E1615" s="295">
        <v>7</v>
      </c>
      <c r="F1615" s="295">
        <v>15.8</v>
      </c>
      <c r="G1615" s="296">
        <v>0</v>
      </c>
      <c r="H1615" s="296">
        <v>4175</v>
      </c>
      <c r="I1615" s="296">
        <v>2775.05</v>
      </c>
      <c r="J1615" s="296">
        <v>2859.1415000000002</v>
      </c>
      <c r="K1615" s="296">
        <v>1315.8584999999998</v>
      </c>
      <c r="L1615" s="296">
        <v>0</v>
      </c>
      <c r="M1615" s="296">
        <v>1399.9499999999998</v>
      </c>
      <c r="N1615" s="297">
        <v>0.33531736526946104</v>
      </c>
    </row>
    <row r="1616" spans="1:14" ht="18" customHeight="1">
      <c r="A1616" s="293" t="s">
        <v>3218</v>
      </c>
      <c r="B1616" s="294">
        <v>46220</v>
      </c>
      <c r="C1616" s="286" t="s">
        <v>168</v>
      </c>
      <c r="D1616" s="286" t="s">
        <v>97</v>
      </c>
      <c r="E1616" s="295">
        <v>2</v>
      </c>
      <c r="F1616" s="295">
        <v>2</v>
      </c>
      <c r="G1616" s="296">
        <v>0</v>
      </c>
      <c r="H1616" s="296">
        <v>2565</v>
      </c>
      <c r="I1616" s="296">
        <v>1490</v>
      </c>
      <c r="J1616" s="296">
        <v>1564.5</v>
      </c>
      <c r="K1616" s="296">
        <v>1000.5</v>
      </c>
      <c r="L1616" s="296">
        <v>0</v>
      </c>
      <c r="M1616" s="296">
        <v>1075</v>
      </c>
      <c r="N1616" s="297">
        <v>0.41910331384015592</v>
      </c>
    </row>
    <row r="1617" spans="1:14" ht="18" customHeight="1">
      <c r="A1617" s="293" t="s">
        <v>3219</v>
      </c>
      <c r="B1617" s="294">
        <v>46220</v>
      </c>
      <c r="C1617" s="286" t="s">
        <v>168</v>
      </c>
      <c r="D1617" s="286" t="s">
        <v>99</v>
      </c>
      <c r="E1617" s="295">
        <v>2</v>
      </c>
      <c r="F1617" s="295">
        <v>1.4</v>
      </c>
      <c r="G1617" s="296">
        <v>0</v>
      </c>
      <c r="H1617" s="296">
        <v>4150</v>
      </c>
      <c r="I1617" s="296">
        <v>3401</v>
      </c>
      <c r="J1617" s="296">
        <v>3503.0299999999997</v>
      </c>
      <c r="K1617" s="296">
        <v>646.97</v>
      </c>
      <c r="L1617" s="296">
        <v>0</v>
      </c>
      <c r="M1617" s="296">
        <v>749</v>
      </c>
      <c r="N1617" s="297">
        <v>0.18048192771084337</v>
      </c>
    </row>
    <row r="1618" spans="1:14" ht="18" customHeight="1">
      <c r="A1618" s="293" t="s">
        <v>3220</v>
      </c>
      <c r="B1618" s="294">
        <v>46221</v>
      </c>
      <c r="C1618" s="286" t="s">
        <v>3773</v>
      </c>
      <c r="D1618" s="286" t="s">
        <v>102</v>
      </c>
      <c r="E1618" s="295">
        <v>1</v>
      </c>
      <c r="F1618" s="295">
        <v>1</v>
      </c>
      <c r="G1618" s="296">
        <v>0</v>
      </c>
      <c r="H1618" s="296">
        <v>750</v>
      </c>
      <c r="I1618" s="296">
        <v>400</v>
      </c>
      <c r="J1618" s="296">
        <v>420</v>
      </c>
      <c r="K1618" s="296">
        <v>330</v>
      </c>
      <c r="L1618" s="296">
        <v>99</v>
      </c>
      <c r="M1618" s="296">
        <v>350</v>
      </c>
      <c r="N1618" s="297">
        <v>0.46666666666666667</v>
      </c>
    </row>
    <row r="1619" spans="1:14" ht="18" customHeight="1">
      <c r="A1619" s="293" t="s">
        <v>3221</v>
      </c>
      <c r="B1619" s="294">
        <v>46221</v>
      </c>
      <c r="C1619" s="286" t="s">
        <v>168</v>
      </c>
      <c r="D1619" s="286" t="s">
        <v>120</v>
      </c>
      <c r="E1619" s="295">
        <v>1</v>
      </c>
      <c r="F1619" s="295">
        <v>1</v>
      </c>
      <c r="G1619" s="296">
        <v>0</v>
      </c>
      <c r="H1619" s="296">
        <v>900</v>
      </c>
      <c r="I1619" s="296">
        <v>220</v>
      </c>
      <c r="J1619" s="296">
        <v>231</v>
      </c>
      <c r="K1619" s="296">
        <v>669</v>
      </c>
      <c r="L1619" s="296">
        <v>0</v>
      </c>
      <c r="M1619" s="296">
        <v>680</v>
      </c>
      <c r="N1619" s="297">
        <v>0.75555555555555554</v>
      </c>
    </row>
    <row r="1620" spans="1:14" ht="18" customHeight="1">
      <c r="A1620" s="293" t="s">
        <v>3222</v>
      </c>
      <c r="B1620" s="294">
        <v>46221</v>
      </c>
      <c r="C1620" s="286" t="s">
        <v>168</v>
      </c>
      <c r="D1620" s="286" t="s">
        <v>258</v>
      </c>
      <c r="E1620" s="295">
        <v>1</v>
      </c>
      <c r="F1620" s="295">
        <v>5</v>
      </c>
      <c r="G1620" s="296">
        <v>0</v>
      </c>
      <c r="H1620" s="296">
        <v>800</v>
      </c>
      <c r="I1620" s="296">
        <v>525</v>
      </c>
      <c r="J1620" s="296">
        <v>551.25</v>
      </c>
      <c r="K1620" s="296">
        <v>248.75</v>
      </c>
      <c r="L1620" s="296">
        <v>0</v>
      </c>
      <c r="M1620" s="296">
        <v>275</v>
      </c>
      <c r="N1620" s="297">
        <v>0.34375</v>
      </c>
    </row>
    <row r="1621" spans="1:14" ht="18" customHeight="1">
      <c r="A1621" s="293" t="s">
        <v>3223</v>
      </c>
      <c r="B1621" s="294">
        <v>46221</v>
      </c>
      <c r="C1621" s="286" t="s">
        <v>168</v>
      </c>
      <c r="D1621" s="286" t="s">
        <v>165</v>
      </c>
      <c r="E1621" s="295">
        <v>1</v>
      </c>
      <c r="F1621" s="295">
        <v>1</v>
      </c>
      <c r="G1621" s="296">
        <v>0</v>
      </c>
      <c r="H1621" s="296">
        <v>125</v>
      </c>
      <c r="I1621" s="296">
        <v>75</v>
      </c>
      <c r="J1621" s="296">
        <v>77.25</v>
      </c>
      <c r="K1621" s="296">
        <v>47.75</v>
      </c>
      <c r="L1621" s="296">
        <v>0</v>
      </c>
      <c r="M1621" s="296">
        <v>50</v>
      </c>
      <c r="N1621" s="297">
        <v>0.4</v>
      </c>
    </row>
    <row r="1622" spans="1:14" ht="18" customHeight="1">
      <c r="A1622" s="293" t="s">
        <v>3224</v>
      </c>
      <c r="B1622" s="294">
        <v>46221</v>
      </c>
      <c r="C1622" s="286" t="s">
        <v>353</v>
      </c>
      <c r="D1622" s="286" t="s">
        <v>108</v>
      </c>
      <c r="E1622" s="295">
        <v>2</v>
      </c>
      <c r="F1622" s="295">
        <v>2</v>
      </c>
      <c r="G1622" s="296">
        <v>0</v>
      </c>
      <c r="H1622" s="296">
        <v>3086</v>
      </c>
      <c r="I1622" s="296">
        <v>1800</v>
      </c>
      <c r="J1622" s="296">
        <v>1890</v>
      </c>
      <c r="K1622" s="296">
        <v>1196</v>
      </c>
      <c r="L1622" s="296">
        <v>358.79999999999995</v>
      </c>
      <c r="M1622" s="296">
        <v>1286</v>
      </c>
      <c r="N1622" s="297">
        <v>0.41672067401166557</v>
      </c>
    </row>
    <row r="1623" spans="1:14" ht="18" customHeight="1">
      <c r="A1623" s="293" t="s">
        <v>3225</v>
      </c>
      <c r="B1623" s="294">
        <v>46221</v>
      </c>
      <c r="C1623" s="286" t="s">
        <v>354</v>
      </c>
      <c r="D1623" s="286" t="s">
        <v>109</v>
      </c>
      <c r="E1623" s="295">
        <v>1</v>
      </c>
      <c r="F1623" s="295">
        <v>1</v>
      </c>
      <c r="G1623" s="296">
        <v>0</v>
      </c>
      <c r="H1623" s="296">
        <v>2000</v>
      </c>
      <c r="I1623" s="296">
        <v>1300</v>
      </c>
      <c r="J1623" s="296">
        <v>1365</v>
      </c>
      <c r="K1623" s="296">
        <v>635</v>
      </c>
      <c r="L1623" s="296">
        <v>190.5</v>
      </c>
      <c r="M1623" s="296">
        <v>700</v>
      </c>
      <c r="N1623" s="297">
        <v>0.35</v>
      </c>
    </row>
    <row r="1624" spans="1:14" ht="18" customHeight="1">
      <c r="A1624" s="293" t="s">
        <v>3226</v>
      </c>
      <c r="B1624" s="294">
        <v>46221</v>
      </c>
      <c r="C1624" s="286" t="s">
        <v>168</v>
      </c>
      <c r="D1624" s="286" t="s">
        <v>96</v>
      </c>
      <c r="E1624" s="295">
        <v>3</v>
      </c>
      <c r="F1624" s="295">
        <v>3</v>
      </c>
      <c r="G1624" s="296">
        <v>0</v>
      </c>
      <c r="H1624" s="296">
        <v>4660</v>
      </c>
      <c r="I1624" s="296">
        <v>2860</v>
      </c>
      <c r="J1624" s="296">
        <v>3003</v>
      </c>
      <c r="K1624" s="296">
        <v>1657</v>
      </c>
      <c r="L1624" s="296">
        <v>0</v>
      </c>
      <c r="M1624" s="296">
        <v>1800</v>
      </c>
      <c r="N1624" s="297">
        <v>0.38626609442060084</v>
      </c>
    </row>
    <row r="1625" spans="1:14" ht="18" customHeight="1">
      <c r="A1625" s="293" t="s">
        <v>3227</v>
      </c>
      <c r="B1625" s="294">
        <v>46221</v>
      </c>
      <c r="C1625" s="286" t="s">
        <v>168</v>
      </c>
      <c r="D1625" s="286" t="s">
        <v>97</v>
      </c>
      <c r="E1625" s="295">
        <v>1</v>
      </c>
      <c r="F1625" s="295">
        <v>1</v>
      </c>
      <c r="G1625" s="296">
        <v>0</v>
      </c>
      <c r="H1625" s="296">
        <v>8800</v>
      </c>
      <c r="I1625" s="296">
        <v>7684</v>
      </c>
      <c r="J1625" s="296">
        <v>8068.2000000000007</v>
      </c>
      <c r="K1625" s="296">
        <v>731.79999999999927</v>
      </c>
      <c r="L1625" s="296">
        <v>0</v>
      </c>
      <c r="M1625" s="296">
        <v>1116</v>
      </c>
      <c r="N1625" s="297">
        <v>0.12681818181818183</v>
      </c>
    </row>
    <row r="1626" spans="1:14" ht="18" customHeight="1">
      <c r="A1626" s="293" t="s">
        <v>3228</v>
      </c>
      <c r="B1626" s="294">
        <v>46221</v>
      </c>
      <c r="C1626" s="286" t="s">
        <v>168</v>
      </c>
      <c r="D1626" s="286" t="s">
        <v>99</v>
      </c>
      <c r="E1626" s="295">
        <v>1</v>
      </c>
      <c r="F1626" s="295">
        <v>1</v>
      </c>
      <c r="G1626" s="296">
        <v>0</v>
      </c>
      <c r="H1626" s="296">
        <v>500</v>
      </c>
      <c r="I1626" s="296">
        <v>260</v>
      </c>
      <c r="J1626" s="296">
        <v>273</v>
      </c>
      <c r="K1626" s="296">
        <v>227</v>
      </c>
      <c r="L1626" s="296">
        <v>0</v>
      </c>
      <c r="M1626" s="296">
        <v>240</v>
      </c>
      <c r="N1626" s="297">
        <v>0.48</v>
      </c>
    </row>
    <row r="1627" spans="1:14" ht="18" customHeight="1">
      <c r="A1627" s="293" t="s">
        <v>3229</v>
      </c>
      <c r="B1627" s="294">
        <v>46222</v>
      </c>
      <c r="C1627" s="286" t="s">
        <v>3773</v>
      </c>
      <c r="D1627" s="286" t="s">
        <v>102</v>
      </c>
      <c r="E1627" s="295">
        <v>1</v>
      </c>
      <c r="F1627" s="295">
        <v>1</v>
      </c>
      <c r="G1627" s="296">
        <v>0</v>
      </c>
      <c r="H1627" s="296">
        <v>500</v>
      </c>
      <c r="I1627" s="296">
        <v>260</v>
      </c>
      <c r="J1627" s="296">
        <v>273</v>
      </c>
      <c r="K1627" s="296">
        <v>227</v>
      </c>
      <c r="L1627" s="296">
        <v>68.099999999999994</v>
      </c>
      <c r="M1627" s="296">
        <v>240</v>
      </c>
      <c r="N1627" s="297">
        <v>0.48</v>
      </c>
    </row>
    <row r="1628" spans="1:14" ht="18" customHeight="1">
      <c r="A1628" s="293" t="s">
        <v>3230</v>
      </c>
      <c r="B1628" s="294">
        <v>46223</v>
      </c>
      <c r="C1628" s="286" t="s">
        <v>348</v>
      </c>
      <c r="D1628" s="286" t="s">
        <v>247</v>
      </c>
      <c r="E1628" s="295">
        <v>2</v>
      </c>
      <c r="F1628" s="295">
        <v>5</v>
      </c>
      <c r="G1628" s="296">
        <v>0</v>
      </c>
      <c r="H1628" s="296">
        <v>3400</v>
      </c>
      <c r="I1628" s="296">
        <v>2100</v>
      </c>
      <c r="J1628" s="296">
        <v>2205</v>
      </c>
      <c r="K1628" s="296">
        <v>1195</v>
      </c>
      <c r="L1628" s="296">
        <v>358.5</v>
      </c>
      <c r="M1628" s="296">
        <v>1300</v>
      </c>
      <c r="N1628" s="297">
        <v>0.38235294117647056</v>
      </c>
    </row>
    <row r="1629" spans="1:14" ht="18" customHeight="1">
      <c r="A1629" s="293" t="s">
        <v>3231</v>
      </c>
      <c r="B1629" s="294">
        <v>46223</v>
      </c>
      <c r="C1629" s="286" t="s">
        <v>3773</v>
      </c>
      <c r="D1629" s="286" t="s">
        <v>102</v>
      </c>
      <c r="E1629" s="295">
        <v>1</v>
      </c>
      <c r="F1629" s="295">
        <v>1</v>
      </c>
      <c r="G1629" s="296">
        <v>0</v>
      </c>
      <c r="H1629" s="296">
        <v>2000</v>
      </c>
      <c r="I1629" s="296">
        <v>1300</v>
      </c>
      <c r="J1629" s="296">
        <v>1365</v>
      </c>
      <c r="K1629" s="296">
        <v>635</v>
      </c>
      <c r="L1629" s="296">
        <v>190.5</v>
      </c>
      <c r="M1629" s="296">
        <v>700</v>
      </c>
      <c r="N1629" s="297">
        <v>0.35</v>
      </c>
    </row>
    <row r="1630" spans="1:14" ht="18" customHeight="1">
      <c r="A1630" s="293" t="s">
        <v>3232</v>
      </c>
      <c r="B1630" s="294">
        <v>46223</v>
      </c>
      <c r="C1630" s="286" t="s">
        <v>168</v>
      </c>
      <c r="D1630" s="286" t="s">
        <v>120</v>
      </c>
      <c r="E1630" s="295">
        <v>2</v>
      </c>
      <c r="F1630" s="295">
        <v>2</v>
      </c>
      <c r="G1630" s="296">
        <v>0</v>
      </c>
      <c r="H1630" s="296">
        <v>2400</v>
      </c>
      <c r="I1630" s="296">
        <v>1440</v>
      </c>
      <c r="J1630" s="296">
        <v>1512</v>
      </c>
      <c r="K1630" s="296">
        <v>888</v>
      </c>
      <c r="L1630" s="296">
        <v>0</v>
      </c>
      <c r="M1630" s="296">
        <v>960</v>
      </c>
      <c r="N1630" s="297">
        <v>0.4</v>
      </c>
    </row>
    <row r="1631" spans="1:14" ht="18" customHeight="1">
      <c r="A1631" s="293" t="s">
        <v>3233</v>
      </c>
      <c r="B1631" s="294">
        <v>46223</v>
      </c>
      <c r="C1631" s="286" t="s">
        <v>168</v>
      </c>
      <c r="D1631" s="286" t="s">
        <v>112</v>
      </c>
      <c r="E1631" s="295">
        <v>1</v>
      </c>
      <c r="F1631" s="295">
        <v>0.2</v>
      </c>
      <c r="G1631" s="296">
        <v>0</v>
      </c>
      <c r="H1631" s="296">
        <v>500</v>
      </c>
      <c r="I1631" s="296">
        <v>339.8</v>
      </c>
      <c r="J1631" s="296">
        <v>349.99400000000003</v>
      </c>
      <c r="K1631" s="296">
        <v>150.00599999999997</v>
      </c>
      <c r="L1631" s="296">
        <v>0</v>
      </c>
      <c r="M1631" s="296">
        <v>160.19999999999999</v>
      </c>
      <c r="N1631" s="297">
        <v>0.32039999999999996</v>
      </c>
    </row>
    <row r="1632" spans="1:14" ht="18" customHeight="1">
      <c r="A1632" s="293" t="s">
        <v>3234</v>
      </c>
      <c r="B1632" s="294">
        <v>46223</v>
      </c>
      <c r="C1632" s="286" t="s">
        <v>168</v>
      </c>
      <c r="D1632" s="286" t="s">
        <v>241</v>
      </c>
      <c r="E1632" s="295">
        <v>4</v>
      </c>
      <c r="F1632" s="295">
        <v>9</v>
      </c>
      <c r="G1632" s="296">
        <v>0</v>
      </c>
      <c r="H1632" s="296">
        <v>5290</v>
      </c>
      <c r="I1632" s="296">
        <v>4585.5</v>
      </c>
      <c r="J1632" s="296">
        <v>4723.0649999999996</v>
      </c>
      <c r="K1632" s="296">
        <v>566.93499999999995</v>
      </c>
      <c r="L1632" s="296">
        <v>0</v>
      </c>
      <c r="M1632" s="296">
        <v>704.5</v>
      </c>
      <c r="N1632" s="297">
        <v>0.13317580340264651</v>
      </c>
    </row>
    <row r="1633" spans="1:14" ht="18" customHeight="1">
      <c r="A1633" s="293" t="s">
        <v>3235</v>
      </c>
      <c r="B1633" s="294">
        <v>46223</v>
      </c>
      <c r="C1633" s="286" t="s">
        <v>168</v>
      </c>
      <c r="D1633" s="286" t="s">
        <v>92</v>
      </c>
      <c r="E1633" s="295">
        <v>1</v>
      </c>
      <c r="F1633" s="295">
        <v>1</v>
      </c>
      <c r="G1633" s="296">
        <v>0</v>
      </c>
      <c r="H1633" s="296">
        <v>2000</v>
      </c>
      <c r="I1633" s="296">
        <v>780</v>
      </c>
      <c r="J1633" s="296">
        <v>819</v>
      </c>
      <c r="K1633" s="296">
        <v>1181</v>
      </c>
      <c r="L1633" s="296">
        <v>0</v>
      </c>
      <c r="M1633" s="296">
        <v>1220</v>
      </c>
      <c r="N1633" s="297">
        <v>0.61</v>
      </c>
    </row>
    <row r="1634" spans="1:14" ht="18" customHeight="1">
      <c r="A1634" s="293" t="s">
        <v>3236</v>
      </c>
      <c r="B1634" s="294">
        <v>46223</v>
      </c>
      <c r="C1634" s="286" t="s">
        <v>353</v>
      </c>
      <c r="D1634" s="286" t="s">
        <v>94</v>
      </c>
      <c r="E1634" s="295">
        <v>2</v>
      </c>
      <c r="F1634" s="295">
        <v>6</v>
      </c>
      <c r="G1634" s="296">
        <v>0</v>
      </c>
      <c r="H1634" s="296">
        <v>2225</v>
      </c>
      <c r="I1634" s="296">
        <v>1480</v>
      </c>
      <c r="J1634" s="296">
        <v>1554</v>
      </c>
      <c r="K1634" s="296">
        <v>671</v>
      </c>
      <c r="L1634" s="296">
        <v>201.3</v>
      </c>
      <c r="M1634" s="296">
        <v>745</v>
      </c>
      <c r="N1634" s="297">
        <v>0.33483146067415731</v>
      </c>
    </row>
    <row r="1635" spans="1:14" ht="18" customHeight="1">
      <c r="A1635" s="293" t="s">
        <v>3237</v>
      </c>
      <c r="B1635" s="294">
        <v>46223</v>
      </c>
      <c r="C1635" s="286" t="s">
        <v>168</v>
      </c>
      <c r="D1635" s="286" t="s">
        <v>96</v>
      </c>
      <c r="E1635" s="295">
        <v>2</v>
      </c>
      <c r="F1635" s="295">
        <v>2</v>
      </c>
      <c r="G1635" s="296">
        <v>0</v>
      </c>
      <c r="H1635" s="296">
        <v>1110</v>
      </c>
      <c r="I1635" s="296">
        <v>505</v>
      </c>
      <c r="J1635" s="296">
        <v>530.25</v>
      </c>
      <c r="K1635" s="296">
        <v>579.75</v>
      </c>
      <c r="L1635" s="296">
        <v>0</v>
      </c>
      <c r="M1635" s="296">
        <v>605</v>
      </c>
      <c r="N1635" s="297">
        <v>0.54504504504504503</v>
      </c>
    </row>
    <row r="1636" spans="1:14" ht="18" customHeight="1">
      <c r="A1636" s="293" t="s">
        <v>3238</v>
      </c>
      <c r="B1636" s="294">
        <v>46223</v>
      </c>
      <c r="C1636" s="286" t="s">
        <v>168</v>
      </c>
      <c r="D1636" s="286" t="s">
        <v>124</v>
      </c>
      <c r="E1636" s="295">
        <v>2</v>
      </c>
      <c r="F1636" s="295">
        <v>2</v>
      </c>
      <c r="G1636" s="296">
        <v>0</v>
      </c>
      <c r="H1636" s="296">
        <v>2450</v>
      </c>
      <c r="I1636" s="296">
        <v>1200</v>
      </c>
      <c r="J1636" s="296">
        <v>1260</v>
      </c>
      <c r="K1636" s="296">
        <v>1190</v>
      </c>
      <c r="L1636" s="296">
        <v>0</v>
      </c>
      <c r="M1636" s="296">
        <v>1250</v>
      </c>
      <c r="N1636" s="297">
        <v>0.51020408163265307</v>
      </c>
    </row>
    <row r="1637" spans="1:14" ht="18" customHeight="1">
      <c r="A1637" s="293" t="s">
        <v>3239</v>
      </c>
      <c r="B1637" s="294">
        <v>46223</v>
      </c>
      <c r="C1637" s="286" t="s">
        <v>168</v>
      </c>
      <c r="D1637" s="286" t="s">
        <v>246</v>
      </c>
      <c r="E1637" s="295">
        <v>1</v>
      </c>
      <c r="F1637" s="295">
        <v>1</v>
      </c>
      <c r="G1637" s="296">
        <v>0</v>
      </c>
      <c r="H1637" s="296">
        <v>1800</v>
      </c>
      <c r="I1637" s="296">
        <v>1150</v>
      </c>
      <c r="J1637" s="296">
        <v>1207.5</v>
      </c>
      <c r="K1637" s="296">
        <v>592.5</v>
      </c>
      <c r="L1637" s="296">
        <v>0</v>
      </c>
      <c r="M1637" s="296">
        <v>650</v>
      </c>
      <c r="N1637" s="297">
        <v>0.3611111111111111</v>
      </c>
    </row>
    <row r="1638" spans="1:14" ht="18" customHeight="1">
      <c r="A1638" s="293" t="s">
        <v>3240</v>
      </c>
      <c r="B1638" s="294">
        <v>46223</v>
      </c>
      <c r="C1638" s="286" t="s">
        <v>168</v>
      </c>
      <c r="D1638" s="286" t="s">
        <v>259</v>
      </c>
      <c r="E1638" s="295">
        <v>4</v>
      </c>
      <c r="F1638" s="295">
        <v>4</v>
      </c>
      <c r="G1638" s="296">
        <v>0</v>
      </c>
      <c r="H1638" s="296">
        <v>5060</v>
      </c>
      <c r="I1638" s="296">
        <v>3155</v>
      </c>
      <c r="J1638" s="296">
        <v>3312.75</v>
      </c>
      <c r="K1638" s="296">
        <v>1747.25</v>
      </c>
      <c r="L1638" s="296">
        <v>0</v>
      </c>
      <c r="M1638" s="296">
        <v>1905</v>
      </c>
      <c r="N1638" s="297">
        <v>0.37648221343873517</v>
      </c>
    </row>
    <row r="1639" spans="1:14" ht="18" customHeight="1">
      <c r="A1639" s="293" t="s">
        <v>3241</v>
      </c>
      <c r="B1639" s="294">
        <v>46223</v>
      </c>
      <c r="C1639" s="286" t="s">
        <v>353</v>
      </c>
      <c r="D1639" s="286" t="s">
        <v>174</v>
      </c>
      <c r="E1639" s="295">
        <v>1</v>
      </c>
      <c r="F1639" s="295">
        <v>1</v>
      </c>
      <c r="G1639" s="296">
        <v>0</v>
      </c>
      <c r="H1639" s="296">
        <v>2150</v>
      </c>
      <c r="I1639" s="296">
        <v>1500</v>
      </c>
      <c r="J1639" s="296">
        <v>1575</v>
      </c>
      <c r="K1639" s="296">
        <v>575</v>
      </c>
      <c r="L1639" s="296">
        <v>172.5</v>
      </c>
      <c r="M1639" s="296">
        <v>650</v>
      </c>
      <c r="N1639" s="297">
        <v>0.30232558139534882</v>
      </c>
    </row>
    <row r="1640" spans="1:14" ht="18" customHeight="1">
      <c r="A1640" s="293" t="s">
        <v>3242</v>
      </c>
      <c r="B1640" s="294">
        <v>46223</v>
      </c>
      <c r="C1640" s="286" t="s">
        <v>168</v>
      </c>
      <c r="D1640" s="286" t="s">
        <v>248</v>
      </c>
      <c r="E1640" s="295">
        <v>1</v>
      </c>
      <c r="F1640" s="295">
        <v>1</v>
      </c>
      <c r="G1640" s="296">
        <v>0</v>
      </c>
      <c r="H1640" s="296">
        <v>35</v>
      </c>
      <c r="I1640" s="296">
        <v>21</v>
      </c>
      <c r="J1640" s="296">
        <v>21.63</v>
      </c>
      <c r="K1640" s="296">
        <v>13.370000000000001</v>
      </c>
      <c r="L1640" s="296">
        <v>0</v>
      </c>
      <c r="M1640" s="296">
        <v>14</v>
      </c>
      <c r="N1640" s="297">
        <v>0.4</v>
      </c>
    </row>
    <row r="1641" spans="1:14" ht="18" customHeight="1">
      <c r="A1641" s="293" t="s">
        <v>3243</v>
      </c>
      <c r="B1641" s="294">
        <v>46223</v>
      </c>
      <c r="C1641" s="286" t="s">
        <v>168</v>
      </c>
      <c r="D1641" s="286" t="s">
        <v>99</v>
      </c>
      <c r="E1641" s="295">
        <v>1</v>
      </c>
      <c r="F1641" s="295">
        <v>1</v>
      </c>
      <c r="G1641" s="296">
        <v>0</v>
      </c>
      <c r="H1641" s="296">
        <v>2100</v>
      </c>
      <c r="I1641" s="296">
        <v>1200</v>
      </c>
      <c r="J1641" s="296">
        <v>1260</v>
      </c>
      <c r="K1641" s="296">
        <v>840</v>
      </c>
      <c r="L1641" s="296">
        <v>0</v>
      </c>
      <c r="M1641" s="296">
        <v>900</v>
      </c>
      <c r="N1641" s="297">
        <v>0.42857142857142855</v>
      </c>
    </row>
    <row r="1642" spans="1:14" ht="18" customHeight="1">
      <c r="A1642" s="293" t="s">
        <v>3244</v>
      </c>
      <c r="B1642" s="294">
        <v>46224</v>
      </c>
      <c r="C1642" s="286" t="s">
        <v>168</v>
      </c>
      <c r="D1642" s="286" t="s">
        <v>196</v>
      </c>
      <c r="E1642" s="295">
        <v>1</v>
      </c>
      <c r="F1642" s="295">
        <v>1</v>
      </c>
      <c r="G1642" s="296">
        <v>0</v>
      </c>
      <c r="H1642" s="296">
        <v>2000</v>
      </c>
      <c r="I1642" s="296">
        <v>1300</v>
      </c>
      <c r="J1642" s="296">
        <v>1365</v>
      </c>
      <c r="K1642" s="296">
        <v>635</v>
      </c>
      <c r="L1642" s="296">
        <v>0</v>
      </c>
      <c r="M1642" s="296">
        <v>700</v>
      </c>
      <c r="N1642" s="297">
        <v>0.35</v>
      </c>
    </row>
    <row r="1643" spans="1:14" ht="18" customHeight="1">
      <c r="A1643" s="293" t="s">
        <v>3245</v>
      </c>
      <c r="B1643" s="294">
        <v>46224</v>
      </c>
      <c r="C1643" s="286" t="s">
        <v>3773</v>
      </c>
      <c r="D1643" s="286" t="s">
        <v>102</v>
      </c>
      <c r="E1643" s="295">
        <v>5</v>
      </c>
      <c r="F1643" s="295">
        <v>9</v>
      </c>
      <c r="G1643" s="296">
        <v>0</v>
      </c>
      <c r="H1643" s="296">
        <v>2935</v>
      </c>
      <c r="I1643" s="296">
        <v>1370</v>
      </c>
      <c r="J1643" s="296">
        <v>1437.8</v>
      </c>
      <c r="K1643" s="296">
        <v>1497.2</v>
      </c>
      <c r="L1643" s="296">
        <v>449.15999999999997</v>
      </c>
      <c r="M1643" s="296">
        <v>1565</v>
      </c>
      <c r="N1643" s="297">
        <v>0.53321976149914818</v>
      </c>
    </row>
    <row r="1644" spans="1:14" ht="18" customHeight="1">
      <c r="A1644" s="293" t="s">
        <v>3246</v>
      </c>
      <c r="B1644" s="294">
        <v>46224</v>
      </c>
      <c r="C1644" s="286" t="s">
        <v>353</v>
      </c>
      <c r="D1644" s="286" t="s">
        <v>108</v>
      </c>
      <c r="E1644" s="295">
        <v>3</v>
      </c>
      <c r="F1644" s="295">
        <v>3</v>
      </c>
      <c r="G1644" s="296">
        <v>0</v>
      </c>
      <c r="H1644" s="296">
        <v>9862</v>
      </c>
      <c r="I1644" s="296">
        <v>8284</v>
      </c>
      <c r="J1644" s="296">
        <v>8698.2000000000007</v>
      </c>
      <c r="K1644" s="296">
        <v>1163.7999999999993</v>
      </c>
      <c r="L1644" s="296">
        <v>349.13999999999976</v>
      </c>
      <c r="M1644" s="296">
        <v>1578</v>
      </c>
      <c r="N1644" s="297">
        <v>0.16000811194483877</v>
      </c>
    </row>
    <row r="1645" spans="1:14" ht="18" customHeight="1">
      <c r="A1645" s="293" t="s">
        <v>3247</v>
      </c>
      <c r="B1645" s="294">
        <v>46224</v>
      </c>
      <c r="C1645" s="286" t="s">
        <v>354</v>
      </c>
      <c r="D1645" s="286" t="s">
        <v>109</v>
      </c>
      <c r="E1645" s="295">
        <v>1</v>
      </c>
      <c r="F1645" s="295">
        <v>1</v>
      </c>
      <c r="G1645" s="296">
        <v>0</v>
      </c>
      <c r="H1645" s="296">
        <v>1900</v>
      </c>
      <c r="I1645" s="296">
        <v>1200</v>
      </c>
      <c r="J1645" s="296">
        <v>1260</v>
      </c>
      <c r="K1645" s="296">
        <v>640</v>
      </c>
      <c r="L1645" s="296">
        <v>192</v>
      </c>
      <c r="M1645" s="296">
        <v>700</v>
      </c>
      <c r="N1645" s="297">
        <v>0.36842105263157893</v>
      </c>
    </row>
    <row r="1646" spans="1:14" ht="18" customHeight="1">
      <c r="A1646" s="293" t="s">
        <v>3248</v>
      </c>
      <c r="B1646" s="294">
        <v>46224</v>
      </c>
      <c r="C1646" s="286" t="s">
        <v>168</v>
      </c>
      <c r="D1646" s="286" t="s">
        <v>175</v>
      </c>
      <c r="E1646" s="295">
        <v>1</v>
      </c>
      <c r="F1646" s="295">
        <v>2</v>
      </c>
      <c r="G1646" s="296">
        <v>0</v>
      </c>
      <c r="H1646" s="296">
        <v>4000</v>
      </c>
      <c r="I1646" s="296">
        <v>2700</v>
      </c>
      <c r="J1646" s="296">
        <v>2835</v>
      </c>
      <c r="K1646" s="296">
        <v>1165</v>
      </c>
      <c r="L1646" s="296">
        <v>0</v>
      </c>
      <c r="M1646" s="296">
        <v>1300</v>
      </c>
      <c r="N1646" s="297">
        <v>0.32500000000000001</v>
      </c>
    </row>
    <row r="1647" spans="1:14" ht="18" customHeight="1">
      <c r="A1647" s="293" t="s">
        <v>3249</v>
      </c>
      <c r="B1647" s="294">
        <v>46224</v>
      </c>
      <c r="C1647" s="286" t="s">
        <v>353</v>
      </c>
      <c r="D1647" s="286" t="s">
        <v>94</v>
      </c>
      <c r="E1647" s="295">
        <v>1</v>
      </c>
      <c r="F1647" s="295">
        <v>1</v>
      </c>
      <c r="G1647" s="296">
        <v>0</v>
      </c>
      <c r="H1647" s="296">
        <v>360</v>
      </c>
      <c r="I1647" s="296">
        <v>250</v>
      </c>
      <c r="J1647" s="296">
        <v>257.5</v>
      </c>
      <c r="K1647" s="296">
        <v>102.5</v>
      </c>
      <c r="L1647" s="296">
        <v>30.75</v>
      </c>
      <c r="M1647" s="296">
        <v>110</v>
      </c>
      <c r="N1647" s="297">
        <v>0.30555555555555558</v>
      </c>
    </row>
    <row r="1648" spans="1:14" ht="18" customHeight="1">
      <c r="A1648" s="293" t="s">
        <v>3250</v>
      </c>
      <c r="B1648" s="294">
        <v>46224</v>
      </c>
      <c r="C1648" s="286" t="s">
        <v>168</v>
      </c>
      <c r="D1648" s="286" t="s">
        <v>115</v>
      </c>
      <c r="E1648" s="295">
        <v>2</v>
      </c>
      <c r="F1648" s="295">
        <v>2</v>
      </c>
      <c r="G1648" s="296">
        <v>0</v>
      </c>
      <c r="H1648" s="296">
        <v>9350</v>
      </c>
      <c r="I1648" s="296">
        <v>7954</v>
      </c>
      <c r="J1648" s="296">
        <v>8351.7000000000007</v>
      </c>
      <c r="K1648" s="296">
        <v>998.29999999999927</v>
      </c>
      <c r="L1648" s="296">
        <v>0</v>
      </c>
      <c r="M1648" s="296">
        <v>1396</v>
      </c>
      <c r="N1648" s="297">
        <v>0.14930481283422459</v>
      </c>
    </row>
    <row r="1649" spans="1:14" ht="18" customHeight="1">
      <c r="A1649" s="293" t="s">
        <v>3251</v>
      </c>
      <c r="B1649" s="294">
        <v>46224</v>
      </c>
      <c r="C1649" s="286" t="s">
        <v>168</v>
      </c>
      <c r="D1649" s="286" t="s">
        <v>128</v>
      </c>
      <c r="E1649" s="295">
        <v>1</v>
      </c>
      <c r="F1649" s="295">
        <v>1</v>
      </c>
      <c r="G1649" s="296">
        <v>0</v>
      </c>
      <c r="H1649" s="296">
        <v>550</v>
      </c>
      <c r="I1649" s="296">
        <v>280</v>
      </c>
      <c r="J1649" s="296">
        <v>294</v>
      </c>
      <c r="K1649" s="296">
        <v>256</v>
      </c>
      <c r="L1649" s="296">
        <v>0</v>
      </c>
      <c r="M1649" s="296">
        <v>270</v>
      </c>
      <c r="N1649" s="297">
        <v>0.49090909090909091</v>
      </c>
    </row>
    <row r="1650" spans="1:14" ht="18" customHeight="1">
      <c r="A1650" s="293" t="s">
        <v>3252</v>
      </c>
      <c r="B1650" s="294">
        <v>46224</v>
      </c>
      <c r="C1650" s="286" t="s">
        <v>168</v>
      </c>
      <c r="D1650" s="286" t="s">
        <v>124</v>
      </c>
      <c r="E1650" s="295">
        <v>6</v>
      </c>
      <c r="F1650" s="295">
        <v>9</v>
      </c>
      <c r="G1650" s="296">
        <v>0</v>
      </c>
      <c r="H1650" s="296">
        <v>1100</v>
      </c>
      <c r="I1650" s="296">
        <v>476</v>
      </c>
      <c r="J1650" s="296">
        <v>499.8</v>
      </c>
      <c r="K1650" s="296">
        <v>600.20000000000005</v>
      </c>
      <c r="L1650" s="296">
        <v>0</v>
      </c>
      <c r="M1650" s="296">
        <v>624</v>
      </c>
      <c r="N1650" s="297">
        <v>0.56727272727272726</v>
      </c>
    </row>
    <row r="1651" spans="1:14" ht="18" customHeight="1">
      <c r="A1651" s="293" t="s">
        <v>3253</v>
      </c>
      <c r="B1651" s="294">
        <v>46224</v>
      </c>
      <c r="C1651" s="286" t="s">
        <v>168</v>
      </c>
      <c r="D1651" s="286" t="s">
        <v>97</v>
      </c>
      <c r="E1651" s="295">
        <v>2</v>
      </c>
      <c r="F1651" s="295">
        <v>2</v>
      </c>
      <c r="G1651" s="296">
        <v>0</v>
      </c>
      <c r="H1651" s="296">
        <v>3840</v>
      </c>
      <c r="I1651" s="296">
        <v>1830</v>
      </c>
      <c r="J1651" s="296">
        <v>1921.5</v>
      </c>
      <c r="K1651" s="296">
        <v>1918.5</v>
      </c>
      <c r="L1651" s="296">
        <v>0</v>
      </c>
      <c r="M1651" s="296">
        <v>2010</v>
      </c>
      <c r="N1651" s="297">
        <v>0.5234375</v>
      </c>
    </row>
    <row r="1652" spans="1:14" ht="18" customHeight="1">
      <c r="A1652" s="293" t="s">
        <v>3254</v>
      </c>
      <c r="B1652" s="294">
        <v>46224</v>
      </c>
      <c r="C1652" s="286" t="s">
        <v>168</v>
      </c>
      <c r="D1652" s="286" t="s">
        <v>99</v>
      </c>
      <c r="E1652" s="295">
        <v>12</v>
      </c>
      <c r="F1652" s="295">
        <v>24</v>
      </c>
      <c r="G1652" s="296">
        <v>0</v>
      </c>
      <c r="H1652" s="296">
        <v>5215</v>
      </c>
      <c r="I1652" s="296">
        <v>3174.1</v>
      </c>
      <c r="J1652" s="296">
        <v>3309.0329999999999</v>
      </c>
      <c r="K1652" s="296">
        <v>1905.9670000000001</v>
      </c>
      <c r="L1652" s="296">
        <v>0</v>
      </c>
      <c r="M1652" s="296">
        <v>2040.9</v>
      </c>
      <c r="N1652" s="297">
        <v>0.39135186960690316</v>
      </c>
    </row>
    <row r="1653" spans="1:14" ht="18" customHeight="1">
      <c r="A1653" s="293" t="s">
        <v>3255</v>
      </c>
      <c r="B1653" s="294">
        <v>46224</v>
      </c>
      <c r="C1653" s="286" t="s">
        <v>168</v>
      </c>
      <c r="D1653" s="286" t="s">
        <v>260</v>
      </c>
      <c r="E1653" s="295">
        <v>1</v>
      </c>
      <c r="F1653" s="295">
        <v>1</v>
      </c>
      <c r="G1653" s="296">
        <v>0</v>
      </c>
      <c r="H1653" s="296">
        <v>2100</v>
      </c>
      <c r="I1653" s="296">
        <v>1450</v>
      </c>
      <c r="J1653" s="296">
        <v>1522.5</v>
      </c>
      <c r="K1653" s="296">
        <v>577.5</v>
      </c>
      <c r="L1653" s="296">
        <v>0</v>
      </c>
      <c r="M1653" s="296">
        <v>650</v>
      </c>
      <c r="N1653" s="297">
        <v>0.30952380952380953</v>
      </c>
    </row>
    <row r="1654" spans="1:14" ht="18" customHeight="1">
      <c r="A1654" s="293" t="s">
        <v>3256</v>
      </c>
      <c r="B1654" s="294">
        <v>46225</v>
      </c>
      <c r="C1654" s="286" t="s">
        <v>3773</v>
      </c>
      <c r="D1654" s="286" t="s">
        <v>102</v>
      </c>
      <c r="E1654" s="295">
        <v>3</v>
      </c>
      <c r="F1654" s="295">
        <v>3</v>
      </c>
      <c r="G1654" s="296">
        <v>0</v>
      </c>
      <c r="H1654" s="296">
        <v>1700</v>
      </c>
      <c r="I1654" s="296">
        <v>820</v>
      </c>
      <c r="J1654" s="296">
        <v>861</v>
      </c>
      <c r="K1654" s="296">
        <v>839</v>
      </c>
      <c r="L1654" s="296">
        <v>251.7</v>
      </c>
      <c r="M1654" s="296">
        <v>880</v>
      </c>
      <c r="N1654" s="297">
        <v>0.51764705882352946</v>
      </c>
    </row>
    <row r="1655" spans="1:14" ht="18" customHeight="1">
      <c r="A1655" s="293" t="s">
        <v>3257</v>
      </c>
      <c r="B1655" s="294">
        <v>46225</v>
      </c>
      <c r="C1655" s="286" t="s">
        <v>168</v>
      </c>
      <c r="D1655" s="286" t="s">
        <v>121</v>
      </c>
      <c r="E1655" s="295">
        <v>3</v>
      </c>
      <c r="F1655" s="295">
        <v>3</v>
      </c>
      <c r="G1655" s="296">
        <v>0</v>
      </c>
      <c r="H1655" s="296">
        <v>11550</v>
      </c>
      <c r="I1655" s="296">
        <v>9064</v>
      </c>
      <c r="J1655" s="296">
        <v>9517.2000000000007</v>
      </c>
      <c r="K1655" s="296">
        <v>2032.7999999999993</v>
      </c>
      <c r="L1655" s="296">
        <v>0</v>
      </c>
      <c r="M1655" s="296">
        <v>2486</v>
      </c>
      <c r="N1655" s="297">
        <v>0.21523809523809523</v>
      </c>
    </row>
    <row r="1656" spans="1:14" ht="18" customHeight="1">
      <c r="A1656" s="293" t="s">
        <v>3258</v>
      </c>
      <c r="B1656" s="294">
        <v>46225</v>
      </c>
      <c r="C1656" s="286" t="s">
        <v>168</v>
      </c>
      <c r="D1656" s="286" t="s">
        <v>96</v>
      </c>
      <c r="E1656" s="295">
        <v>2</v>
      </c>
      <c r="F1656" s="295">
        <v>2</v>
      </c>
      <c r="G1656" s="296">
        <v>0</v>
      </c>
      <c r="H1656" s="296">
        <v>1980</v>
      </c>
      <c r="I1656" s="296">
        <v>1122</v>
      </c>
      <c r="J1656" s="296">
        <v>1178.0999999999999</v>
      </c>
      <c r="K1656" s="296">
        <v>801.9</v>
      </c>
      <c r="L1656" s="296">
        <v>0</v>
      </c>
      <c r="M1656" s="296">
        <v>858</v>
      </c>
      <c r="N1656" s="297">
        <v>0.43333333333333335</v>
      </c>
    </row>
    <row r="1657" spans="1:14" ht="18" customHeight="1">
      <c r="A1657" s="293" t="s">
        <v>3259</v>
      </c>
      <c r="B1657" s="294">
        <v>46225</v>
      </c>
      <c r="C1657" s="286" t="s">
        <v>168</v>
      </c>
      <c r="D1657" s="286" t="s">
        <v>171</v>
      </c>
      <c r="E1657" s="295">
        <v>2</v>
      </c>
      <c r="F1657" s="295">
        <v>2</v>
      </c>
      <c r="G1657" s="296">
        <v>0</v>
      </c>
      <c r="H1657" s="296">
        <v>385</v>
      </c>
      <c r="I1657" s="296">
        <v>200</v>
      </c>
      <c r="J1657" s="296">
        <v>206</v>
      </c>
      <c r="K1657" s="296">
        <v>179</v>
      </c>
      <c r="L1657" s="296">
        <v>0</v>
      </c>
      <c r="M1657" s="296">
        <v>185</v>
      </c>
      <c r="N1657" s="297">
        <v>0.48051948051948051</v>
      </c>
    </row>
    <row r="1658" spans="1:14" ht="18" customHeight="1">
      <c r="A1658" s="293" t="s">
        <v>3260</v>
      </c>
      <c r="B1658" s="294">
        <v>46225</v>
      </c>
      <c r="C1658" s="286" t="s">
        <v>168</v>
      </c>
      <c r="D1658" s="286" t="s">
        <v>115</v>
      </c>
      <c r="E1658" s="295">
        <v>1</v>
      </c>
      <c r="F1658" s="295">
        <v>1</v>
      </c>
      <c r="G1658" s="296">
        <v>0</v>
      </c>
      <c r="H1658" s="296">
        <v>2100</v>
      </c>
      <c r="I1658" s="296">
        <v>1200</v>
      </c>
      <c r="J1658" s="296">
        <v>1260</v>
      </c>
      <c r="K1658" s="296">
        <v>840</v>
      </c>
      <c r="L1658" s="296">
        <v>0</v>
      </c>
      <c r="M1658" s="296">
        <v>900</v>
      </c>
      <c r="N1658" s="297">
        <v>0.42857142857142855</v>
      </c>
    </row>
    <row r="1659" spans="1:14" ht="18" customHeight="1">
      <c r="A1659" s="293" t="s">
        <v>3261</v>
      </c>
      <c r="B1659" s="294">
        <v>46225</v>
      </c>
      <c r="C1659" s="286" t="s">
        <v>168</v>
      </c>
      <c r="D1659" s="286" t="s">
        <v>117</v>
      </c>
      <c r="E1659" s="295">
        <v>11</v>
      </c>
      <c r="F1659" s="295">
        <v>26.4</v>
      </c>
      <c r="G1659" s="296">
        <v>0</v>
      </c>
      <c r="H1659" s="296">
        <v>2425</v>
      </c>
      <c r="I1659" s="296">
        <v>1552.1000000000001</v>
      </c>
      <c r="J1659" s="296">
        <v>1600.643</v>
      </c>
      <c r="K1659" s="296">
        <v>824.35699999999986</v>
      </c>
      <c r="L1659" s="296">
        <v>0</v>
      </c>
      <c r="M1659" s="296">
        <v>872.89999999999986</v>
      </c>
      <c r="N1659" s="297">
        <v>0.35995876288659789</v>
      </c>
    </row>
    <row r="1660" spans="1:14" ht="18" customHeight="1">
      <c r="A1660" s="293" t="s">
        <v>3262</v>
      </c>
      <c r="B1660" s="294">
        <v>46225</v>
      </c>
      <c r="C1660" s="286" t="s">
        <v>168</v>
      </c>
      <c r="D1660" s="286" t="s">
        <v>97</v>
      </c>
      <c r="E1660" s="295">
        <v>3</v>
      </c>
      <c r="F1660" s="295">
        <v>9</v>
      </c>
      <c r="G1660" s="296">
        <v>0</v>
      </c>
      <c r="H1660" s="296">
        <v>3075</v>
      </c>
      <c r="I1660" s="296">
        <v>1548</v>
      </c>
      <c r="J1660" s="296">
        <v>1625.4</v>
      </c>
      <c r="K1660" s="296">
        <v>1449.6</v>
      </c>
      <c r="L1660" s="296">
        <v>0</v>
      </c>
      <c r="M1660" s="296">
        <v>1527</v>
      </c>
      <c r="N1660" s="297">
        <v>0.49658536585365853</v>
      </c>
    </row>
    <row r="1661" spans="1:14" ht="18" customHeight="1">
      <c r="A1661" s="293" t="s">
        <v>3263</v>
      </c>
      <c r="B1661" s="294">
        <v>46225</v>
      </c>
      <c r="C1661" s="286" t="s">
        <v>168</v>
      </c>
      <c r="D1661" s="286" t="s">
        <v>99</v>
      </c>
      <c r="E1661" s="295">
        <v>2</v>
      </c>
      <c r="F1661" s="295">
        <v>3</v>
      </c>
      <c r="G1661" s="296">
        <v>0</v>
      </c>
      <c r="H1661" s="296">
        <v>470</v>
      </c>
      <c r="I1661" s="296">
        <v>269</v>
      </c>
      <c r="J1661" s="296">
        <v>278.75</v>
      </c>
      <c r="K1661" s="296">
        <v>191.25</v>
      </c>
      <c r="L1661" s="296">
        <v>0</v>
      </c>
      <c r="M1661" s="296">
        <v>201</v>
      </c>
      <c r="N1661" s="297">
        <v>0.42765957446808511</v>
      </c>
    </row>
    <row r="1662" spans="1:14" ht="18" customHeight="1">
      <c r="A1662" s="293" t="s">
        <v>3264</v>
      </c>
      <c r="B1662" s="294">
        <v>46226</v>
      </c>
      <c r="C1662" s="286" t="s">
        <v>3773</v>
      </c>
      <c r="D1662" s="286" t="s">
        <v>261</v>
      </c>
      <c r="E1662" s="295">
        <v>1</v>
      </c>
      <c r="F1662" s="295">
        <v>1</v>
      </c>
      <c r="G1662" s="296">
        <v>0</v>
      </c>
      <c r="H1662" s="296">
        <v>250</v>
      </c>
      <c r="I1662" s="296">
        <v>72</v>
      </c>
      <c r="J1662" s="296">
        <v>75.600000000000009</v>
      </c>
      <c r="K1662" s="296">
        <v>174.39999999999998</v>
      </c>
      <c r="L1662" s="296">
        <v>52.319999999999993</v>
      </c>
      <c r="M1662" s="296">
        <v>178</v>
      </c>
      <c r="N1662" s="297">
        <v>0.71199999999999997</v>
      </c>
    </row>
    <row r="1663" spans="1:14" ht="18" customHeight="1">
      <c r="A1663" s="293" t="s">
        <v>3265</v>
      </c>
      <c r="B1663" s="294">
        <v>46226</v>
      </c>
      <c r="C1663" s="286" t="s">
        <v>3773</v>
      </c>
      <c r="D1663" s="286" t="s">
        <v>102</v>
      </c>
      <c r="E1663" s="295">
        <v>3</v>
      </c>
      <c r="F1663" s="295">
        <v>3</v>
      </c>
      <c r="G1663" s="296">
        <v>0</v>
      </c>
      <c r="H1663" s="296">
        <v>1660</v>
      </c>
      <c r="I1663" s="296">
        <v>770</v>
      </c>
      <c r="J1663" s="296">
        <v>808.5</v>
      </c>
      <c r="K1663" s="296">
        <v>851.5</v>
      </c>
      <c r="L1663" s="296">
        <v>255.45</v>
      </c>
      <c r="M1663" s="296">
        <v>890</v>
      </c>
      <c r="N1663" s="297">
        <v>0.53614457831325302</v>
      </c>
    </row>
    <row r="1664" spans="1:14" ht="18" customHeight="1">
      <c r="A1664" s="293" t="s">
        <v>3266</v>
      </c>
      <c r="B1664" s="294">
        <v>46226</v>
      </c>
      <c r="C1664" s="286" t="s">
        <v>3773</v>
      </c>
      <c r="D1664" s="286" t="s">
        <v>236</v>
      </c>
      <c r="E1664" s="295">
        <v>1</v>
      </c>
      <c r="F1664" s="295">
        <v>4</v>
      </c>
      <c r="G1664" s="296">
        <v>0</v>
      </c>
      <c r="H1664" s="296">
        <v>31600</v>
      </c>
      <c r="I1664" s="296">
        <v>27200</v>
      </c>
      <c r="J1664" s="296">
        <v>28560</v>
      </c>
      <c r="K1664" s="296">
        <v>3040</v>
      </c>
      <c r="L1664" s="296">
        <v>912</v>
      </c>
      <c r="M1664" s="296">
        <v>4400</v>
      </c>
      <c r="N1664" s="297">
        <v>0.13924050632911392</v>
      </c>
    </row>
    <row r="1665" spans="1:14" ht="18" customHeight="1">
      <c r="A1665" s="293" t="s">
        <v>3267</v>
      </c>
      <c r="B1665" s="294">
        <v>46226</v>
      </c>
      <c r="C1665" s="286" t="s">
        <v>168</v>
      </c>
      <c r="D1665" s="286" t="s">
        <v>241</v>
      </c>
      <c r="E1665" s="295">
        <v>4</v>
      </c>
      <c r="F1665" s="295">
        <v>14</v>
      </c>
      <c r="G1665" s="296">
        <v>0</v>
      </c>
      <c r="H1665" s="296">
        <v>940</v>
      </c>
      <c r="I1665" s="296">
        <v>596.54999999999995</v>
      </c>
      <c r="J1665" s="296">
        <v>614.44650000000001</v>
      </c>
      <c r="K1665" s="296">
        <v>325.55349999999999</v>
      </c>
      <c r="L1665" s="296">
        <v>0</v>
      </c>
      <c r="M1665" s="296">
        <v>343.45000000000005</v>
      </c>
      <c r="N1665" s="297">
        <v>0.36537234042553196</v>
      </c>
    </row>
    <row r="1666" spans="1:14" ht="18" customHeight="1">
      <c r="A1666" s="293" t="s">
        <v>3268</v>
      </c>
      <c r="B1666" s="294">
        <v>46226</v>
      </c>
      <c r="C1666" s="286" t="s">
        <v>168</v>
      </c>
      <c r="D1666" s="286" t="s">
        <v>165</v>
      </c>
      <c r="E1666" s="295">
        <v>6</v>
      </c>
      <c r="F1666" s="295">
        <v>18</v>
      </c>
      <c r="G1666" s="296">
        <v>0</v>
      </c>
      <c r="H1666" s="296">
        <v>7370</v>
      </c>
      <c r="I1666" s="296">
        <v>6276.2</v>
      </c>
      <c r="J1666" s="296">
        <v>6464.4859999999999</v>
      </c>
      <c r="K1666" s="296">
        <v>905.5139999999999</v>
      </c>
      <c r="L1666" s="296">
        <v>0</v>
      </c>
      <c r="M1666" s="296">
        <v>1093.8000000000002</v>
      </c>
      <c r="N1666" s="297">
        <v>0.14841248303934873</v>
      </c>
    </row>
    <row r="1667" spans="1:14" ht="18" customHeight="1">
      <c r="A1667" s="293" t="s">
        <v>3269</v>
      </c>
      <c r="B1667" s="294">
        <v>46226</v>
      </c>
      <c r="C1667" s="286" t="s">
        <v>353</v>
      </c>
      <c r="D1667" s="286" t="s">
        <v>108</v>
      </c>
      <c r="E1667" s="295">
        <v>3</v>
      </c>
      <c r="F1667" s="295">
        <v>3</v>
      </c>
      <c r="G1667" s="296">
        <v>0</v>
      </c>
      <c r="H1667" s="296">
        <v>4106</v>
      </c>
      <c r="I1667" s="296">
        <v>2810</v>
      </c>
      <c r="J1667" s="296">
        <v>2950.5</v>
      </c>
      <c r="K1667" s="296">
        <v>1155.5</v>
      </c>
      <c r="L1667" s="296">
        <v>346.65</v>
      </c>
      <c r="M1667" s="296">
        <v>1296</v>
      </c>
      <c r="N1667" s="297">
        <v>0.31563565513882125</v>
      </c>
    </row>
    <row r="1668" spans="1:14" ht="18" customHeight="1">
      <c r="A1668" s="293" t="s">
        <v>3270</v>
      </c>
      <c r="B1668" s="294">
        <v>46226</v>
      </c>
      <c r="C1668" s="286" t="s">
        <v>354</v>
      </c>
      <c r="D1668" s="286" t="s">
        <v>109</v>
      </c>
      <c r="E1668" s="295">
        <v>1</v>
      </c>
      <c r="F1668" s="295">
        <v>1</v>
      </c>
      <c r="G1668" s="296">
        <v>0</v>
      </c>
      <c r="H1668" s="296">
        <v>1965</v>
      </c>
      <c r="I1668" s="296">
        <v>1200</v>
      </c>
      <c r="J1668" s="296">
        <v>1260</v>
      </c>
      <c r="K1668" s="296">
        <v>705</v>
      </c>
      <c r="L1668" s="296">
        <v>211.5</v>
      </c>
      <c r="M1668" s="296">
        <v>765</v>
      </c>
      <c r="N1668" s="297">
        <v>0.38931297709923662</v>
      </c>
    </row>
    <row r="1669" spans="1:14" ht="18" customHeight="1">
      <c r="A1669" s="293" t="s">
        <v>3271</v>
      </c>
      <c r="B1669" s="294">
        <v>46226</v>
      </c>
      <c r="C1669" s="286" t="s">
        <v>168</v>
      </c>
      <c r="D1669" s="286" t="s">
        <v>121</v>
      </c>
      <c r="E1669" s="295">
        <v>1</v>
      </c>
      <c r="F1669" s="295">
        <v>1</v>
      </c>
      <c r="G1669" s="296">
        <v>0</v>
      </c>
      <c r="H1669" s="296">
        <v>750</v>
      </c>
      <c r="I1669" s="296">
        <v>480</v>
      </c>
      <c r="J1669" s="296">
        <v>504</v>
      </c>
      <c r="K1669" s="296">
        <v>246</v>
      </c>
      <c r="L1669" s="296">
        <v>0</v>
      </c>
      <c r="M1669" s="296">
        <v>270</v>
      </c>
      <c r="N1669" s="297">
        <v>0.36</v>
      </c>
    </row>
    <row r="1670" spans="1:14" ht="18" customHeight="1">
      <c r="A1670" s="293" t="s">
        <v>3272</v>
      </c>
      <c r="B1670" s="294">
        <v>46226</v>
      </c>
      <c r="C1670" s="286" t="s">
        <v>168</v>
      </c>
      <c r="D1670" s="286" t="s">
        <v>115</v>
      </c>
      <c r="E1670" s="295">
        <v>1</v>
      </c>
      <c r="F1670" s="295">
        <v>1</v>
      </c>
      <c r="G1670" s="296">
        <v>0</v>
      </c>
      <c r="H1670" s="296">
        <v>1900</v>
      </c>
      <c r="I1670" s="296">
        <v>1250</v>
      </c>
      <c r="J1670" s="296">
        <v>1312.5</v>
      </c>
      <c r="K1670" s="296">
        <v>587.5</v>
      </c>
      <c r="L1670" s="296">
        <v>0</v>
      </c>
      <c r="M1670" s="296">
        <v>650</v>
      </c>
      <c r="N1670" s="297">
        <v>0.34210526315789475</v>
      </c>
    </row>
    <row r="1671" spans="1:14" ht="18" customHeight="1">
      <c r="A1671" s="293" t="s">
        <v>3273</v>
      </c>
      <c r="B1671" s="294">
        <v>46226</v>
      </c>
      <c r="C1671" s="286" t="s">
        <v>168</v>
      </c>
      <c r="D1671" s="286" t="s">
        <v>124</v>
      </c>
      <c r="E1671" s="295">
        <v>5</v>
      </c>
      <c r="F1671" s="295">
        <v>8</v>
      </c>
      <c r="G1671" s="296">
        <v>0</v>
      </c>
      <c r="H1671" s="296">
        <v>9810</v>
      </c>
      <c r="I1671" s="296">
        <v>8159</v>
      </c>
      <c r="J1671" s="296">
        <v>8566.9500000000007</v>
      </c>
      <c r="K1671" s="296">
        <v>1243.0499999999993</v>
      </c>
      <c r="L1671" s="296">
        <v>0</v>
      </c>
      <c r="M1671" s="296">
        <v>1651</v>
      </c>
      <c r="N1671" s="297">
        <v>0.16829765545361874</v>
      </c>
    </row>
    <row r="1672" spans="1:14" ht="18" customHeight="1">
      <c r="A1672" s="293" t="s">
        <v>3274</v>
      </c>
      <c r="B1672" s="294">
        <v>46226</v>
      </c>
      <c r="C1672" s="286" t="s">
        <v>168</v>
      </c>
      <c r="D1672" s="286" t="s">
        <v>97</v>
      </c>
      <c r="E1672" s="295">
        <v>2</v>
      </c>
      <c r="F1672" s="295">
        <v>2</v>
      </c>
      <c r="G1672" s="296">
        <v>0</v>
      </c>
      <c r="H1672" s="296">
        <v>2350</v>
      </c>
      <c r="I1672" s="296">
        <v>1450</v>
      </c>
      <c r="J1672" s="296">
        <v>1522.5</v>
      </c>
      <c r="K1672" s="296">
        <v>827.5</v>
      </c>
      <c r="L1672" s="296">
        <v>0</v>
      </c>
      <c r="M1672" s="296">
        <v>900</v>
      </c>
      <c r="N1672" s="297">
        <v>0.38297872340425532</v>
      </c>
    </row>
    <row r="1673" spans="1:14" ht="18" customHeight="1">
      <c r="A1673" s="293" t="s">
        <v>3275</v>
      </c>
      <c r="B1673" s="294">
        <v>46226</v>
      </c>
      <c r="C1673" s="286" t="s">
        <v>356</v>
      </c>
      <c r="D1673" s="286" t="s">
        <v>262</v>
      </c>
      <c r="E1673" s="295">
        <v>1</v>
      </c>
      <c r="F1673" s="295">
        <v>1</v>
      </c>
      <c r="G1673" s="296">
        <v>0</v>
      </c>
      <c r="H1673" s="296">
        <v>714</v>
      </c>
      <c r="I1673" s="296">
        <v>210</v>
      </c>
      <c r="J1673" s="296">
        <v>220.5</v>
      </c>
      <c r="K1673" s="296">
        <v>493.5</v>
      </c>
      <c r="L1673" s="296">
        <v>148.04999999999998</v>
      </c>
      <c r="M1673" s="296">
        <v>504</v>
      </c>
      <c r="N1673" s="297">
        <v>0.70588235294117652</v>
      </c>
    </row>
    <row r="1674" spans="1:14" ht="18" customHeight="1">
      <c r="A1674" s="293" t="s">
        <v>3276</v>
      </c>
      <c r="B1674" s="294">
        <v>46226</v>
      </c>
      <c r="C1674" s="286" t="s">
        <v>352</v>
      </c>
      <c r="D1674" s="286" t="s">
        <v>143</v>
      </c>
      <c r="E1674" s="295">
        <v>3</v>
      </c>
      <c r="F1674" s="295">
        <v>6</v>
      </c>
      <c r="G1674" s="296">
        <v>0</v>
      </c>
      <c r="H1674" s="296">
        <v>6180</v>
      </c>
      <c r="I1674" s="296">
        <v>5520.6</v>
      </c>
      <c r="J1674" s="296">
        <v>5686.2179999999998</v>
      </c>
      <c r="K1674" s="296">
        <v>493.78200000000004</v>
      </c>
      <c r="L1674" s="296">
        <v>148.13460000000001</v>
      </c>
      <c r="M1674" s="296">
        <v>659.39999999999964</v>
      </c>
      <c r="N1674" s="297">
        <v>0.10669902912621353</v>
      </c>
    </row>
    <row r="1675" spans="1:14" ht="18" customHeight="1">
      <c r="A1675" s="293" t="s">
        <v>3277</v>
      </c>
      <c r="B1675" s="294">
        <v>46226</v>
      </c>
      <c r="C1675" s="286" t="s">
        <v>168</v>
      </c>
      <c r="D1675" s="286" t="s">
        <v>99</v>
      </c>
      <c r="E1675" s="295">
        <v>12</v>
      </c>
      <c r="F1675" s="295">
        <v>49.6</v>
      </c>
      <c r="G1675" s="296">
        <v>0</v>
      </c>
      <c r="H1675" s="296">
        <v>3895</v>
      </c>
      <c r="I1675" s="296">
        <v>2608.4499999999998</v>
      </c>
      <c r="J1675" s="296">
        <v>2690.9035000000008</v>
      </c>
      <c r="K1675" s="296">
        <v>1204.0965000000001</v>
      </c>
      <c r="L1675" s="296">
        <v>0</v>
      </c>
      <c r="M1675" s="296">
        <v>1286.5500000000002</v>
      </c>
      <c r="N1675" s="297">
        <v>0.33030808729139927</v>
      </c>
    </row>
    <row r="1676" spans="1:14" ht="18" customHeight="1">
      <c r="A1676" s="293" t="s">
        <v>3278</v>
      </c>
      <c r="B1676" s="294">
        <v>46227</v>
      </c>
      <c r="C1676" s="286" t="s">
        <v>3773</v>
      </c>
      <c r="D1676" s="286" t="s">
        <v>102</v>
      </c>
      <c r="E1676" s="295">
        <v>3</v>
      </c>
      <c r="F1676" s="295">
        <v>6</v>
      </c>
      <c r="G1676" s="296">
        <v>0</v>
      </c>
      <c r="H1676" s="296">
        <v>3900</v>
      </c>
      <c r="I1676" s="296">
        <v>1136</v>
      </c>
      <c r="J1676" s="296">
        <v>1192.8</v>
      </c>
      <c r="K1676" s="296">
        <v>2707.2</v>
      </c>
      <c r="L1676" s="296">
        <v>812.16</v>
      </c>
      <c r="M1676" s="296">
        <v>2764</v>
      </c>
      <c r="N1676" s="297">
        <v>0.70871794871794869</v>
      </c>
    </row>
    <row r="1677" spans="1:14" ht="18" customHeight="1">
      <c r="A1677" s="293" t="s">
        <v>3279</v>
      </c>
      <c r="B1677" s="294">
        <v>46227</v>
      </c>
      <c r="C1677" s="286" t="s">
        <v>168</v>
      </c>
      <c r="D1677" s="286" t="s">
        <v>112</v>
      </c>
      <c r="E1677" s="295">
        <v>3</v>
      </c>
      <c r="F1677" s="295">
        <v>5</v>
      </c>
      <c r="G1677" s="296">
        <v>0</v>
      </c>
      <c r="H1677" s="296">
        <v>345</v>
      </c>
      <c r="I1677" s="296">
        <v>212.7</v>
      </c>
      <c r="J1677" s="296">
        <v>219.08100000000002</v>
      </c>
      <c r="K1677" s="296">
        <v>125.919</v>
      </c>
      <c r="L1677" s="296">
        <v>0</v>
      </c>
      <c r="M1677" s="296">
        <v>132.30000000000001</v>
      </c>
      <c r="N1677" s="297">
        <v>0.38347826086956527</v>
      </c>
    </row>
    <row r="1678" spans="1:14" ht="18" customHeight="1">
      <c r="A1678" s="293" t="s">
        <v>3280</v>
      </c>
      <c r="B1678" s="294">
        <v>46227</v>
      </c>
      <c r="C1678" s="286" t="s">
        <v>354</v>
      </c>
      <c r="D1678" s="286" t="s">
        <v>109</v>
      </c>
      <c r="E1678" s="295">
        <v>1</v>
      </c>
      <c r="F1678" s="295">
        <v>1</v>
      </c>
      <c r="G1678" s="296">
        <v>0</v>
      </c>
      <c r="H1678" s="296">
        <v>1964</v>
      </c>
      <c r="I1678" s="296">
        <v>1500</v>
      </c>
      <c r="J1678" s="296">
        <v>1575</v>
      </c>
      <c r="K1678" s="296">
        <v>389</v>
      </c>
      <c r="L1678" s="296">
        <v>116.69999999999999</v>
      </c>
      <c r="M1678" s="296">
        <v>464</v>
      </c>
      <c r="N1678" s="297">
        <v>0.23625254582484725</v>
      </c>
    </row>
    <row r="1679" spans="1:14" ht="18" customHeight="1">
      <c r="A1679" s="293" t="s">
        <v>3281</v>
      </c>
      <c r="B1679" s="294">
        <v>46227</v>
      </c>
      <c r="C1679" s="286" t="s">
        <v>353</v>
      </c>
      <c r="D1679" s="286" t="s">
        <v>94</v>
      </c>
      <c r="E1679" s="295">
        <v>1</v>
      </c>
      <c r="F1679" s="295">
        <v>1</v>
      </c>
      <c r="G1679" s="296">
        <v>0</v>
      </c>
      <c r="H1679" s="296">
        <v>1700</v>
      </c>
      <c r="I1679" s="296">
        <v>1075</v>
      </c>
      <c r="J1679" s="296">
        <v>1128.75</v>
      </c>
      <c r="K1679" s="296">
        <v>571.25</v>
      </c>
      <c r="L1679" s="296">
        <v>171.375</v>
      </c>
      <c r="M1679" s="296">
        <v>625</v>
      </c>
      <c r="N1679" s="297">
        <v>0.36764705882352944</v>
      </c>
    </row>
    <row r="1680" spans="1:14" ht="18" customHeight="1">
      <c r="A1680" s="293" t="s">
        <v>3282</v>
      </c>
      <c r="B1680" s="294">
        <v>46227</v>
      </c>
      <c r="C1680" s="286" t="s">
        <v>168</v>
      </c>
      <c r="D1680" s="286" t="s">
        <v>263</v>
      </c>
      <c r="E1680" s="295">
        <v>9</v>
      </c>
      <c r="F1680" s="295">
        <v>43</v>
      </c>
      <c r="G1680" s="296">
        <v>0</v>
      </c>
      <c r="H1680" s="296">
        <v>16210</v>
      </c>
      <c r="I1680" s="296">
        <v>12489.4</v>
      </c>
      <c r="J1680" s="296">
        <v>12965.082</v>
      </c>
      <c r="K1680" s="296">
        <v>3244.9179999999997</v>
      </c>
      <c r="L1680" s="296">
        <v>0</v>
      </c>
      <c r="M1680" s="296">
        <v>3720.6000000000004</v>
      </c>
      <c r="N1680" s="297">
        <v>0.22952498457742138</v>
      </c>
    </row>
    <row r="1681" spans="1:14" ht="18" customHeight="1">
      <c r="A1681" s="293" t="s">
        <v>3283</v>
      </c>
      <c r="B1681" s="294">
        <v>46227</v>
      </c>
      <c r="C1681" s="286" t="s">
        <v>168</v>
      </c>
      <c r="D1681" s="286" t="s">
        <v>96</v>
      </c>
      <c r="E1681" s="295">
        <v>2</v>
      </c>
      <c r="F1681" s="295">
        <v>3</v>
      </c>
      <c r="G1681" s="296">
        <v>0</v>
      </c>
      <c r="H1681" s="296">
        <v>9040</v>
      </c>
      <c r="I1681" s="296">
        <v>7814</v>
      </c>
      <c r="J1681" s="296">
        <v>8204.7000000000007</v>
      </c>
      <c r="K1681" s="296">
        <v>835.29999999999927</v>
      </c>
      <c r="L1681" s="296">
        <v>0</v>
      </c>
      <c r="M1681" s="296">
        <v>1226</v>
      </c>
      <c r="N1681" s="297">
        <v>0.13561946902654867</v>
      </c>
    </row>
    <row r="1682" spans="1:14" ht="18" customHeight="1">
      <c r="A1682" s="293" t="s">
        <v>3284</v>
      </c>
      <c r="B1682" s="294">
        <v>46227</v>
      </c>
      <c r="C1682" s="286" t="s">
        <v>3773</v>
      </c>
      <c r="D1682" s="286" t="s">
        <v>193</v>
      </c>
      <c r="E1682" s="295">
        <v>3</v>
      </c>
      <c r="F1682" s="295">
        <v>5</v>
      </c>
      <c r="G1682" s="296">
        <v>0</v>
      </c>
      <c r="H1682" s="296">
        <v>480</v>
      </c>
      <c r="I1682" s="296">
        <v>262.7</v>
      </c>
      <c r="J1682" s="296">
        <v>270.58100000000002</v>
      </c>
      <c r="K1682" s="296">
        <v>209.41899999999998</v>
      </c>
      <c r="L1682" s="296">
        <v>62.825699999999998</v>
      </c>
      <c r="M1682" s="296">
        <v>217.3</v>
      </c>
      <c r="N1682" s="297">
        <v>0.45270833333333338</v>
      </c>
    </row>
    <row r="1683" spans="1:14" ht="18" customHeight="1">
      <c r="A1683" s="293" t="s">
        <v>3285</v>
      </c>
      <c r="B1683" s="294">
        <v>46227</v>
      </c>
      <c r="C1683" s="286" t="s">
        <v>168</v>
      </c>
      <c r="D1683" s="286" t="s">
        <v>179</v>
      </c>
      <c r="E1683" s="295">
        <v>1</v>
      </c>
      <c r="F1683" s="295">
        <v>1</v>
      </c>
      <c r="G1683" s="296">
        <v>0</v>
      </c>
      <c r="H1683" s="296">
        <v>2100</v>
      </c>
      <c r="I1683" s="296">
        <v>1075</v>
      </c>
      <c r="J1683" s="296">
        <v>1128.75</v>
      </c>
      <c r="K1683" s="296">
        <v>971.25</v>
      </c>
      <c r="L1683" s="296">
        <v>0</v>
      </c>
      <c r="M1683" s="296">
        <v>1025</v>
      </c>
      <c r="N1683" s="297">
        <v>0.48809523809523808</v>
      </c>
    </row>
    <row r="1684" spans="1:14" ht="18" customHeight="1">
      <c r="A1684" s="293" t="s">
        <v>3286</v>
      </c>
      <c r="B1684" s="294">
        <v>46227</v>
      </c>
      <c r="C1684" s="286" t="s">
        <v>168</v>
      </c>
      <c r="D1684" s="286" t="s">
        <v>128</v>
      </c>
      <c r="E1684" s="295">
        <v>1</v>
      </c>
      <c r="F1684" s="295">
        <v>1</v>
      </c>
      <c r="G1684" s="296">
        <v>0</v>
      </c>
      <c r="H1684" s="296">
        <v>2000</v>
      </c>
      <c r="I1684" s="296">
        <v>1500</v>
      </c>
      <c r="J1684" s="296">
        <v>1575</v>
      </c>
      <c r="K1684" s="296">
        <v>425</v>
      </c>
      <c r="L1684" s="296">
        <v>0</v>
      </c>
      <c r="M1684" s="296">
        <v>500</v>
      </c>
      <c r="N1684" s="297">
        <v>0.25</v>
      </c>
    </row>
    <row r="1685" spans="1:14" ht="18" customHeight="1">
      <c r="A1685" s="293" t="s">
        <v>3287</v>
      </c>
      <c r="B1685" s="294">
        <v>46227</v>
      </c>
      <c r="C1685" s="286" t="s">
        <v>168</v>
      </c>
      <c r="D1685" s="286" t="s">
        <v>99</v>
      </c>
      <c r="E1685" s="295">
        <v>8</v>
      </c>
      <c r="F1685" s="295">
        <v>26</v>
      </c>
      <c r="G1685" s="296">
        <v>0</v>
      </c>
      <c r="H1685" s="296">
        <v>3190</v>
      </c>
      <c r="I1685" s="296">
        <v>1720</v>
      </c>
      <c r="J1685" s="296">
        <v>1806</v>
      </c>
      <c r="K1685" s="296">
        <v>1384</v>
      </c>
      <c r="L1685" s="296">
        <v>0</v>
      </c>
      <c r="M1685" s="296">
        <v>1470</v>
      </c>
      <c r="N1685" s="297">
        <v>0.46081504702194359</v>
      </c>
    </row>
    <row r="1686" spans="1:14" ht="18" customHeight="1">
      <c r="A1686" s="293" t="s">
        <v>3288</v>
      </c>
      <c r="B1686" s="294">
        <v>46228</v>
      </c>
      <c r="C1686" s="286" t="s">
        <v>3773</v>
      </c>
      <c r="D1686" s="286" t="s">
        <v>102</v>
      </c>
      <c r="E1686" s="295">
        <v>4</v>
      </c>
      <c r="F1686" s="295">
        <v>4</v>
      </c>
      <c r="G1686" s="296">
        <v>0</v>
      </c>
      <c r="H1686" s="296">
        <v>3760</v>
      </c>
      <c r="I1686" s="296">
        <v>2280</v>
      </c>
      <c r="J1686" s="296">
        <v>2394</v>
      </c>
      <c r="K1686" s="296">
        <v>1366</v>
      </c>
      <c r="L1686" s="296">
        <v>409.79999999999995</v>
      </c>
      <c r="M1686" s="296">
        <v>1480</v>
      </c>
      <c r="N1686" s="297">
        <v>0.39361702127659576</v>
      </c>
    </row>
    <row r="1687" spans="1:14" ht="18" customHeight="1">
      <c r="A1687" s="293" t="s">
        <v>3289</v>
      </c>
      <c r="B1687" s="294">
        <v>46228</v>
      </c>
      <c r="C1687" s="286" t="s">
        <v>353</v>
      </c>
      <c r="D1687" s="286" t="s">
        <v>108</v>
      </c>
      <c r="E1687" s="295">
        <v>2</v>
      </c>
      <c r="F1687" s="295">
        <v>2</v>
      </c>
      <c r="G1687" s="296">
        <v>0</v>
      </c>
      <c r="H1687" s="296">
        <v>3986</v>
      </c>
      <c r="I1687" s="296">
        <v>2550</v>
      </c>
      <c r="J1687" s="296">
        <v>2677.5</v>
      </c>
      <c r="K1687" s="296">
        <v>1308.5</v>
      </c>
      <c r="L1687" s="296">
        <v>392.54999999999995</v>
      </c>
      <c r="M1687" s="296">
        <v>1436</v>
      </c>
      <c r="N1687" s="297">
        <v>0.36026091319618664</v>
      </c>
    </row>
    <row r="1688" spans="1:14" ht="18" customHeight="1">
      <c r="A1688" s="293" t="s">
        <v>3290</v>
      </c>
      <c r="B1688" s="294">
        <v>46228</v>
      </c>
      <c r="C1688" s="286" t="s">
        <v>168</v>
      </c>
      <c r="D1688" s="286" t="s">
        <v>92</v>
      </c>
      <c r="E1688" s="295">
        <v>1</v>
      </c>
      <c r="F1688" s="295">
        <v>1</v>
      </c>
      <c r="G1688" s="296">
        <v>0</v>
      </c>
      <c r="H1688" s="296">
        <v>2000</v>
      </c>
      <c r="I1688" s="296">
        <v>1400</v>
      </c>
      <c r="J1688" s="296">
        <v>1470</v>
      </c>
      <c r="K1688" s="296">
        <v>530</v>
      </c>
      <c r="L1688" s="296">
        <v>0</v>
      </c>
      <c r="M1688" s="296">
        <v>600</v>
      </c>
      <c r="N1688" s="297">
        <v>0.3</v>
      </c>
    </row>
    <row r="1689" spans="1:14" ht="18" customHeight="1">
      <c r="A1689" s="293" t="s">
        <v>3291</v>
      </c>
      <c r="B1689" s="294">
        <v>46228</v>
      </c>
      <c r="C1689" s="286" t="s">
        <v>354</v>
      </c>
      <c r="D1689" s="286" t="s">
        <v>109</v>
      </c>
      <c r="E1689" s="295">
        <v>4</v>
      </c>
      <c r="F1689" s="295">
        <v>4</v>
      </c>
      <c r="G1689" s="296">
        <v>0</v>
      </c>
      <c r="H1689" s="296">
        <v>2504</v>
      </c>
      <c r="I1689" s="296">
        <v>1630</v>
      </c>
      <c r="J1689" s="296">
        <v>1711.5</v>
      </c>
      <c r="K1689" s="296">
        <v>792.5</v>
      </c>
      <c r="L1689" s="296">
        <v>237.74999999999997</v>
      </c>
      <c r="M1689" s="296">
        <v>874</v>
      </c>
      <c r="N1689" s="297">
        <v>0.34904153354632589</v>
      </c>
    </row>
    <row r="1690" spans="1:14" ht="18" customHeight="1">
      <c r="A1690" s="293" t="s">
        <v>3292</v>
      </c>
      <c r="B1690" s="294">
        <v>46228</v>
      </c>
      <c r="C1690" s="286" t="s">
        <v>353</v>
      </c>
      <c r="D1690" s="286" t="s">
        <v>94</v>
      </c>
      <c r="E1690" s="295">
        <v>16</v>
      </c>
      <c r="F1690" s="295">
        <v>72</v>
      </c>
      <c r="G1690" s="296">
        <v>0</v>
      </c>
      <c r="H1690" s="296">
        <v>14051</v>
      </c>
      <c r="I1690" s="296">
        <v>8960</v>
      </c>
      <c r="J1690" s="296">
        <v>9396.4</v>
      </c>
      <c r="K1690" s="296">
        <v>4654.6000000000004</v>
      </c>
      <c r="L1690" s="296">
        <v>1396.38</v>
      </c>
      <c r="M1690" s="296">
        <v>5091</v>
      </c>
      <c r="N1690" s="297">
        <v>0.36232296633691552</v>
      </c>
    </row>
    <row r="1691" spans="1:14" ht="18" customHeight="1">
      <c r="A1691" s="293" t="s">
        <v>3293</v>
      </c>
      <c r="B1691" s="294">
        <v>46228</v>
      </c>
      <c r="C1691" s="286" t="s">
        <v>168</v>
      </c>
      <c r="D1691" s="286" t="s">
        <v>96</v>
      </c>
      <c r="E1691" s="295">
        <v>4</v>
      </c>
      <c r="F1691" s="295">
        <v>4</v>
      </c>
      <c r="G1691" s="296">
        <v>0</v>
      </c>
      <c r="H1691" s="296">
        <v>3290</v>
      </c>
      <c r="I1691" s="296">
        <v>1910</v>
      </c>
      <c r="J1691" s="296">
        <v>2005.5</v>
      </c>
      <c r="K1691" s="296">
        <v>1284.5</v>
      </c>
      <c r="L1691" s="296">
        <v>0</v>
      </c>
      <c r="M1691" s="296">
        <v>1380</v>
      </c>
      <c r="N1691" s="297">
        <v>0.41945288753799392</v>
      </c>
    </row>
    <row r="1692" spans="1:14" ht="18" customHeight="1">
      <c r="A1692" s="293" t="s">
        <v>3294</v>
      </c>
      <c r="B1692" s="294">
        <v>46228</v>
      </c>
      <c r="C1692" s="286" t="s">
        <v>168</v>
      </c>
      <c r="D1692" s="286" t="s">
        <v>179</v>
      </c>
      <c r="E1692" s="295">
        <v>3</v>
      </c>
      <c r="F1692" s="295">
        <v>3</v>
      </c>
      <c r="G1692" s="296">
        <v>0</v>
      </c>
      <c r="H1692" s="296">
        <v>2730</v>
      </c>
      <c r="I1692" s="296">
        <v>1192</v>
      </c>
      <c r="J1692" s="296">
        <v>1251.5999999999999</v>
      </c>
      <c r="K1692" s="296">
        <v>1478.4</v>
      </c>
      <c r="L1692" s="296">
        <v>0</v>
      </c>
      <c r="M1692" s="296">
        <v>1538</v>
      </c>
      <c r="N1692" s="297">
        <v>0.56336996336996337</v>
      </c>
    </row>
    <row r="1693" spans="1:14" ht="18" customHeight="1">
      <c r="A1693" s="293" t="s">
        <v>3295</v>
      </c>
      <c r="B1693" s="294">
        <v>46228</v>
      </c>
      <c r="C1693" s="286" t="s">
        <v>168</v>
      </c>
      <c r="D1693" s="286" t="s">
        <v>115</v>
      </c>
      <c r="E1693" s="295">
        <v>1</v>
      </c>
      <c r="F1693" s="295">
        <v>1</v>
      </c>
      <c r="G1693" s="296">
        <v>0</v>
      </c>
      <c r="H1693" s="296">
        <v>560</v>
      </c>
      <c r="I1693" s="296">
        <v>270</v>
      </c>
      <c r="J1693" s="296">
        <v>283.5</v>
      </c>
      <c r="K1693" s="296">
        <v>276.5</v>
      </c>
      <c r="L1693" s="296">
        <v>0</v>
      </c>
      <c r="M1693" s="296">
        <v>290</v>
      </c>
      <c r="N1693" s="297">
        <v>0.5178571428571429</v>
      </c>
    </row>
    <row r="1694" spans="1:14" ht="18" customHeight="1">
      <c r="A1694" s="293" t="s">
        <v>3296</v>
      </c>
      <c r="B1694" s="294">
        <v>46228</v>
      </c>
      <c r="C1694" s="286" t="s">
        <v>168</v>
      </c>
      <c r="D1694" s="286" t="s">
        <v>124</v>
      </c>
      <c r="E1694" s="295">
        <v>1</v>
      </c>
      <c r="F1694" s="295">
        <v>1</v>
      </c>
      <c r="G1694" s="296">
        <v>0</v>
      </c>
      <c r="H1694" s="296">
        <v>2000</v>
      </c>
      <c r="I1694" s="296">
        <v>900</v>
      </c>
      <c r="J1694" s="296">
        <v>945</v>
      </c>
      <c r="K1694" s="296">
        <v>1055</v>
      </c>
      <c r="L1694" s="296">
        <v>0</v>
      </c>
      <c r="M1694" s="296">
        <v>1100</v>
      </c>
      <c r="N1694" s="297">
        <v>0.55000000000000004</v>
      </c>
    </row>
    <row r="1695" spans="1:14" ht="18" customHeight="1">
      <c r="A1695" s="293" t="s">
        <v>3297</v>
      </c>
      <c r="B1695" s="294">
        <v>46228</v>
      </c>
      <c r="C1695" s="286" t="s">
        <v>168</v>
      </c>
      <c r="D1695" s="286" t="s">
        <v>185</v>
      </c>
      <c r="E1695" s="295">
        <v>8</v>
      </c>
      <c r="F1695" s="295">
        <v>14.4</v>
      </c>
      <c r="G1695" s="296">
        <v>0</v>
      </c>
      <c r="H1695" s="296">
        <v>2061</v>
      </c>
      <c r="I1695" s="296">
        <v>1324.42</v>
      </c>
      <c r="J1695" s="296">
        <v>1364.8646000000001</v>
      </c>
      <c r="K1695" s="296">
        <v>696.1354</v>
      </c>
      <c r="L1695" s="296">
        <v>0</v>
      </c>
      <c r="M1695" s="296">
        <v>736.57999999999993</v>
      </c>
      <c r="N1695" s="297">
        <v>0.35738961669092673</v>
      </c>
    </row>
    <row r="1696" spans="1:14" ht="18" customHeight="1">
      <c r="A1696" s="293" t="s">
        <v>3298</v>
      </c>
      <c r="B1696" s="294">
        <v>46228</v>
      </c>
      <c r="C1696" s="286" t="s">
        <v>168</v>
      </c>
      <c r="D1696" s="286" t="s">
        <v>99</v>
      </c>
      <c r="E1696" s="295">
        <v>4</v>
      </c>
      <c r="F1696" s="295">
        <v>37</v>
      </c>
      <c r="G1696" s="296">
        <v>0</v>
      </c>
      <c r="H1696" s="296">
        <v>1650</v>
      </c>
      <c r="I1696" s="296">
        <v>889</v>
      </c>
      <c r="J1696" s="296">
        <v>933.45</v>
      </c>
      <c r="K1696" s="296">
        <v>716.55</v>
      </c>
      <c r="L1696" s="296">
        <v>0</v>
      </c>
      <c r="M1696" s="296">
        <v>761</v>
      </c>
      <c r="N1696" s="297">
        <v>0.46121212121212118</v>
      </c>
    </row>
    <row r="1697" spans="1:14" ht="18" customHeight="1">
      <c r="A1697" s="293" t="s">
        <v>3299</v>
      </c>
      <c r="B1697" s="294">
        <v>46230</v>
      </c>
      <c r="C1697" s="286" t="s">
        <v>348</v>
      </c>
      <c r="D1697" s="286" t="s">
        <v>247</v>
      </c>
      <c r="E1697" s="295">
        <v>2</v>
      </c>
      <c r="F1697" s="295">
        <v>2</v>
      </c>
      <c r="G1697" s="296">
        <v>0</v>
      </c>
      <c r="H1697" s="296">
        <v>2450</v>
      </c>
      <c r="I1697" s="296">
        <v>1550</v>
      </c>
      <c r="J1697" s="296">
        <v>1627.5</v>
      </c>
      <c r="K1697" s="296">
        <v>822.5</v>
      </c>
      <c r="L1697" s="296">
        <v>246.75</v>
      </c>
      <c r="M1697" s="296">
        <v>900</v>
      </c>
      <c r="N1697" s="297">
        <v>0.36734693877551022</v>
      </c>
    </row>
    <row r="1698" spans="1:14" ht="18" customHeight="1">
      <c r="A1698" s="293" t="s">
        <v>3300</v>
      </c>
      <c r="B1698" s="294">
        <v>46230</v>
      </c>
      <c r="C1698" s="286" t="s">
        <v>353</v>
      </c>
      <c r="D1698" s="286" t="s">
        <v>108</v>
      </c>
      <c r="E1698" s="295">
        <v>1</v>
      </c>
      <c r="F1698" s="295">
        <v>1</v>
      </c>
      <c r="G1698" s="296">
        <v>0</v>
      </c>
      <c r="H1698" s="296">
        <v>2200</v>
      </c>
      <c r="I1698" s="296">
        <v>1500</v>
      </c>
      <c r="J1698" s="296">
        <v>1575</v>
      </c>
      <c r="K1698" s="296">
        <v>625</v>
      </c>
      <c r="L1698" s="296">
        <v>187.5</v>
      </c>
      <c r="M1698" s="296">
        <v>700</v>
      </c>
      <c r="N1698" s="297">
        <v>0.31818181818181818</v>
      </c>
    </row>
    <row r="1699" spans="1:14" ht="18" customHeight="1">
      <c r="A1699" s="293" t="s">
        <v>3301</v>
      </c>
      <c r="B1699" s="294">
        <v>46230</v>
      </c>
      <c r="C1699" s="286" t="s">
        <v>168</v>
      </c>
      <c r="D1699" s="286" t="s">
        <v>224</v>
      </c>
      <c r="E1699" s="295">
        <v>2</v>
      </c>
      <c r="F1699" s="295">
        <v>2</v>
      </c>
      <c r="G1699" s="296">
        <v>0</v>
      </c>
      <c r="H1699" s="296">
        <v>780</v>
      </c>
      <c r="I1699" s="296">
        <v>325</v>
      </c>
      <c r="J1699" s="296">
        <v>341.25</v>
      </c>
      <c r="K1699" s="296">
        <v>438.75</v>
      </c>
      <c r="L1699" s="296">
        <v>0</v>
      </c>
      <c r="M1699" s="296">
        <v>455</v>
      </c>
      <c r="N1699" s="297">
        <v>0.58333333333333337</v>
      </c>
    </row>
    <row r="1700" spans="1:14" ht="18" customHeight="1">
      <c r="A1700" s="293" t="s">
        <v>3302</v>
      </c>
      <c r="B1700" s="294">
        <v>46230</v>
      </c>
      <c r="C1700" s="286" t="s">
        <v>353</v>
      </c>
      <c r="D1700" s="286" t="s">
        <v>94</v>
      </c>
      <c r="E1700" s="295">
        <v>1</v>
      </c>
      <c r="F1700" s="295">
        <v>6</v>
      </c>
      <c r="G1700" s="296">
        <v>0</v>
      </c>
      <c r="H1700" s="296">
        <v>300</v>
      </c>
      <c r="I1700" s="296">
        <v>96</v>
      </c>
      <c r="J1700" s="296">
        <v>100.80000000000001</v>
      </c>
      <c r="K1700" s="296">
        <v>199.2</v>
      </c>
      <c r="L1700" s="296">
        <v>59.759999999999991</v>
      </c>
      <c r="M1700" s="296">
        <v>204</v>
      </c>
      <c r="N1700" s="297">
        <v>0.68</v>
      </c>
    </row>
    <row r="1701" spans="1:14" ht="18" customHeight="1">
      <c r="A1701" s="293" t="s">
        <v>3303</v>
      </c>
      <c r="B1701" s="294">
        <v>46230</v>
      </c>
      <c r="C1701" s="286" t="s">
        <v>168</v>
      </c>
      <c r="D1701" s="286" t="s">
        <v>105</v>
      </c>
      <c r="E1701" s="295">
        <v>2</v>
      </c>
      <c r="F1701" s="295">
        <v>2</v>
      </c>
      <c r="G1701" s="296">
        <v>0</v>
      </c>
      <c r="H1701" s="296">
        <v>2650</v>
      </c>
      <c r="I1701" s="296">
        <v>1300</v>
      </c>
      <c r="J1701" s="296">
        <v>1365</v>
      </c>
      <c r="K1701" s="296">
        <v>1285</v>
      </c>
      <c r="L1701" s="296">
        <v>0</v>
      </c>
      <c r="M1701" s="296">
        <v>1350</v>
      </c>
      <c r="N1701" s="297">
        <v>0.50943396226415094</v>
      </c>
    </row>
    <row r="1702" spans="1:14" ht="18" customHeight="1">
      <c r="A1702" s="293" t="s">
        <v>3304</v>
      </c>
      <c r="B1702" s="294">
        <v>46230</v>
      </c>
      <c r="C1702" s="286" t="s">
        <v>168</v>
      </c>
      <c r="D1702" s="286" t="s">
        <v>124</v>
      </c>
      <c r="E1702" s="295">
        <v>1</v>
      </c>
      <c r="F1702" s="295">
        <v>1</v>
      </c>
      <c r="G1702" s="296">
        <v>0</v>
      </c>
      <c r="H1702" s="296">
        <v>2200</v>
      </c>
      <c r="I1702" s="296">
        <v>1300</v>
      </c>
      <c r="J1702" s="296">
        <v>1365</v>
      </c>
      <c r="K1702" s="296">
        <v>835</v>
      </c>
      <c r="L1702" s="296">
        <v>0</v>
      </c>
      <c r="M1702" s="296">
        <v>900</v>
      </c>
      <c r="N1702" s="297">
        <v>0.40909090909090912</v>
      </c>
    </row>
    <row r="1703" spans="1:14" ht="18" customHeight="1">
      <c r="A1703" s="293" t="s">
        <v>3305</v>
      </c>
      <c r="B1703" s="294">
        <v>46230</v>
      </c>
      <c r="C1703" s="286" t="s">
        <v>168</v>
      </c>
      <c r="D1703" s="286" t="s">
        <v>246</v>
      </c>
      <c r="E1703" s="295">
        <v>2</v>
      </c>
      <c r="F1703" s="295">
        <v>4</v>
      </c>
      <c r="G1703" s="296">
        <v>0</v>
      </c>
      <c r="H1703" s="296">
        <v>2200</v>
      </c>
      <c r="I1703" s="296">
        <v>1020</v>
      </c>
      <c r="J1703" s="296">
        <v>1071</v>
      </c>
      <c r="K1703" s="296">
        <v>1129</v>
      </c>
      <c r="L1703" s="296">
        <v>0</v>
      </c>
      <c r="M1703" s="296">
        <v>1180</v>
      </c>
      <c r="N1703" s="297">
        <v>0.53636363636363638</v>
      </c>
    </row>
    <row r="1704" spans="1:14" ht="18" customHeight="1">
      <c r="A1704" s="293" t="s">
        <v>3306</v>
      </c>
      <c r="B1704" s="294">
        <v>46230</v>
      </c>
      <c r="C1704" s="286" t="s">
        <v>168</v>
      </c>
      <c r="D1704" s="286" t="s">
        <v>99</v>
      </c>
      <c r="E1704" s="295">
        <v>10</v>
      </c>
      <c r="F1704" s="295">
        <v>11.399999999999999</v>
      </c>
      <c r="G1704" s="296">
        <v>0</v>
      </c>
      <c r="H1704" s="296">
        <v>2875</v>
      </c>
      <c r="I1704" s="296">
        <v>1948.2</v>
      </c>
      <c r="J1704" s="296">
        <v>2018.2260000000001</v>
      </c>
      <c r="K1704" s="296">
        <v>856.77399999999989</v>
      </c>
      <c r="L1704" s="296">
        <v>0</v>
      </c>
      <c r="M1704" s="296">
        <v>926.8</v>
      </c>
      <c r="N1704" s="297">
        <v>0.32236521739130436</v>
      </c>
    </row>
    <row r="1705" spans="1:14" ht="18" customHeight="1">
      <c r="A1705" s="293" t="s">
        <v>3307</v>
      </c>
      <c r="B1705" s="294">
        <v>46231</v>
      </c>
      <c r="C1705" s="286" t="s">
        <v>168</v>
      </c>
      <c r="D1705" s="286" t="s">
        <v>196</v>
      </c>
      <c r="E1705" s="295">
        <v>1</v>
      </c>
      <c r="F1705" s="295">
        <v>1</v>
      </c>
      <c r="G1705" s="296">
        <v>0</v>
      </c>
      <c r="H1705" s="296">
        <v>800</v>
      </c>
      <c r="I1705" s="296">
        <v>220</v>
      </c>
      <c r="J1705" s="296">
        <v>231</v>
      </c>
      <c r="K1705" s="296">
        <v>569</v>
      </c>
      <c r="L1705" s="296">
        <v>0</v>
      </c>
      <c r="M1705" s="296">
        <v>580</v>
      </c>
      <c r="N1705" s="297">
        <v>0.72499999999999998</v>
      </c>
    </row>
    <row r="1706" spans="1:14" ht="18" customHeight="1">
      <c r="A1706" s="293" t="s">
        <v>3308</v>
      </c>
      <c r="B1706" s="294">
        <v>46231</v>
      </c>
      <c r="C1706" s="286" t="s">
        <v>3773</v>
      </c>
      <c r="D1706" s="286" t="s">
        <v>102</v>
      </c>
      <c r="E1706" s="295">
        <v>6</v>
      </c>
      <c r="F1706" s="295">
        <v>6</v>
      </c>
      <c r="G1706" s="296">
        <v>0</v>
      </c>
      <c r="H1706" s="296">
        <v>14950</v>
      </c>
      <c r="I1706" s="296">
        <v>11204</v>
      </c>
      <c r="J1706" s="296">
        <v>11764.2</v>
      </c>
      <c r="K1706" s="296">
        <v>3185.7999999999993</v>
      </c>
      <c r="L1706" s="296">
        <v>955.73999999999978</v>
      </c>
      <c r="M1706" s="296">
        <v>3746</v>
      </c>
      <c r="N1706" s="297">
        <v>0.25056856187290971</v>
      </c>
    </row>
    <row r="1707" spans="1:14" ht="18" customHeight="1">
      <c r="A1707" s="293" t="s">
        <v>3309</v>
      </c>
      <c r="B1707" s="294">
        <v>46231</v>
      </c>
      <c r="C1707" s="286" t="s">
        <v>168</v>
      </c>
      <c r="D1707" s="286" t="s">
        <v>199</v>
      </c>
      <c r="E1707" s="295">
        <v>1</v>
      </c>
      <c r="F1707" s="295">
        <v>1</v>
      </c>
      <c r="G1707" s="296">
        <v>0</v>
      </c>
      <c r="H1707" s="296">
        <v>2000</v>
      </c>
      <c r="I1707" s="296">
        <v>1000</v>
      </c>
      <c r="J1707" s="296">
        <v>1050</v>
      </c>
      <c r="K1707" s="296">
        <v>950</v>
      </c>
      <c r="L1707" s="296">
        <v>0</v>
      </c>
      <c r="M1707" s="296">
        <v>1000</v>
      </c>
      <c r="N1707" s="297">
        <v>0.5</v>
      </c>
    </row>
    <row r="1708" spans="1:14" ht="18" customHeight="1">
      <c r="A1708" s="293" t="s">
        <v>3310</v>
      </c>
      <c r="B1708" s="294">
        <v>46231</v>
      </c>
      <c r="C1708" s="286" t="s">
        <v>168</v>
      </c>
      <c r="D1708" s="286" t="s">
        <v>96</v>
      </c>
      <c r="E1708" s="295">
        <v>2</v>
      </c>
      <c r="F1708" s="295">
        <v>3</v>
      </c>
      <c r="G1708" s="296">
        <v>0</v>
      </c>
      <c r="H1708" s="296">
        <v>2440</v>
      </c>
      <c r="I1708" s="296">
        <v>1630</v>
      </c>
      <c r="J1708" s="296">
        <v>1711.5</v>
      </c>
      <c r="K1708" s="296">
        <v>728.5</v>
      </c>
      <c r="L1708" s="296">
        <v>0</v>
      </c>
      <c r="M1708" s="296">
        <v>810</v>
      </c>
      <c r="N1708" s="297">
        <v>0.33196721311475408</v>
      </c>
    </row>
    <row r="1709" spans="1:14" ht="18" customHeight="1">
      <c r="A1709" s="293" t="s">
        <v>3311</v>
      </c>
      <c r="B1709" s="294">
        <v>46231</v>
      </c>
      <c r="C1709" s="286" t="s">
        <v>168</v>
      </c>
      <c r="D1709" s="286" t="s">
        <v>142</v>
      </c>
      <c r="E1709" s="295">
        <v>2</v>
      </c>
      <c r="F1709" s="295">
        <v>2</v>
      </c>
      <c r="G1709" s="296">
        <v>0</v>
      </c>
      <c r="H1709" s="296">
        <v>2370</v>
      </c>
      <c r="I1709" s="296">
        <v>1450</v>
      </c>
      <c r="J1709" s="296">
        <v>1522.5</v>
      </c>
      <c r="K1709" s="296">
        <v>847.5</v>
      </c>
      <c r="L1709" s="296">
        <v>0</v>
      </c>
      <c r="M1709" s="296">
        <v>920</v>
      </c>
      <c r="N1709" s="297">
        <v>0.3881856540084388</v>
      </c>
    </row>
    <row r="1710" spans="1:14" ht="18" customHeight="1">
      <c r="A1710" s="293" t="s">
        <v>3312</v>
      </c>
      <c r="B1710" s="294">
        <v>46231</v>
      </c>
      <c r="C1710" s="286" t="s">
        <v>168</v>
      </c>
      <c r="D1710" s="286" t="s">
        <v>124</v>
      </c>
      <c r="E1710" s="295">
        <v>3</v>
      </c>
      <c r="F1710" s="295">
        <v>5</v>
      </c>
      <c r="G1710" s="296">
        <v>0</v>
      </c>
      <c r="H1710" s="296">
        <v>390</v>
      </c>
      <c r="I1710" s="296">
        <v>160</v>
      </c>
      <c r="J1710" s="296">
        <v>168</v>
      </c>
      <c r="K1710" s="296">
        <v>222</v>
      </c>
      <c r="L1710" s="296">
        <v>0</v>
      </c>
      <c r="M1710" s="296">
        <v>230</v>
      </c>
      <c r="N1710" s="297">
        <v>0.58974358974358976</v>
      </c>
    </row>
    <row r="1711" spans="1:14" ht="18" customHeight="1">
      <c r="A1711" s="293" t="s">
        <v>3313</v>
      </c>
      <c r="B1711" s="294">
        <v>46231</v>
      </c>
      <c r="C1711" s="286" t="s">
        <v>168</v>
      </c>
      <c r="D1711" s="286" t="s">
        <v>246</v>
      </c>
      <c r="E1711" s="295">
        <v>2</v>
      </c>
      <c r="F1711" s="295">
        <v>2</v>
      </c>
      <c r="G1711" s="296">
        <v>0</v>
      </c>
      <c r="H1711" s="296">
        <v>3202</v>
      </c>
      <c r="I1711" s="296">
        <v>2300</v>
      </c>
      <c r="J1711" s="296">
        <v>2415</v>
      </c>
      <c r="K1711" s="296">
        <v>787</v>
      </c>
      <c r="L1711" s="296">
        <v>0</v>
      </c>
      <c r="M1711" s="296">
        <v>902</v>
      </c>
      <c r="N1711" s="297">
        <v>0.28169893816364772</v>
      </c>
    </row>
    <row r="1712" spans="1:14" ht="18" customHeight="1">
      <c r="A1712" s="293" t="s">
        <v>3314</v>
      </c>
      <c r="B1712" s="294">
        <v>46231</v>
      </c>
      <c r="C1712" s="286" t="s">
        <v>168</v>
      </c>
      <c r="D1712" s="286" t="s">
        <v>117</v>
      </c>
      <c r="E1712" s="295">
        <v>5</v>
      </c>
      <c r="F1712" s="295">
        <v>13</v>
      </c>
      <c r="G1712" s="296">
        <v>0</v>
      </c>
      <c r="H1712" s="296">
        <v>1114</v>
      </c>
      <c r="I1712" s="296">
        <v>700.45</v>
      </c>
      <c r="J1712" s="296">
        <v>721.46350000000007</v>
      </c>
      <c r="K1712" s="296">
        <v>392.53649999999999</v>
      </c>
      <c r="L1712" s="296">
        <v>0</v>
      </c>
      <c r="M1712" s="296">
        <v>413.54999999999995</v>
      </c>
      <c r="N1712" s="297">
        <v>0.37122980251346493</v>
      </c>
    </row>
    <row r="1713" spans="1:14" ht="18" customHeight="1">
      <c r="A1713" s="293" t="s">
        <v>3315</v>
      </c>
      <c r="B1713" s="294">
        <v>46231</v>
      </c>
      <c r="C1713" s="286" t="s">
        <v>3773</v>
      </c>
      <c r="D1713" s="286" t="s">
        <v>230</v>
      </c>
      <c r="E1713" s="295">
        <v>7</v>
      </c>
      <c r="F1713" s="295">
        <v>15.4</v>
      </c>
      <c r="G1713" s="296">
        <v>0</v>
      </c>
      <c r="H1713" s="296">
        <v>2056</v>
      </c>
      <c r="I1713" s="296">
        <v>1379.42</v>
      </c>
      <c r="J1713" s="296">
        <v>1427.8146000000002</v>
      </c>
      <c r="K1713" s="296">
        <v>628.18539999999985</v>
      </c>
      <c r="L1713" s="296">
        <v>188.45561999999995</v>
      </c>
      <c r="M1713" s="296">
        <v>676.57999999999993</v>
      </c>
      <c r="N1713" s="297">
        <v>0.32907587548638129</v>
      </c>
    </row>
    <row r="1714" spans="1:14" ht="18" customHeight="1">
      <c r="A1714" s="293" t="s">
        <v>3316</v>
      </c>
      <c r="B1714" s="294">
        <v>46231</v>
      </c>
      <c r="C1714" s="286" t="s">
        <v>168</v>
      </c>
      <c r="D1714" s="286" t="s">
        <v>99</v>
      </c>
      <c r="E1714" s="295">
        <v>2</v>
      </c>
      <c r="F1714" s="295">
        <v>2</v>
      </c>
      <c r="G1714" s="296">
        <v>0</v>
      </c>
      <c r="H1714" s="296">
        <v>930</v>
      </c>
      <c r="I1714" s="296">
        <v>570</v>
      </c>
      <c r="J1714" s="296">
        <v>598.5</v>
      </c>
      <c r="K1714" s="296">
        <v>331.5</v>
      </c>
      <c r="L1714" s="296">
        <v>0</v>
      </c>
      <c r="M1714" s="296">
        <v>360</v>
      </c>
      <c r="N1714" s="297">
        <v>0.38709677419354838</v>
      </c>
    </row>
    <row r="1715" spans="1:14" ht="18" customHeight="1">
      <c r="A1715" s="293" t="s">
        <v>3317</v>
      </c>
      <c r="B1715" s="294">
        <v>46232</v>
      </c>
      <c r="C1715" s="286" t="s">
        <v>3773</v>
      </c>
      <c r="D1715" s="286" t="s">
        <v>102</v>
      </c>
      <c r="E1715" s="295">
        <v>1</v>
      </c>
      <c r="F1715" s="295">
        <v>1</v>
      </c>
      <c r="G1715" s="296">
        <v>0</v>
      </c>
      <c r="H1715" s="296">
        <v>200</v>
      </c>
      <c r="I1715" s="296">
        <v>60</v>
      </c>
      <c r="J1715" s="296">
        <v>63</v>
      </c>
      <c r="K1715" s="296">
        <v>137</v>
      </c>
      <c r="L1715" s="296">
        <v>41.1</v>
      </c>
      <c r="M1715" s="296">
        <v>140</v>
      </c>
      <c r="N1715" s="297">
        <v>0.7</v>
      </c>
    </row>
    <row r="1716" spans="1:14" ht="18" customHeight="1">
      <c r="A1716" s="293" t="s">
        <v>3318</v>
      </c>
      <c r="B1716" s="294">
        <v>46232</v>
      </c>
      <c r="C1716" s="286" t="s">
        <v>353</v>
      </c>
      <c r="D1716" s="286" t="s">
        <v>108</v>
      </c>
      <c r="E1716" s="295">
        <v>1</v>
      </c>
      <c r="F1716" s="295">
        <v>1</v>
      </c>
      <c r="G1716" s="296">
        <v>0</v>
      </c>
      <c r="H1716" s="296">
        <v>2000</v>
      </c>
      <c r="I1716" s="296">
        <v>1300</v>
      </c>
      <c r="J1716" s="296">
        <v>1365</v>
      </c>
      <c r="K1716" s="296">
        <v>635</v>
      </c>
      <c r="L1716" s="296">
        <v>190.5</v>
      </c>
      <c r="M1716" s="296">
        <v>700</v>
      </c>
      <c r="N1716" s="297">
        <v>0.35</v>
      </c>
    </row>
    <row r="1717" spans="1:14" ht="18" customHeight="1">
      <c r="A1717" s="293" t="s">
        <v>3319</v>
      </c>
      <c r="B1717" s="294">
        <v>46232</v>
      </c>
      <c r="C1717" s="286" t="s">
        <v>358</v>
      </c>
      <c r="D1717" s="286" t="s">
        <v>253</v>
      </c>
      <c r="E1717" s="295">
        <v>1</v>
      </c>
      <c r="F1717" s="295">
        <v>2</v>
      </c>
      <c r="G1717" s="296">
        <v>0</v>
      </c>
      <c r="H1717" s="296">
        <v>720</v>
      </c>
      <c r="I1717" s="296">
        <v>370</v>
      </c>
      <c r="J1717" s="296">
        <v>381.1</v>
      </c>
      <c r="K1717" s="296">
        <v>338.9</v>
      </c>
      <c r="L1717" s="296">
        <v>101.66999999999999</v>
      </c>
      <c r="M1717" s="296">
        <v>350</v>
      </c>
      <c r="N1717" s="297">
        <v>0.4861111111111111</v>
      </c>
    </row>
    <row r="1718" spans="1:14" ht="18" customHeight="1">
      <c r="A1718" s="293" t="s">
        <v>3320</v>
      </c>
      <c r="B1718" s="294">
        <v>46232</v>
      </c>
      <c r="C1718" s="286" t="s">
        <v>168</v>
      </c>
      <c r="D1718" s="286" t="s">
        <v>96</v>
      </c>
      <c r="E1718" s="295">
        <v>1</v>
      </c>
      <c r="F1718" s="295">
        <v>1</v>
      </c>
      <c r="G1718" s="296">
        <v>0</v>
      </c>
      <c r="H1718" s="296">
        <v>2000</v>
      </c>
      <c r="I1718" s="296">
        <v>900</v>
      </c>
      <c r="J1718" s="296">
        <v>945</v>
      </c>
      <c r="K1718" s="296">
        <v>1055</v>
      </c>
      <c r="L1718" s="296">
        <v>0</v>
      </c>
      <c r="M1718" s="296">
        <v>1100</v>
      </c>
      <c r="N1718" s="297">
        <v>0.55000000000000004</v>
      </c>
    </row>
    <row r="1719" spans="1:14" ht="18" customHeight="1">
      <c r="A1719" s="293" t="s">
        <v>3321</v>
      </c>
      <c r="B1719" s="294">
        <v>46232</v>
      </c>
      <c r="C1719" s="286" t="s">
        <v>168</v>
      </c>
      <c r="D1719" s="286" t="s">
        <v>264</v>
      </c>
      <c r="E1719" s="295">
        <v>1</v>
      </c>
      <c r="F1719" s="295">
        <v>100</v>
      </c>
      <c r="G1719" s="296">
        <v>0</v>
      </c>
      <c r="H1719" s="296">
        <v>2411</v>
      </c>
      <c r="I1719" s="296">
        <v>1500</v>
      </c>
      <c r="J1719" s="296">
        <v>1575</v>
      </c>
      <c r="K1719" s="296">
        <v>836</v>
      </c>
      <c r="L1719" s="296">
        <v>0</v>
      </c>
      <c r="M1719" s="296">
        <v>911</v>
      </c>
      <c r="N1719" s="297">
        <v>0.37785151389464955</v>
      </c>
    </row>
    <row r="1720" spans="1:14" ht="18" customHeight="1">
      <c r="A1720" s="293" t="s">
        <v>3322</v>
      </c>
      <c r="B1720" s="294">
        <v>46232</v>
      </c>
      <c r="C1720" s="286" t="s">
        <v>168</v>
      </c>
      <c r="D1720" s="286" t="s">
        <v>99</v>
      </c>
      <c r="E1720" s="295">
        <v>4</v>
      </c>
      <c r="F1720" s="295">
        <v>7</v>
      </c>
      <c r="G1720" s="296">
        <v>0</v>
      </c>
      <c r="H1720" s="296">
        <v>937</v>
      </c>
      <c r="I1720" s="296">
        <v>452</v>
      </c>
      <c r="J1720" s="296">
        <v>471.58</v>
      </c>
      <c r="K1720" s="296">
        <v>465.42</v>
      </c>
      <c r="L1720" s="296">
        <v>0</v>
      </c>
      <c r="M1720" s="296">
        <v>485</v>
      </c>
      <c r="N1720" s="297">
        <v>0.5176093916755603</v>
      </c>
    </row>
    <row r="1721" spans="1:14" ht="18" customHeight="1">
      <c r="A1721" s="293" t="s">
        <v>3323</v>
      </c>
      <c r="B1721" s="294">
        <v>46233</v>
      </c>
      <c r="C1721" s="286" t="s">
        <v>3773</v>
      </c>
      <c r="D1721" s="286" t="s">
        <v>126</v>
      </c>
      <c r="E1721" s="295">
        <v>1</v>
      </c>
      <c r="F1721" s="295">
        <v>1</v>
      </c>
      <c r="G1721" s="296">
        <v>0</v>
      </c>
      <c r="H1721" s="296">
        <v>2100</v>
      </c>
      <c r="I1721" s="296">
        <v>1350</v>
      </c>
      <c r="J1721" s="296">
        <v>1417.5</v>
      </c>
      <c r="K1721" s="296">
        <v>682.5</v>
      </c>
      <c r="L1721" s="296">
        <v>204.75</v>
      </c>
      <c r="M1721" s="296">
        <v>750</v>
      </c>
      <c r="N1721" s="297">
        <v>0.35714285714285715</v>
      </c>
    </row>
    <row r="1722" spans="1:14" ht="18" customHeight="1">
      <c r="A1722" s="293" t="s">
        <v>3324</v>
      </c>
      <c r="B1722" s="294">
        <v>46233</v>
      </c>
      <c r="C1722" s="286" t="s">
        <v>353</v>
      </c>
      <c r="D1722" s="286" t="s">
        <v>108</v>
      </c>
      <c r="E1722" s="295">
        <v>1</v>
      </c>
      <c r="F1722" s="295">
        <v>4</v>
      </c>
      <c r="G1722" s="296">
        <v>0</v>
      </c>
      <c r="H1722" s="296">
        <v>2200</v>
      </c>
      <c r="I1722" s="296">
        <v>1080</v>
      </c>
      <c r="J1722" s="296">
        <v>1134</v>
      </c>
      <c r="K1722" s="296">
        <v>1066</v>
      </c>
      <c r="L1722" s="296">
        <v>319.8</v>
      </c>
      <c r="M1722" s="296">
        <v>1120</v>
      </c>
      <c r="N1722" s="297">
        <v>0.50909090909090904</v>
      </c>
    </row>
    <row r="1723" spans="1:14" ht="18" customHeight="1">
      <c r="A1723" s="293" t="s">
        <v>3325</v>
      </c>
      <c r="B1723" s="294">
        <v>46233</v>
      </c>
      <c r="C1723" s="286" t="s">
        <v>168</v>
      </c>
      <c r="D1723" s="286" t="s">
        <v>96</v>
      </c>
      <c r="E1723" s="295">
        <v>4</v>
      </c>
      <c r="F1723" s="295">
        <v>5</v>
      </c>
      <c r="G1723" s="296">
        <v>0</v>
      </c>
      <c r="H1723" s="296">
        <v>1770</v>
      </c>
      <c r="I1723" s="296">
        <v>990</v>
      </c>
      <c r="J1723" s="296">
        <v>1032.9000000000001</v>
      </c>
      <c r="K1723" s="296">
        <v>737.09999999999991</v>
      </c>
      <c r="L1723" s="296">
        <v>0</v>
      </c>
      <c r="M1723" s="296">
        <v>780</v>
      </c>
      <c r="N1723" s="297">
        <v>0.44067796610169491</v>
      </c>
    </row>
    <row r="1724" spans="1:14" ht="18" customHeight="1">
      <c r="A1724" s="293" t="s">
        <v>3326</v>
      </c>
      <c r="B1724" s="294">
        <v>46233</v>
      </c>
      <c r="C1724" s="286" t="s">
        <v>168</v>
      </c>
      <c r="D1724" s="286" t="s">
        <v>97</v>
      </c>
      <c r="E1724" s="295">
        <v>2</v>
      </c>
      <c r="F1724" s="295">
        <v>2</v>
      </c>
      <c r="G1724" s="296">
        <v>0</v>
      </c>
      <c r="H1724" s="296">
        <v>2100</v>
      </c>
      <c r="I1724" s="296">
        <v>960</v>
      </c>
      <c r="J1724" s="296">
        <v>1008</v>
      </c>
      <c r="K1724" s="296">
        <v>1092</v>
      </c>
      <c r="L1724" s="296">
        <v>0</v>
      </c>
      <c r="M1724" s="296">
        <v>1140</v>
      </c>
      <c r="N1724" s="297">
        <v>0.54285714285714282</v>
      </c>
    </row>
    <row r="1725" spans="1:14" ht="18" customHeight="1">
      <c r="A1725" s="293" t="s">
        <v>3327</v>
      </c>
      <c r="B1725" s="294">
        <v>46233</v>
      </c>
      <c r="C1725" s="286" t="s">
        <v>168</v>
      </c>
      <c r="D1725" s="286" t="s">
        <v>99</v>
      </c>
      <c r="E1725" s="295">
        <v>6</v>
      </c>
      <c r="F1725" s="295">
        <v>9</v>
      </c>
      <c r="G1725" s="296">
        <v>0</v>
      </c>
      <c r="H1725" s="296">
        <v>635</v>
      </c>
      <c r="I1725" s="296">
        <v>246</v>
      </c>
      <c r="J1725" s="296">
        <v>256.02</v>
      </c>
      <c r="K1725" s="296">
        <v>378.98</v>
      </c>
      <c r="L1725" s="296">
        <v>0</v>
      </c>
      <c r="M1725" s="296">
        <v>389</v>
      </c>
      <c r="N1725" s="297">
        <v>0.61259842519685037</v>
      </c>
    </row>
    <row r="1726" spans="1:14" ht="18" customHeight="1">
      <c r="A1726" s="293" t="s">
        <v>3328</v>
      </c>
      <c r="B1726" s="294">
        <v>46234</v>
      </c>
      <c r="C1726" s="286" t="s">
        <v>3773</v>
      </c>
      <c r="D1726" s="286" t="s">
        <v>102</v>
      </c>
      <c r="E1726" s="295">
        <v>1</v>
      </c>
      <c r="F1726" s="295">
        <v>1</v>
      </c>
      <c r="G1726" s="296">
        <v>0</v>
      </c>
      <c r="H1726" s="296">
        <v>100</v>
      </c>
      <c r="I1726" s="296">
        <v>35</v>
      </c>
      <c r="J1726" s="296">
        <v>36.75</v>
      </c>
      <c r="K1726" s="296">
        <v>63.25</v>
      </c>
      <c r="L1726" s="296">
        <v>18.974999999999998</v>
      </c>
      <c r="M1726" s="296">
        <v>65</v>
      </c>
      <c r="N1726" s="297">
        <v>0.65</v>
      </c>
    </row>
    <row r="1727" spans="1:14" ht="18" customHeight="1">
      <c r="A1727" s="293" t="s">
        <v>3329</v>
      </c>
      <c r="B1727" s="294">
        <v>46234</v>
      </c>
      <c r="C1727" s="286" t="s">
        <v>168</v>
      </c>
      <c r="D1727" s="286" t="s">
        <v>112</v>
      </c>
      <c r="E1727" s="295">
        <v>4</v>
      </c>
      <c r="F1727" s="295">
        <v>5.2</v>
      </c>
      <c r="G1727" s="296">
        <v>0</v>
      </c>
      <c r="H1727" s="296">
        <v>845</v>
      </c>
      <c r="I1727" s="296">
        <v>552.5</v>
      </c>
      <c r="J1727" s="296">
        <v>569.07500000000005</v>
      </c>
      <c r="K1727" s="296">
        <v>275.92499999999995</v>
      </c>
      <c r="L1727" s="296">
        <v>0</v>
      </c>
      <c r="M1727" s="296">
        <v>292.5</v>
      </c>
      <c r="N1727" s="297">
        <v>0.34615384615384615</v>
      </c>
    </row>
    <row r="1728" spans="1:14" ht="18" customHeight="1">
      <c r="A1728" s="293" t="s">
        <v>3330</v>
      </c>
      <c r="B1728" s="294">
        <v>46234</v>
      </c>
      <c r="C1728" s="286" t="s">
        <v>168</v>
      </c>
      <c r="D1728" s="286" t="s">
        <v>162</v>
      </c>
      <c r="E1728" s="295">
        <v>7</v>
      </c>
      <c r="F1728" s="295">
        <v>16</v>
      </c>
      <c r="G1728" s="296">
        <v>0</v>
      </c>
      <c r="H1728" s="296">
        <v>7700</v>
      </c>
      <c r="I1728" s="296">
        <v>6335</v>
      </c>
      <c r="J1728" s="296">
        <v>6534.05</v>
      </c>
      <c r="K1728" s="296">
        <v>1165.95</v>
      </c>
      <c r="L1728" s="296">
        <v>0</v>
      </c>
      <c r="M1728" s="296">
        <v>1365</v>
      </c>
      <c r="N1728" s="297">
        <v>0.17727272727272728</v>
      </c>
    </row>
    <row r="1729" spans="1:14" ht="18" customHeight="1">
      <c r="A1729" s="293" t="s">
        <v>3331</v>
      </c>
      <c r="B1729" s="294">
        <v>46234</v>
      </c>
      <c r="C1729" s="286" t="s">
        <v>168</v>
      </c>
      <c r="D1729" s="286" t="s">
        <v>104</v>
      </c>
      <c r="E1729" s="295">
        <v>1</v>
      </c>
      <c r="F1729" s="295">
        <v>1</v>
      </c>
      <c r="G1729" s="296">
        <v>0</v>
      </c>
      <c r="H1729" s="296">
        <v>550</v>
      </c>
      <c r="I1729" s="296">
        <v>270</v>
      </c>
      <c r="J1729" s="296">
        <v>283.5</v>
      </c>
      <c r="K1729" s="296">
        <v>266.5</v>
      </c>
      <c r="L1729" s="296">
        <v>0</v>
      </c>
      <c r="M1729" s="296">
        <v>280</v>
      </c>
      <c r="N1729" s="297">
        <v>0.50909090909090904</v>
      </c>
    </row>
    <row r="1730" spans="1:14" ht="18" customHeight="1">
      <c r="A1730" s="293" t="s">
        <v>3332</v>
      </c>
      <c r="B1730" s="294">
        <v>46234</v>
      </c>
      <c r="C1730" s="286" t="s">
        <v>358</v>
      </c>
      <c r="D1730" s="286" t="s">
        <v>98</v>
      </c>
      <c r="E1730" s="295">
        <v>2</v>
      </c>
      <c r="F1730" s="295">
        <v>2</v>
      </c>
      <c r="G1730" s="296">
        <v>0</v>
      </c>
      <c r="H1730" s="296">
        <v>9450</v>
      </c>
      <c r="I1730" s="296">
        <v>7864</v>
      </c>
      <c r="J1730" s="296">
        <v>8257.2000000000007</v>
      </c>
      <c r="K1730" s="296">
        <v>1192.7999999999993</v>
      </c>
      <c r="L1730" s="296">
        <v>357.8399999999998</v>
      </c>
      <c r="M1730" s="296">
        <v>1586</v>
      </c>
      <c r="N1730" s="297">
        <v>0.16783068783068783</v>
      </c>
    </row>
    <row r="1731" spans="1:14" ht="18" customHeight="1">
      <c r="A1731" s="293" t="s">
        <v>3333</v>
      </c>
      <c r="B1731" s="294">
        <v>46234</v>
      </c>
      <c r="C1731" s="286" t="s">
        <v>352</v>
      </c>
      <c r="D1731" s="286" t="s">
        <v>143</v>
      </c>
      <c r="E1731" s="295">
        <v>2</v>
      </c>
      <c r="F1731" s="295">
        <v>8</v>
      </c>
      <c r="G1731" s="296">
        <v>0</v>
      </c>
      <c r="H1731" s="296">
        <v>440</v>
      </c>
      <c r="I1731" s="296">
        <v>275.39999999999998</v>
      </c>
      <c r="J1731" s="296">
        <v>283.66200000000003</v>
      </c>
      <c r="K1731" s="296">
        <v>156.33799999999999</v>
      </c>
      <c r="L1731" s="296">
        <v>46.901399999999995</v>
      </c>
      <c r="M1731" s="296">
        <v>164.60000000000002</v>
      </c>
      <c r="N1731" s="297">
        <v>0.37409090909090914</v>
      </c>
    </row>
    <row r="1732" spans="1:14" ht="18" customHeight="1">
      <c r="A1732" s="293" t="s">
        <v>3334</v>
      </c>
      <c r="B1732" s="294">
        <v>46234</v>
      </c>
      <c r="C1732" s="286" t="s">
        <v>168</v>
      </c>
      <c r="D1732" s="286" t="s">
        <v>99</v>
      </c>
      <c r="E1732" s="295">
        <v>4</v>
      </c>
      <c r="F1732" s="295">
        <v>13</v>
      </c>
      <c r="G1732" s="296">
        <v>0</v>
      </c>
      <c r="H1732" s="296">
        <v>1875</v>
      </c>
      <c r="I1732" s="296">
        <v>845.1</v>
      </c>
      <c r="J1732" s="296">
        <v>879.95500000000004</v>
      </c>
      <c r="K1732" s="296">
        <v>995.04499999999996</v>
      </c>
      <c r="L1732" s="296">
        <v>0</v>
      </c>
      <c r="M1732" s="296">
        <v>1029.9000000000001</v>
      </c>
      <c r="N1732" s="297">
        <v>0.5492800000000001</v>
      </c>
    </row>
    <row r="1733" spans="1:14" ht="18" customHeight="1">
      <c r="A1733" s="293" t="s">
        <v>3335</v>
      </c>
      <c r="B1733" s="294">
        <v>46235</v>
      </c>
      <c r="C1733" s="286" t="s">
        <v>3773</v>
      </c>
      <c r="D1733" s="286" t="s">
        <v>102</v>
      </c>
      <c r="E1733" s="295">
        <v>2</v>
      </c>
      <c r="F1733" s="295">
        <v>2</v>
      </c>
      <c r="G1733" s="296">
        <v>0</v>
      </c>
      <c r="H1733" s="296">
        <v>2600</v>
      </c>
      <c r="I1733" s="296">
        <v>1640</v>
      </c>
      <c r="J1733" s="296">
        <v>1722</v>
      </c>
      <c r="K1733" s="296">
        <v>878</v>
      </c>
      <c r="L1733" s="296">
        <v>263.39999999999998</v>
      </c>
      <c r="M1733" s="296">
        <v>960</v>
      </c>
      <c r="N1733" s="297">
        <v>0.36923076923076925</v>
      </c>
    </row>
    <row r="1734" spans="1:14" ht="18" customHeight="1">
      <c r="A1734" s="293" t="s">
        <v>3336</v>
      </c>
      <c r="B1734" s="294">
        <v>46235</v>
      </c>
      <c r="C1734" s="286" t="s">
        <v>168</v>
      </c>
      <c r="D1734" s="286" t="s">
        <v>120</v>
      </c>
      <c r="E1734" s="295">
        <v>1</v>
      </c>
      <c r="F1734" s="295">
        <v>1</v>
      </c>
      <c r="G1734" s="296">
        <v>0</v>
      </c>
      <c r="H1734" s="296">
        <v>650</v>
      </c>
      <c r="I1734" s="296">
        <v>450</v>
      </c>
      <c r="J1734" s="296">
        <v>472.5</v>
      </c>
      <c r="K1734" s="296">
        <v>177.5</v>
      </c>
      <c r="L1734" s="296">
        <v>0</v>
      </c>
      <c r="M1734" s="296">
        <v>200</v>
      </c>
      <c r="N1734" s="297">
        <v>0.30769230769230771</v>
      </c>
    </row>
    <row r="1735" spans="1:14" ht="18" customHeight="1">
      <c r="A1735" s="293" t="s">
        <v>3337</v>
      </c>
      <c r="B1735" s="294">
        <v>46235</v>
      </c>
      <c r="C1735" s="286" t="s">
        <v>168</v>
      </c>
      <c r="D1735" s="286" t="s">
        <v>265</v>
      </c>
      <c r="E1735" s="295">
        <v>16</v>
      </c>
      <c r="F1735" s="295">
        <v>66.400000000000006</v>
      </c>
      <c r="G1735" s="296">
        <v>0</v>
      </c>
      <c r="H1735" s="296">
        <v>17235</v>
      </c>
      <c r="I1735" s="296">
        <v>12644.2</v>
      </c>
      <c r="J1735" s="296">
        <v>13064.565999999999</v>
      </c>
      <c r="K1735" s="296">
        <v>4170.4339999999993</v>
      </c>
      <c r="L1735" s="296">
        <v>0</v>
      </c>
      <c r="M1735" s="296">
        <v>4590.7999999999993</v>
      </c>
      <c r="N1735" s="297">
        <v>0.26636495503336233</v>
      </c>
    </row>
    <row r="1736" spans="1:14" ht="18" customHeight="1">
      <c r="A1736" s="293" t="s">
        <v>3338</v>
      </c>
      <c r="B1736" s="294">
        <v>46235</v>
      </c>
      <c r="C1736" s="286" t="s">
        <v>354</v>
      </c>
      <c r="D1736" s="286" t="s">
        <v>109</v>
      </c>
      <c r="E1736" s="295">
        <v>1</v>
      </c>
      <c r="F1736" s="295">
        <v>1</v>
      </c>
      <c r="G1736" s="296">
        <v>0</v>
      </c>
      <c r="H1736" s="296">
        <v>2200</v>
      </c>
      <c r="I1736" s="296">
        <v>1500</v>
      </c>
      <c r="J1736" s="296">
        <v>1575</v>
      </c>
      <c r="K1736" s="296">
        <v>625</v>
      </c>
      <c r="L1736" s="296">
        <v>187.5</v>
      </c>
      <c r="M1736" s="296">
        <v>700</v>
      </c>
      <c r="N1736" s="297">
        <v>0.31818181818181818</v>
      </c>
    </row>
    <row r="1737" spans="1:14" ht="18" customHeight="1">
      <c r="A1737" s="293" t="s">
        <v>3339</v>
      </c>
      <c r="B1737" s="294">
        <v>46235</v>
      </c>
      <c r="C1737" s="286" t="s">
        <v>358</v>
      </c>
      <c r="D1737" s="286" t="s">
        <v>98</v>
      </c>
      <c r="E1737" s="295">
        <v>1</v>
      </c>
      <c r="F1737" s="295">
        <v>1</v>
      </c>
      <c r="G1737" s="296">
        <v>0</v>
      </c>
      <c r="H1737" s="296">
        <v>450</v>
      </c>
      <c r="I1737" s="296">
        <v>180</v>
      </c>
      <c r="J1737" s="296">
        <v>189</v>
      </c>
      <c r="K1737" s="296">
        <v>261</v>
      </c>
      <c r="L1737" s="296">
        <v>78.3</v>
      </c>
      <c r="M1737" s="296">
        <v>270</v>
      </c>
      <c r="N1737" s="297">
        <v>0.6</v>
      </c>
    </row>
    <row r="1738" spans="1:14" ht="18" customHeight="1">
      <c r="A1738" s="293" t="s">
        <v>3340</v>
      </c>
      <c r="B1738" s="294">
        <v>46235</v>
      </c>
      <c r="C1738" s="286" t="s">
        <v>168</v>
      </c>
      <c r="D1738" s="286" t="s">
        <v>99</v>
      </c>
      <c r="E1738" s="295">
        <v>3</v>
      </c>
      <c r="F1738" s="295">
        <v>3</v>
      </c>
      <c r="G1738" s="296">
        <v>0</v>
      </c>
      <c r="H1738" s="296">
        <v>545</v>
      </c>
      <c r="I1738" s="296">
        <v>239</v>
      </c>
      <c r="J1738" s="296">
        <v>250.57</v>
      </c>
      <c r="K1738" s="296">
        <v>294.43</v>
      </c>
      <c r="L1738" s="296">
        <v>0</v>
      </c>
      <c r="M1738" s="296">
        <v>306</v>
      </c>
      <c r="N1738" s="297">
        <v>0.56146788990825691</v>
      </c>
    </row>
    <row r="1739" spans="1:14" ht="18" customHeight="1">
      <c r="A1739" s="293" t="s">
        <v>3341</v>
      </c>
      <c r="B1739" s="294">
        <v>46237</v>
      </c>
      <c r="C1739" s="286" t="s">
        <v>353</v>
      </c>
      <c r="D1739" s="286" t="s">
        <v>108</v>
      </c>
      <c r="E1739" s="295">
        <v>1</v>
      </c>
      <c r="F1739" s="295">
        <v>1</v>
      </c>
      <c r="G1739" s="296">
        <v>0</v>
      </c>
      <c r="H1739" s="296">
        <v>2000</v>
      </c>
      <c r="I1739" s="296">
        <v>1450</v>
      </c>
      <c r="J1739" s="296">
        <v>1522.5</v>
      </c>
      <c r="K1739" s="296">
        <v>477.5</v>
      </c>
      <c r="L1739" s="296">
        <v>143.25</v>
      </c>
      <c r="M1739" s="296">
        <v>550</v>
      </c>
      <c r="N1739" s="297">
        <v>0.27500000000000002</v>
      </c>
    </row>
    <row r="1740" spans="1:14" ht="18" customHeight="1">
      <c r="A1740" s="293" t="s">
        <v>3342</v>
      </c>
      <c r="B1740" s="294">
        <v>46237</v>
      </c>
      <c r="C1740" s="286" t="s">
        <v>168</v>
      </c>
      <c r="D1740" s="286" t="s">
        <v>92</v>
      </c>
      <c r="E1740" s="295">
        <v>1</v>
      </c>
      <c r="F1740" s="295">
        <v>1</v>
      </c>
      <c r="G1740" s="296">
        <v>0</v>
      </c>
      <c r="H1740" s="296">
        <v>2100</v>
      </c>
      <c r="I1740" s="296">
        <v>1450</v>
      </c>
      <c r="J1740" s="296">
        <v>1522.5</v>
      </c>
      <c r="K1740" s="296">
        <v>577.5</v>
      </c>
      <c r="L1740" s="296">
        <v>0</v>
      </c>
      <c r="M1740" s="296">
        <v>650</v>
      </c>
      <c r="N1740" s="297">
        <v>0.30952380952380953</v>
      </c>
    </row>
    <row r="1741" spans="1:14" ht="18" customHeight="1">
      <c r="A1741" s="293" t="s">
        <v>3343</v>
      </c>
      <c r="B1741" s="294">
        <v>46237</v>
      </c>
      <c r="C1741" s="286" t="s">
        <v>353</v>
      </c>
      <c r="D1741" s="286" t="s">
        <v>103</v>
      </c>
      <c r="E1741" s="295">
        <v>3</v>
      </c>
      <c r="F1741" s="295">
        <v>3</v>
      </c>
      <c r="G1741" s="296">
        <v>0</v>
      </c>
      <c r="H1741" s="296">
        <v>4550</v>
      </c>
      <c r="I1741" s="296">
        <v>3060</v>
      </c>
      <c r="J1741" s="296">
        <v>3213</v>
      </c>
      <c r="K1741" s="296">
        <v>1337</v>
      </c>
      <c r="L1741" s="296">
        <v>401.1</v>
      </c>
      <c r="M1741" s="296">
        <v>1490</v>
      </c>
      <c r="N1741" s="297">
        <v>0.32747252747252747</v>
      </c>
    </row>
    <row r="1742" spans="1:14" ht="18" customHeight="1">
      <c r="A1742" s="293" t="s">
        <v>3344</v>
      </c>
      <c r="B1742" s="294">
        <v>46237</v>
      </c>
      <c r="C1742" s="286" t="s">
        <v>168</v>
      </c>
      <c r="D1742" s="286" t="s">
        <v>96</v>
      </c>
      <c r="E1742" s="295">
        <v>6</v>
      </c>
      <c r="F1742" s="295">
        <v>8.5</v>
      </c>
      <c r="G1742" s="296">
        <v>0</v>
      </c>
      <c r="H1742" s="296">
        <v>1558</v>
      </c>
      <c r="I1742" s="296">
        <v>580.5</v>
      </c>
      <c r="J1742" s="296">
        <v>609.52500000000009</v>
      </c>
      <c r="K1742" s="296">
        <v>948.47499999999991</v>
      </c>
      <c r="L1742" s="296">
        <v>0</v>
      </c>
      <c r="M1742" s="296">
        <v>977.5</v>
      </c>
      <c r="N1742" s="297">
        <v>0.6274069319640565</v>
      </c>
    </row>
    <row r="1743" spans="1:14" ht="18" customHeight="1">
      <c r="A1743" s="293" t="s">
        <v>3345</v>
      </c>
      <c r="B1743" s="294">
        <v>46237</v>
      </c>
      <c r="C1743" s="286" t="s">
        <v>168</v>
      </c>
      <c r="D1743" s="286" t="s">
        <v>99</v>
      </c>
      <c r="E1743" s="295">
        <v>1</v>
      </c>
      <c r="F1743" s="295">
        <v>1</v>
      </c>
      <c r="G1743" s="296">
        <v>0</v>
      </c>
      <c r="H1743" s="296">
        <v>360</v>
      </c>
      <c r="I1743" s="296">
        <v>195</v>
      </c>
      <c r="J1743" s="296">
        <v>200.85</v>
      </c>
      <c r="K1743" s="296">
        <v>159.15</v>
      </c>
      <c r="L1743" s="296">
        <v>0</v>
      </c>
      <c r="M1743" s="296">
        <v>165</v>
      </c>
      <c r="N1743" s="297">
        <v>0.45833333333333331</v>
      </c>
    </row>
    <row r="1744" spans="1:14" ht="18" customHeight="1">
      <c r="A1744" s="293" t="s">
        <v>3346</v>
      </c>
      <c r="B1744" s="294">
        <v>46238</v>
      </c>
      <c r="C1744" s="286" t="s">
        <v>3773</v>
      </c>
      <c r="D1744" s="286" t="s">
        <v>219</v>
      </c>
      <c r="E1744" s="295">
        <v>1</v>
      </c>
      <c r="F1744" s="295">
        <v>1</v>
      </c>
      <c r="G1744" s="296">
        <v>0</v>
      </c>
      <c r="H1744" s="296">
        <v>2300</v>
      </c>
      <c r="I1744" s="296">
        <v>1450</v>
      </c>
      <c r="J1744" s="296">
        <v>1522.5</v>
      </c>
      <c r="K1744" s="296">
        <v>777.5</v>
      </c>
      <c r="L1744" s="296">
        <v>233.25</v>
      </c>
      <c r="M1744" s="296">
        <v>850</v>
      </c>
      <c r="N1744" s="297">
        <v>0.36956521739130432</v>
      </c>
    </row>
    <row r="1745" spans="1:14" ht="18" customHeight="1">
      <c r="A1745" s="293" t="s">
        <v>3347</v>
      </c>
      <c r="B1745" s="294">
        <v>46238</v>
      </c>
      <c r="C1745" s="286" t="s">
        <v>348</v>
      </c>
      <c r="D1745" s="286" t="s">
        <v>247</v>
      </c>
      <c r="E1745" s="295">
        <v>1</v>
      </c>
      <c r="F1745" s="295">
        <v>2</v>
      </c>
      <c r="G1745" s="296">
        <v>0</v>
      </c>
      <c r="H1745" s="296">
        <v>460</v>
      </c>
      <c r="I1745" s="296">
        <v>120</v>
      </c>
      <c r="J1745" s="296">
        <v>126</v>
      </c>
      <c r="K1745" s="296">
        <v>334</v>
      </c>
      <c r="L1745" s="296">
        <v>100.2</v>
      </c>
      <c r="M1745" s="296">
        <v>340</v>
      </c>
      <c r="N1745" s="297">
        <v>0.73913043478260865</v>
      </c>
    </row>
    <row r="1746" spans="1:14" ht="18" customHeight="1">
      <c r="A1746" s="293" t="s">
        <v>3348</v>
      </c>
      <c r="B1746" s="294">
        <v>46238</v>
      </c>
      <c r="C1746" s="286" t="s">
        <v>168</v>
      </c>
      <c r="D1746" s="286" t="s">
        <v>155</v>
      </c>
      <c r="E1746" s="295">
        <v>6</v>
      </c>
      <c r="F1746" s="295">
        <v>28</v>
      </c>
      <c r="G1746" s="296">
        <v>0</v>
      </c>
      <c r="H1746" s="296">
        <v>11875</v>
      </c>
      <c r="I1746" s="296">
        <v>9948</v>
      </c>
      <c r="J1746" s="296">
        <v>10250.64</v>
      </c>
      <c r="K1746" s="296">
        <v>1624.36</v>
      </c>
      <c r="L1746" s="296">
        <v>0</v>
      </c>
      <c r="M1746" s="296">
        <v>1927</v>
      </c>
      <c r="N1746" s="297">
        <v>0.16227368421052632</v>
      </c>
    </row>
    <row r="1747" spans="1:14" ht="18" customHeight="1">
      <c r="A1747" s="293" t="s">
        <v>3349</v>
      </c>
      <c r="B1747" s="294">
        <v>46238</v>
      </c>
      <c r="C1747" s="286" t="s">
        <v>353</v>
      </c>
      <c r="D1747" s="286" t="s">
        <v>108</v>
      </c>
      <c r="E1747" s="295">
        <v>1</v>
      </c>
      <c r="F1747" s="295">
        <v>1</v>
      </c>
      <c r="G1747" s="296">
        <v>0</v>
      </c>
      <c r="H1747" s="296">
        <v>1875</v>
      </c>
      <c r="I1747" s="296">
        <v>1350</v>
      </c>
      <c r="J1747" s="296">
        <v>1417.5</v>
      </c>
      <c r="K1747" s="296">
        <v>457.5</v>
      </c>
      <c r="L1747" s="296">
        <v>137.25</v>
      </c>
      <c r="M1747" s="296">
        <v>525</v>
      </c>
      <c r="N1747" s="297">
        <v>0.28000000000000003</v>
      </c>
    </row>
    <row r="1748" spans="1:14" ht="18" customHeight="1">
      <c r="A1748" s="293" t="s">
        <v>3350</v>
      </c>
      <c r="B1748" s="294">
        <v>46238</v>
      </c>
      <c r="C1748" s="286" t="s">
        <v>168</v>
      </c>
      <c r="D1748" s="286" t="s">
        <v>92</v>
      </c>
      <c r="E1748" s="295">
        <v>1</v>
      </c>
      <c r="F1748" s="295">
        <v>1</v>
      </c>
      <c r="G1748" s="296">
        <v>0</v>
      </c>
      <c r="H1748" s="296">
        <v>2000</v>
      </c>
      <c r="I1748" s="296">
        <v>1450</v>
      </c>
      <c r="J1748" s="296">
        <v>1522.5</v>
      </c>
      <c r="K1748" s="296">
        <v>477.5</v>
      </c>
      <c r="L1748" s="296">
        <v>0</v>
      </c>
      <c r="M1748" s="296">
        <v>550</v>
      </c>
      <c r="N1748" s="297">
        <v>0.27500000000000002</v>
      </c>
    </row>
    <row r="1749" spans="1:14" ht="18" customHeight="1">
      <c r="A1749" s="293" t="s">
        <v>3351</v>
      </c>
      <c r="B1749" s="294">
        <v>46238</v>
      </c>
      <c r="C1749" s="286" t="s">
        <v>353</v>
      </c>
      <c r="D1749" s="286" t="s">
        <v>94</v>
      </c>
      <c r="E1749" s="295">
        <v>2</v>
      </c>
      <c r="F1749" s="295">
        <v>2</v>
      </c>
      <c r="G1749" s="296">
        <v>0</v>
      </c>
      <c r="H1749" s="296">
        <v>3800</v>
      </c>
      <c r="I1749" s="296">
        <v>2900</v>
      </c>
      <c r="J1749" s="296">
        <v>3045</v>
      </c>
      <c r="K1749" s="296">
        <v>755</v>
      </c>
      <c r="L1749" s="296">
        <v>226.5</v>
      </c>
      <c r="M1749" s="296">
        <v>900</v>
      </c>
      <c r="N1749" s="297">
        <v>0.23684210526315788</v>
      </c>
    </row>
    <row r="1750" spans="1:14" ht="18" customHeight="1">
      <c r="A1750" s="293" t="s">
        <v>3352</v>
      </c>
      <c r="B1750" s="294">
        <v>46238</v>
      </c>
      <c r="C1750" s="286" t="s">
        <v>168</v>
      </c>
      <c r="D1750" s="286" t="s">
        <v>162</v>
      </c>
      <c r="E1750" s="295">
        <v>1</v>
      </c>
      <c r="F1750" s="295">
        <v>1</v>
      </c>
      <c r="G1750" s="296">
        <v>0</v>
      </c>
      <c r="H1750" s="296">
        <v>7500</v>
      </c>
      <c r="I1750" s="296">
        <v>6441</v>
      </c>
      <c r="J1750" s="296">
        <v>6763.05</v>
      </c>
      <c r="K1750" s="296">
        <v>736.94999999999982</v>
      </c>
      <c r="L1750" s="296">
        <v>0</v>
      </c>
      <c r="M1750" s="296">
        <v>1059</v>
      </c>
      <c r="N1750" s="297">
        <v>0.14119999999999999</v>
      </c>
    </row>
    <row r="1751" spans="1:14" ht="18" customHeight="1">
      <c r="A1751" s="293" t="s">
        <v>3353</v>
      </c>
      <c r="B1751" s="294">
        <v>46238</v>
      </c>
      <c r="C1751" s="286" t="s">
        <v>168</v>
      </c>
      <c r="D1751" s="286" t="s">
        <v>104</v>
      </c>
      <c r="E1751" s="295">
        <v>2</v>
      </c>
      <c r="F1751" s="295">
        <v>3</v>
      </c>
      <c r="G1751" s="296">
        <v>0</v>
      </c>
      <c r="H1751" s="296">
        <v>250</v>
      </c>
      <c r="I1751" s="296">
        <v>108</v>
      </c>
      <c r="J1751" s="296">
        <v>112.64</v>
      </c>
      <c r="K1751" s="296">
        <v>137.36000000000001</v>
      </c>
      <c r="L1751" s="296">
        <v>0</v>
      </c>
      <c r="M1751" s="296">
        <v>142</v>
      </c>
      <c r="N1751" s="297">
        <v>0.56799999999999995</v>
      </c>
    </row>
    <row r="1752" spans="1:14" ht="18" customHeight="1">
      <c r="A1752" s="293" t="s">
        <v>3354</v>
      </c>
      <c r="B1752" s="294">
        <v>46238</v>
      </c>
      <c r="C1752" s="286" t="s">
        <v>168</v>
      </c>
      <c r="D1752" s="286" t="s">
        <v>99</v>
      </c>
      <c r="E1752" s="295">
        <v>1</v>
      </c>
      <c r="F1752" s="295">
        <v>1</v>
      </c>
      <c r="G1752" s="296">
        <v>0</v>
      </c>
      <c r="H1752" s="296">
        <v>650</v>
      </c>
      <c r="I1752" s="296">
        <v>195</v>
      </c>
      <c r="J1752" s="296">
        <v>204.75</v>
      </c>
      <c r="K1752" s="296">
        <v>445.25</v>
      </c>
      <c r="L1752" s="296">
        <v>0</v>
      </c>
      <c r="M1752" s="296">
        <v>455</v>
      </c>
      <c r="N1752" s="297">
        <v>0.7</v>
      </c>
    </row>
    <row r="1753" spans="1:14" ht="18" customHeight="1">
      <c r="A1753" s="293" t="s">
        <v>3355</v>
      </c>
      <c r="B1753" s="294">
        <v>46239</v>
      </c>
      <c r="C1753" s="286" t="s">
        <v>348</v>
      </c>
      <c r="D1753" s="286" t="s">
        <v>101</v>
      </c>
      <c r="E1753" s="295">
        <v>1</v>
      </c>
      <c r="F1753" s="295">
        <v>4</v>
      </c>
      <c r="G1753" s="296">
        <v>0</v>
      </c>
      <c r="H1753" s="296">
        <v>200</v>
      </c>
      <c r="I1753" s="296">
        <v>140</v>
      </c>
      <c r="J1753" s="296">
        <v>147</v>
      </c>
      <c r="K1753" s="296">
        <v>53</v>
      </c>
      <c r="L1753" s="296">
        <v>15.899999999999999</v>
      </c>
      <c r="M1753" s="296">
        <v>60</v>
      </c>
      <c r="N1753" s="297">
        <v>0.3</v>
      </c>
    </row>
    <row r="1754" spans="1:14" ht="18" customHeight="1">
      <c r="A1754" s="293" t="s">
        <v>3356</v>
      </c>
      <c r="B1754" s="294">
        <v>46239</v>
      </c>
      <c r="C1754" s="286" t="s">
        <v>348</v>
      </c>
      <c r="D1754" s="286" t="s">
        <v>247</v>
      </c>
      <c r="E1754" s="295">
        <v>1</v>
      </c>
      <c r="F1754" s="295">
        <v>1</v>
      </c>
      <c r="G1754" s="296">
        <v>0</v>
      </c>
      <c r="H1754" s="296">
        <v>2600</v>
      </c>
      <c r="I1754" s="296">
        <v>850</v>
      </c>
      <c r="J1754" s="296">
        <v>892.5</v>
      </c>
      <c r="K1754" s="296">
        <v>1707.5</v>
      </c>
      <c r="L1754" s="296">
        <v>512.25</v>
      </c>
      <c r="M1754" s="296">
        <v>1750</v>
      </c>
      <c r="N1754" s="297">
        <v>0.67307692307692313</v>
      </c>
    </row>
    <row r="1755" spans="1:14" ht="18" customHeight="1">
      <c r="A1755" s="293" t="s">
        <v>3357</v>
      </c>
      <c r="B1755" s="294">
        <v>46239</v>
      </c>
      <c r="C1755" s="286" t="s">
        <v>168</v>
      </c>
      <c r="D1755" s="286" t="s">
        <v>112</v>
      </c>
      <c r="E1755" s="295">
        <v>7</v>
      </c>
      <c r="F1755" s="295">
        <v>7.8</v>
      </c>
      <c r="G1755" s="296">
        <v>0</v>
      </c>
      <c r="H1755" s="296">
        <v>3535</v>
      </c>
      <c r="I1755" s="296">
        <v>2146.5</v>
      </c>
      <c r="J1755" s="296">
        <v>2210.895</v>
      </c>
      <c r="K1755" s="296">
        <v>1324.105</v>
      </c>
      <c r="L1755" s="296">
        <v>0</v>
      </c>
      <c r="M1755" s="296">
        <v>1388.5</v>
      </c>
      <c r="N1755" s="297">
        <v>0.39278642149929277</v>
      </c>
    </row>
    <row r="1756" spans="1:14" ht="18" customHeight="1">
      <c r="A1756" s="293" t="s">
        <v>3358</v>
      </c>
      <c r="B1756" s="294">
        <v>46239</v>
      </c>
      <c r="C1756" s="286" t="s">
        <v>168</v>
      </c>
      <c r="D1756" s="286" t="s">
        <v>96</v>
      </c>
      <c r="E1756" s="295">
        <v>10</v>
      </c>
      <c r="F1756" s="295">
        <v>19</v>
      </c>
      <c r="G1756" s="296">
        <v>0</v>
      </c>
      <c r="H1756" s="296">
        <v>1912.5</v>
      </c>
      <c r="I1756" s="296">
        <v>877</v>
      </c>
      <c r="J1756" s="296">
        <v>915.85</v>
      </c>
      <c r="K1756" s="296">
        <v>996.65</v>
      </c>
      <c r="L1756" s="296">
        <v>0</v>
      </c>
      <c r="M1756" s="296">
        <v>1035.5</v>
      </c>
      <c r="N1756" s="297">
        <v>0.54143790849673201</v>
      </c>
    </row>
    <row r="1757" spans="1:14" ht="18" customHeight="1">
      <c r="A1757" s="293" t="s">
        <v>3359</v>
      </c>
      <c r="B1757" s="294">
        <v>46239</v>
      </c>
      <c r="C1757" s="286" t="s">
        <v>168</v>
      </c>
      <c r="D1757" s="286" t="s">
        <v>115</v>
      </c>
      <c r="E1757" s="295">
        <v>3</v>
      </c>
      <c r="F1757" s="295">
        <v>14</v>
      </c>
      <c r="G1757" s="296">
        <v>0</v>
      </c>
      <c r="H1757" s="296">
        <v>1060</v>
      </c>
      <c r="I1757" s="296">
        <v>496</v>
      </c>
      <c r="J1757" s="296">
        <v>520.80000000000007</v>
      </c>
      <c r="K1757" s="296">
        <v>539.19999999999993</v>
      </c>
      <c r="L1757" s="296">
        <v>0</v>
      </c>
      <c r="M1757" s="296">
        <v>564</v>
      </c>
      <c r="N1757" s="297">
        <v>0.5320754716981132</v>
      </c>
    </row>
    <row r="1758" spans="1:14" ht="18" customHeight="1">
      <c r="A1758" s="293" t="s">
        <v>3360</v>
      </c>
      <c r="B1758" s="294">
        <v>46239</v>
      </c>
      <c r="C1758" s="286" t="s">
        <v>168</v>
      </c>
      <c r="D1758" s="286" t="s">
        <v>129</v>
      </c>
      <c r="E1758" s="295">
        <v>3</v>
      </c>
      <c r="F1758" s="295">
        <v>16</v>
      </c>
      <c r="G1758" s="296">
        <v>0</v>
      </c>
      <c r="H1758" s="296">
        <v>1400</v>
      </c>
      <c r="I1758" s="296">
        <v>738</v>
      </c>
      <c r="J1758" s="296">
        <v>774.90000000000009</v>
      </c>
      <c r="K1758" s="296">
        <v>625.09999999999991</v>
      </c>
      <c r="L1758" s="296">
        <v>0</v>
      </c>
      <c r="M1758" s="296">
        <v>662</v>
      </c>
      <c r="N1758" s="297">
        <v>0.47285714285714286</v>
      </c>
    </row>
    <row r="1759" spans="1:14" ht="18" customHeight="1">
      <c r="A1759" s="293" t="s">
        <v>3361</v>
      </c>
      <c r="B1759" s="294">
        <v>46240</v>
      </c>
      <c r="C1759" s="286" t="s">
        <v>3773</v>
      </c>
      <c r="D1759" s="286" t="s">
        <v>219</v>
      </c>
      <c r="E1759" s="295">
        <v>1</v>
      </c>
      <c r="F1759" s="295">
        <v>1</v>
      </c>
      <c r="G1759" s="296">
        <v>0</v>
      </c>
      <c r="H1759" s="296">
        <v>800</v>
      </c>
      <c r="I1759" s="296">
        <v>320</v>
      </c>
      <c r="J1759" s="296">
        <v>336</v>
      </c>
      <c r="K1759" s="296">
        <v>464</v>
      </c>
      <c r="L1759" s="296">
        <v>139.19999999999999</v>
      </c>
      <c r="M1759" s="296">
        <v>480</v>
      </c>
      <c r="N1759" s="297">
        <v>0.6</v>
      </c>
    </row>
    <row r="1760" spans="1:14" ht="18" customHeight="1">
      <c r="A1760" s="293" t="s">
        <v>3362</v>
      </c>
      <c r="B1760" s="294">
        <v>46240</v>
      </c>
      <c r="C1760" s="286" t="s">
        <v>3773</v>
      </c>
      <c r="D1760" s="286" t="s">
        <v>102</v>
      </c>
      <c r="E1760" s="295">
        <v>2</v>
      </c>
      <c r="F1760" s="295">
        <v>3</v>
      </c>
      <c r="G1760" s="296">
        <v>0</v>
      </c>
      <c r="H1760" s="296">
        <v>1650</v>
      </c>
      <c r="I1760" s="296">
        <v>750</v>
      </c>
      <c r="J1760" s="296">
        <v>787.5</v>
      </c>
      <c r="K1760" s="296">
        <v>862.5</v>
      </c>
      <c r="L1760" s="296">
        <v>258.75</v>
      </c>
      <c r="M1760" s="296">
        <v>900</v>
      </c>
      <c r="N1760" s="297">
        <v>0.54545454545454541</v>
      </c>
    </row>
    <row r="1761" spans="1:14" ht="18" customHeight="1">
      <c r="A1761" s="293" t="s">
        <v>3363</v>
      </c>
      <c r="B1761" s="294">
        <v>46240</v>
      </c>
      <c r="C1761" s="286" t="s">
        <v>354</v>
      </c>
      <c r="D1761" s="286" t="s">
        <v>109</v>
      </c>
      <c r="E1761" s="295">
        <v>1</v>
      </c>
      <c r="F1761" s="295">
        <v>1</v>
      </c>
      <c r="G1761" s="296">
        <v>0</v>
      </c>
      <c r="H1761" s="296">
        <v>1965</v>
      </c>
      <c r="I1761" s="296">
        <v>1650</v>
      </c>
      <c r="J1761" s="296">
        <v>1732.5</v>
      </c>
      <c r="K1761" s="296">
        <v>232.5</v>
      </c>
      <c r="L1761" s="296">
        <v>69.75</v>
      </c>
      <c r="M1761" s="296">
        <v>315</v>
      </c>
      <c r="N1761" s="297">
        <v>0.16030534351145037</v>
      </c>
    </row>
    <row r="1762" spans="1:14" ht="18" customHeight="1">
      <c r="A1762" s="293" t="s">
        <v>3364</v>
      </c>
      <c r="B1762" s="294">
        <v>46240</v>
      </c>
      <c r="C1762" s="286" t="s">
        <v>168</v>
      </c>
      <c r="D1762" s="286" t="s">
        <v>121</v>
      </c>
      <c r="E1762" s="295">
        <v>2</v>
      </c>
      <c r="F1762" s="295">
        <v>2</v>
      </c>
      <c r="G1762" s="296">
        <v>0</v>
      </c>
      <c r="H1762" s="296">
        <v>9450</v>
      </c>
      <c r="I1762" s="296">
        <v>7864</v>
      </c>
      <c r="J1762" s="296">
        <v>8257.2000000000007</v>
      </c>
      <c r="K1762" s="296">
        <v>1192.7999999999993</v>
      </c>
      <c r="L1762" s="296">
        <v>0</v>
      </c>
      <c r="M1762" s="296">
        <v>1586</v>
      </c>
      <c r="N1762" s="297">
        <v>0.16783068783068783</v>
      </c>
    </row>
    <row r="1763" spans="1:14" ht="18" customHeight="1">
      <c r="A1763" s="293" t="s">
        <v>3365</v>
      </c>
      <c r="B1763" s="294">
        <v>46240</v>
      </c>
      <c r="C1763" s="286" t="s">
        <v>168</v>
      </c>
      <c r="D1763" s="286" t="s">
        <v>266</v>
      </c>
      <c r="E1763" s="295">
        <v>1</v>
      </c>
      <c r="F1763" s="295">
        <v>1</v>
      </c>
      <c r="G1763" s="296">
        <v>0</v>
      </c>
      <c r="H1763" s="296">
        <v>200</v>
      </c>
      <c r="I1763" s="296">
        <v>25</v>
      </c>
      <c r="J1763" s="296">
        <v>26.25</v>
      </c>
      <c r="K1763" s="296">
        <v>173.75</v>
      </c>
      <c r="L1763" s="296">
        <v>0</v>
      </c>
      <c r="M1763" s="296">
        <v>175</v>
      </c>
      <c r="N1763" s="297">
        <v>0.875</v>
      </c>
    </row>
    <row r="1764" spans="1:14" ht="18" customHeight="1">
      <c r="A1764" s="293" t="s">
        <v>3366</v>
      </c>
      <c r="B1764" s="294">
        <v>46240</v>
      </c>
      <c r="C1764" s="286" t="s">
        <v>168</v>
      </c>
      <c r="D1764" s="286" t="s">
        <v>162</v>
      </c>
      <c r="E1764" s="295">
        <v>8</v>
      </c>
      <c r="F1764" s="295">
        <v>60</v>
      </c>
      <c r="G1764" s="296">
        <v>0</v>
      </c>
      <c r="H1764" s="296">
        <v>17475</v>
      </c>
      <c r="I1764" s="296">
        <v>14745.5</v>
      </c>
      <c r="J1764" s="296">
        <v>15187.865</v>
      </c>
      <c r="K1764" s="296">
        <v>2287.1349999999998</v>
      </c>
      <c r="L1764" s="296">
        <v>0</v>
      </c>
      <c r="M1764" s="296">
        <v>2729.5</v>
      </c>
      <c r="N1764" s="297">
        <v>0.15619456366237483</v>
      </c>
    </row>
    <row r="1765" spans="1:14" ht="18" customHeight="1">
      <c r="A1765" s="293" t="s">
        <v>3367</v>
      </c>
      <c r="B1765" s="294">
        <v>46240</v>
      </c>
      <c r="C1765" s="286" t="s">
        <v>168</v>
      </c>
      <c r="D1765" s="286" t="s">
        <v>267</v>
      </c>
      <c r="E1765" s="295">
        <v>4</v>
      </c>
      <c r="F1765" s="295">
        <v>8.8000000000000007</v>
      </c>
      <c r="G1765" s="296">
        <v>0</v>
      </c>
      <c r="H1765" s="296">
        <v>2840</v>
      </c>
      <c r="I1765" s="296">
        <v>2058.8000000000002</v>
      </c>
      <c r="J1765" s="296">
        <v>2120.5640000000003</v>
      </c>
      <c r="K1765" s="296">
        <v>719.43599999999981</v>
      </c>
      <c r="L1765" s="296">
        <v>0</v>
      </c>
      <c r="M1765" s="296">
        <v>781.19999999999982</v>
      </c>
      <c r="N1765" s="297">
        <v>0.27507042253521119</v>
      </c>
    </row>
    <row r="1766" spans="1:14" ht="18" customHeight="1">
      <c r="A1766" s="293" t="s">
        <v>3368</v>
      </c>
      <c r="B1766" s="294">
        <v>46240</v>
      </c>
      <c r="C1766" s="286" t="s">
        <v>168</v>
      </c>
      <c r="D1766" s="286" t="s">
        <v>115</v>
      </c>
      <c r="E1766" s="295">
        <v>2</v>
      </c>
      <c r="F1766" s="295">
        <v>6</v>
      </c>
      <c r="G1766" s="296">
        <v>0</v>
      </c>
      <c r="H1766" s="296">
        <v>1480</v>
      </c>
      <c r="I1766" s="296">
        <v>780</v>
      </c>
      <c r="J1766" s="296">
        <v>819</v>
      </c>
      <c r="K1766" s="296">
        <v>661</v>
      </c>
      <c r="L1766" s="296">
        <v>0</v>
      </c>
      <c r="M1766" s="296">
        <v>700</v>
      </c>
      <c r="N1766" s="297">
        <v>0.47297297297297297</v>
      </c>
    </row>
    <row r="1767" spans="1:14" ht="18" customHeight="1">
      <c r="A1767" s="293" t="s">
        <v>3369</v>
      </c>
      <c r="B1767" s="294">
        <v>46240</v>
      </c>
      <c r="C1767" s="286" t="s">
        <v>168</v>
      </c>
      <c r="D1767" s="286" t="s">
        <v>145</v>
      </c>
      <c r="E1767" s="295">
        <v>1</v>
      </c>
      <c r="F1767" s="295">
        <v>0.2</v>
      </c>
      <c r="G1767" s="296">
        <v>0</v>
      </c>
      <c r="H1767" s="296">
        <v>1100</v>
      </c>
      <c r="I1767" s="296">
        <v>851</v>
      </c>
      <c r="J1767" s="296">
        <v>876.53</v>
      </c>
      <c r="K1767" s="296">
        <v>223.47000000000003</v>
      </c>
      <c r="L1767" s="296">
        <v>0</v>
      </c>
      <c r="M1767" s="296">
        <v>249</v>
      </c>
      <c r="N1767" s="297">
        <v>0.22636363636363635</v>
      </c>
    </row>
    <row r="1768" spans="1:14" ht="18" customHeight="1">
      <c r="A1768" s="293" t="s">
        <v>3370</v>
      </c>
      <c r="B1768" s="294">
        <v>46240</v>
      </c>
      <c r="C1768" s="286" t="s">
        <v>358</v>
      </c>
      <c r="D1768" s="286" t="s">
        <v>98</v>
      </c>
      <c r="E1768" s="295">
        <v>1</v>
      </c>
      <c r="F1768" s="295">
        <v>1</v>
      </c>
      <c r="G1768" s="296">
        <v>0</v>
      </c>
      <c r="H1768" s="296">
        <v>9000</v>
      </c>
      <c r="I1768" s="296">
        <v>7684</v>
      </c>
      <c r="J1768" s="296">
        <v>8068.2000000000007</v>
      </c>
      <c r="K1768" s="296">
        <v>931.79999999999927</v>
      </c>
      <c r="L1768" s="296">
        <v>279.53999999999979</v>
      </c>
      <c r="M1768" s="296">
        <v>1316</v>
      </c>
      <c r="N1768" s="297">
        <v>0.14622222222222223</v>
      </c>
    </row>
    <row r="1769" spans="1:14" ht="18" customHeight="1">
      <c r="A1769" s="293" t="s">
        <v>3371</v>
      </c>
      <c r="B1769" s="294">
        <v>46241</v>
      </c>
      <c r="C1769" s="286" t="s">
        <v>348</v>
      </c>
      <c r="D1769" s="286" t="s">
        <v>247</v>
      </c>
      <c r="E1769" s="295">
        <v>4</v>
      </c>
      <c r="F1769" s="295">
        <v>4</v>
      </c>
      <c r="G1769" s="296">
        <v>0</v>
      </c>
      <c r="H1769" s="296">
        <v>6161</v>
      </c>
      <c r="I1769" s="296">
        <v>4400</v>
      </c>
      <c r="J1769" s="296">
        <v>4620</v>
      </c>
      <c r="K1769" s="296">
        <v>1541</v>
      </c>
      <c r="L1769" s="296">
        <v>462.3</v>
      </c>
      <c r="M1769" s="296">
        <v>1761</v>
      </c>
      <c r="N1769" s="297">
        <v>0.28583022236649896</v>
      </c>
    </row>
    <row r="1770" spans="1:14" ht="18" customHeight="1">
      <c r="A1770" s="293" t="s">
        <v>3372</v>
      </c>
      <c r="B1770" s="294">
        <v>46241</v>
      </c>
      <c r="C1770" s="286" t="s">
        <v>3773</v>
      </c>
      <c r="D1770" s="286" t="s">
        <v>102</v>
      </c>
      <c r="E1770" s="295">
        <v>1</v>
      </c>
      <c r="F1770" s="295">
        <v>1</v>
      </c>
      <c r="G1770" s="296">
        <v>0</v>
      </c>
      <c r="H1770" s="296">
        <v>2200</v>
      </c>
      <c r="I1770" s="296">
        <v>1400</v>
      </c>
      <c r="J1770" s="296">
        <v>1470</v>
      </c>
      <c r="K1770" s="296">
        <v>730</v>
      </c>
      <c r="L1770" s="296">
        <v>219</v>
      </c>
      <c r="M1770" s="296">
        <v>800</v>
      </c>
      <c r="N1770" s="297">
        <v>0.36363636363636365</v>
      </c>
    </row>
    <row r="1771" spans="1:14" ht="18" customHeight="1">
      <c r="A1771" s="293" t="s">
        <v>3373</v>
      </c>
      <c r="B1771" s="294">
        <v>46241</v>
      </c>
      <c r="C1771" s="286" t="s">
        <v>353</v>
      </c>
      <c r="D1771" s="286" t="s">
        <v>103</v>
      </c>
      <c r="E1771" s="295">
        <v>1</v>
      </c>
      <c r="F1771" s="295">
        <v>1</v>
      </c>
      <c r="G1771" s="296">
        <v>0</v>
      </c>
      <c r="H1771" s="296">
        <v>2100</v>
      </c>
      <c r="I1771" s="296">
        <v>1500</v>
      </c>
      <c r="J1771" s="296">
        <v>1575</v>
      </c>
      <c r="K1771" s="296">
        <v>525</v>
      </c>
      <c r="L1771" s="296">
        <v>157.5</v>
      </c>
      <c r="M1771" s="296">
        <v>600</v>
      </c>
      <c r="N1771" s="297">
        <v>0.2857142857142857</v>
      </c>
    </row>
    <row r="1772" spans="1:14" ht="18" customHeight="1">
      <c r="A1772" s="293" t="s">
        <v>3374</v>
      </c>
      <c r="B1772" s="294">
        <v>46241</v>
      </c>
      <c r="C1772" s="286" t="s">
        <v>168</v>
      </c>
      <c r="D1772" s="286" t="s">
        <v>268</v>
      </c>
      <c r="E1772" s="295">
        <v>2</v>
      </c>
      <c r="F1772" s="295">
        <v>3</v>
      </c>
      <c r="G1772" s="296">
        <v>0</v>
      </c>
      <c r="H1772" s="296">
        <v>160</v>
      </c>
      <c r="I1772" s="296">
        <v>104.1</v>
      </c>
      <c r="J1772" s="296">
        <v>107.223</v>
      </c>
      <c r="K1772" s="296">
        <v>52.777000000000001</v>
      </c>
      <c r="L1772" s="296">
        <v>0</v>
      </c>
      <c r="M1772" s="296">
        <v>55.900000000000006</v>
      </c>
      <c r="N1772" s="297">
        <v>0.34937500000000005</v>
      </c>
    </row>
    <row r="1773" spans="1:14" ht="18" customHeight="1">
      <c r="A1773" s="293" t="s">
        <v>3375</v>
      </c>
      <c r="B1773" s="294">
        <v>46241</v>
      </c>
      <c r="C1773" s="286" t="s">
        <v>168</v>
      </c>
      <c r="D1773" s="286" t="s">
        <v>96</v>
      </c>
      <c r="E1773" s="295">
        <v>8</v>
      </c>
      <c r="F1773" s="295">
        <v>9</v>
      </c>
      <c r="G1773" s="296">
        <v>0</v>
      </c>
      <c r="H1773" s="296">
        <v>6313</v>
      </c>
      <c r="I1773" s="296">
        <v>3060</v>
      </c>
      <c r="J1773" s="296">
        <v>3213</v>
      </c>
      <c r="K1773" s="296">
        <v>3100</v>
      </c>
      <c r="L1773" s="296">
        <v>0</v>
      </c>
      <c r="M1773" s="296">
        <v>3253</v>
      </c>
      <c r="N1773" s="297">
        <v>0.51528591794709333</v>
      </c>
    </row>
    <row r="1774" spans="1:14" ht="18" customHeight="1">
      <c r="A1774" s="293" t="s">
        <v>3376</v>
      </c>
      <c r="B1774" s="294">
        <v>46241</v>
      </c>
      <c r="C1774" s="286" t="s">
        <v>168</v>
      </c>
      <c r="D1774" s="286" t="s">
        <v>97</v>
      </c>
      <c r="E1774" s="295">
        <v>2</v>
      </c>
      <c r="F1774" s="295">
        <v>2</v>
      </c>
      <c r="G1774" s="296">
        <v>0</v>
      </c>
      <c r="H1774" s="296">
        <v>11100</v>
      </c>
      <c r="I1774" s="296">
        <v>9084</v>
      </c>
      <c r="J1774" s="296">
        <v>9538.2000000000007</v>
      </c>
      <c r="K1774" s="296">
        <v>1561.7999999999993</v>
      </c>
      <c r="L1774" s="296">
        <v>0</v>
      </c>
      <c r="M1774" s="296">
        <v>2016</v>
      </c>
      <c r="N1774" s="297">
        <v>0.18162162162162163</v>
      </c>
    </row>
    <row r="1775" spans="1:14" ht="18" customHeight="1">
      <c r="A1775" s="293" t="s">
        <v>3377</v>
      </c>
      <c r="B1775" s="294">
        <v>46241</v>
      </c>
      <c r="C1775" s="286" t="s">
        <v>168</v>
      </c>
      <c r="D1775" s="286" t="s">
        <v>99</v>
      </c>
      <c r="E1775" s="295">
        <v>1</v>
      </c>
      <c r="F1775" s="295">
        <v>1</v>
      </c>
      <c r="G1775" s="296">
        <v>0</v>
      </c>
      <c r="H1775" s="296">
        <v>60</v>
      </c>
      <c r="I1775" s="296">
        <v>28</v>
      </c>
      <c r="J1775" s="296">
        <v>29.400000000000002</v>
      </c>
      <c r="K1775" s="296">
        <v>30.599999999999998</v>
      </c>
      <c r="L1775" s="296">
        <v>0</v>
      </c>
      <c r="M1775" s="296">
        <v>32</v>
      </c>
      <c r="N1775" s="297">
        <v>0.53333333333333333</v>
      </c>
    </row>
    <row r="1776" spans="1:14" ht="18" customHeight="1">
      <c r="A1776" s="293" t="s">
        <v>3378</v>
      </c>
      <c r="B1776" s="294">
        <v>46242</v>
      </c>
      <c r="C1776" s="286" t="s">
        <v>3773</v>
      </c>
      <c r="D1776" s="286" t="s">
        <v>100</v>
      </c>
      <c r="E1776" s="295">
        <v>12</v>
      </c>
      <c r="F1776" s="295">
        <v>26.6</v>
      </c>
      <c r="G1776" s="296">
        <v>0</v>
      </c>
      <c r="H1776" s="296">
        <v>10106</v>
      </c>
      <c r="I1776" s="296">
        <v>7798.14</v>
      </c>
      <c r="J1776" s="296">
        <v>8033.3242000000018</v>
      </c>
      <c r="K1776" s="296">
        <v>2072.6758000000004</v>
      </c>
      <c r="L1776" s="296">
        <v>621.80274000000009</v>
      </c>
      <c r="M1776" s="296">
        <v>2307.8599999999997</v>
      </c>
      <c r="N1776" s="297">
        <v>0.22836532752820105</v>
      </c>
    </row>
    <row r="1777" spans="1:14" ht="18" customHeight="1">
      <c r="A1777" s="293" t="s">
        <v>3379</v>
      </c>
      <c r="B1777" s="294">
        <v>46242</v>
      </c>
      <c r="C1777" s="286" t="s">
        <v>168</v>
      </c>
      <c r="D1777" s="286" t="s">
        <v>181</v>
      </c>
      <c r="E1777" s="295">
        <v>2</v>
      </c>
      <c r="F1777" s="295">
        <v>4</v>
      </c>
      <c r="G1777" s="296">
        <v>0</v>
      </c>
      <c r="H1777" s="296">
        <v>430</v>
      </c>
      <c r="I1777" s="296">
        <v>178</v>
      </c>
      <c r="J1777" s="296">
        <v>186.14</v>
      </c>
      <c r="K1777" s="296">
        <v>243.86</v>
      </c>
      <c r="L1777" s="296">
        <v>0</v>
      </c>
      <c r="M1777" s="296">
        <v>252</v>
      </c>
      <c r="N1777" s="297">
        <v>0.586046511627907</v>
      </c>
    </row>
    <row r="1778" spans="1:14" ht="18" customHeight="1">
      <c r="A1778" s="293" t="s">
        <v>3380</v>
      </c>
      <c r="B1778" s="294">
        <v>46242</v>
      </c>
      <c r="C1778" s="286" t="s">
        <v>353</v>
      </c>
      <c r="D1778" s="286" t="s">
        <v>108</v>
      </c>
      <c r="E1778" s="295">
        <v>2</v>
      </c>
      <c r="F1778" s="295">
        <v>2</v>
      </c>
      <c r="G1778" s="296">
        <v>0</v>
      </c>
      <c r="H1778" s="296">
        <v>3675</v>
      </c>
      <c r="I1778" s="296">
        <v>2175</v>
      </c>
      <c r="J1778" s="296">
        <v>2283.75</v>
      </c>
      <c r="K1778" s="296">
        <v>1391.25</v>
      </c>
      <c r="L1778" s="296">
        <v>417.375</v>
      </c>
      <c r="M1778" s="296">
        <v>1500</v>
      </c>
      <c r="N1778" s="297">
        <v>0.40816326530612246</v>
      </c>
    </row>
    <row r="1779" spans="1:14" ht="18" customHeight="1">
      <c r="A1779" s="293" t="s">
        <v>3381</v>
      </c>
      <c r="B1779" s="294">
        <v>46242</v>
      </c>
      <c r="C1779" s="286" t="s">
        <v>353</v>
      </c>
      <c r="D1779" s="286" t="s">
        <v>94</v>
      </c>
      <c r="E1779" s="295">
        <v>8</v>
      </c>
      <c r="F1779" s="295">
        <v>12</v>
      </c>
      <c r="G1779" s="296">
        <v>0</v>
      </c>
      <c r="H1779" s="296">
        <v>9215</v>
      </c>
      <c r="I1779" s="296">
        <v>6380</v>
      </c>
      <c r="J1779" s="296">
        <v>6699</v>
      </c>
      <c r="K1779" s="296">
        <v>2516</v>
      </c>
      <c r="L1779" s="296">
        <v>754.80000000000007</v>
      </c>
      <c r="M1779" s="296">
        <v>2835</v>
      </c>
      <c r="N1779" s="297">
        <v>0.30765056972327726</v>
      </c>
    </row>
    <row r="1780" spans="1:14" ht="18" customHeight="1">
      <c r="A1780" s="293" t="s">
        <v>3382</v>
      </c>
      <c r="B1780" s="294">
        <v>46242</v>
      </c>
      <c r="C1780" s="286" t="s">
        <v>168</v>
      </c>
      <c r="D1780" s="286" t="s">
        <v>96</v>
      </c>
      <c r="E1780" s="295">
        <v>12</v>
      </c>
      <c r="F1780" s="295">
        <v>22</v>
      </c>
      <c r="G1780" s="296">
        <v>0</v>
      </c>
      <c r="H1780" s="296">
        <v>3980</v>
      </c>
      <c r="I1780" s="296">
        <v>2373</v>
      </c>
      <c r="J1780" s="296">
        <v>2491.6499999999996</v>
      </c>
      <c r="K1780" s="296">
        <v>1488.3500000000001</v>
      </c>
      <c r="L1780" s="296">
        <v>0</v>
      </c>
      <c r="M1780" s="296">
        <v>1607</v>
      </c>
      <c r="N1780" s="297">
        <v>0.40376884422110554</v>
      </c>
    </row>
    <row r="1781" spans="1:14" ht="18" customHeight="1">
      <c r="A1781" s="293" t="s">
        <v>3383</v>
      </c>
      <c r="B1781" s="294">
        <v>46242</v>
      </c>
      <c r="C1781" s="286" t="s">
        <v>168</v>
      </c>
      <c r="D1781" s="286" t="s">
        <v>124</v>
      </c>
      <c r="E1781" s="295">
        <v>1</v>
      </c>
      <c r="F1781" s="295">
        <v>2</v>
      </c>
      <c r="G1781" s="296">
        <v>0</v>
      </c>
      <c r="H1781" s="296">
        <v>80</v>
      </c>
      <c r="I1781" s="296">
        <v>32</v>
      </c>
      <c r="J1781" s="296">
        <v>33.6</v>
      </c>
      <c r="K1781" s="296">
        <v>46.4</v>
      </c>
      <c r="L1781" s="296">
        <v>0</v>
      </c>
      <c r="M1781" s="296">
        <v>48</v>
      </c>
      <c r="N1781" s="297">
        <v>0.6</v>
      </c>
    </row>
    <row r="1782" spans="1:14" ht="18" customHeight="1">
      <c r="A1782" s="293" t="s">
        <v>3384</v>
      </c>
      <c r="B1782" s="294">
        <v>46242</v>
      </c>
      <c r="C1782" s="286" t="s">
        <v>168</v>
      </c>
      <c r="D1782" s="286" t="s">
        <v>129</v>
      </c>
      <c r="E1782" s="295">
        <v>6</v>
      </c>
      <c r="F1782" s="295">
        <v>14</v>
      </c>
      <c r="G1782" s="296">
        <v>0</v>
      </c>
      <c r="H1782" s="296">
        <v>1420</v>
      </c>
      <c r="I1782" s="296">
        <v>771.7</v>
      </c>
      <c r="J1782" s="296">
        <v>801.13100000000009</v>
      </c>
      <c r="K1782" s="296">
        <v>618.86900000000003</v>
      </c>
      <c r="L1782" s="296">
        <v>0</v>
      </c>
      <c r="M1782" s="296">
        <v>648.29999999999995</v>
      </c>
      <c r="N1782" s="297">
        <v>0.45654929577464787</v>
      </c>
    </row>
    <row r="1783" spans="1:14" ht="18" customHeight="1">
      <c r="A1783" s="293" t="s">
        <v>3385</v>
      </c>
      <c r="B1783" s="294">
        <v>46242</v>
      </c>
      <c r="C1783" s="286" t="s">
        <v>168</v>
      </c>
      <c r="D1783" s="286" t="s">
        <v>99</v>
      </c>
      <c r="E1783" s="295">
        <v>2</v>
      </c>
      <c r="F1783" s="295">
        <v>2</v>
      </c>
      <c r="G1783" s="296">
        <v>0</v>
      </c>
      <c r="H1783" s="296">
        <v>2080</v>
      </c>
      <c r="I1783" s="296">
        <v>1150</v>
      </c>
      <c r="J1783" s="296">
        <v>1202.5</v>
      </c>
      <c r="K1783" s="296">
        <v>877.5</v>
      </c>
      <c r="L1783" s="296">
        <v>0</v>
      </c>
      <c r="M1783" s="296">
        <v>930</v>
      </c>
      <c r="N1783" s="297">
        <v>0.44711538461538464</v>
      </c>
    </row>
    <row r="1784" spans="1:14" ht="18" customHeight="1">
      <c r="A1784" s="293" t="s">
        <v>3386</v>
      </c>
      <c r="B1784" s="294">
        <v>46244</v>
      </c>
      <c r="C1784" s="286" t="s">
        <v>3773</v>
      </c>
      <c r="D1784" s="286" t="s">
        <v>102</v>
      </c>
      <c r="E1784" s="295">
        <v>2</v>
      </c>
      <c r="F1784" s="295">
        <v>2</v>
      </c>
      <c r="G1784" s="296">
        <v>0</v>
      </c>
      <c r="H1784" s="296">
        <v>900</v>
      </c>
      <c r="I1784" s="296">
        <v>370</v>
      </c>
      <c r="J1784" s="296">
        <v>388.5</v>
      </c>
      <c r="K1784" s="296">
        <v>511.5</v>
      </c>
      <c r="L1784" s="296">
        <v>153.44999999999999</v>
      </c>
      <c r="M1784" s="296">
        <v>530</v>
      </c>
      <c r="N1784" s="297">
        <v>0.58888888888888891</v>
      </c>
    </row>
    <row r="1785" spans="1:14" ht="18" customHeight="1">
      <c r="A1785" s="293" t="s">
        <v>3387</v>
      </c>
      <c r="B1785" s="294">
        <v>46244</v>
      </c>
      <c r="C1785" s="286" t="s">
        <v>354</v>
      </c>
      <c r="D1785" s="286" t="s">
        <v>109</v>
      </c>
      <c r="E1785" s="295">
        <v>1</v>
      </c>
      <c r="F1785" s="295">
        <v>1</v>
      </c>
      <c r="G1785" s="296">
        <v>0</v>
      </c>
      <c r="H1785" s="296">
        <v>700</v>
      </c>
      <c r="I1785" s="296">
        <v>480</v>
      </c>
      <c r="J1785" s="296">
        <v>504</v>
      </c>
      <c r="K1785" s="296">
        <v>196</v>
      </c>
      <c r="L1785" s="296">
        <v>58.8</v>
      </c>
      <c r="M1785" s="296">
        <v>220</v>
      </c>
      <c r="N1785" s="297">
        <v>0.31428571428571428</v>
      </c>
    </row>
    <row r="1786" spans="1:14" ht="18" customHeight="1">
      <c r="A1786" s="293" t="s">
        <v>3388</v>
      </c>
      <c r="B1786" s="294">
        <v>46244</v>
      </c>
      <c r="C1786" s="286" t="s">
        <v>168</v>
      </c>
      <c r="D1786" s="286" t="s">
        <v>96</v>
      </c>
      <c r="E1786" s="295">
        <v>3</v>
      </c>
      <c r="F1786" s="295">
        <v>4</v>
      </c>
      <c r="G1786" s="296">
        <v>0</v>
      </c>
      <c r="H1786" s="296">
        <v>3000</v>
      </c>
      <c r="I1786" s="296">
        <v>1960</v>
      </c>
      <c r="J1786" s="296">
        <v>2058</v>
      </c>
      <c r="K1786" s="296">
        <v>942</v>
      </c>
      <c r="L1786" s="296">
        <v>0</v>
      </c>
      <c r="M1786" s="296">
        <v>1040</v>
      </c>
      <c r="N1786" s="297">
        <v>0.34666666666666668</v>
      </c>
    </row>
    <row r="1787" spans="1:14" ht="18" customHeight="1">
      <c r="A1787" s="293" t="s">
        <v>3389</v>
      </c>
      <c r="B1787" s="294">
        <v>46245</v>
      </c>
      <c r="C1787" s="286" t="s">
        <v>168</v>
      </c>
      <c r="D1787" s="286" t="s">
        <v>196</v>
      </c>
      <c r="E1787" s="295">
        <v>2</v>
      </c>
      <c r="F1787" s="295">
        <v>2</v>
      </c>
      <c r="G1787" s="296">
        <v>0</v>
      </c>
      <c r="H1787" s="296">
        <v>730</v>
      </c>
      <c r="I1787" s="296">
        <v>275</v>
      </c>
      <c r="J1787" s="296">
        <v>288.75</v>
      </c>
      <c r="K1787" s="296">
        <v>441.25</v>
      </c>
      <c r="L1787" s="296">
        <v>0</v>
      </c>
      <c r="M1787" s="296">
        <v>455</v>
      </c>
      <c r="N1787" s="297">
        <v>0.62328767123287676</v>
      </c>
    </row>
    <row r="1788" spans="1:14" ht="18" customHeight="1">
      <c r="A1788" s="293" t="s">
        <v>3390</v>
      </c>
      <c r="B1788" s="294">
        <v>46245</v>
      </c>
      <c r="C1788" s="286" t="s">
        <v>348</v>
      </c>
      <c r="D1788" s="286" t="s">
        <v>247</v>
      </c>
      <c r="E1788" s="295">
        <v>1</v>
      </c>
      <c r="F1788" s="295">
        <v>2</v>
      </c>
      <c r="G1788" s="296">
        <v>0</v>
      </c>
      <c r="H1788" s="296">
        <v>1400</v>
      </c>
      <c r="I1788" s="296">
        <v>960</v>
      </c>
      <c r="J1788" s="296">
        <v>1008</v>
      </c>
      <c r="K1788" s="296">
        <v>392</v>
      </c>
      <c r="L1788" s="296">
        <v>117.6</v>
      </c>
      <c r="M1788" s="296">
        <v>440</v>
      </c>
      <c r="N1788" s="297">
        <v>0.31428571428571428</v>
      </c>
    </row>
    <row r="1789" spans="1:14" ht="18" customHeight="1">
      <c r="A1789" s="293" t="s">
        <v>3391</v>
      </c>
      <c r="B1789" s="294">
        <v>46245</v>
      </c>
      <c r="C1789" s="286" t="s">
        <v>353</v>
      </c>
      <c r="D1789" s="286" t="s">
        <v>108</v>
      </c>
      <c r="E1789" s="295">
        <v>1</v>
      </c>
      <c r="F1789" s="295">
        <v>1</v>
      </c>
      <c r="G1789" s="296">
        <v>0</v>
      </c>
      <c r="H1789" s="296">
        <v>9000</v>
      </c>
      <c r="I1789" s="296">
        <v>7684</v>
      </c>
      <c r="J1789" s="296">
        <v>8068.2000000000007</v>
      </c>
      <c r="K1789" s="296">
        <v>931.79999999999927</v>
      </c>
      <c r="L1789" s="296">
        <v>279.53999999999979</v>
      </c>
      <c r="M1789" s="296">
        <v>1316</v>
      </c>
      <c r="N1789" s="297">
        <v>0.14622222222222223</v>
      </c>
    </row>
    <row r="1790" spans="1:14" ht="18" customHeight="1">
      <c r="A1790" s="293" t="s">
        <v>3392</v>
      </c>
      <c r="B1790" s="294">
        <v>46245</v>
      </c>
      <c r="C1790" s="286" t="s">
        <v>353</v>
      </c>
      <c r="D1790" s="286" t="s">
        <v>94</v>
      </c>
      <c r="E1790" s="295">
        <v>2</v>
      </c>
      <c r="F1790" s="295">
        <v>2</v>
      </c>
      <c r="G1790" s="296">
        <v>0</v>
      </c>
      <c r="H1790" s="296">
        <v>2206</v>
      </c>
      <c r="I1790" s="296">
        <v>1760</v>
      </c>
      <c r="J1790" s="296">
        <v>1848</v>
      </c>
      <c r="K1790" s="296">
        <v>358</v>
      </c>
      <c r="L1790" s="296">
        <v>107.4</v>
      </c>
      <c r="M1790" s="296">
        <v>446</v>
      </c>
      <c r="N1790" s="297">
        <v>0.20217588395285585</v>
      </c>
    </row>
    <row r="1791" spans="1:14" ht="18" customHeight="1">
      <c r="A1791" s="293" t="s">
        <v>3393</v>
      </c>
      <c r="B1791" s="294">
        <v>46245</v>
      </c>
      <c r="C1791" s="286" t="s">
        <v>168</v>
      </c>
      <c r="D1791" s="286" t="s">
        <v>96</v>
      </c>
      <c r="E1791" s="295">
        <v>2</v>
      </c>
      <c r="F1791" s="295">
        <v>3</v>
      </c>
      <c r="G1791" s="296">
        <v>0</v>
      </c>
      <c r="H1791" s="296">
        <v>598</v>
      </c>
      <c r="I1791" s="296">
        <v>310</v>
      </c>
      <c r="J1791" s="296">
        <v>325.5</v>
      </c>
      <c r="K1791" s="296">
        <v>272.5</v>
      </c>
      <c r="L1791" s="296">
        <v>0</v>
      </c>
      <c r="M1791" s="296">
        <v>288</v>
      </c>
      <c r="N1791" s="297">
        <v>0.48160535117056857</v>
      </c>
    </row>
    <row r="1792" spans="1:14" ht="18" customHeight="1">
      <c r="A1792" s="293" t="s">
        <v>3394</v>
      </c>
      <c r="B1792" s="294">
        <v>46245</v>
      </c>
      <c r="C1792" s="286" t="s">
        <v>168</v>
      </c>
      <c r="D1792" s="286" t="s">
        <v>97</v>
      </c>
      <c r="E1792" s="295">
        <v>1</v>
      </c>
      <c r="F1792" s="295">
        <v>1</v>
      </c>
      <c r="G1792" s="296">
        <v>0</v>
      </c>
      <c r="H1792" s="296">
        <v>1964</v>
      </c>
      <c r="I1792" s="296">
        <v>1100</v>
      </c>
      <c r="J1792" s="296">
        <v>1155</v>
      </c>
      <c r="K1792" s="296">
        <v>809</v>
      </c>
      <c r="L1792" s="296">
        <v>0</v>
      </c>
      <c r="M1792" s="296">
        <v>864</v>
      </c>
      <c r="N1792" s="297">
        <v>0.43991853360488797</v>
      </c>
    </row>
    <row r="1793" spans="1:14" ht="18" customHeight="1">
      <c r="A1793" s="293" t="s">
        <v>3395</v>
      </c>
      <c r="B1793" s="294">
        <v>46246</v>
      </c>
      <c r="C1793" s="286" t="s">
        <v>168</v>
      </c>
      <c r="D1793" s="286" t="s">
        <v>207</v>
      </c>
      <c r="E1793" s="295">
        <v>3</v>
      </c>
      <c r="F1793" s="295">
        <v>9</v>
      </c>
      <c r="G1793" s="296">
        <v>0</v>
      </c>
      <c r="H1793" s="296">
        <v>145</v>
      </c>
      <c r="I1793" s="296">
        <v>51</v>
      </c>
      <c r="J1793" s="296">
        <v>53.550000000000004</v>
      </c>
      <c r="K1793" s="296">
        <v>91.449999999999989</v>
      </c>
      <c r="L1793" s="296">
        <v>0</v>
      </c>
      <c r="M1793" s="296">
        <v>94</v>
      </c>
      <c r="N1793" s="297">
        <v>0.64827586206896548</v>
      </c>
    </row>
    <row r="1794" spans="1:14" ht="18" customHeight="1">
      <c r="A1794" s="293" t="s">
        <v>3396</v>
      </c>
      <c r="B1794" s="294">
        <v>46246</v>
      </c>
      <c r="C1794" s="286" t="s">
        <v>3773</v>
      </c>
      <c r="D1794" s="286" t="s">
        <v>102</v>
      </c>
      <c r="E1794" s="295">
        <v>3</v>
      </c>
      <c r="F1794" s="295">
        <v>3</v>
      </c>
      <c r="G1794" s="296">
        <v>0</v>
      </c>
      <c r="H1794" s="296">
        <v>3100</v>
      </c>
      <c r="I1794" s="296">
        <v>1770</v>
      </c>
      <c r="J1794" s="296">
        <v>1858.5</v>
      </c>
      <c r="K1794" s="296">
        <v>1241.5</v>
      </c>
      <c r="L1794" s="296">
        <v>372.45</v>
      </c>
      <c r="M1794" s="296">
        <v>1330</v>
      </c>
      <c r="N1794" s="297">
        <v>0.42903225806451611</v>
      </c>
    </row>
    <row r="1795" spans="1:14" ht="18" customHeight="1">
      <c r="A1795" s="293" t="s">
        <v>3397</v>
      </c>
      <c r="B1795" s="294">
        <v>46246</v>
      </c>
      <c r="C1795" s="286" t="s">
        <v>353</v>
      </c>
      <c r="D1795" s="286" t="s">
        <v>108</v>
      </c>
      <c r="E1795" s="295">
        <v>1</v>
      </c>
      <c r="F1795" s="295">
        <v>1</v>
      </c>
      <c r="G1795" s="296">
        <v>0</v>
      </c>
      <c r="H1795" s="296">
        <v>313</v>
      </c>
      <c r="I1795" s="296">
        <v>100</v>
      </c>
      <c r="J1795" s="296">
        <v>105</v>
      </c>
      <c r="K1795" s="296">
        <v>208</v>
      </c>
      <c r="L1795" s="296">
        <v>62.4</v>
      </c>
      <c r="M1795" s="296">
        <v>213</v>
      </c>
      <c r="N1795" s="297">
        <v>0.68051118210862616</v>
      </c>
    </row>
    <row r="1796" spans="1:14" ht="18" customHeight="1">
      <c r="A1796" s="293" t="s">
        <v>3398</v>
      </c>
      <c r="B1796" s="294">
        <v>46246</v>
      </c>
      <c r="C1796" s="286" t="s">
        <v>353</v>
      </c>
      <c r="D1796" s="286" t="s">
        <v>103</v>
      </c>
      <c r="E1796" s="295">
        <v>1</v>
      </c>
      <c r="F1796" s="295">
        <v>1</v>
      </c>
      <c r="G1796" s="296">
        <v>0</v>
      </c>
      <c r="H1796" s="296">
        <v>1696</v>
      </c>
      <c r="I1796" s="296">
        <v>1300</v>
      </c>
      <c r="J1796" s="296">
        <v>1365</v>
      </c>
      <c r="K1796" s="296">
        <v>331</v>
      </c>
      <c r="L1796" s="296">
        <v>99.3</v>
      </c>
      <c r="M1796" s="296">
        <v>396</v>
      </c>
      <c r="N1796" s="297">
        <v>0.23349056603773585</v>
      </c>
    </row>
    <row r="1797" spans="1:14" ht="18" customHeight="1">
      <c r="A1797" s="293" t="s">
        <v>3399</v>
      </c>
      <c r="B1797" s="294">
        <v>46246</v>
      </c>
      <c r="C1797" s="286" t="s">
        <v>168</v>
      </c>
      <c r="D1797" s="286" t="s">
        <v>178</v>
      </c>
      <c r="E1797" s="295">
        <v>2</v>
      </c>
      <c r="F1797" s="295">
        <v>2</v>
      </c>
      <c r="G1797" s="296">
        <v>0</v>
      </c>
      <c r="H1797" s="296">
        <v>3900</v>
      </c>
      <c r="I1797" s="296">
        <v>2600</v>
      </c>
      <c r="J1797" s="296">
        <v>2730</v>
      </c>
      <c r="K1797" s="296">
        <v>1170</v>
      </c>
      <c r="L1797" s="296">
        <v>0</v>
      </c>
      <c r="M1797" s="296">
        <v>1300</v>
      </c>
      <c r="N1797" s="297">
        <v>0.33333333333333331</v>
      </c>
    </row>
    <row r="1798" spans="1:14" ht="18" customHeight="1">
      <c r="A1798" s="293" t="s">
        <v>3400</v>
      </c>
      <c r="B1798" s="294">
        <v>46246</v>
      </c>
      <c r="C1798" s="286" t="s">
        <v>168</v>
      </c>
      <c r="D1798" s="286" t="s">
        <v>269</v>
      </c>
      <c r="E1798" s="295">
        <v>2</v>
      </c>
      <c r="F1798" s="295">
        <v>2</v>
      </c>
      <c r="G1798" s="296">
        <v>0</v>
      </c>
      <c r="H1798" s="296">
        <v>3486</v>
      </c>
      <c r="I1798" s="296">
        <v>1700</v>
      </c>
      <c r="J1798" s="296">
        <v>1785</v>
      </c>
      <c r="K1798" s="296">
        <v>1701</v>
      </c>
      <c r="L1798" s="296">
        <v>0</v>
      </c>
      <c r="M1798" s="296">
        <v>1786</v>
      </c>
      <c r="N1798" s="297">
        <v>0.51233505450372918</v>
      </c>
    </row>
    <row r="1799" spans="1:14" ht="18" customHeight="1">
      <c r="A1799" s="293" t="s">
        <v>3401</v>
      </c>
      <c r="B1799" s="294">
        <v>46246</v>
      </c>
      <c r="C1799" s="286" t="s">
        <v>168</v>
      </c>
      <c r="D1799" s="286" t="s">
        <v>105</v>
      </c>
      <c r="E1799" s="295">
        <v>1</v>
      </c>
      <c r="F1799" s="295">
        <v>1</v>
      </c>
      <c r="G1799" s="296">
        <v>0</v>
      </c>
      <c r="H1799" s="296">
        <v>2200</v>
      </c>
      <c r="I1799" s="296">
        <v>1500</v>
      </c>
      <c r="J1799" s="296">
        <v>1575</v>
      </c>
      <c r="K1799" s="296">
        <v>625</v>
      </c>
      <c r="L1799" s="296">
        <v>0</v>
      </c>
      <c r="M1799" s="296">
        <v>700</v>
      </c>
      <c r="N1799" s="297">
        <v>0.31818181818181818</v>
      </c>
    </row>
    <row r="1800" spans="1:14" ht="18" customHeight="1">
      <c r="A1800" s="293" t="s">
        <v>3402</v>
      </c>
      <c r="B1800" s="294">
        <v>46246</v>
      </c>
      <c r="C1800" s="286" t="s">
        <v>168</v>
      </c>
      <c r="D1800" s="286" t="s">
        <v>145</v>
      </c>
      <c r="E1800" s="295">
        <v>1</v>
      </c>
      <c r="F1800" s="295">
        <v>1</v>
      </c>
      <c r="G1800" s="296">
        <v>0</v>
      </c>
      <c r="H1800" s="296">
        <v>1300</v>
      </c>
      <c r="I1800" s="296">
        <v>716</v>
      </c>
      <c r="J1800" s="296">
        <v>751.80000000000007</v>
      </c>
      <c r="K1800" s="296">
        <v>548.19999999999993</v>
      </c>
      <c r="L1800" s="296">
        <v>0</v>
      </c>
      <c r="M1800" s="296">
        <v>584</v>
      </c>
      <c r="N1800" s="297">
        <v>0.44923076923076921</v>
      </c>
    </row>
    <row r="1801" spans="1:14" ht="18" customHeight="1">
      <c r="A1801" s="293" t="s">
        <v>3403</v>
      </c>
      <c r="B1801" s="294">
        <v>46246</v>
      </c>
      <c r="C1801" s="286" t="s">
        <v>168</v>
      </c>
      <c r="D1801" s="286" t="s">
        <v>99</v>
      </c>
      <c r="E1801" s="295">
        <v>3</v>
      </c>
      <c r="F1801" s="295">
        <v>3</v>
      </c>
      <c r="G1801" s="296">
        <v>0</v>
      </c>
      <c r="H1801" s="296">
        <v>525</v>
      </c>
      <c r="I1801" s="296">
        <v>43</v>
      </c>
      <c r="J1801" s="296">
        <v>44.870000000000005</v>
      </c>
      <c r="K1801" s="296">
        <v>480.13</v>
      </c>
      <c r="L1801" s="296">
        <v>0</v>
      </c>
      <c r="M1801" s="296">
        <v>482</v>
      </c>
      <c r="N1801" s="297">
        <v>0.91809523809523808</v>
      </c>
    </row>
    <row r="1802" spans="1:14" ht="18" customHeight="1">
      <c r="A1802" s="293" t="s">
        <v>3404</v>
      </c>
      <c r="B1802" s="294">
        <v>46247</v>
      </c>
      <c r="C1802" s="286" t="s">
        <v>358</v>
      </c>
      <c r="D1802" s="286" t="s">
        <v>225</v>
      </c>
      <c r="E1802" s="295">
        <v>3</v>
      </c>
      <c r="F1802" s="295">
        <v>9</v>
      </c>
      <c r="G1802" s="296">
        <v>0</v>
      </c>
      <c r="H1802" s="296">
        <v>1400</v>
      </c>
      <c r="I1802" s="296">
        <v>570</v>
      </c>
      <c r="J1802" s="296">
        <v>587.1</v>
      </c>
      <c r="K1802" s="296">
        <v>812.9</v>
      </c>
      <c r="L1802" s="296">
        <v>243.86999999999998</v>
      </c>
      <c r="M1802" s="296">
        <v>830</v>
      </c>
      <c r="N1802" s="297">
        <v>0.59285714285714286</v>
      </c>
    </row>
    <row r="1803" spans="1:14" ht="18" customHeight="1">
      <c r="A1803" s="293" t="s">
        <v>3405</v>
      </c>
      <c r="B1803" s="294">
        <v>46247</v>
      </c>
      <c r="C1803" s="286" t="s">
        <v>353</v>
      </c>
      <c r="D1803" s="286" t="s">
        <v>108</v>
      </c>
      <c r="E1803" s="295">
        <v>2</v>
      </c>
      <c r="F1803" s="295">
        <v>2</v>
      </c>
      <c r="G1803" s="296">
        <v>0</v>
      </c>
      <c r="H1803" s="296">
        <v>1100</v>
      </c>
      <c r="I1803" s="296">
        <v>495</v>
      </c>
      <c r="J1803" s="296">
        <v>519.75</v>
      </c>
      <c r="K1803" s="296">
        <v>580.25</v>
      </c>
      <c r="L1803" s="296">
        <v>174.07499999999999</v>
      </c>
      <c r="M1803" s="296">
        <v>605</v>
      </c>
      <c r="N1803" s="297">
        <v>0.55000000000000004</v>
      </c>
    </row>
    <row r="1804" spans="1:14" ht="18" customHeight="1">
      <c r="A1804" s="293" t="s">
        <v>3406</v>
      </c>
      <c r="B1804" s="294">
        <v>46247</v>
      </c>
      <c r="C1804" s="286" t="s">
        <v>168</v>
      </c>
      <c r="D1804" s="286" t="s">
        <v>92</v>
      </c>
      <c r="E1804" s="295">
        <v>2</v>
      </c>
      <c r="F1804" s="295">
        <v>2</v>
      </c>
      <c r="G1804" s="296">
        <v>0</v>
      </c>
      <c r="H1804" s="296">
        <v>3886</v>
      </c>
      <c r="I1804" s="296">
        <v>2400</v>
      </c>
      <c r="J1804" s="296">
        <v>2520</v>
      </c>
      <c r="K1804" s="296">
        <v>1366</v>
      </c>
      <c r="L1804" s="296">
        <v>0</v>
      </c>
      <c r="M1804" s="296">
        <v>1486</v>
      </c>
      <c r="N1804" s="297">
        <v>0.38239835306227482</v>
      </c>
    </row>
    <row r="1805" spans="1:14" ht="18" customHeight="1">
      <c r="A1805" s="293" t="s">
        <v>3407</v>
      </c>
      <c r="B1805" s="294">
        <v>46247</v>
      </c>
      <c r="C1805" s="286" t="s">
        <v>353</v>
      </c>
      <c r="D1805" s="286" t="s">
        <v>103</v>
      </c>
      <c r="E1805" s="295">
        <v>2</v>
      </c>
      <c r="F1805" s="295">
        <v>3</v>
      </c>
      <c r="G1805" s="296">
        <v>0</v>
      </c>
      <c r="H1805" s="296">
        <v>3220</v>
      </c>
      <c r="I1805" s="296">
        <v>2010</v>
      </c>
      <c r="J1805" s="296">
        <v>2110.5</v>
      </c>
      <c r="K1805" s="296">
        <v>1109.5</v>
      </c>
      <c r="L1805" s="296">
        <v>332.85</v>
      </c>
      <c r="M1805" s="296">
        <v>1210</v>
      </c>
      <c r="N1805" s="297">
        <v>0.37577639751552794</v>
      </c>
    </row>
    <row r="1806" spans="1:14" ht="18" customHeight="1">
      <c r="A1806" s="293" t="s">
        <v>3408</v>
      </c>
      <c r="B1806" s="294">
        <v>46247</v>
      </c>
      <c r="C1806" s="286" t="s">
        <v>359</v>
      </c>
      <c r="D1806" s="286" t="s">
        <v>114</v>
      </c>
      <c r="E1806" s="295">
        <v>5</v>
      </c>
      <c r="F1806" s="295">
        <v>27</v>
      </c>
      <c r="G1806" s="296">
        <v>0</v>
      </c>
      <c r="H1806" s="296">
        <v>3036</v>
      </c>
      <c r="I1806" s="296">
        <v>2085</v>
      </c>
      <c r="J1806" s="296">
        <v>2188.5500000000002</v>
      </c>
      <c r="K1806" s="296">
        <v>847.45</v>
      </c>
      <c r="L1806" s="296">
        <v>254.23499999999999</v>
      </c>
      <c r="M1806" s="296">
        <v>951</v>
      </c>
      <c r="N1806" s="297">
        <v>0.31324110671936761</v>
      </c>
    </row>
    <row r="1807" spans="1:14" ht="18" customHeight="1">
      <c r="A1807" s="293" t="s">
        <v>3409</v>
      </c>
      <c r="B1807" s="294">
        <v>46247</v>
      </c>
      <c r="C1807" s="286" t="s">
        <v>168</v>
      </c>
      <c r="D1807" s="286" t="s">
        <v>115</v>
      </c>
      <c r="E1807" s="295">
        <v>1</v>
      </c>
      <c r="F1807" s="295">
        <v>1</v>
      </c>
      <c r="G1807" s="296">
        <v>0</v>
      </c>
      <c r="H1807" s="296">
        <v>9000</v>
      </c>
      <c r="I1807" s="296">
        <v>7684</v>
      </c>
      <c r="J1807" s="296">
        <v>8068.2000000000007</v>
      </c>
      <c r="K1807" s="296">
        <v>931.79999999999927</v>
      </c>
      <c r="L1807" s="296">
        <v>0</v>
      </c>
      <c r="M1807" s="296">
        <v>1316</v>
      </c>
      <c r="N1807" s="297">
        <v>0.14622222222222223</v>
      </c>
    </row>
    <row r="1808" spans="1:14" ht="18" customHeight="1">
      <c r="A1808" s="293" t="s">
        <v>3410</v>
      </c>
      <c r="B1808" s="294">
        <v>46247</v>
      </c>
      <c r="C1808" s="286" t="s">
        <v>353</v>
      </c>
      <c r="D1808" s="286" t="s">
        <v>174</v>
      </c>
      <c r="E1808" s="295">
        <v>1</v>
      </c>
      <c r="F1808" s="295">
        <v>1</v>
      </c>
      <c r="G1808" s="296">
        <v>0</v>
      </c>
      <c r="H1808" s="296">
        <v>2000</v>
      </c>
      <c r="I1808" s="296">
        <v>1300</v>
      </c>
      <c r="J1808" s="296">
        <v>1365</v>
      </c>
      <c r="K1808" s="296">
        <v>635</v>
      </c>
      <c r="L1808" s="296">
        <v>190.5</v>
      </c>
      <c r="M1808" s="296">
        <v>700</v>
      </c>
      <c r="N1808" s="297">
        <v>0.35</v>
      </c>
    </row>
    <row r="1809" spans="1:14" ht="18" customHeight="1">
      <c r="A1809" s="293" t="s">
        <v>3411</v>
      </c>
      <c r="B1809" s="294">
        <v>46247</v>
      </c>
      <c r="C1809" s="286" t="s">
        <v>358</v>
      </c>
      <c r="D1809" s="286" t="s">
        <v>98</v>
      </c>
      <c r="E1809" s="295">
        <v>1</v>
      </c>
      <c r="F1809" s="295">
        <v>1</v>
      </c>
      <c r="G1809" s="296">
        <v>0</v>
      </c>
      <c r="H1809" s="296">
        <v>9000</v>
      </c>
      <c r="I1809" s="296">
        <v>7684</v>
      </c>
      <c r="J1809" s="296">
        <v>8068.2000000000007</v>
      </c>
      <c r="K1809" s="296">
        <v>931.79999999999927</v>
      </c>
      <c r="L1809" s="296">
        <v>279.53999999999979</v>
      </c>
      <c r="M1809" s="296">
        <v>1316</v>
      </c>
      <c r="N1809" s="297">
        <v>0.14622222222222223</v>
      </c>
    </row>
    <row r="1810" spans="1:14" ht="18" customHeight="1">
      <c r="A1810" s="293" t="s">
        <v>3412</v>
      </c>
      <c r="B1810" s="294">
        <v>46247</v>
      </c>
      <c r="C1810" s="286" t="s">
        <v>168</v>
      </c>
      <c r="D1810" s="286" t="s">
        <v>99</v>
      </c>
      <c r="E1810" s="295">
        <v>2</v>
      </c>
      <c r="F1810" s="295">
        <v>2</v>
      </c>
      <c r="G1810" s="296">
        <v>0</v>
      </c>
      <c r="H1810" s="296">
        <v>930</v>
      </c>
      <c r="I1810" s="296">
        <v>550</v>
      </c>
      <c r="J1810" s="296">
        <v>577.5</v>
      </c>
      <c r="K1810" s="296">
        <v>352.5</v>
      </c>
      <c r="L1810" s="296">
        <v>0</v>
      </c>
      <c r="M1810" s="296">
        <v>380</v>
      </c>
      <c r="N1810" s="297">
        <v>0.40860215053763443</v>
      </c>
    </row>
    <row r="1811" spans="1:14" ht="18" customHeight="1">
      <c r="A1811" s="293" t="s">
        <v>3413</v>
      </c>
      <c r="B1811" s="294">
        <v>46248</v>
      </c>
      <c r="C1811" s="286" t="s">
        <v>353</v>
      </c>
      <c r="D1811" s="286" t="s">
        <v>108</v>
      </c>
      <c r="E1811" s="295">
        <v>1</v>
      </c>
      <c r="F1811" s="295">
        <v>1</v>
      </c>
      <c r="G1811" s="296">
        <v>0</v>
      </c>
      <c r="H1811" s="296">
        <v>1800</v>
      </c>
      <c r="I1811" s="296">
        <v>1100</v>
      </c>
      <c r="J1811" s="296">
        <v>1155</v>
      </c>
      <c r="K1811" s="296">
        <v>645</v>
      </c>
      <c r="L1811" s="296">
        <v>193.5</v>
      </c>
      <c r="M1811" s="296">
        <v>700</v>
      </c>
      <c r="N1811" s="297">
        <v>0.3888888888888889</v>
      </c>
    </row>
    <row r="1812" spans="1:14" ht="18" customHeight="1">
      <c r="A1812" s="293" t="s">
        <v>3414</v>
      </c>
      <c r="B1812" s="294">
        <v>46248</v>
      </c>
      <c r="C1812" s="286" t="s">
        <v>168</v>
      </c>
      <c r="D1812" s="286" t="s">
        <v>96</v>
      </c>
      <c r="E1812" s="295">
        <v>4</v>
      </c>
      <c r="F1812" s="295">
        <v>8</v>
      </c>
      <c r="G1812" s="296">
        <v>0</v>
      </c>
      <c r="H1812" s="296">
        <v>540</v>
      </c>
      <c r="I1812" s="296">
        <v>266</v>
      </c>
      <c r="J1812" s="296">
        <v>279.29999999999995</v>
      </c>
      <c r="K1812" s="296">
        <v>260.70000000000005</v>
      </c>
      <c r="L1812" s="296">
        <v>0</v>
      </c>
      <c r="M1812" s="296">
        <v>274</v>
      </c>
      <c r="N1812" s="297">
        <v>0.50740740740740742</v>
      </c>
    </row>
    <row r="1813" spans="1:14" ht="18" customHeight="1">
      <c r="A1813" s="293" t="s">
        <v>3415</v>
      </c>
      <c r="B1813" s="294">
        <v>46248</v>
      </c>
      <c r="C1813" s="286" t="s">
        <v>168</v>
      </c>
      <c r="D1813" s="286" t="s">
        <v>99</v>
      </c>
      <c r="E1813" s="295">
        <v>4</v>
      </c>
      <c r="F1813" s="295">
        <v>8</v>
      </c>
      <c r="G1813" s="296">
        <v>0</v>
      </c>
      <c r="H1813" s="296">
        <v>1170</v>
      </c>
      <c r="I1813" s="296">
        <v>465.6</v>
      </c>
      <c r="J1813" s="296">
        <v>479.56800000000004</v>
      </c>
      <c r="K1813" s="296">
        <v>690.43200000000002</v>
      </c>
      <c r="L1813" s="296">
        <v>0</v>
      </c>
      <c r="M1813" s="296">
        <v>704.4</v>
      </c>
      <c r="N1813" s="297">
        <v>0.602051282051282</v>
      </c>
    </row>
    <row r="1814" spans="1:14" ht="18" customHeight="1">
      <c r="A1814" s="293" t="s">
        <v>3416</v>
      </c>
      <c r="B1814" s="294">
        <v>46249</v>
      </c>
      <c r="C1814" s="286" t="s">
        <v>348</v>
      </c>
      <c r="D1814" s="286" t="s">
        <v>247</v>
      </c>
      <c r="E1814" s="295">
        <v>1</v>
      </c>
      <c r="F1814" s="295">
        <v>1</v>
      </c>
      <c r="G1814" s="296">
        <v>0</v>
      </c>
      <c r="H1814" s="296">
        <v>2600</v>
      </c>
      <c r="I1814" s="296">
        <v>850</v>
      </c>
      <c r="J1814" s="296">
        <v>892.5</v>
      </c>
      <c r="K1814" s="296">
        <v>1707.5</v>
      </c>
      <c r="L1814" s="296">
        <v>512.25</v>
      </c>
      <c r="M1814" s="296">
        <v>1750</v>
      </c>
      <c r="N1814" s="297">
        <v>0.67307692307692313</v>
      </c>
    </row>
    <row r="1815" spans="1:14" ht="18" customHeight="1">
      <c r="A1815" s="293" t="s">
        <v>3417</v>
      </c>
      <c r="B1815" s="294">
        <v>46249</v>
      </c>
      <c r="C1815" s="286" t="s">
        <v>3773</v>
      </c>
      <c r="D1815" s="286" t="s">
        <v>102</v>
      </c>
      <c r="E1815" s="295">
        <v>2</v>
      </c>
      <c r="F1815" s="295">
        <v>2</v>
      </c>
      <c r="G1815" s="296">
        <v>0</v>
      </c>
      <c r="H1815" s="296">
        <v>950</v>
      </c>
      <c r="I1815" s="296">
        <v>375</v>
      </c>
      <c r="J1815" s="296">
        <v>393.75</v>
      </c>
      <c r="K1815" s="296">
        <v>556.25</v>
      </c>
      <c r="L1815" s="296">
        <v>166.875</v>
      </c>
      <c r="M1815" s="296">
        <v>575</v>
      </c>
      <c r="N1815" s="297">
        <v>0.60526315789473684</v>
      </c>
    </row>
    <row r="1816" spans="1:14" ht="18" customHeight="1">
      <c r="A1816" s="293" t="s">
        <v>3418</v>
      </c>
      <c r="B1816" s="294">
        <v>46249</v>
      </c>
      <c r="C1816" s="286" t="s">
        <v>168</v>
      </c>
      <c r="D1816" s="286" t="s">
        <v>120</v>
      </c>
      <c r="E1816" s="295">
        <v>1</v>
      </c>
      <c r="F1816" s="295">
        <v>1</v>
      </c>
      <c r="G1816" s="296">
        <v>0</v>
      </c>
      <c r="H1816" s="296">
        <v>2000</v>
      </c>
      <c r="I1816" s="296">
        <v>1350</v>
      </c>
      <c r="J1816" s="296">
        <v>1417.5</v>
      </c>
      <c r="K1816" s="296">
        <v>582.5</v>
      </c>
      <c r="L1816" s="296">
        <v>0</v>
      </c>
      <c r="M1816" s="296">
        <v>650</v>
      </c>
      <c r="N1816" s="297">
        <v>0.32500000000000001</v>
      </c>
    </row>
    <row r="1817" spans="1:14" ht="18" customHeight="1">
      <c r="A1817" s="293" t="s">
        <v>3419</v>
      </c>
      <c r="B1817" s="294">
        <v>46249</v>
      </c>
      <c r="C1817" s="286" t="s">
        <v>353</v>
      </c>
      <c r="D1817" s="286" t="s">
        <v>108</v>
      </c>
      <c r="E1817" s="295">
        <v>1</v>
      </c>
      <c r="F1817" s="295">
        <v>1</v>
      </c>
      <c r="G1817" s="296">
        <v>0</v>
      </c>
      <c r="H1817" s="296">
        <v>900</v>
      </c>
      <c r="I1817" s="296">
        <v>380</v>
      </c>
      <c r="J1817" s="296">
        <v>399</v>
      </c>
      <c r="K1817" s="296">
        <v>501</v>
      </c>
      <c r="L1817" s="296">
        <v>150.29999999999998</v>
      </c>
      <c r="M1817" s="296">
        <v>520</v>
      </c>
      <c r="N1817" s="297">
        <v>0.57777777777777772</v>
      </c>
    </row>
    <row r="1818" spans="1:14" ht="18" customHeight="1">
      <c r="A1818" s="293" t="s">
        <v>3420</v>
      </c>
      <c r="B1818" s="294">
        <v>46249</v>
      </c>
      <c r="C1818" s="286" t="s">
        <v>168</v>
      </c>
      <c r="D1818" s="286" t="s">
        <v>92</v>
      </c>
      <c r="E1818" s="295">
        <v>1</v>
      </c>
      <c r="F1818" s="295">
        <v>1</v>
      </c>
      <c r="G1818" s="296">
        <v>0</v>
      </c>
      <c r="H1818" s="296">
        <v>9000</v>
      </c>
      <c r="I1818" s="296">
        <v>7684</v>
      </c>
      <c r="J1818" s="296">
        <v>8068.2000000000007</v>
      </c>
      <c r="K1818" s="296">
        <v>931.79999999999927</v>
      </c>
      <c r="L1818" s="296">
        <v>0</v>
      </c>
      <c r="M1818" s="296">
        <v>1316</v>
      </c>
      <c r="N1818" s="297">
        <v>0.14622222222222223</v>
      </c>
    </row>
    <row r="1819" spans="1:14" ht="18" customHeight="1">
      <c r="A1819" s="293" t="s">
        <v>3421</v>
      </c>
      <c r="B1819" s="294">
        <v>46249</v>
      </c>
      <c r="C1819" s="286" t="s">
        <v>359</v>
      </c>
      <c r="D1819" s="286" t="s">
        <v>114</v>
      </c>
      <c r="E1819" s="295">
        <v>1</v>
      </c>
      <c r="F1819" s="295">
        <v>1</v>
      </c>
      <c r="G1819" s="296">
        <v>0</v>
      </c>
      <c r="H1819" s="296">
        <v>1900</v>
      </c>
      <c r="I1819" s="296">
        <v>1000</v>
      </c>
      <c r="J1819" s="296">
        <v>1050</v>
      </c>
      <c r="K1819" s="296">
        <v>850</v>
      </c>
      <c r="L1819" s="296">
        <v>255</v>
      </c>
      <c r="M1819" s="296">
        <v>900</v>
      </c>
      <c r="N1819" s="297">
        <v>0.47368421052631576</v>
      </c>
    </row>
    <row r="1820" spans="1:14" ht="18" customHeight="1">
      <c r="A1820" s="293" t="s">
        <v>3422</v>
      </c>
      <c r="B1820" s="294">
        <v>46249</v>
      </c>
      <c r="C1820" s="286" t="s">
        <v>353</v>
      </c>
      <c r="D1820" s="286" t="s">
        <v>94</v>
      </c>
      <c r="E1820" s="295">
        <v>2</v>
      </c>
      <c r="F1820" s="295">
        <v>3</v>
      </c>
      <c r="G1820" s="296">
        <v>0</v>
      </c>
      <c r="H1820" s="296">
        <v>1037</v>
      </c>
      <c r="I1820" s="296">
        <v>680</v>
      </c>
      <c r="J1820" s="296">
        <v>714</v>
      </c>
      <c r="K1820" s="296">
        <v>323</v>
      </c>
      <c r="L1820" s="296">
        <v>96.899999999999991</v>
      </c>
      <c r="M1820" s="296">
        <v>357</v>
      </c>
      <c r="N1820" s="297">
        <v>0.34426229508196721</v>
      </c>
    </row>
    <row r="1821" spans="1:14" ht="18" customHeight="1">
      <c r="A1821" s="293" t="s">
        <v>3423</v>
      </c>
      <c r="B1821" s="294">
        <v>46249</v>
      </c>
      <c r="C1821" s="286" t="s">
        <v>168</v>
      </c>
      <c r="D1821" s="286" t="s">
        <v>162</v>
      </c>
      <c r="E1821" s="295">
        <v>2</v>
      </c>
      <c r="F1821" s="295">
        <v>2</v>
      </c>
      <c r="G1821" s="296">
        <v>0</v>
      </c>
      <c r="H1821" s="296">
        <v>8080</v>
      </c>
      <c r="I1821" s="296">
        <v>6750</v>
      </c>
      <c r="J1821" s="296">
        <v>7082.5</v>
      </c>
      <c r="K1821" s="296">
        <v>997.5</v>
      </c>
      <c r="L1821" s="296">
        <v>0</v>
      </c>
      <c r="M1821" s="296">
        <v>1330</v>
      </c>
      <c r="N1821" s="297">
        <v>0.16460396039603961</v>
      </c>
    </row>
    <row r="1822" spans="1:14" ht="18" customHeight="1">
      <c r="A1822" s="293" t="s">
        <v>3424</v>
      </c>
      <c r="B1822" s="294">
        <v>46249</v>
      </c>
      <c r="C1822" s="286" t="s">
        <v>168</v>
      </c>
      <c r="D1822" s="286" t="s">
        <v>96</v>
      </c>
      <c r="E1822" s="295">
        <v>2</v>
      </c>
      <c r="F1822" s="295">
        <v>2</v>
      </c>
      <c r="G1822" s="296">
        <v>0</v>
      </c>
      <c r="H1822" s="296">
        <v>360</v>
      </c>
      <c r="I1822" s="296">
        <v>47</v>
      </c>
      <c r="J1822" s="296">
        <v>49.35</v>
      </c>
      <c r="K1822" s="296">
        <v>310.64999999999998</v>
      </c>
      <c r="L1822" s="296">
        <v>0</v>
      </c>
      <c r="M1822" s="296">
        <v>313</v>
      </c>
      <c r="N1822" s="297">
        <v>0.86944444444444446</v>
      </c>
    </row>
    <row r="1823" spans="1:14" ht="18" customHeight="1">
      <c r="A1823" s="293" t="s">
        <v>3425</v>
      </c>
      <c r="B1823" s="294">
        <v>46250</v>
      </c>
      <c r="C1823" s="286" t="s">
        <v>168</v>
      </c>
      <c r="D1823" s="286" t="s">
        <v>96</v>
      </c>
      <c r="E1823" s="295">
        <v>1</v>
      </c>
      <c r="F1823" s="295">
        <v>1</v>
      </c>
      <c r="G1823" s="296">
        <v>0</v>
      </c>
      <c r="H1823" s="296">
        <v>200</v>
      </c>
      <c r="I1823" s="296">
        <v>85</v>
      </c>
      <c r="J1823" s="296">
        <v>89.25</v>
      </c>
      <c r="K1823" s="296">
        <v>110.75</v>
      </c>
      <c r="L1823" s="296">
        <v>0</v>
      </c>
      <c r="M1823" s="296">
        <v>115</v>
      </c>
      <c r="N1823" s="297">
        <v>0.57499999999999996</v>
      </c>
    </row>
    <row r="1824" spans="1:14" ht="18" customHeight="1">
      <c r="A1824" s="293" t="s">
        <v>3426</v>
      </c>
      <c r="B1824" s="294">
        <v>46251</v>
      </c>
      <c r="C1824" s="286" t="s">
        <v>168</v>
      </c>
      <c r="D1824" s="286" t="s">
        <v>196</v>
      </c>
      <c r="E1824" s="295">
        <v>1</v>
      </c>
      <c r="F1824" s="295">
        <v>1</v>
      </c>
      <c r="G1824" s="296">
        <v>0</v>
      </c>
      <c r="H1824" s="296">
        <v>180</v>
      </c>
      <c r="I1824" s="296">
        <v>25</v>
      </c>
      <c r="J1824" s="296">
        <v>26.25</v>
      </c>
      <c r="K1824" s="296">
        <v>153.75</v>
      </c>
      <c r="L1824" s="296">
        <v>0</v>
      </c>
      <c r="M1824" s="296">
        <v>155</v>
      </c>
      <c r="N1824" s="297">
        <v>0.86111111111111116</v>
      </c>
    </row>
    <row r="1825" spans="1:14" ht="18" customHeight="1">
      <c r="A1825" s="293" t="s">
        <v>3427</v>
      </c>
      <c r="B1825" s="294">
        <v>46251</v>
      </c>
      <c r="C1825" s="286" t="s">
        <v>3773</v>
      </c>
      <c r="D1825" s="286" t="s">
        <v>102</v>
      </c>
      <c r="E1825" s="295">
        <v>1</v>
      </c>
      <c r="F1825" s="295">
        <v>1</v>
      </c>
      <c r="G1825" s="296">
        <v>0</v>
      </c>
      <c r="H1825" s="296">
        <v>550</v>
      </c>
      <c r="I1825" s="296">
        <v>290</v>
      </c>
      <c r="J1825" s="296">
        <v>304.5</v>
      </c>
      <c r="K1825" s="296">
        <v>245.5</v>
      </c>
      <c r="L1825" s="296">
        <v>73.649999999999991</v>
      </c>
      <c r="M1825" s="296">
        <v>260</v>
      </c>
      <c r="N1825" s="297">
        <v>0.47272727272727272</v>
      </c>
    </row>
    <row r="1826" spans="1:14" ht="18" customHeight="1">
      <c r="A1826" s="293" t="s">
        <v>3428</v>
      </c>
      <c r="B1826" s="294">
        <v>46251</v>
      </c>
      <c r="C1826" s="286" t="s">
        <v>168</v>
      </c>
      <c r="D1826" s="286" t="s">
        <v>92</v>
      </c>
      <c r="E1826" s="295">
        <v>1</v>
      </c>
      <c r="F1826" s="295">
        <v>1</v>
      </c>
      <c r="G1826" s="296">
        <v>0</v>
      </c>
      <c r="H1826" s="296">
        <v>2000</v>
      </c>
      <c r="I1826" s="296">
        <v>930</v>
      </c>
      <c r="J1826" s="296">
        <v>976.5</v>
      </c>
      <c r="K1826" s="296">
        <v>1023.5</v>
      </c>
      <c r="L1826" s="296">
        <v>0</v>
      </c>
      <c r="M1826" s="296">
        <v>1070</v>
      </c>
      <c r="N1826" s="297">
        <v>0.53500000000000003</v>
      </c>
    </row>
    <row r="1827" spans="1:14" ht="18" customHeight="1">
      <c r="A1827" s="293" t="s">
        <v>3429</v>
      </c>
      <c r="B1827" s="294">
        <v>46251</v>
      </c>
      <c r="C1827" s="286" t="s">
        <v>354</v>
      </c>
      <c r="D1827" s="286" t="s">
        <v>109</v>
      </c>
      <c r="E1827" s="295">
        <v>2</v>
      </c>
      <c r="F1827" s="295">
        <v>2</v>
      </c>
      <c r="G1827" s="296">
        <v>0</v>
      </c>
      <c r="H1827" s="296">
        <v>3600</v>
      </c>
      <c r="I1827" s="296">
        <v>2350</v>
      </c>
      <c r="J1827" s="296">
        <v>2467.5</v>
      </c>
      <c r="K1827" s="296">
        <v>1132.5</v>
      </c>
      <c r="L1827" s="296">
        <v>339.75</v>
      </c>
      <c r="M1827" s="296">
        <v>1250</v>
      </c>
      <c r="N1827" s="297">
        <v>0.34722222222222221</v>
      </c>
    </row>
    <row r="1828" spans="1:14" ht="18" customHeight="1">
      <c r="A1828" s="293" t="s">
        <v>3430</v>
      </c>
      <c r="B1828" s="294">
        <v>46251</v>
      </c>
      <c r="C1828" s="286" t="s">
        <v>353</v>
      </c>
      <c r="D1828" s="286" t="s">
        <v>103</v>
      </c>
      <c r="E1828" s="295">
        <v>1</v>
      </c>
      <c r="F1828" s="295">
        <v>1</v>
      </c>
      <c r="G1828" s="296">
        <v>0</v>
      </c>
      <c r="H1828" s="296">
        <v>2000</v>
      </c>
      <c r="I1828" s="296">
        <v>1300</v>
      </c>
      <c r="J1828" s="296">
        <v>1365</v>
      </c>
      <c r="K1828" s="296">
        <v>635</v>
      </c>
      <c r="L1828" s="296">
        <v>190.5</v>
      </c>
      <c r="M1828" s="296">
        <v>700</v>
      </c>
      <c r="N1828" s="297">
        <v>0.35</v>
      </c>
    </row>
    <row r="1829" spans="1:14" ht="18" customHeight="1">
      <c r="A1829" s="293" t="s">
        <v>3431</v>
      </c>
      <c r="B1829" s="294">
        <v>46251</v>
      </c>
      <c r="C1829" s="286" t="s">
        <v>168</v>
      </c>
      <c r="D1829" s="286" t="s">
        <v>96</v>
      </c>
      <c r="E1829" s="295">
        <v>1</v>
      </c>
      <c r="F1829" s="295">
        <v>3</v>
      </c>
      <c r="G1829" s="296">
        <v>0</v>
      </c>
      <c r="H1829" s="296">
        <v>360</v>
      </c>
      <c r="I1829" s="296">
        <v>195</v>
      </c>
      <c r="J1829" s="296">
        <v>204.75</v>
      </c>
      <c r="K1829" s="296">
        <v>155.25</v>
      </c>
      <c r="L1829" s="296">
        <v>0</v>
      </c>
      <c r="M1829" s="296">
        <v>165</v>
      </c>
      <c r="N1829" s="297">
        <v>0.45833333333333331</v>
      </c>
    </row>
    <row r="1830" spans="1:14" ht="18" customHeight="1">
      <c r="A1830" s="293" t="s">
        <v>3432</v>
      </c>
      <c r="B1830" s="294">
        <v>46251</v>
      </c>
      <c r="C1830" s="286" t="s">
        <v>168</v>
      </c>
      <c r="D1830" s="286" t="s">
        <v>97</v>
      </c>
      <c r="E1830" s="295">
        <v>1</v>
      </c>
      <c r="F1830" s="295">
        <v>1</v>
      </c>
      <c r="G1830" s="296">
        <v>0</v>
      </c>
      <c r="H1830" s="296">
        <v>600</v>
      </c>
      <c r="I1830" s="296">
        <v>330</v>
      </c>
      <c r="J1830" s="296">
        <v>346.5</v>
      </c>
      <c r="K1830" s="296">
        <v>253.5</v>
      </c>
      <c r="L1830" s="296">
        <v>0</v>
      </c>
      <c r="M1830" s="296">
        <v>270</v>
      </c>
      <c r="N1830" s="297">
        <v>0.45</v>
      </c>
    </row>
    <row r="1831" spans="1:14" ht="18" customHeight="1">
      <c r="A1831" s="293" t="s">
        <v>3433</v>
      </c>
      <c r="B1831" s="294">
        <v>46252</v>
      </c>
      <c r="C1831" s="286" t="s">
        <v>3773</v>
      </c>
      <c r="D1831" s="286" t="s">
        <v>102</v>
      </c>
      <c r="E1831" s="295">
        <v>3</v>
      </c>
      <c r="F1831" s="295">
        <v>3</v>
      </c>
      <c r="G1831" s="296">
        <v>0</v>
      </c>
      <c r="H1831" s="296">
        <v>2600</v>
      </c>
      <c r="I1831" s="296">
        <v>1490</v>
      </c>
      <c r="J1831" s="296">
        <v>1564.5</v>
      </c>
      <c r="K1831" s="296">
        <v>1035.5</v>
      </c>
      <c r="L1831" s="296">
        <v>310.64999999999998</v>
      </c>
      <c r="M1831" s="296">
        <v>1110</v>
      </c>
      <c r="N1831" s="297">
        <v>0.42692307692307691</v>
      </c>
    </row>
    <row r="1832" spans="1:14" ht="18" customHeight="1">
      <c r="A1832" s="293" t="s">
        <v>3434</v>
      </c>
      <c r="B1832" s="294">
        <v>46252</v>
      </c>
      <c r="C1832" s="286" t="s">
        <v>168</v>
      </c>
      <c r="D1832" s="286" t="s">
        <v>270</v>
      </c>
      <c r="E1832" s="295">
        <v>1</v>
      </c>
      <c r="F1832" s="295">
        <v>1</v>
      </c>
      <c r="G1832" s="296">
        <v>0</v>
      </c>
      <c r="H1832" s="296">
        <v>650</v>
      </c>
      <c r="I1832" s="296">
        <v>150</v>
      </c>
      <c r="J1832" s="296">
        <v>157.5</v>
      </c>
      <c r="K1832" s="296">
        <v>492.5</v>
      </c>
      <c r="L1832" s="296">
        <v>0</v>
      </c>
      <c r="M1832" s="296">
        <v>500</v>
      </c>
      <c r="N1832" s="297">
        <v>0.76923076923076927</v>
      </c>
    </row>
    <row r="1833" spans="1:14" ht="18" customHeight="1">
      <c r="A1833" s="293" t="s">
        <v>3435</v>
      </c>
      <c r="B1833" s="294">
        <v>46252</v>
      </c>
      <c r="C1833" s="286" t="s">
        <v>354</v>
      </c>
      <c r="D1833" s="286" t="s">
        <v>109</v>
      </c>
      <c r="E1833" s="295">
        <v>2</v>
      </c>
      <c r="F1833" s="295">
        <v>2</v>
      </c>
      <c r="G1833" s="296">
        <v>0</v>
      </c>
      <c r="H1833" s="296">
        <v>3600</v>
      </c>
      <c r="I1833" s="296">
        <v>2200</v>
      </c>
      <c r="J1833" s="296">
        <v>2310</v>
      </c>
      <c r="K1833" s="296">
        <v>1290</v>
      </c>
      <c r="L1833" s="296">
        <v>387</v>
      </c>
      <c r="M1833" s="296">
        <v>1400</v>
      </c>
      <c r="N1833" s="297">
        <v>0.3888888888888889</v>
      </c>
    </row>
    <row r="1834" spans="1:14" ht="18" customHeight="1">
      <c r="A1834" s="293" t="s">
        <v>3436</v>
      </c>
      <c r="B1834" s="294">
        <v>46252</v>
      </c>
      <c r="C1834" s="286" t="s">
        <v>168</v>
      </c>
      <c r="D1834" s="286" t="s">
        <v>271</v>
      </c>
      <c r="E1834" s="295">
        <v>1</v>
      </c>
      <c r="F1834" s="295">
        <v>2</v>
      </c>
      <c r="G1834" s="296">
        <v>0</v>
      </c>
      <c r="H1834" s="296">
        <v>700</v>
      </c>
      <c r="I1834" s="296">
        <v>220</v>
      </c>
      <c r="J1834" s="296">
        <v>231</v>
      </c>
      <c r="K1834" s="296">
        <v>469</v>
      </c>
      <c r="L1834" s="296">
        <v>0</v>
      </c>
      <c r="M1834" s="296">
        <v>480</v>
      </c>
      <c r="N1834" s="297">
        <v>0.68571428571428572</v>
      </c>
    </row>
    <row r="1835" spans="1:14" ht="18" customHeight="1">
      <c r="A1835" s="293" t="s">
        <v>3437</v>
      </c>
      <c r="B1835" s="294">
        <v>46252</v>
      </c>
      <c r="C1835" s="286" t="s">
        <v>168</v>
      </c>
      <c r="D1835" s="286" t="s">
        <v>96</v>
      </c>
      <c r="E1835" s="295">
        <v>2</v>
      </c>
      <c r="F1835" s="295">
        <v>2</v>
      </c>
      <c r="G1835" s="296">
        <v>0</v>
      </c>
      <c r="H1835" s="296">
        <v>1730</v>
      </c>
      <c r="I1835" s="296">
        <v>750</v>
      </c>
      <c r="J1835" s="296">
        <v>787.5</v>
      </c>
      <c r="K1835" s="296">
        <v>942.5</v>
      </c>
      <c r="L1835" s="296">
        <v>0</v>
      </c>
      <c r="M1835" s="296">
        <v>980</v>
      </c>
      <c r="N1835" s="297">
        <v>0.56647398843930641</v>
      </c>
    </row>
    <row r="1836" spans="1:14" ht="18" customHeight="1">
      <c r="A1836" s="293" t="s">
        <v>3438</v>
      </c>
      <c r="B1836" s="294">
        <v>46252</v>
      </c>
      <c r="C1836" s="286" t="s">
        <v>168</v>
      </c>
      <c r="D1836" s="286" t="s">
        <v>115</v>
      </c>
      <c r="E1836" s="295">
        <v>1</v>
      </c>
      <c r="F1836" s="295">
        <v>1</v>
      </c>
      <c r="G1836" s="296">
        <v>0</v>
      </c>
      <c r="H1836" s="296">
        <v>1786</v>
      </c>
      <c r="I1836" s="296">
        <v>900</v>
      </c>
      <c r="J1836" s="296">
        <v>945</v>
      </c>
      <c r="K1836" s="296">
        <v>841</v>
      </c>
      <c r="L1836" s="296">
        <v>0</v>
      </c>
      <c r="M1836" s="296">
        <v>886</v>
      </c>
      <c r="N1836" s="297">
        <v>0.49608062709966405</v>
      </c>
    </row>
    <row r="1837" spans="1:14" ht="18" customHeight="1">
      <c r="A1837" s="293" t="s">
        <v>3439</v>
      </c>
      <c r="B1837" s="294">
        <v>46252</v>
      </c>
      <c r="C1837" s="286" t="s">
        <v>168</v>
      </c>
      <c r="D1837" s="286" t="s">
        <v>124</v>
      </c>
      <c r="E1837" s="295">
        <v>1</v>
      </c>
      <c r="F1837" s="295">
        <v>1</v>
      </c>
      <c r="G1837" s="296">
        <v>0</v>
      </c>
      <c r="H1837" s="296">
        <v>750</v>
      </c>
      <c r="I1837" s="296">
        <v>480</v>
      </c>
      <c r="J1837" s="296">
        <v>504</v>
      </c>
      <c r="K1837" s="296">
        <v>246</v>
      </c>
      <c r="L1837" s="296">
        <v>0</v>
      </c>
      <c r="M1837" s="296">
        <v>270</v>
      </c>
      <c r="N1837" s="297">
        <v>0.36</v>
      </c>
    </row>
    <row r="1838" spans="1:14" ht="18" customHeight="1">
      <c r="A1838" s="293" t="s">
        <v>3440</v>
      </c>
      <c r="B1838" s="294">
        <v>46252</v>
      </c>
      <c r="C1838" s="286" t="s">
        <v>168</v>
      </c>
      <c r="D1838" s="286" t="s">
        <v>145</v>
      </c>
      <c r="E1838" s="295">
        <v>6</v>
      </c>
      <c r="F1838" s="295">
        <v>17.2</v>
      </c>
      <c r="G1838" s="296">
        <v>0</v>
      </c>
      <c r="H1838" s="296">
        <v>7000</v>
      </c>
      <c r="I1838" s="296">
        <v>5793.5499999999993</v>
      </c>
      <c r="J1838" s="296">
        <v>5967.3564999999999</v>
      </c>
      <c r="K1838" s="296">
        <v>1032.6434999999997</v>
      </c>
      <c r="L1838" s="296">
        <v>0</v>
      </c>
      <c r="M1838" s="296">
        <v>1206.4500000000007</v>
      </c>
      <c r="N1838" s="297">
        <v>0.17235000000000011</v>
      </c>
    </row>
    <row r="1839" spans="1:14" ht="18" customHeight="1">
      <c r="A1839" s="293" t="s">
        <v>3441</v>
      </c>
      <c r="B1839" s="294">
        <v>46252</v>
      </c>
      <c r="C1839" s="286" t="s">
        <v>168</v>
      </c>
      <c r="D1839" s="286" t="s">
        <v>99</v>
      </c>
      <c r="E1839" s="295">
        <v>1</v>
      </c>
      <c r="F1839" s="295">
        <v>1</v>
      </c>
      <c r="G1839" s="296">
        <v>0</v>
      </c>
      <c r="H1839" s="296">
        <v>1000</v>
      </c>
      <c r="I1839" s="296">
        <v>500</v>
      </c>
      <c r="J1839" s="296">
        <v>525</v>
      </c>
      <c r="K1839" s="296">
        <v>475</v>
      </c>
      <c r="L1839" s="296">
        <v>0</v>
      </c>
      <c r="M1839" s="296">
        <v>500</v>
      </c>
      <c r="N1839" s="297">
        <v>0.5</v>
      </c>
    </row>
    <row r="1840" spans="1:14" ht="18" customHeight="1">
      <c r="A1840" s="293" t="s">
        <v>3442</v>
      </c>
      <c r="B1840" s="294">
        <v>46253</v>
      </c>
      <c r="C1840" s="286" t="s">
        <v>3773</v>
      </c>
      <c r="D1840" s="286" t="s">
        <v>102</v>
      </c>
      <c r="E1840" s="295">
        <v>3</v>
      </c>
      <c r="F1840" s="295">
        <v>3</v>
      </c>
      <c r="G1840" s="296">
        <v>0</v>
      </c>
      <c r="H1840" s="296">
        <v>1270</v>
      </c>
      <c r="I1840" s="296">
        <v>655</v>
      </c>
      <c r="J1840" s="296">
        <v>687.75</v>
      </c>
      <c r="K1840" s="296">
        <v>582.25</v>
      </c>
      <c r="L1840" s="296">
        <v>174.67499999999998</v>
      </c>
      <c r="M1840" s="296">
        <v>615</v>
      </c>
      <c r="N1840" s="297">
        <v>0.48425196850393698</v>
      </c>
    </row>
    <row r="1841" spans="1:14" ht="18" customHeight="1">
      <c r="A1841" s="293" t="s">
        <v>3443</v>
      </c>
      <c r="B1841" s="294">
        <v>46253</v>
      </c>
      <c r="C1841" s="286" t="s">
        <v>168</v>
      </c>
      <c r="D1841" s="286" t="s">
        <v>92</v>
      </c>
      <c r="E1841" s="295">
        <v>1</v>
      </c>
      <c r="F1841" s="295">
        <v>1</v>
      </c>
      <c r="G1841" s="296">
        <v>0</v>
      </c>
      <c r="H1841" s="296">
        <v>2000</v>
      </c>
      <c r="I1841" s="296">
        <v>1200</v>
      </c>
      <c r="J1841" s="296">
        <v>1260</v>
      </c>
      <c r="K1841" s="296">
        <v>740</v>
      </c>
      <c r="L1841" s="296">
        <v>0</v>
      </c>
      <c r="M1841" s="296">
        <v>800</v>
      </c>
      <c r="N1841" s="297">
        <v>0.4</v>
      </c>
    </row>
    <row r="1842" spans="1:14" ht="18" customHeight="1">
      <c r="A1842" s="293" t="s">
        <v>3444</v>
      </c>
      <c r="B1842" s="294">
        <v>46253</v>
      </c>
      <c r="C1842" s="286" t="s">
        <v>353</v>
      </c>
      <c r="D1842" s="286" t="s">
        <v>94</v>
      </c>
      <c r="E1842" s="295">
        <v>2</v>
      </c>
      <c r="F1842" s="295">
        <v>40</v>
      </c>
      <c r="G1842" s="296">
        <v>0</v>
      </c>
      <c r="H1842" s="296">
        <v>2500</v>
      </c>
      <c r="I1842" s="296">
        <v>1760</v>
      </c>
      <c r="J1842" s="296">
        <v>1848</v>
      </c>
      <c r="K1842" s="296">
        <v>652</v>
      </c>
      <c r="L1842" s="296">
        <v>195.6</v>
      </c>
      <c r="M1842" s="296">
        <v>740</v>
      </c>
      <c r="N1842" s="297">
        <v>0.29599999999999999</v>
      </c>
    </row>
    <row r="1843" spans="1:14" ht="18" customHeight="1">
      <c r="A1843" s="293" t="s">
        <v>3445</v>
      </c>
      <c r="B1843" s="294">
        <v>46253</v>
      </c>
      <c r="C1843" s="286" t="s">
        <v>168</v>
      </c>
      <c r="D1843" s="286" t="s">
        <v>138</v>
      </c>
      <c r="E1843" s="295">
        <v>2</v>
      </c>
      <c r="F1843" s="295">
        <v>4</v>
      </c>
      <c r="G1843" s="296">
        <v>0</v>
      </c>
      <c r="H1843" s="296">
        <v>200</v>
      </c>
      <c r="I1843" s="296">
        <v>84</v>
      </c>
      <c r="J1843" s="296">
        <v>86.52</v>
      </c>
      <c r="K1843" s="296">
        <v>113.47999999999999</v>
      </c>
      <c r="L1843" s="296">
        <v>0</v>
      </c>
      <c r="M1843" s="296">
        <v>116</v>
      </c>
      <c r="N1843" s="297">
        <v>0.57999999999999996</v>
      </c>
    </row>
    <row r="1844" spans="1:14" ht="18" customHeight="1">
      <c r="A1844" s="293" t="s">
        <v>3446</v>
      </c>
      <c r="B1844" s="294">
        <v>46253</v>
      </c>
      <c r="C1844" s="286" t="s">
        <v>358</v>
      </c>
      <c r="D1844" s="286" t="s">
        <v>130</v>
      </c>
      <c r="E1844" s="295">
        <v>1</v>
      </c>
      <c r="F1844" s="295">
        <v>1</v>
      </c>
      <c r="G1844" s="296">
        <v>0</v>
      </c>
      <c r="H1844" s="296">
        <v>2000</v>
      </c>
      <c r="I1844" s="296">
        <v>1100</v>
      </c>
      <c r="J1844" s="296">
        <v>1155</v>
      </c>
      <c r="K1844" s="296">
        <v>845</v>
      </c>
      <c r="L1844" s="296">
        <v>253.5</v>
      </c>
      <c r="M1844" s="296">
        <v>900</v>
      </c>
      <c r="N1844" s="297">
        <v>0.45</v>
      </c>
    </row>
    <row r="1845" spans="1:14" ht="18" customHeight="1">
      <c r="A1845" s="293" t="s">
        <v>3447</v>
      </c>
      <c r="B1845" s="294">
        <v>46254</v>
      </c>
      <c r="C1845" s="286" t="s">
        <v>3773</v>
      </c>
      <c r="D1845" s="286" t="s">
        <v>102</v>
      </c>
      <c r="E1845" s="295">
        <v>2</v>
      </c>
      <c r="F1845" s="295">
        <v>2</v>
      </c>
      <c r="G1845" s="296">
        <v>0</v>
      </c>
      <c r="H1845" s="296">
        <v>9750</v>
      </c>
      <c r="I1845" s="296">
        <v>8184</v>
      </c>
      <c r="J1845" s="296">
        <v>8593.2000000000007</v>
      </c>
      <c r="K1845" s="296">
        <v>1156.7999999999993</v>
      </c>
      <c r="L1845" s="296">
        <v>347.03999999999979</v>
      </c>
      <c r="M1845" s="296">
        <v>1566</v>
      </c>
      <c r="N1845" s="297">
        <v>0.1606153846153846</v>
      </c>
    </row>
    <row r="1846" spans="1:14" ht="18" customHeight="1">
      <c r="A1846" s="293" t="s">
        <v>3448</v>
      </c>
      <c r="B1846" s="294">
        <v>46254</v>
      </c>
      <c r="C1846" s="286" t="s">
        <v>168</v>
      </c>
      <c r="D1846" s="286" t="s">
        <v>241</v>
      </c>
      <c r="E1846" s="295">
        <v>6</v>
      </c>
      <c r="F1846" s="295">
        <v>14</v>
      </c>
      <c r="G1846" s="296">
        <v>0</v>
      </c>
      <c r="H1846" s="296">
        <v>2835</v>
      </c>
      <c r="I1846" s="296">
        <v>2237.5500000000002</v>
      </c>
      <c r="J1846" s="296">
        <v>2308.3164999999999</v>
      </c>
      <c r="K1846" s="296">
        <v>526.68349999999998</v>
      </c>
      <c r="L1846" s="296">
        <v>0</v>
      </c>
      <c r="M1846" s="296">
        <v>597.44999999999982</v>
      </c>
      <c r="N1846" s="297">
        <v>0.21074074074074067</v>
      </c>
    </row>
    <row r="1847" spans="1:14" ht="18" customHeight="1">
      <c r="A1847" s="293" t="s">
        <v>3449</v>
      </c>
      <c r="B1847" s="294">
        <v>46254</v>
      </c>
      <c r="C1847" s="286" t="s">
        <v>353</v>
      </c>
      <c r="D1847" s="286" t="s">
        <v>108</v>
      </c>
      <c r="E1847" s="295">
        <v>1</v>
      </c>
      <c r="F1847" s="295">
        <v>1</v>
      </c>
      <c r="G1847" s="296">
        <v>0</v>
      </c>
      <c r="H1847" s="296">
        <v>900</v>
      </c>
      <c r="I1847" s="296">
        <v>400</v>
      </c>
      <c r="J1847" s="296">
        <v>420</v>
      </c>
      <c r="K1847" s="296">
        <v>480</v>
      </c>
      <c r="L1847" s="296">
        <v>144</v>
      </c>
      <c r="M1847" s="296">
        <v>500</v>
      </c>
      <c r="N1847" s="297">
        <v>0.55555555555555558</v>
      </c>
    </row>
    <row r="1848" spans="1:14" ht="18" customHeight="1">
      <c r="A1848" s="293" t="s">
        <v>3450</v>
      </c>
      <c r="B1848" s="294">
        <v>46254</v>
      </c>
      <c r="C1848" s="286" t="s">
        <v>353</v>
      </c>
      <c r="D1848" s="286" t="s">
        <v>103</v>
      </c>
      <c r="E1848" s="295">
        <v>3</v>
      </c>
      <c r="F1848" s="295">
        <v>4</v>
      </c>
      <c r="G1848" s="296">
        <v>0</v>
      </c>
      <c r="H1848" s="296">
        <v>3900</v>
      </c>
      <c r="I1848" s="296">
        <v>2115</v>
      </c>
      <c r="J1848" s="296">
        <v>2220.75</v>
      </c>
      <c r="K1848" s="296">
        <v>1679.25</v>
      </c>
      <c r="L1848" s="296">
        <v>503.77499999999998</v>
      </c>
      <c r="M1848" s="296">
        <v>1785</v>
      </c>
      <c r="N1848" s="297">
        <v>0.45769230769230768</v>
      </c>
    </row>
    <row r="1849" spans="1:14" ht="18" customHeight="1">
      <c r="A1849" s="293" t="s">
        <v>3451</v>
      </c>
      <c r="B1849" s="294">
        <v>46254</v>
      </c>
      <c r="C1849" s="286" t="s">
        <v>359</v>
      </c>
      <c r="D1849" s="286" t="s">
        <v>114</v>
      </c>
      <c r="E1849" s="295">
        <v>1</v>
      </c>
      <c r="F1849" s="295">
        <v>1</v>
      </c>
      <c r="G1849" s="296">
        <v>0</v>
      </c>
      <c r="H1849" s="296">
        <v>1786</v>
      </c>
      <c r="I1849" s="296">
        <v>900</v>
      </c>
      <c r="J1849" s="296">
        <v>945</v>
      </c>
      <c r="K1849" s="296">
        <v>841</v>
      </c>
      <c r="L1849" s="296">
        <v>252.29999999999998</v>
      </c>
      <c r="M1849" s="296">
        <v>886</v>
      </c>
      <c r="N1849" s="297">
        <v>0.49608062709966405</v>
      </c>
    </row>
    <row r="1850" spans="1:14" ht="18" customHeight="1">
      <c r="A1850" s="293" t="s">
        <v>3452</v>
      </c>
      <c r="B1850" s="294">
        <v>46254</v>
      </c>
      <c r="C1850" s="286" t="s">
        <v>168</v>
      </c>
      <c r="D1850" s="286" t="s">
        <v>124</v>
      </c>
      <c r="E1850" s="295">
        <v>2</v>
      </c>
      <c r="F1850" s="295">
        <v>2</v>
      </c>
      <c r="G1850" s="296">
        <v>0</v>
      </c>
      <c r="H1850" s="296">
        <v>2630</v>
      </c>
      <c r="I1850" s="296">
        <v>1550</v>
      </c>
      <c r="J1850" s="296">
        <v>1627.5</v>
      </c>
      <c r="K1850" s="296">
        <v>572.5</v>
      </c>
      <c r="L1850" s="296">
        <v>0</v>
      </c>
      <c r="M1850" s="296">
        <v>1080</v>
      </c>
      <c r="N1850" s="297">
        <v>0.41064638783269963</v>
      </c>
    </row>
    <row r="1851" spans="1:14" ht="18" customHeight="1">
      <c r="A1851" s="293" t="s">
        <v>3453</v>
      </c>
      <c r="B1851" s="294">
        <v>46254</v>
      </c>
      <c r="C1851" s="286" t="s">
        <v>168</v>
      </c>
      <c r="D1851" s="286" t="s">
        <v>145</v>
      </c>
      <c r="E1851" s="295">
        <v>1</v>
      </c>
      <c r="F1851" s="295">
        <v>10</v>
      </c>
      <c r="G1851" s="296">
        <v>0</v>
      </c>
      <c r="H1851" s="296">
        <v>250</v>
      </c>
      <c r="I1851" s="296">
        <v>89</v>
      </c>
      <c r="J1851" s="296">
        <v>93.45</v>
      </c>
      <c r="K1851" s="296">
        <v>156.55000000000001</v>
      </c>
      <c r="L1851" s="296">
        <v>0</v>
      </c>
      <c r="M1851" s="296">
        <v>161</v>
      </c>
      <c r="N1851" s="297">
        <v>0.64400000000000002</v>
      </c>
    </row>
    <row r="1852" spans="1:14" ht="18" customHeight="1">
      <c r="A1852" s="293" t="s">
        <v>3454</v>
      </c>
      <c r="B1852" s="294">
        <v>46254</v>
      </c>
      <c r="C1852" s="286" t="s">
        <v>168</v>
      </c>
      <c r="D1852" s="286" t="s">
        <v>129</v>
      </c>
      <c r="E1852" s="295">
        <v>3</v>
      </c>
      <c r="F1852" s="295">
        <v>15.4</v>
      </c>
      <c r="G1852" s="296">
        <v>0</v>
      </c>
      <c r="H1852" s="296">
        <v>3555</v>
      </c>
      <c r="I1852" s="296">
        <v>2336.8000000000002</v>
      </c>
      <c r="J1852" s="296">
        <v>2428.5039999999999</v>
      </c>
      <c r="K1852" s="296">
        <v>1126.4959999999999</v>
      </c>
      <c r="L1852" s="296">
        <v>0</v>
      </c>
      <c r="M1852" s="296">
        <v>1218.1999999999998</v>
      </c>
      <c r="N1852" s="297">
        <v>0.34267229254571019</v>
      </c>
    </row>
    <row r="1853" spans="1:14" ht="18" customHeight="1">
      <c r="A1853" s="293" t="s">
        <v>3455</v>
      </c>
      <c r="B1853" s="294">
        <v>46254</v>
      </c>
      <c r="C1853" s="286" t="s">
        <v>168</v>
      </c>
      <c r="D1853" s="286" t="s">
        <v>272</v>
      </c>
      <c r="E1853" s="295">
        <v>4</v>
      </c>
      <c r="F1853" s="295">
        <v>34</v>
      </c>
      <c r="G1853" s="296">
        <v>0</v>
      </c>
      <c r="H1853" s="296">
        <v>4768</v>
      </c>
      <c r="I1853" s="296">
        <v>344.15999999999997</v>
      </c>
      <c r="J1853" s="296">
        <v>356.26480000000004</v>
      </c>
      <c r="K1853" s="296">
        <v>411.73519999999996</v>
      </c>
      <c r="L1853" s="296">
        <v>0</v>
      </c>
      <c r="M1853" s="296">
        <v>4423.84</v>
      </c>
      <c r="N1853" s="297">
        <v>0.92781879194630879</v>
      </c>
    </row>
    <row r="1854" spans="1:14" ht="18" customHeight="1">
      <c r="A1854" s="293" t="s">
        <v>3456</v>
      </c>
      <c r="B1854" s="294">
        <v>46254</v>
      </c>
      <c r="C1854" s="286" t="s">
        <v>168</v>
      </c>
      <c r="D1854" s="286" t="s">
        <v>99</v>
      </c>
      <c r="E1854" s="295">
        <v>7</v>
      </c>
      <c r="F1854" s="295">
        <v>13</v>
      </c>
      <c r="G1854" s="296">
        <v>0</v>
      </c>
      <c r="H1854" s="296">
        <v>1775</v>
      </c>
      <c r="I1854" s="296">
        <v>924</v>
      </c>
      <c r="J1854" s="296">
        <v>969.06000000000006</v>
      </c>
      <c r="K1854" s="296">
        <v>805.93999999999994</v>
      </c>
      <c r="L1854" s="296">
        <v>0</v>
      </c>
      <c r="M1854" s="296">
        <v>851</v>
      </c>
      <c r="N1854" s="297">
        <v>0.47943661971830986</v>
      </c>
    </row>
    <row r="1855" spans="1:14" ht="18" customHeight="1">
      <c r="A1855" s="293" t="s">
        <v>3457</v>
      </c>
      <c r="B1855" s="294">
        <v>46255</v>
      </c>
      <c r="C1855" s="286" t="s">
        <v>3773</v>
      </c>
      <c r="D1855" s="286" t="s">
        <v>102</v>
      </c>
      <c r="E1855" s="295">
        <v>1</v>
      </c>
      <c r="F1855" s="295">
        <v>1</v>
      </c>
      <c r="G1855" s="296">
        <v>0</v>
      </c>
      <c r="H1855" s="296">
        <v>560</v>
      </c>
      <c r="I1855" s="296">
        <v>260</v>
      </c>
      <c r="J1855" s="296">
        <v>273</v>
      </c>
      <c r="K1855" s="296">
        <v>287</v>
      </c>
      <c r="L1855" s="296">
        <v>86.1</v>
      </c>
      <c r="M1855" s="296">
        <v>300</v>
      </c>
      <c r="N1855" s="297">
        <v>0.5357142857142857</v>
      </c>
    </row>
    <row r="1856" spans="1:14" ht="18" customHeight="1">
      <c r="A1856" s="293" t="s">
        <v>3458</v>
      </c>
      <c r="B1856" s="294">
        <v>46255</v>
      </c>
      <c r="C1856" s="286" t="s">
        <v>168</v>
      </c>
      <c r="D1856" s="286" t="s">
        <v>112</v>
      </c>
      <c r="E1856" s="295">
        <v>5</v>
      </c>
      <c r="F1856" s="295">
        <v>5.4</v>
      </c>
      <c r="G1856" s="296">
        <v>0</v>
      </c>
      <c r="H1856" s="296">
        <v>1605</v>
      </c>
      <c r="I1856" s="296">
        <v>1082.1000000000001</v>
      </c>
      <c r="J1856" s="296">
        <v>1114.5630000000001</v>
      </c>
      <c r="K1856" s="296">
        <v>490.4369999999999</v>
      </c>
      <c r="L1856" s="296">
        <v>0</v>
      </c>
      <c r="M1856" s="296">
        <v>522.89999999999986</v>
      </c>
      <c r="N1856" s="297">
        <v>0.3257943925233644</v>
      </c>
    </row>
    <row r="1857" spans="1:14" ht="18" customHeight="1">
      <c r="A1857" s="293" t="s">
        <v>3459</v>
      </c>
      <c r="B1857" s="294">
        <v>46255</v>
      </c>
      <c r="C1857" s="286" t="s">
        <v>168</v>
      </c>
      <c r="D1857" s="286" t="s">
        <v>150</v>
      </c>
      <c r="E1857" s="295">
        <v>1</v>
      </c>
      <c r="F1857" s="295">
        <v>1</v>
      </c>
      <c r="G1857" s="296">
        <v>0</v>
      </c>
      <c r="H1857" s="296">
        <v>9000</v>
      </c>
      <c r="I1857" s="296">
        <v>7684</v>
      </c>
      <c r="J1857" s="296">
        <v>8068.2000000000007</v>
      </c>
      <c r="K1857" s="296">
        <v>931.79999999999927</v>
      </c>
      <c r="L1857" s="296">
        <v>0</v>
      </c>
      <c r="M1857" s="296">
        <v>1316</v>
      </c>
      <c r="N1857" s="297">
        <v>0.14622222222222223</v>
      </c>
    </row>
    <row r="1858" spans="1:14" ht="18" customHeight="1">
      <c r="A1858" s="293" t="s">
        <v>3460</v>
      </c>
      <c r="B1858" s="294">
        <v>46255</v>
      </c>
      <c r="C1858" s="286" t="s">
        <v>353</v>
      </c>
      <c r="D1858" s="286" t="s">
        <v>94</v>
      </c>
      <c r="E1858" s="295">
        <v>1</v>
      </c>
      <c r="F1858" s="295">
        <v>1</v>
      </c>
      <c r="G1858" s="296">
        <v>0</v>
      </c>
      <c r="H1858" s="296">
        <v>1900</v>
      </c>
      <c r="I1858" s="296">
        <v>1450</v>
      </c>
      <c r="J1858" s="296">
        <v>1522.5</v>
      </c>
      <c r="K1858" s="296">
        <v>377.5</v>
      </c>
      <c r="L1858" s="296">
        <v>113.25</v>
      </c>
      <c r="M1858" s="296">
        <v>450</v>
      </c>
      <c r="N1858" s="297">
        <v>0.23684210526315788</v>
      </c>
    </row>
    <row r="1859" spans="1:14" ht="18" customHeight="1">
      <c r="A1859" s="293" t="s">
        <v>3461</v>
      </c>
      <c r="B1859" s="294">
        <v>46255</v>
      </c>
      <c r="C1859" s="286" t="s">
        <v>168</v>
      </c>
      <c r="D1859" s="286" t="s">
        <v>199</v>
      </c>
      <c r="E1859" s="295">
        <v>2</v>
      </c>
      <c r="F1859" s="295">
        <v>2</v>
      </c>
      <c r="G1859" s="296">
        <v>0</v>
      </c>
      <c r="H1859" s="296">
        <v>2500</v>
      </c>
      <c r="I1859" s="296">
        <v>1220</v>
      </c>
      <c r="J1859" s="296">
        <v>1281</v>
      </c>
      <c r="K1859" s="296">
        <v>1219</v>
      </c>
      <c r="L1859" s="296">
        <v>0</v>
      </c>
      <c r="M1859" s="296">
        <v>1280</v>
      </c>
      <c r="N1859" s="297">
        <v>0.51200000000000001</v>
      </c>
    </row>
    <row r="1860" spans="1:14" ht="18" customHeight="1">
      <c r="A1860" s="293" t="s">
        <v>3462</v>
      </c>
      <c r="B1860" s="294">
        <v>46255</v>
      </c>
      <c r="C1860" s="286" t="s">
        <v>168</v>
      </c>
      <c r="D1860" s="286" t="s">
        <v>178</v>
      </c>
      <c r="E1860" s="295">
        <v>1</v>
      </c>
      <c r="F1860" s="295">
        <v>1</v>
      </c>
      <c r="G1860" s="296">
        <v>0</v>
      </c>
      <c r="H1860" s="296">
        <v>2000</v>
      </c>
      <c r="I1860" s="296">
        <v>1300</v>
      </c>
      <c r="J1860" s="296">
        <v>1365</v>
      </c>
      <c r="K1860" s="296">
        <v>635</v>
      </c>
      <c r="L1860" s="296">
        <v>0</v>
      </c>
      <c r="M1860" s="296">
        <v>700</v>
      </c>
      <c r="N1860" s="297">
        <v>0.35</v>
      </c>
    </row>
    <row r="1861" spans="1:14" ht="18" customHeight="1">
      <c r="A1861" s="293" t="s">
        <v>3463</v>
      </c>
      <c r="B1861" s="294">
        <v>46255</v>
      </c>
      <c r="C1861" s="286" t="s">
        <v>168</v>
      </c>
      <c r="D1861" s="286" t="s">
        <v>115</v>
      </c>
      <c r="E1861" s="295">
        <v>1</v>
      </c>
      <c r="F1861" s="295">
        <v>1</v>
      </c>
      <c r="G1861" s="296">
        <v>0</v>
      </c>
      <c r="H1861" s="296">
        <v>1300</v>
      </c>
      <c r="I1861" s="296">
        <v>750</v>
      </c>
      <c r="J1861" s="296">
        <v>787.5</v>
      </c>
      <c r="K1861" s="296">
        <v>512.5</v>
      </c>
      <c r="L1861" s="296">
        <v>0</v>
      </c>
      <c r="M1861" s="296">
        <v>550</v>
      </c>
      <c r="N1861" s="297">
        <v>0.42307692307692307</v>
      </c>
    </row>
    <row r="1862" spans="1:14" ht="18" customHeight="1">
      <c r="A1862" s="293" t="s">
        <v>3464</v>
      </c>
      <c r="B1862" s="294">
        <v>46255</v>
      </c>
      <c r="C1862" s="286" t="s">
        <v>168</v>
      </c>
      <c r="D1862" s="286" t="s">
        <v>124</v>
      </c>
      <c r="E1862" s="295">
        <v>1</v>
      </c>
      <c r="F1862" s="295">
        <v>1</v>
      </c>
      <c r="G1862" s="296">
        <v>0</v>
      </c>
      <c r="H1862" s="296">
        <v>750</v>
      </c>
      <c r="I1862" s="296">
        <v>480</v>
      </c>
      <c r="J1862" s="296">
        <v>504</v>
      </c>
      <c r="K1862" s="296">
        <v>246</v>
      </c>
      <c r="L1862" s="296">
        <v>0</v>
      </c>
      <c r="M1862" s="296">
        <v>270</v>
      </c>
      <c r="N1862" s="297">
        <v>0.36</v>
      </c>
    </row>
    <row r="1863" spans="1:14" ht="18" customHeight="1">
      <c r="A1863" s="293" t="s">
        <v>3465</v>
      </c>
      <c r="B1863" s="294">
        <v>46255</v>
      </c>
      <c r="C1863" s="286" t="s">
        <v>168</v>
      </c>
      <c r="D1863" s="286" t="s">
        <v>117</v>
      </c>
      <c r="E1863" s="295">
        <v>3</v>
      </c>
      <c r="F1863" s="295">
        <v>18</v>
      </c>
      <c r="G1863" s="296">
        <v>0</v>
      </c>
      <c r="H1863" s="296">
        <v>1935</v>
      </c>
      <c r="I1863" s="296">
        <v>1211.4000000000001</v>
      </c>
      <c r="J1863" s="296">
        <v>1247.7420000000002</v>
      </c>
      <c r="K1863" s="296">
        <v>687.25799999999981</v>
      </c>
      <c r="L1863" s="296">
        <v>0</v>
      </c>
      <c r="M1863" s="296">
        <v>723.59999999999991</v>
      </c>
      <c r="N1863" s="297">
        <v>0.37395348837209297</v>
      </c>
    </row>
    <row r="1864" spans="1:14" ht="18" customHeight="1">
      <c r="A1864" s="293" t="s">
        <v>3466</v>
      </c>
      <c r="B1864" s="294">
        <v>46256</v>
      </c>
      <c r="C1864" s="286" t="s">
        <v>348</v>
      </c>
      <c r="D1864" s="286" t="s">
        <v>247</v>
      </c>
      <c r="E1864" s="295">
        <v>3</v>
      </c>
      <c r="F1864" s="295">
        <v>3</v>
      </c>
      <c r="G1864" s="296">
        <v>0</v>
      </c>
      <c r="H1864" s="296">
        <v>4760</v>
      </c>
      <c r="I1864" s="296">
        <v>3050</v>
      </c>
      <c r="J1864" s="296">
        <v>3202.5</v>
      </c>
      <c r="K1864" s="296">
        <v>1557.5</v>
      </c>
      <c r="L1864" s="296">
        <v>467.25</v>
      </c>
      <c r="M1864" s="296">
        <v>1710</v>
      </c>
      <c r="N1864" s="297">
        <v>0.3592436974789916</v>
      </c>
    </row>
    <row r="1865" spans="1:14" ht="18" customHeight="1">
      <c r="A1865" s="293" t="s">
        <v>3467</v>
      </c>
      <c r="B1865" s="294">
        <v>46256</v>
      </c>
      <c r="C1865" s="286" t="s">
        <v>3773</v>
      </c>
      <c r="D1865" s="286" t="s">
        <v>102</v>
      </c>
      <c r="E1865" s="295">
        <v>1</v>
      </c>
      <c r="F1865" s="295">
        <v>1</v>
      </c>
      <c r="G1865" s="296">
        <v>0</v>
      </c>
      <c r="H1865" s="296">
        <v>2000</v>
      </c>
      <c r="I1865" s="296">
        <v>1300</v>
      </c>
      <c r="J1865" s="296">
        <v>1365</v>
      </c>
      <c r="K1865" s="296">
        <v>635</v>
      </c>
      <c r="L1865" s="296">
        <v>190.5</v>
      </c>
      <c r="M1865" s="296">
        <v>700</v>
      </c>
      <c r="N1865" s="297">
        <v>0.35</v>
      </c>
    </row>
    <row r="1866" spans="1:14" ht="18" customHeight="1">
      <c r="A1866" s="293" t="s">
        <v>3468</v>
      </c>
      <c r="B1866" s="294">
        <v>46256</v>
      </c>
      <c r="C1866" s="286" t="s">
        <v>168</v>
      </c>
      <c r="D1866" s="286" t="s">
        <v>120</v>
      </c>
      <c r="E1866" s="295">
        <v>2</v>
      </c>
      <c r="F1866" s="295">
        <v>3</v>
      </c>
      <c r="G1866" s="296">
        <v>0</v>
      </c>
      <c r="H1866" s="296">
        <v>2186</v>
      </c>
      <c r="I1866" s="296">
        <v>1220</v>
      </c>
      <c r="J1866" s="296">
        <v>1281</v>
      </c>
      <c r="K1866" s="296">
        <v>905</v>
      </c>
      <c r="L1866" s="296">
        <v>0</v>
      </c>
      <c r="M1866" s="296">
        <v>966</v>
      </c>
      <c r="N1866" s="297">
        <v>0.44190301921317476</v>
      </c>
    </row>
    <row r="1867" spans="1:14" ht="18" customHeight="1">
      <c r="A1867" s="293" t="s">
        <v>3469</v>
      </c>
      <c r="B1867" s="294">
        <v>46256</v>
      </c>
      <c r="C1867" s="286" t="s">
        <v>353</v>
      </c>
      <c r="D1867" s="286" t="s">
        <v>94</v>
      </c>
      <c r="E1867" s="295">
        <v>14</v>
      </c>
      <c r="F1867" s="295">
        <v>55</v>
      </c>
      <c r="G1867" s="296">
        <v>0</v>
      </c>
      <c r="H1867" s="296">
        <v>5288</v>
      </c>
      <c r="I1867" s="296">
        <v>3080</v>
      </c>
      <c r="J1867" s="296">
        <v>3234</v>
      </c>
      <c r="K1867" s="296">
        <v>2054</v>
      </c>
      <c r="L1867" s="296">
        <v>616.20000000000005</v>
      </c>
      <c r="M1867" s="296">
        <v>2208</v>
      </c>
      <c r="N1867" s="297">
        <v>0.41754916792738278</v>
      </c>
    </row>
    <row r="1868" spans="1:14" ht="18" customHeight="1">
      <c r="A1868" s="293" t="s">
        <v>3470</v>
      </c>
      <c r="B1868" s="294">
        <v>46256</v>
      </c>
      <c r="C1868" s="286" t="s">
        <v>168</v>
      </c>
      <c r="D1868" s="286" t="s">
        <v>142</v>
      </c>
      <c r="E1868" s="295">
        <v>1</v>
      </c>
      <c r="F1868" s="295">
        <v>1</v>
      </c>
      <c r="G1868" s="296">
        <v>0</v>
      </c>
      <c r="H1868" s="296">
        <v>1700</v>
      </c>
      <c r="I1868" s="296">
        <v>800</v>
      </c>
      <c r="J1868" s="296">
        <v>840</v>
      </c>
      <c r="K1868" s="296">
        <v>860</v>
      </c>
      <c r="L1868" s="296">
        <v>0</v>
      </c>
      <c r="M1868" s="296">
        <v>900</v>
      </c>
      <c r="N1868" s="297">
        <v>0.52941176470588236</v>
      </c>
    </row>
    <row r="1869" spans="1:14" ht="18" customHeight="1">
      <c r="A1869" s="293" t="s">
        <v>3471</v>
      </c>
      <c r="B1869" s="294">
        <v>46256</v>
      </c>
      <c r="C1869" s="286" t="s">
        <v>168</v>
      </c>
      <c r="D1869" s="286" t="s">
        <v>115</v>
      </c>
      <c r="E1869" s="295">
        <v>4</v>
      </c>
      <c r="F1869" s="295">
        <v>26</v>
      </c>
      <c r="G1869" s="296">
        <v>0</v>
      </c>
      <c r="H1869" s="296">
        <v>3025</v>
      </c>
      <c r="I1869" s="296">
        <v>1755</v>
      </c>
      <c r="J1869" s="296">
        <v>1842.75</v>
      </c>
      <c r="K1869" s="296">
        <v>1182.25</v>
      </c>
      <c r="L1869" s="296">
        <v>0</v>
      </c>
      <c r="M1869" s="296">
        <v>1270</v>
      </c>
      <c r="N1869" s="297">
        <v>0.41983471074380163</v>
      </c>
    </row>
    <row r="1870" spans="1:14" ht="18" customHeight="1">
      <c r="A1870" s="293" t="s">
        <v>3472</v>
      </c>
      <c r="B1870" s="294">
        <v>46256</v>
      </c>
      <c r="C1870" s="286" t="s">
        <v>168</v>
      </c>
      <c r="D1870" s="286" t="s">
        <v>124</v>
      </c>
      <c r="E1870" s="295">
        <v>2</v>
      </c>
      <c r="F1870" s="295">
        <v>5</v>
      </c>
      <c r="G1870" s="296">
        <v>0</v>
      </c>
      <c r="H1870" s="296">
        <v>1720</v>
      </c>
      <c r="I1870" s="296">
        <v>1095</v>
      </c>
      <c r="J1870" s="296">
        <v>1149.75</v>
      </c>
      <c r="K1870" s="296">
        <v>570.25</v>
      </c>
      <c r="L1870" s="296">
        <v>0</v>
      </c>
      <c r="M1870" s="296">
        <v>625</v>
      </c>
      <c r="N1870" s="297">
        <v>0.36337209302325579</v>
      </c>
    </row>
    <row r="1871" spans="1:14" ht="18" customHeight="1">
      <c r="A1871" s="293" t="s">
        <v>3473</v>
      </c>
      <c r="B1871" s="294">
        <v>46258</v>
      </c>
      <c r="C1871" s="286" t="s">
        <v>348</v>
      </c>
      <c r="D1871" s="286" t="s">
        <v>247</v>
      </c>
      <c r="E1871" s="295">
        <v>1</v>
      </c>
      <c r="F1871" s="295">
        <v>1</v>
      </c>
      <c r="G1871" s="296">
        <v>0</v>
      </c>
      <c r="H1871" s="296">
        <v>2000</v>
      </c>
      <c r="I1871" s="296">
        <v>1200</v>
      </c>
      <c r="J1871" s="296">
        <v>1260</v>
      </c>
      <c r="K1871" s="296">
        <v>740</v>
      </c>
      <c r="L1871" s="296">
        <v>222</v>
      </c>
      <c r="M1871" s="296">
        <v>800</v>
      </c>
      <c r="N1871" s="297">
        <v>0.4</v>
      </c>
    </row>
    <row r="1872" spans="1:14" ht="18" customHeight="1">
      <c r="A1872" s="293" t="s">
        <v>3474</v>
      </c>
      <c r="B1872" s="294">
        <v>46258</v>
      </c>
      <c r="C1872" s="286" t="s">
        <v>3773</v>
      </c>
      <c r="D1872" s="286" t="s">
        <v>102</v>
      </c>
      <c r="E1872" s="295">
        <v>2</v>
      </c>
      <c r="F1872" s="295">
        <v>2</v>
      </c>
      <c r="G1872" s="296">
        <v>0</v>
      </c>
      <c r="H1872" s="296">
        <v>2750</v>
      </c>
      <c r="I1872" s="296">
        <v>1750</v>
      </c>
      <c r="J1872" s="296">
        <v>1837.5</v>
      </c>
      <c r="K1872" s="296">
        <v>912.5</v>
      </c>
      <c r="L1872" s="296">
        <v>273.75</v>
      </c>
      <c r="M1872" s="296">
        <v>1000</v>
      </c>
      <c r="N1872" s="297">
        <v>0.36363636363636365</v>
      </c>
    </row>
    <row r="1873" spans="1:14" ht="18" customHeight="1">
      <c r="A1873" s="293" t="s">
        <v>3475</v>
      </c>
      <c r="B1873" s="294">
        <v>46258</v>
      </c>
      <c r="C1873" s="286" t="s">
        <v>168</v>
      </c>
      <c r="D1873" s="286" t="s">
        <v>273</v>
      </c>
      <c r="E1873" s="295">
        <v>2</v>
      </c>
      <c r="F1873" s="295">
        <v>2</v>
      </c>
      <c r="G1873" s="296">
        <v>0</v>
      </c>
      <c r="H1873" s="296">
        <v>2336</v>
      </c>
      <c r="I1873" s="296">
        <v>1150</v>
      </c>
      <c r="J1873" s="296">
        <v>1207.5</v>
      </c>
      <c r="K1873" s="296">
        <v>1128.5</v>
      </c>
      <c r="L1873" s="296">
        <v>0</v>
      </c>
      <c r="M1873" s="296">
        <v>1186</v>
      </c>
      <c r="N1873" s="297">
        <v>0.5077054794520548</v>
      </c>
    </row>
    <row r="1874" spans="1:14" ht="18" customHeight="1">
      <c r="A1874" s="293" t="s">
        <v>3476</v>
      </c>
      <c r="B1874" s="294">
        <v>46258</v>
      </c>
      <c r="C1874" s="286" t="s">
        <v>168</v>
      </c>
      <c r="D1874" s="286" t="s">
        <v>112</v>
      </c>
      <c r="E1874" s="295">
        <v>6</v>
      </c>
      <c r="F1874" s="295">
        <v>14</v>
      </c>
      <c r="G1874" s="296">
        <v>0</v>
      </c>
      <c r="H1874" s="296">
        <v>1530</v>
      </c>
      <c r="I1874" s="296">
        <v>955.6</v>
      </c>
      <c r="J1874" s="296">
        <v>991.28000000000009</v>
      </c>
      <c r="K1874" s="296">
        <v>538.71999999999991</v>
      </c>
      <c r="L1874" s="296">
        <v>0</v>
      </c>
      <c r="M1874" s="296">
        <v>574.4</v>
      </c>
      <c r="N1874" s="297">
        <v>0.37542483660130715</v>
      </c>
    </row>
    <row r="1875" spans="1:14" ht="18" customHeight="1">
      <c r="A1875" s="293" t="s">
        <v>3477</v>
      </c>
      <c r="B1875" s="294">
        <v>46258</v>
      </c>
      <c r="C1875" s="286" t="s">
        <v>168</v>
      </c>
      <c r="D1875" s="286" t="s">
        <v>274</v>
      </c>
      <c r="E1875" s="295">
        <v>1</v>
      </c>
      <c r="F1875" s="295">
        <v>1</v>
      </c>
      <c r="G1875" s="296">
        <v>0</v>
      </c>
      <c r="H1875" s="296">
        <v>750</v>
      </c>
      <c r="I1875" s="296">
        <v>480</v>
      </c>
      <c r="J1875" s="296">
        <v>504</v>
      </c>
      <c r="K1875" s="296">
        <v>246</v>
      </c>
      <c r="L1875" s="296">
        <v>0</v>
      </c>
      <c r="M1875" s="296">
        <v>270</v>
      </c>
      <c r="N1875" s="297">
        <v>0.36</v>
      </c>
    </row>
    <row r="1876" spans="1:14" ht="18" customHeight="1">
      <c r="A1876" s="293" t="s">
        <v>3478</v>
      </c>
      <c r="B1876" s="294">
        <v>46258</v>
      </c>
      <c r="C1876" s="286" t="s">
        <v>168</v>
      </c>
      <c r="D1876" s="286" t="s">
        <v>257</v>
      </c>
      <c r="E1876" s="295">
        <v>2</v>
      </c>
      <c r="F1876" s="295">
        <v>11</v>
      </c>
      <c r="G1876" s="296">
        <v>0</v>
      </c>
      <c r="H1876" s="296">
        <v>10200</v>
      </c>
      <c r="I1876" s="296">
        <v>8470</v>
      </c>
      <c r="J1876" s="296">
        <v>8893.5</v>
      </c>
      <c r="K1876" s="296">
        <v>1306.5</v>
      </c>
      <c r="L1876" s="296">
        <v>0</v>
      </c>
      <c r="M1876" s="296">
        <v>1730</v>
      </c>
      <c r="N1876" s="297">
        <v>0.16960784313725491</v>
      </c>
    </row>
    <row r="1877" spans="1:14" ht="18" customHeight="1">
      <c r="A1877" s="293" t="s">
        <v>3479</v>
      </c>
      <c r="B1877" s="294">
        <v>46258</v>
      </c>
      <c r="C1877" s="286" t="s">
        <v>354</v>
      </c>
      <c r="D1877" s="286" t="s">
        <v>109</v>
      </c>
      <c r="E1877" s="295">
        <v>2</v>
      </c>
      <c r="F1877" s="295">
        <v>2</v>
      </c>
      <c r="G1877" s="296">
        <v>0</v>
      </c>
      <c r="H1877" s="296">
        <v>2565</v>
      </c>
      <c r="I1877" s="296">
        <v>1450</v>
      </c>
      <c r="J1877" s="296">
        <v>1522.5</v>
      </c>
      <c r="K1877" s="296">
        <v>1042.5</v>
      </c>
      <c r="L1877" s="296">
        <v>312.75</v>
      </c>
      <c r="M1877" s="296">
        <v>1115</v>
      </c>
      <c r="N1877" s="297">
        <v>0.43469785575048731</v>
      </c>
    </row>
    <row r="1878" spans="1:14" ht="18" customHeight="1">
      <c r="A1878" s="293" t="s">
        <v>3480</v>
      </c>
      <c r="B1878" s="294">
        <v>46258</v>
      </c>
      <c r="C1878" s="286" t="s">
        <v>168</v>
      </c>
      <c r="D1878" s="286" t="s">
        <v>121</v>
      </c>
      <c r="E1878" s="295">
        <v>1</v>
      </c>
      <c r="F1878" s="295">
        <v>1</v>
      </c>
      <c r="G1878" s="296">
        <v>0</v>
      </c>
      <c r="H1878" s="296">
        <v>9000</v>
      </c>
      <c r="I1878" s="296">
        <v>7820</v>
      </c>
      <c r="J1878" s="296">
        <v>8211</v>
      </c>
      <c r="K1878" s="296">
        <v>789</v>
      </c>
      <c r="L1878" s="296">
        <v>0</v>
      </c>
      <c r="M1878" s="296">
        <v>1180</v>
      </c>
      <c r="N1878" s="297">
        <v>0.13111111111111112</v>
      </c>
    </row>
    <row r="1879" spans="1:14" ht="18" customHeight="1">
      <c r="A1879" s="293" t="s">
        <v>3481</v>
      </c>
      <c r="B1879" s="294">
        <v>46258</v>
      </c>
      <c r="C1879" s="286" t="s">
        <v>168</v>
      </c>
      <c r="D1879" s="286" t="s">
        <v>199</v>
      </c>
      <c r="E1879" s="295">
        <v>1</v>
      </c>
      <c r="F1879" s="295">
        <v>1</v>
      </c>
      <c r="G1879" s="296">
        <v>0</v>
      </c>
      <c r="H1879" s="296">
        <v>4750</v>
      </c>
      <c r="I1879" s="296">
        <v>2500</v>
      </c>
      <c r="J1879" s="296">
        <v>2625</v>
      </c>
      <c r="K1879" s="296">
        <v>2125</v>
      </c>
      <c r="L1879" s="296">
        <v>0</v>
      </c>
      <c r="M1879" s="296">
        <v>2250</v>
      </c>
      <c r="N1879" s="297">
        <v>0.47368421052631576</v>
      </c>
    </row>
    <row r="1880" spans="1:14" ht="18" customHeight="1">
      <c r="A1880" s="293" t="s">
        <v>3482</v>
      </c>
      <c r="B1880" s="294">
        <v>46258</v>
      </c>
      <c r="C1880" s="286" t="s">
        <v>168</v>
      </c>
      <c r="D1880" s="286" t="s">
        <v>96</v>
      </c>
      <c r="E1880" s="295">
        <v>1</v>
      </c>
      <c r="F1880" s="295">
        <v>1</v>
      </c>
      <c r="G1880" s="296">
        <v>0</v>
      </c>
      <c r="H1880" s="296">
        <v>900</v>
      </c>
      <c r="I1880" s="296">
        <v>400</v>
      </c>
      <c r="J1880" s="296">
        <v>420</v>
      </c>
      <c r="K1880" s="296">
        <v>480</v>
      </c>
      <c r="L1880" s="296">
        <v>0</v>
      </c>
      <c r="M1880" s="296">
        <v>500</v>
      </c>
      <c r="N1880" s="297">
        <v>0.55555555555555558</v>
      </c>
    </row>
    <row r="1881" spans="1:14" ht="18" customHeight="1">
      <c r="A1881" s="293" t="s">
        <v>3483</v>
      </c>
      <c r="B1881" s="294">
        <v>46258</v>
      </c>
      <c r="C1881" s="286" t="s">
        <v>350</v>
      </c>
      <c r="D1881" s="286" t="s">
        <v>119</v>
      </c>
      <c r="E1881" s="295">
        <v>1</v>
      </c>
      <c r="F1881" s="295">
        <v>1</v>
      </c>
      <c r="G1881" s="296">
        <v>0</v>
      </c>
      <c r="H1881" s="296">
        <v>1900</v>
      </c>
      <c r="I1881" s="296">
        <v>1150</v>
      </c>
      <c r="J1881" s="296">
        <v>1207.5</v>
      </c>
      <c r="K1881" s="296">
        <v>692.5</v>
      </c>
      <c r="L1881" s="296">
        <v>207.75</v>
      </c>
      <c r="M1881" s="296">
        <v>750</v>
      </c>
      <c r="N1881" s="297">
        <v>0.39473684210526316</v>
      </c>
    </row>
    <row r="1882" spans="1:14" ht="18" customHeight="1">
      <c r="A1882" s="293" t="s">
        <v>3484</v>
      </c>
      <c r="B1882" s="294">
        <v>46258</v>
      </c>
      <c r="C1882" s="286" t="s">
        <v>168</v>
      </c>
      <c r="D1882" s="286" t="s">
        <v>124</v>
      </c>
      <c r="E1882" s="295">
        <v>1</v>
      </c>
      <c r="F1882" s="295">
        <v>2</v>
      </c>
      <c r="G1882" s="296">
        <v>0</v>
      </c>
      <c r="H1882" s="296">
        <v>1360</v>
      </c>
      <c r="I1882" s="296">
        <v>900</v>
      </c>
      <c r="J1882" s="296">
        <v>945</v>
      </c>
      <c r="K1882" s="296">
        <v>415</v>
      </c>
      <c r="L1882" s="296">
        <v>0</v>
      </c>
      <c r="M1882" s="296">
        <v>460</v>
      </c>
      <c r="N1882" s="297">
        <v>0.33823529411764708</v>
      </c>
    </row>
    <row r="1883" spans="1:14" ht="18" customHeight="1">
      <c r="A1883" s="293" t="s">
        <v>3485</v>
      </c>
      <c r="B1883" s="294">
        <v>46258</v>
      </c>
      <c r="C1883" s="286" t="s">
        <v>168</v>
      </c>
      <c r="D1883" s="286" t="s">
        <v>117</v>
      </c>
      <c r="E1883" s="295">
        <v>3</v>
      </c>
      <c r="F1883" s="295">
        <v>4</v>
      </c>
      <c r="G1883" s="296">
        <v>0</v>
      </c>
      <c r="H1883" s="296">
        <v>180</v>
      </c>
      <c r="I1883" s="296">
        <v>87</v>
      </c>
      <c r="J1883" s="296">
        <v>90.59</v>
      </c>
      <c r="K1883" s="296">
        <v>89.41</v>
      </c>
      <c r="L1883" s="296">
        <v>0</v>
      </c>
      <c r="M1883" s="296">
        <v>93</v>
      </c>
      <c r="N1883" s="297">
        <v>0.51666666666666672</v>
      </c>
    </row>
    <row r="1884" spans="1:14" ht="18" customHeight="1">
      <c r="A1884" s="293" t="s">
        <v>3486</v>
      </c>
      <c r="B1884" s="294">
        <v>46258</v>
      </c>
      <c r="C1884" s="286" t="s">
        <v>168</v>
      </c>
      <c r="D1884" s="286" t="s">
        <v>99</v>
      </c>
      <c r="E1884" s="295">
        <v>4</v>
      </c>
      <c r="F1884" s="295">
        <v>4</v>
      </c>
      <c r="G1884" s="296">
        <v>0</v>
      </c>
      <c r="H1884" s="296">
        <v>3235</v>
      </c>
      <c r="I1884" s="296">
        <v>2255</v>
      </c>
      <c r="J1884" s="296">
        <v>2364.65</v>
      </c>
      <c r="K1884" s="296">
        <v>870.35</v>
      </c>
      <c r="L1884" s="296">
        <v>0</v>
      </c>
      <c r="M1884" s="296">
        <v>980</v>
      </c>
      <c r="N1884" s="297">
        <v>0.30293663060278209</v>
      </c>
    </row>
    <row r="1885" spans="1:14" ht="18" customHeight="1">
      <c r="A1885" s="293" t="s">
        <v>3487</v>
      </c>
      <c r="B1885" s="294">
        <v>46259</v>
      </c>
      <c r="C1885" s="286" t="s">
        <v>168</v>
      </c>
      <c r="D1885" s="286" t="s">
        <v>275</v>
      </c>
      <c r="E1885" s="295">
        <v>5</v>
      </c>
      <c r="F1885" s="295">
        <v>11</v>
      </c>
      <c r="G1885" s="296">
        <v>0</v>
      </c>
      <c r="H1885" s="296">
        <v>3810</v>
      </c>
      <c r="I1885" s="296">
        <v>2618.7999999999997</v>
      </c>
      <c r="J1885" s="296">
        <v>2697.364</v>
      </c>
      <c r="K1885" s="296">
        <v>1112.636</v>
      </c>
      <c r="L1885" s="296">
        <v>0</v>
      </c>
      <c r="M1885" s="296">
        <v>1191.2000000000003</v>
      </c>
      <c r="N1885" s="297">
        <v>0.31265091863517069</v>
      </c>
    </row>
    <row r="1886" spans="1:14" ht="18" customHeight="1">
      <c r="A1886" s="293" t="s">
        <v>3488</v>
      </c>
      <c r="B1886" s="294">
        <v>46259</v>
      </c>
      <c r="C1886" s="286" t="s">
        <v>168</v>
      </c>
      <c r="D1886" s="286" t="s">
        <v>120</v>
      </c>
      <c r="E1886" s="295">
        <v>1</v>
      </c>
      <c r="F1886" s="295">
        <v>1</v>
      </c>
      <c r="G1886" s="296">
        <v>0</v>
      </c>
      <c r="H1886" s="296">
        <v>9000</v>
      </c>
      <c r="I1886" s="296">
        <v>7820</v>
      </c>
      <c r="J1886" s="296">
        <v>8211</v>
      </c>
      <c r="K1886" s="296">
        <v>789</v>
      </c>
      <c r="L1886" s="296">
        <v>0</v>
      </c>
      <c r="M1886" s="296">
        <v>1180</v>
      </c>
      <c r="N1886" s="297">
        <v>0.13111111111111112</v>
      </c>
    </row>
    <row r="1887" spans="1:14" ht="18" customHeight="1">
      <c r="A1887" s="293" t="s">
        <v>3489</v>
      </c>
      <c r="B1887" s="294">
        <v>46259</v>
      </c>
      <c r="C1887" s="286" t="s">
        <v>168</v>
      </c>
      <c r="D1887" s="286" t="s">
        <v>112</v>
      </c>
      <c r="E1887" s="295">
        <v>3</v>
      </c>
      <c r="F1887" s="295">
        <v>9</v>
      </c>
      <c r="G1887" s="296">
        <v>0</v>
      </c>
      <c r="H1887" s="296">
        <v>2080</v>
      </c>
      <c r="I1887" s="296">
        <v>1013.4</v>
      </c>
      <c r="J1887" s="296">
        <v>1064.07</v>
      </c>
      <c r="K1887" s="296">
        <v>585.92999999999995</v>
      </c>
      <c r="L1887" s="296">
        <v>0</v>
      </c>
      <c r="M1887" s="296">
        <v>1066.5999999999999</v>
      </c>
      <c r="N1887" s="297">
        <v>0.51278846153846147</v>
      </c>
    </row>
    <row r="1888" spans="1:14" ht="18" customHeight="1">
      <c r="A1888" s="293" t="s">
        <v>3490</v>
      </c>
      <c r="B1888" s="294">
        <v>46259</v>
      </c>
      <c r="C1888" s="286" t="s">
        <v>168</v>
      </c>
      <c r="D1888" s="286" t="s">
        <v>92</v>
      </c>
      <c r="E1888" s="295">
        <v>2</v>
      </c>
      <c r="F1888" s="295">
        <v>2</v>
      </c>
      <c r="G1888" s="296">
        <v>0</v>
      </c>
      <c r="H1888" s="296">
        <v>3600</v>
      </c>
      <c r="I1888" s="296">
        <v>2300</v>
      </c>
      <c r="J1888" s="296">
        <v>2415</v>
      </c>
      <c r="K1888" s="296">
        <v>1185</v>
      </c>
      <c r="L1888" s="296">
        <v>0</v>
      </c>
      <c r="M1888" s="296">
        <v>1300</v>
      </c>
      <c r="N1888" s="297">
        <v>0.3611111111111111</v>
      </c>
    </row>
    <row r="1889" spans="1:14" ht="18" customHeight="1">
      <c r="A1889" s="293" t="s">
        <v>3491</v>
      </c>
      <c r="B1889" s="294">
        <v>46259</v>
      </c>
      <c r="C1889" s="286" t="s">
        <v>354</v>
      </c>
      <c r="D1889" s="286" t="s">
        <v>109</v>
      </c>
      <c r="E1889" s="295">
        <v>3</v>
      </c>
      <c r="F1889" s="295">
        <v>3</v>
      </c>
      <c r="G1889" s="296">
        <v>0</v>
      </c>
      <c r="H1889" s="296">
        <v>5372</v>
      </c>
      <c r="I1889" s="296">
        <v>3800</v>
      </c>
      <c r="J1889" s="296">
        <v>3990</v>
      </c>
      <c r="K1889" s="296">
        <v>1382</v>
      </c>
      <c r="L1889" s="296">
        <v>414.6</v>
      </c>
      <c r="M1889" s="296">
        <v>1572</v>
      </c>
      <c r="N1889" s="297">
        <v>0.2926284437825763</v>
      </c>
    </row>
    <row r="1890" spans="1:14" ht="18" customHeight="1">
      <c r="A1890" s="293" t="s">
        <v>3492</v>
      </c>
      <c r="B1890" s="294">
        <v>46259</v>
      </c>
      <c r="C1890" s="286" t="s">
        <v>168</v>
      </c>
      <c r="D1890" s="286" t="s">
        <v>121</v>
      </c>
      <c r="E1890" s="295">
        <v>1</v>
      </c>
      <c r="F1890" s="295">
        <v>1</v>
      </c>
      <c r="G1890" s="296">
        <v>0</v>
      </c>
      <c r="H1890" s="296">
        <v>780</v>
      </c>
      <c r="I1890" s="296">
        <v>480</v>
      </c>
      <c r="J1890" s="296">
        <v>504</v>
      </c>
      <c r="K1890" s="296">
        <v>276</v>
      </c>
      <c r="L1890" s="296">
        <v>0</v>
      </c>
      <c r="M1890" s="296">
        <v>300</v>
      </c>
      <c r="N1890" s="297">
        <v>0.38461538461538464</v>
      </c>
    </row>
    <row r="1891" spans="1:14" ht="18" customHeight="1">
      <c r="A1891" s="293" t="s">
        <v>3493</v>
      </c>
      <c r="B1891" s="294">
        <v>46259</v>
      </c>
      <c r="C1891" s="286" t="s">
        <v>168</v>
      </c>
      <c r="D1891" s="286" t="s">
        <v>178</v>
      </c>
      <c r="E1891" s="295">
        <v>1</v>
      </c>
      <c r="F1891" s="295">
        <v>1</v>
      </c>
      <c r="G1891" s="296">
        <v>0</v>
      </c>
      <c r="H1891" s="296">
        <v>1786</v>
      </c>
      <c r="I1891" s="296">
        <v>950</v>
      </c>
      <c r="J1891" s="296">
        <v>997.5</v>
      </c>
      <c r="K1891" s="296">
        <v>788.5</v>
      </c>
      <c r="L1891" s="296">
        <v>0</v>
      </c>
      <c r="M1891" s="296">
        <v>836</v>
      </c>
      <c r="N1891" s="297">
        <v>0.46808510638297873</v>
      </c>
    </row>
    <row r="1892" spans="1:14" ht="18" customHeight="1">
      <c r="A1892" s="293" t="s">
        <v>3494</v>
      </c>
      <c r="B1892" s="294">
        <v>46259</v>
      </c>
      <c r="C1892" s="286" t="s">
        <v>168</v>
      </c>
      <c r="D1892" s="286" t="s">
        <v>105</v>
      </c>
      <c r="E1892" s="295">
        <v>1</v>
      </c>
      <c r="F1892" s="295">
        <v>1</v>
      </c>
      <c r="G1892" s="296">
        <v>0</v>
      </c>
      <c r="H1892" s="296">
        <v>1697</v>
      </c>
      <c r="I1892" s="296">
        <v>800</v>
      </c>
      <c r="J1892" s="296">
        <v>840</v>
      </c>
      <c r="K1892" s="296">
        <v>857</v>
      </c>
      <c r="L1892" s="296">
        <v>0</v>
      </c>
      <c r="M1892" s="296">
        <v>897</v>
      </c>
      <c r="N1892" s="297">
        <v>0.52857984678845016</v>
      </c>
    </row>
    <row r="1893" spans="1:14" ht="18" customHeight="1">
      <c r="A1893" s="293" t="s">
        <v>3495</v>
      </c>
      <c r="B1893" s="294">
        <v>46259</v>
      </c>
      <c r="C1893" s="286" t="s">
        <v>168</v>
      </c>
      <c r="D1893" s="286" t="s">
        <v>276</v>
      </c>
      <c r="E1893" s="295">
        <v>7</v>
      </c>
      <c r="F1893" s="295">
        <v>15.4</v>
      </c>
      <c r="G1893" s="296">
        <v>0</v>
      </c>
      <c r="H1893" s="296">
        <v>2650</v>
      </c>
      <c r="I1893" s="296">
        <v>1870.8000000000002</v>
      </c>
      <c r="J1893" s="296">
        <v>1930.8040000000001</v>
      </c>
      <c r="K1893" s="296">
        <v>719.1959999999998</v>
      </c>
      <c r="L1893" s="296">
        <v>0</v>
      </c>
      <c r="M1893" s="296">
        <v>779.19999999999982</v>
      </c>
      <c r="N1893" s="297">
        <v>0.29403773584905651</v>
      </c>
    </row>
    <row r="1894" spans="1:14" ht="18" customHeight="1">
      <c r="A1894" s="293" t="s">
        <v>3496</v>
      </c>
      <c r="B1894" s="294">
        <v>46259</v>
      </c>
      <c r="C1894" s="286" t="s">
        <v>358</v>
      </c>
      <c r="D1894" s="286" t="s">
        <v>98</v>
      </c>
      <c r="E1894" s="295">
        <v>1</v>
      </c>
      <c r="F1894" s="295">
        <v>2</v>
      </c>
      <c r="G1894" s="296">
        <v>0</v>
      </c>
      <c r="H1894" s="296">
        <v>900</v>
      </c>
      <c r="I1894" s="296">
        <v>360</v>
      </c>
      <c r="J1894" s="296">
        <v>378</v>
      </c>
      <c r="K1894" s="296">
        <v>522</v>
      </c>
      <c r="L1894" s="296">
        <v>156.6</v>
      </c>
      <c r="M1894" s="296">
        <v>540</v>
      </c>
      <c r="N1894" s="297">
        <v>0.6</v>
      </c>
    </row>
    <row r="1895" spans="1:14" ht="18" customHeight="1">
      <c r="A1895" s="293" t="s">
        <v>3497</v>
      </c>
      <c r="B1895" s="294">
        <v>46259</v>
      </c>
      <c r="C1895" s="286" t="s">
        <v>168</v>
      </c>
      <c r="D1895" s="286" t="s">
        <v>99</v>
      </c>
      <c r="E1895" s="295">
        <v>1</v>
      </c>
      <c r="F1895" s="295">
        <v>1</v>
      </c>
      <c r="G1895" s="296">
        <v>0</v>
      </c>
      <c r="H1895" s="296">
        <v>340</v>
      </c>
      <c r="I1895" s="296">
        <v>150</v>
      </c>
      <c r="J1895" s="296">
        <v>157.5</v>
      </c>
      <c r="K1895" s="296">
        <v>182.5</v>
      </c>
      <c r="L1895" s="296">
        <v>0</v>
      </c>
      <c r="M1895" s="296">
        <v>190</v>
      </c>
      <c r="N1895" s="297">
        <v>0.55882352941176472</v>
      </c>
    </row>
    <row r="1896" spans="1:14" ht="18" customHeight="1">
      <c r="A1896" s="293" t="s">
        <v>3498</v>
      </c>
      <c r="B1896" s="294">
        <v>46260</v>
      </c>
      <c r="C1896" s="286" t="s">
        <v>168</v>
      </c>
      <c r="D1896" s="286" t="s">
        <v>277</v>
      </c>
      <c r="E1896" s="295">
        <v>3</v>
      </c>
      <c r="F1896" s="295">
        <v>1.8</v>
      </c>
      <c r="G1896" s="296">
        <v>0</v>
      </c>
      <c r="H1896" s="296">
        <v>3885</v>
      </c>
      <c r="I1896" s="296">
        <v>2920</v>
      </c>
      <c r="J1896" s="296">
        <v>3008.44</v>
      </c>
      <c r="K1896" s="296">
        <v>876.5599999999996</v>
      </c>
      <c r="L1896" s="296">
        <v>0</v>
      </c>
      <c r="M1896" s="296">
        <v>965</v>
      </c>
      <c r="N1896" s="297">
        <v>0.2483912483912484</v>
      </c>
    </row>
    <row r="1897" spans="1:14" ht="18" customHeight="1">
      <c r="A1897" s="293" t="s">
        <v>3499</v>
      </c>
      <c r="B1897" s="294">
        <v>46260</v>
      </c>
      <c r="C1897" s="286" t="s">
        <v>348</v>
      </c>
      <c r="D1897" s="286" t="s">
        <v>247</v>
      </c>
      <c r="E1897" s="295">
        <v>2</v>
      </c>
      <c r="F1897" s="295">
        <v>2</v>
      </c>
      <c r="G1897" s="296">
        <v>0</v>
      </c>
      <c r="H1897" s="296">
        <v>2775</v>
      </c>
      <c r="I1897" s="296">
        <v>1450</v>
      </c>
      <c r="J1897" s="296">
        <v>1522.5</v>
      </c>
      <c r="K1897" s="296">
        <v>1252.5</v>
      </c>
      <c r="L1897" s="296">
        <v>375.75</v>
      </c>
      <c r="M1897" s="296">
        <v>1325</v>
      </c>
      <c r="N1897" s="297">
        <v>0.47747747747747749</v>
      </c>
    </row>
    <row r="1898" spans="1:14" ht="18" customHeight="1">
      <c r="A1898" s="293" t="s">
        <v>3500</v>
      </c>
      <c r="B1898" s="294">
        <v>46260</v>
      </c>
      <c r="C1898" s="286" t="s">
        <v>168</v>
      </c>
      <c r="D1898" s="286" t="s">
        <v>120</v>
      </c>
      <c r="E1898" s="295">
        <v>1</v>
      </c>
      <c r="F1898" s="295">
        <v>1</v>
      </c>
      <c r="G1898" s="296">
        <v>0</v>
      </c>
      <c r="H1898" s="296">
        <v>2000</v>
      </c>
      <c r="I1898" s="296">
        <v>1350</v>
      </c>
      <c r="J1898" s="296">
        <v>1417.5</v>
      </c>
      <c r="K1898" s="296">
        <v>582.5</v>
      </c>
      <c r="L1898" s="296">
        <v>0</v>
      </c>
      <c r="M1898" s="296">
        <v>650</v>
      </c>
      <c r="N1898" s="297">
        <v>0.32500000000000001</v>
      </c>
    </row>
    <row r="1899" spans="1:14" ht="18" customHeight="1">
      <c r="A1899" s="293" t="s">
        <v>3501</v>
      </c>
      <c r="B1899" s="294">
        <v>46260</v>
      </c>
      <c r="C1899" s="286" t="s">
        <v>168</v>
      </c>
      <c r="D1899" s="286" t="s">
        <v>278</v>
      </c>
      <c r="E1899" s="295">
        <v>1</v>
      </c>
      <c r="F1899" s="295">
        <v>1</v>
      </c>
      <c r="G1899" s="296">
        <v>0</v>
      </c>
      <c r="H1899" s="296">
        <v>4000</v>
      </c>
      <c r="I1899" s="296">
        <v>2178</v>
      </c>
      <c r="J1899" s="296">
        <v>2286.9</v>
      </c>
      <c r="K1899" s="296">
        <v>1713.1</v>
      </c>
      <c r="L1899" s="296">
        <v>0</v>
      </c>
      <c r="M1899" s="296">
        <v>1822</v>
      </c>
      <c r="N1899" s="297">
        <v>0.45550000000000002</v>
      </c>
    </row>
    <row r="1900" spans="1:14" ht="18" customHeight="1">
      <c r="A1900" s="293" t="s">
        <v>3502</v>
      </c>
      <c r="B1900" s="294">
        <v>46260</v>
      </c>
      <c r="C1900" s="286" t="s">
        <v>168</v>
      </c>
      <c r="D1900" s="286" t="s">
        <v>92</v>
      </c>
      <c r="E1900" s="295">
        <v>3</v>
      </c>
      <c r="F1900" s="295">
        <v>3</v>
      </c>
      <c r="G1900" s="296">
        <v>0</v>
      </c>
      <c r="H1900" s="296">
        <v>4730</v>
      </c>
      <c r="I1900" s="296">
        <v>3300</v>
      </c>
      <c r="J1900" s="296">
        <v>3465</v>
      </c>
      <c r="K1900" s="296">
        <v>1265</v>
      </c>
      <c r="L1900" s="296">
        <v>0</v>
      </c>
      <c r="M1900" s="296">
        <v>1430</v>
      </c>
      <c r="N1900" s="297">
        <v>0.30232558139534882</v>
      </c>
    </row>
    <row r="1901" spans="1:14" ht="18" customHeight="1">
      <c r="A1901" s="293" t="s">
        <v>3503</v>
      </c>
      <c r="B1901" s="294">
        <v>46260</v>
      </c>
      <c r="C1901" s="286" t="s">
        <v>353</v>
      </c>
      <c r="D1901" s="286" t="s">
        <v>94</v>
      </c>
      <c r="E1901" s="295">
        <v>1</v>
      </c>
      <c r="F1901" s="295">
        <v>2</v>
      </c>
      <c r="G1901" s="296">
        <v>0</v>
      </c>
      <c r="H1901" s="296">
        <v>1400</v>
      </c>
      <c r="I1901" s="296">
        <v>700</v>
      </c>
      <c r="J1901" s="296">
        <v>735</v>
      </c>
      <c r="K1901" s="296">
        <v>665</v>
      </c>
      <c r="L1901" s="296">
        <v>199.5</v>
      </c>
      <c r="M1901" s="296">
        <v>700</v>
      </c>
      <c r="N1901" s="297">
        <v>0.5</v>
      </c>
    </row>
    <row r="1902" spans="1:14" ht="18" customHeight="1">
      <c r="A1902" s="293" t="s">
        <v>3504</v>
      </c>
      <c r="B1902" s="294">
        <v>46260</v>
      </c>
      <c r="C1902" s="286" t="s">
        <v>168</v>
      </c>
      <c r="D1902" s="286" t="s">
        <v>96</v>
      </c>
      <c r="E1902" s="295">
        <v>1</v>
      </c>
      <c r="F1902" s="295">
        <v>1</v>
      </c>
      <c r="G1902" s="296">
        <v>0</v>
      </c>
      <c r="H1902" s="296">
        <v>950</v>
      </c>
      <c r="I1902" s="296">
        <v>350</v>
      </c>
      <c r="J1902" s="296">
        <v>367.5</v>
      </c>
      <c r="K1902" s="296">
        <v>582.5</v>
      </c>
      <c r="L1902" s="296">
        <v>0</v>
      </c>
      <c r="M1902" s="296">
        <v>600</v>
      </c>
      <c r="N1902" s="297">
        <v>0.63157894736842102</v>
      </c>
    </row>
    <row r="1903" spans="1:14" ht="18" customHeight="1">
      <c r="A1903" s="293" t="s">
        <v>3505</v>
      </c>
      <c r="B1903" s="294">
        <v>46260</v>
      </c>
      <c r="C1903" s="286" t="s">
        <v>168</v>
      </c>
      <c r="D1903" s="286" t="s">
        <v>132</v>
      </c>
      <c r="E1903" s="295">
        <v>3</v>
      </c>
      <c r="F1903" s="295">
        <v>9</v>
      </c>
      <c r="G1903" s="296">
        <v>0</v>
      </c>
      <c r="H1903" s="296">
        <v>1010</v>
      </c>
      <c r="I1903" s="296">
        <v>377.6</v>
      </c>
      <c r="J1903" s="296">
        <v>388.928</v>
      </c>
      <c r="K1903" s="296">
        <v>191.07199999999997</v>
      </c>
      <c r="L1903" s="296">
        <v>0</v>
      </c>
      <c r="M1903" s="296">
        <v>632.4</v>
      </c>
      <c r="N1903" s="297">
        <v>0.62613861386138614</v>
      </c>
    </row>
    <row r="1904" spans="1:14" ht="18" customHeight="1">
      <c r="A1904" s="293" t="s">
        <v>3506</v>
      </c>
      <c r="B1904" s="294">
        <v>46260</v>
      </c>
      <c r="C1904" s="286" t="s">
        <v>168</v>
      </c>
      <c r="D1904" s="286" t="s">
        <v>138</v>
      </c>
      <c r="E1904" s="295">
        <v>1</v>
      </c>
      <c r="F1904" s="295">
        <v>1</v>
      </c>
      <c r="G1904" s="296">
        <v>0</v>
      </c>
      <c r="H1904" s="296">
        <v>750</v>
      </c>
      <c r="I1904" s="296">
        <v>480</v>
      </c>
      <c r="J1904" s="296">
        <v>504</v>
      </c>
      <c r="K1904" s="296">
        <v>246</v>
      </c>
      <c r="L1904" s="296">
        <v>0</v>
      </c>
      <c r="M1904" s="296">
        <v>270</v>
      </c>
      <c r="N1904" s="297">
        <v>0.36</v>
      </c>
    </row>
    <row r="1905" spans="1:14" ht="18" customHeight="1">
      <c r="A1905" s="293" t="s">
        <v>3507</v>
      </c>
      <c r="B1905" s="294">
        <v>46261</v>
      </c>
      <c r="C1905" s="286" t="s">
        <v>168</v>
      </c>
      <c r="D1905" s="286" t="s">
        <v>277</v>
      </c>
      <c r="E1905" s="295">
        <v>2</v>
      </c>
      <c r="F1905" s="295">
        <v>4.2</v>
      </c>
      <c r="G1905" s="296">
        <v>0</v>
      </c>
      <c r="H1905" s="296">
        <v>1470</v>
      </c>
      <c r="I1905" s="296">
        <v>1130.2</v>
      </c>
      <c r="J1905" s="296">
        <v>1164.1060000000002</v>
      </c>
      <c r="K1905" s="296">
        <v>305.89399999999989</v>
      </c>
      <c r="L1905" s="296">
        <v>0</v>
      </c>
      <c r="M1905" s="296">
        <v>339.79999999999995</v>
      </c>
      <c r="N1905" s="297">
        <v>0.23115646258503397</v>
      </c>
    </row>
    <row r="1906" spans="1:14" ht="18" customHeight="1">
      <c r="A1906" s="293" t="s">
        <v>3508</v>
      </c>
      <c r="B1906" s="294">
        <v>46261</v>
      </c>
      <c r="C1906" s="286" t="s">
        <v>3773</v>
      </c>
      <c r="D1906" s="286" t="s">
        <v>100</v>
      </c>
      <c r="E1906" s="295">
        <v>2</v>
      </c>
      <c r="F1906" s="295">
        <v>2.2000000000000002</v>
      </c>
      <c r="G1906" s="296">
        <v>0</v>
      </c>
      <c r="H1906" s="296">
        <v>580</v>
      </c>
      <c r="I1906" s="296">
        <v>357.6</v>
      </c>
      <c r="J1906" s="296">
        <v>368.68400000000003</v>
      </c>
      <c r="K1906" s="296">
        <v>211.31599999999997</v>
      </c>
      <c r="L1906" s="296">
        <v>63.394799999999989</v>
      </c>
      <c r="M1906" s="296">
        <v>222.39999999999998</v>
      </c>
      <c r="N1906" s="297">
        <v>0.38344827586206892</v>
      </c>
    </row>
    <row r="1907" spans="1:14" ht="18" customHeight="1">
      <c r="A1907" s="293" t="s">
        <v>3509</v>
      </c>
      <c r="B1907" s="294">
        <v>46261</v>
      </c>
      <c r="C1907" s="286" t="s">
        <v>353</v>
      </c>
      <c r="D1907" s="286" t="s">
        <v>103</v>
      </c>
      <c r="E1907" s="295">
        <v>4</v>
      </c>
      <c r="F1907" s="295">
        <v>6</v>
      </c>
      <c r="G1907" s="296">
        <v>0</v>
      </c>
      <c r="H1907" s="296">
        <v>5468</v>
      </c>
      <c r="I1907" s="296">
        <v>3320</v>
      </c>
      <c r="J1907" s="296">
        <v>3486</v>
      </c>
      <c r="K1907" s="296">
        <v>1982</v>
      </c>
      <c r="L1907" s="296">
        <v>594.59999999999991</v>
      </c>
      <c r="M1907" s="296">
        <v>2148</v>
      </c>
      <c r="N1907" s="297">
        <v>0.39283101682516458</v>
      </c>
    </row>
    <row r="1908" spans="1:14" ht="18" customHeight="1">
      <c r="A1908" s="293" t="s">
        <v>3510</v>
      </c>
      <c r="B1908" s="294">
        <v>46261</v>
      </c>
      <c r="C1908" s="286" t="s">
        <v>168</v>
      </c>
      <c r="D1908" s="286" t="s">
        <v>124</v>
      </c>
      <c r="E1908" s="295">
        <v>5</v>
      </c>
      <c r="F1908" s="295">
        <v>7</v>
      </c>
      <c r="G1908" s="296">
        <v>0</v>
      </c>
      <c r="H1908" s="296">
        <v>4205</v>
      </c>
      <c r="I1908" s="296">
        <v>2856</v>
      </c>
      <c r="J1908" s="296">
        <v>2998.8</v>
      </c>
      <c r="K1908" s="296">
        <v>1206.2</v>
      </c>
      <c r="L1908" s="296">
        <v>0</v>
      </c>
      <c r="M1908" s="296">
        <v>1349</v>
      </c>
      <c r="N1908" s="297">
        <v>0.32080856123662305</v>
      </c>
    </row>
    <row r="1909" spans="1:14" ht="18" customHeight="1">
      <c r="A1909" s="293" t="s">
        <v>3511</v>
      </c>
      <c r="B1909" s="294">
        <v>46261</v>
      </c>
      <c r="C1909" s="286" t="s">
        <v>168</v>
      </c>
      <c r="D1909" s="286" t="s">
        <v>99</v>
      </c>
      <c r="E1909" s="295">
        <v>4</v>
      </c>
      <c r="F1909" s="295">
        <v>5</v>
      </c>
      <c r="G1909" s="296">
        <v>0</v>
      </c>
      <c r="H1909" s="296">
        <v>1990</v>
      </c>
      <c r="I1909" s="296">
        <v>1206</v>
      </c>
      <c r="J1909" s="296">
        <v>1265.9199999999998</v>
      </c>
      <c r="K1909" s="296">
        <v>724.08</v>
      </c>
      <c r="L1909" s="296">
        <v>0</v>
      </c>
      <c r="M1909" s="296">
        <v>784</v>
      </c>
      <c r="N1909" s="297">
        <v>0.39396984924623113</v>
      </c>
    </row>
    <row r="1910" spans="1:14" ht="18" customHeight="1">
      <c r="A1910" s="293" t="s">
        <v>3512</v>
      </c>
      <c r="B1910" s="294">
        <v>46261</v>
      </c>
      <c r="C1910" s="286" t="s">
        <v>168</v>
      </c>
      <c r="D1910" s="286" t="s">
        <v>239</v>
      </c>
      <c r="E1910" s="295">
        <v>1</v>
      </c>
      <c r="F1910" s="295">
        <v>1</v>
      </c>
      <c r="G1910" s="296">
        <v>0</v>
      </c>
      <c r="H1910" s="296">
        <v>750</v>
      </c>
      <c r="I1910" s="296">
        <v>480</v>
      </c>
      <c r="J1910" s="296">
        <v>504</v>
      </c>
      <c r="K1910" s="296">
        <v>246</v>
      </c>
      <c r="L1910" s="296">
        <v>0</v>
      </c>
      <c r="M1910" s="296">
        <v>270</v>
      </c>
      <c r="N1910" s="297">
        <v>0.36</v>
      </c>
    </row>
    <row r="1911" spans="1:14" ht="18" customHeight="1">
      <c r="A1911" s="293" t="s">
        <v>3513</v>
      </c>
      <c r="B1911" s="294">
        <v>46262</v>
      </c>
      <c r="C1911" s="286" t="s">
        <v>348</v>
      </c>
      <c r="D1911" s="286" t="s">
        <v>247</v>
      </c>
      <c r="E1911" s="295">
        <v>1</v>
      </c>
      <c r="F1911" s="295">
        <v>1</v>
      </c>
      <c r="G1911" s="296">
        <v>0</v>
      </c>
      <c r="H1911" s="296">
        <v>2000</v>
      </c>
      <c r="I1911" s="296">
        <v>950</v>
      </c>
      <c r="J1911" s="296">
        <v>997.5</v>
      </c>
      <c r="K1911" s="296">
        <v>1002.5</v>
      </c>
      <c r="L1911" s="296">
        <v>300.75</v>
      </c>
      <c r="M1911" s="296">
        <v>1050</v>
      </c>
      <c r="N1911" s="297">
        <v>0.52500000000000002</v>
      </c>
    </row>
    <row r="1912" spans="1:14" ht="18" customHeight="1">
      <c r="A1912" s="293" t="s">
        <v>3514</v>
      </c>
      <c r="B1912" s="294">
        <v>46262</v>
      </c>
      <c r="C1912" s="286" t="s">
        <v>168</v>
      </c>
      <c r="D1912" s="286" t="s">
        <v>184</v>
      </c>
      <c r="E1912" s="295">
        <v>7</v>
      </c>
      <c r="F1912" s="295">
        <v>22</v>
      </c>
      <c r="G1912" s="296">
        <v>0</v>
      </c>
      <c r="H1912" s="296">
        <v>6920</v>
      </c>
      <c r="I1912" s="296">
        <v>5572.8</v>
      </c>
      <c r="J1912" s="296">
        <v>5739.9839999999995</v>
      </c>
      <c r="K1912" s="296">
        <v>1180.0159999999998</v>
      </c>
      <c r="L1912" s="296">
        <v>0</v>
      </c>
      <c r="M1912" s="296">
        <v>1347.1999999999998</v>
      </c>
      <c r="N1912" s="297">
        <v>0.19468208092485548</v>
      </c>
    </row>
    <row r="1913" spans="1:14" ht="18" customHeight="1">
      <c r="A1913" s="293" t="s">
        <v>3515</v>
      </c>
      <c r="B1913" s="294">
        <v>46262</v>
      </c>
      <c r="C1913" s="286" t="s">
        <v>354</v>
      </c>
      <c r="D1913" s="286" t="s">
        <v>109</v>
      </c>
      <c r="E1913" s="295">
        <v>1</v>
      </c>
      <c r="F1913" s="295">
        <v>1</v>
      </c>
      <c r="G1913" s="296">
        <v>0</v>
      </c>
      <c r="H1913" s="296">
        <v>2000</v>
      </c>
      <c r="I1913" s="296">
        <v>1350</v>
      </c>
      <c r="J1913" s="296">
        <v>1417.5</v>
      </c>
      <c r="K1913" s="296">
        <v>582.5</v>
      </c>
      <c r="L1913" s="296">
        <v>174.75</v>
      </c>
      <c r="M1913" s="296">
        <v>650</v>
      </c>
      <c r="N1913" s="297">
        <v>0.32500000000000001</v>
      </c>
    </row>
    <row r="1914" spans="1:14" ht="18" customHeight="1">
      <c r="A1914" s="293" t="s">
        <v>3516</v>
      </c>
      <c r="B1914" s="294">
        <v>46262</v>
      </c>
      <c r="C1914" s="286" t="s">
        <v>353</v>
      </c>
      <c r="D1914" s="286" t="s">
        <v>174</v>
      </c>
      <c r="E1914" s="295">
        <v>1</v>
      </c>
      <c r="F1914" s="295">
        <v>1</v>
      </c>
      <c r="G1914" s="296">
        <v>0</v>
      </c>
      <c r="H1914" s="296">
        <v>2000</v>
      </c>
      <c r="I1914" s="296">
        <v>1400</v>
      </c>
      <c r="J1914" s="296">
        <v>1470</v>
      </c>
      <c r="K1914" s="296">
        <v>530</v>
      </c>
      <c r="L1914" s="296">
        <v>159</v>
      </c>
      <c r="M1914" s="296">
        <v>600</v>
      </c>
      <c r="N1914" s="297">
        <v>0.3</v>
      </c>
    </row>
    <row r="1915" spans="1:14" ht="18" customHeight="1">
      <c r="A1915" s="293" t="s">
        <v>3517</v>
      </c>
      <c r="B1915" s="294">
        <v>46262</v>
      </c>
      <c r="C1915" s="286" t="s">
        <v>168</v>
      </c>
      <c r="D1915" s="286" t="s">
        <v>99</v>
      </c>
      <c r="E1915" s="295">
        <v>3</v>
      </c>
      <c r="F1915" s="295">
        <v>3</v>
      </c>
      <c r="G1915" s="296">
        <v>0</v>
      </c>
      <c r="H1915" s="296">
        <v>9120</v>
      </c>
      <c r="I1915" s="296">
        <v>7877</v>
      </c>
      <c r="J1915" s="296">
        <v>8270.85</v>
      </c>
      <c r="K1915" s="296">
        <v>849.15</v>
      </c>
      <c r="L1915" s="296">
        <v>0</v>
      </c>
      <c r="M1915" s="296">
        <v>1243</v>
      </c>
      <c r="N1915" s="297">
        <v>0.1362938596491228</v>
      </c>
    </row>
    <row r="1916" spans="1:14" ht="18" customHeight="1">
      <c r="A1916" s="293" t="s">
        <v>3518</v>
      </c>
      <c r="B1916" s="294">
        <v>46263</v>
      </c>
      <c r="C1916" s="286" t="s">
        <v>3773</v>
      </c>
      <c r="D1916" s="286" t="s">
        <v>102</v>
      </c>
      <c r="E1916" s="295">
        <v>2</v>
      </c>
      <c r="F1916" s="295">
        <v>3</v>
      </c>
      <c r="G1916" s="296">
        <v>0</v>
      </c>
      <c r="H1916" s="296">
        <v>1660</v>
      </c>
      <c r="I1916" s="296">
        <v>840</v>
      </c>
      <c r="J1916" s="296">
        <v>882</v>
      </c>
      <c r="K1916" s="296">
        <v>778</v>
      </c>
      <c r="L1916" s="296">
        <v>233.39999999999998</v>
      </c>
      <c r="M1916" s="296">
        <v>820</v>
      </c>
      <c r="N1916" s="297">
        <v>0.49397590361445781</v>
      </c>
    </row>
    <row r="1917" spans="1:14" ht="18" customHeight="1">
      <c r="A1917" s="293" t="s">
        <v>3519</v>
      </c>
      <c r="B1917" s="294">
        <v>46263</v>
      </c>
      <c r="C1917" s="286" t="s">
        <v>354</v>
      </c>
      <c r="D1917" s="286" t="s">
        <v>109</v>
      </c>
      <c r="E1917" s="295">
        <v>2</v>
      </c>
      <c r="F1917" s="295">
        <v>2</v>
      </c>
      <c r="G1917" s="296">
        <v>0</v>
      </c>
      <c r="H1917" s="296">
        <v>2680</v>
      </c>
      <c r="I1917" s="296">
        <v>1800</v>
      </c>
      <c r="J1917" s="296">
        <v>1890</v>
      </c>
      <c r="K1917" s="296">
        <v>790</v>
      </c>
      <c r="L1917" s="296">
        <v>237</v>
      </c>
      <c r="M1917" s="296">
        <v>880</v>
      </c>
      <c r="N1917" s="297">
        <v>0.32835820895522388</v>
      </c>
    </row>
    <row r="1918" spans="1:14" ht="18" customHeight="1">
      <c r="A1918" s="293" t="s">
        <v>3520</v>
      </c>
      <c r="B1918" s="294">
        <v>46263</v>
      </c>
      <c r="C1918" s="286" t="s">
        <v>168</v>
      </c>
      <c r="D1918" s="286" t="s">
        <v>142</v>
      </c>
      <c r="E1918" s="295">
        <v>1</v>
      </c>
      <c r="F1918" s="295">
        <v>1</v>
      </c>
      <c r="G1918" s="296">
        <v>0</v>
      </c>
      <c r="H1918" s="296">
        <v>1900</v>
      </c>
      <c r="I1918" s="296">
        <v>1350</v>
      </c>
      <c r="J1918" s="296">
        <v>1417.5</v>
      </c>
      <c r="K1918" s="296">
        <v>482.5</v>
      </c>
      <c r="L1918" s="296">
        <v>0</v>
      </c>
      <c r="M1918" s="296">
        <v>550</v>
      </c>
      <c r="N1918" s="297">
        <v>0.28947368421052633</v>
      </c>
    </row>
    <row r="1919" spans="1:14" ht="18" customHeight="1">
      <c r="A1919" s="293" t="s">
        <v>3521</v>
      </c>
      <c r="B1919" s="294">
        <v>46263</v>
      </c>
      <c r="C1919" s="286" t="s">
        <v>168</v>
      </c>
      <c r="D1919" s="286" t="s">
        <v>279</v>
      </c>
      <c r="E1919" s="295">
        <v>5</v>
      </c>
      <c r="F1919" s="295">
        <v>24</v>
      </c>
      <c r="G1919" s="296">
        <v>0</v>
      </c>
      <c r="H1919" s="296">
        <v>2970</v>
      </c>
      <c r="I1919" s="296">
        <v>1802</v>
      </c>
      <c r="J1919" s="296">
        <v>1892.1</v>
      </c>
      <c r="K1919" s="296">
        <v>1077.9000000000001</v>
      </c>
      <c r="L1919" s="296">
        <v>0</v>
      </c>
      <c r="M1919" s="296">
        <v>1168</v>
      </c>
      <c r="N1919" s="297">
        <v>0.39326599326599326</v>
      </c>
    </row>
    <row r="1920" spans="1:14" ht="18" customHeight="1">
      <c r="A1920" s="293" t="s">
        <v>3522</v>
      </c>
      <c r="B1920" s="294">
        <v>46263</v>
      </c>
      <c r="C1920" s="286" t="s">
        <v>168</v>
      </c>
      <c r="D1920" s="286" t="s">
        <v>99</v>
      </c>
      <c r="E1920" s="295">
        <v>4</v>
      </c>
      <c r="F1920" s="295">
        <v>13</v>
      </c>
      <c r="G1920" s="296">
        <v>0</v>
      </c>
      <c r="H1920" s="296">
        <v>500</v>
      </c>
      <c r="I1920" s="296">
        <v>222.05</v>
      </c>
      <c r="J1920" s="296">
        <v>229.61649999999997</v>
      </c>
      <c r="K1920" s="296">
        <v>270.38350000000003</v>
      </c>
      <c r="L1920" s="296">
        <v>0</v>
      </c>
      <c r="M1920" s="296">
        <v>277.95</v>
      </c>
      <c r="N1920" s="297">
        <v>0.55589999999999995</v>
      </c>
    </row>
    <row r="1921" spans="1:14" ht="18" customHeight="1">
      <c r="A1921" s="293" t="s">
        <v>3523</v>
      </c>
      <c r="B1921" s="294">
        <v>46265</v>
      </c>
      <c r="C1921" s="286" t="s">
        <v>168</v>
      </c>
      <c r="D1921" s="286" t="s">
        <v>277</v>
      </c>
      <c r="E1921" s="295">
        <v>1</v>
      </c>
      <c r="F1921" s="295">
        <v>1</v>
      </c>
      <c r="G1921" s="296">
        <v>0</v>
      </c>
      <c r="H1921" s="296">
        <v>7500</v>
      </c>
      <c r="I1921" s="296">
        <v>6441</v>
      </c>
      <c r="J1921" s="296">
        <v>6763.05</v>
      </c>
      <c r="K1921" s="296">
        <v>736.94999999999982</v>
      </c>
      <c r="L1921" s="296">
        <v>0</v>
      </c>
      <c r="M1921" s="296">
        <v>1059</v>
      </c>
      <c r="N1921" s="297">
        <v>0.14119999999999999</v>
      </c>
    </row>
    <row r="1922" spans="1:14" ht="18" customHeight="1">
      <c r="A1922" s="293" t="s">
        <v>3524</v>
      </c>
      <c r="B1922" s="294">
        <v>46265</v>
      </c>
      <c r="C1922" s="286" t="s">
        <v>168</v>
      </c>
      <c r="D1922" s="286" t="s">
        <v>196</v>
      </c>
      <c r="E1922" s="295">
        <v>1</v>
      </c>
      <c r="F1922" s="295">
        <v>1</v>
      </c>
      <c r="G1922" s="296">
        <v>0</v>
      </c>
      <c r="H1922" s="296">
        <v>500</v>
      </c>
      <c r="I1922" s="296">
        <v>260</v>
      </c>
      <c r="J1922" s="296">
        <v>273</v>
      </c>
      <c r="K1922" s="296">
        <v>227</v>
      </c>
      <c r="L1922" s="296">
        <v>0</v>
      </c>
      <c r="M1922" s="296">
        <v>240</v>
      </c>
      <c r="N1922" s="297">
        <v>0.48</v>
      </c>
    </row>
    <row r="1923" spans="1:14" ht="18" customHeight="1">
      <c r="A1923" s="293" t="s">
        <v>3525</v>
      </c>
      <c r="B1923" s="294">
        <v>46265</v>
      </c>
      <c r="C1923" s="286" t="s">
        <v>348</v>
      </c>
      <c r="D1923" s="286" t="s">
        <v>247</v>
      </c>
      <c r="E1923" s="295">
        <v>1</v>
      </c>
      <c r="F1923" s="295">
        <v>1</v>
      </c>
      <c r="G1923" s="296">
        <v>0</v>
      </c>
      <c r="H1923" s="296">
        <v>1800</v>
      </c>
      <c r="I1923" s="296">
        <v>1100</v>
      </c>
      <c r="J1923" s="296">
        <v>1155</v>
      </c>
      <c r="K1923" s="296">
        <v>645</v>
      </c>
      <c r="L1923" s="296">
        <v>193.5</v>
      </c>
      <c r="M1923" s="296">
        <v>700</v>
      </c>
      <c r="N1923" s="297">
        <v>0.3888888888888889</v>
      </c>
    </row>
    <row r="1924" spans="1:14" ht="18" customHeight="1">
      <c r="A1924" s="293" t="s">
        <v>3526</v>
      </c>
      <c r="B1924" s="294">
        <v>46265</v>
      </c>
      <c r="C1924" s="286" t="s">
        <v>3773</v>
      </c>
      <c r="D1924" s="286" t="s">
        <v>126</v>
      </c>
      <c r="E1924" s="295">
        <v>1</v>
      </c>
      <c r="F1924" s="295">
        <v>2</v>
      </c>
      <c r="G1924" s="296">
        <v>0</v>
      </c>
      <c r="H1924" s="296">
        <v>1200</v>
      </c>
      <c r="I1924" s="296">
        <v>680</v>
      </c>
      <c r="J1924" s="296">
        <v>714</v>
      </c>
      <c r="K1924" s="296">
        <v>486</v>
      </c>
      <c r="L1924" s="296">
        <v>145.79999999999998</v>
      </c>
      <c r="M1924" s="296">
        <v>520</v>
      </c>
      <c r="N1924" s="297">
        <v>0.43333333333333335</v>
      </c>
    </row>
    <row r="1925" spans="1:14" ht="18" customHeight="1">
      <c r="A1925" s="293" t="s">
        <v>3527</v>
      </c>
      <c r="B1925" s="294">
        <v>46265</v>
      </c>
      <c r="C1925" s="286" t="s">
        <v>168</v>
      </c>
      <c r="D1925" s="286" t="s">
        <v>96</v>
      </c>
      <c r="E1925" s="295">
        <v>2</v>
      </c>
      <c r="F1925" s="295">
        <v>3</v>
      </c>
      <c r="G1925" s="296">
        <v>0</v>
      </c>
      <c r="H1925" s="296">
        <v>440</v>
      </c>
      <c r="I1925" s="296">
        <v>152</v>
      </c>
      <c r="J1925" s="296">
        <v>159.6</v>
      </c>
      <c r="K1925" s="296">
        <v>280.39999999999998</v>
      </c>
      <c r="L1925" s="296">
        <v>0</v>
      </c>
      <c r="M1925" s="296">
        <v>288</v>
      </c>
      <c r="N1925" s="297">
        <v>0.65454545454545454</v>
      </c>
    </row>
    <row r="1926" spans="1:14" ht="18" customHeight="1">
      <c r="A1926" s="293" t="s">
        <v>3528</v>
      </c>
      <c r="B1926" s="294">
        <v>46265</v>
      </c>
      <c r="C1926" s="286" t="s">
        <v>168</v>
      </c>
      <c r="D1926" s="286" t="s">
        <v>280</v>
      </c>
      <c r="E1926" s="295">
        <v>4</v>
      </c>
      <c r="F1926" s="295">
        <v>9</v>
      </c>
      <c r="G1926" s="296">
        <v>0</v>
      </c>
      <c r="H1926" s="296">
        <v>385</v>
      </c>
      <c r="I1926" s="296">
        <v>197.25</v>
      </c>
      <c r="J1926" s="296">
        <v>204.2355</v>
      </c>
      <c r="K1926" s="296">
        <v>180.7645</v>
      </c>
      <c r="L1926" s="296">
        <v>0</v>
      </c>
      <c r="M1926" s="296">
        <v>187.75</v>
      </c>
      <c r="N1926" s="297">
        <v>0.48766233766233769</v>
      </c>
    </row>
    <row r="1927" spans="1:14" ht="18" customHeight="1">
      <c r="A1927" s="293" t="s">
        <v>3529</v>
      </c>
      <c r="B1927" s="294">
        <v>46265</v>
      </c>
      <c r="C1927" s="286" t="s">
        <v>168</v>
      </c>
      <c r="D1927" s="286" t="s">
        <v>115</v>
      </c>
      <c r="E1927" s="295">
        <v>1</v>
      </c>
      <c r="F1927" s="295">
        <v>1</v>
      </c>
      <c r="G1927" s="296">
        <v>0</v>
      </c>
      <c r="H1927" s="296">
        <v>2100</v>
      </c>
      <c r="I1927" s="296">
        <v>1400</v>
      </c>
      <c r="J1927" s="296">
        <v>1470</v>
      </c>
      <c r="K1927" s="296">
        <v>630</v>
      </c>
      <c r="L1927" s="296">
        <v>0</v>
      </c>
      <c r="M1927" s="296">
        <v>700</v>
      </c>
      <c r="N1927" s="297">
        <v>0.33333333333333331</v>
      </c>
    </row>
    <row r="1928" spans="1:14" ht="18" customHeight="1">
      <c r="A1928" s="293" t="s">
        <v>3530</v>
      </c>
      <c r="B1928" s="294">
        <v>46265</v>
      </c>
      <c r="C1928" s="286" t="s">
        <v>168</v>
      </c>
      <c r="D1928" s="286" t="s">
        <v>124</v>
      </c>
      <c r="E1928" s="295">
        <v>2</v>
      </c>
      <c r="F1928" s="295">
        <v>2</v>
      </c>
      <c r="G1928" s="296">
        <v>0</v>
      </c>
      <c r="H1928" s="296">
        <v>4080</v>
      </c>
      <c r="I1928" s="296">
        <v>2950</v>
      </c>
      <c r="J1928" s="296">
        <v>3097.5</v>
      </c>
      <c r="K1928" s="296">
        <v>982.5</v>
      </c>
      <c r="L1928" s="296">
        <v>0</v>
      </c>
      <c r="M1928" s="296">
        <v>1130</v>
      </c>
      <c r="N1928" s="297">
        <v>0.27696078431372551</v>
      </c>
    </row>
    <row r="1929" spans="1:14" ht="18" customHeight="1">
      <c r="A1929" s="293" t="s">
        <v>3531</v>
      </c>
      <c r="B1929" s="294">
        <v>46266</v>
      </c>
      <c r="C1929" s="286" t="s">
        <v>348</v>
      </c>
      <c r="D1929" s="286" t="s">
        <v>247</v>
      </c>
      <c r="E1929" s="295">
        <v>1</v>
      </c>
      <c r="F1929" s="295">
        <v>2</v>
      </c>
      <c r="G1929" s="296">
        <v>0</v>
      </c>
      <c r="H1929" s="296">
        <v>1360</v>
      </c>
      <c r="I1929" s="296">
        <v>900</v>
      </c>
      <c r="J1929" s="296">
        <v>945</v>
      </c>
      <c r="K1929" s="296">
        <v>415</v>
      </c>
      <c r="L1929" s="296">
        <v>124.5</v>
      </c>
      <c r="M1929" s="296">
        <v>460</v>
      </c>
      <c r="N1929" s="297">
        <v>0.33823529411764708</v>
      </c>
    </row>
    <row r="1930" spans="1:14" ht="18" customHeight="1">
      <c r="A1930" s="293" t="s">
        <v>3532</v>
      </c>
      <c r="B1930" s="294">
        <v>46266</v>
      </c>
      <c r="C1930" s="286" t="s">
        <v>3773</v>
      </c>
      <c r="D1930" s="286" t="s">
        <v>102</v>
      </c>
      <c r="E1930" s="295">
        <v>1</v>
      </c>
      <c r="F1930" s="295">
        <v>1</v>
      </c>
      <c r="G1930" s="296">
        <v>0</v>
      </c>
      <c r="H1930" s="296">
        <v>2200</v>
      </c>
      <c r="I1930" s="296">
        <v>1650</v>
      </c>
      <c r="J1930" s="296">
        <v>1732.5</v>
      </c>
      <c r="K1930" s="296">
        <v>467.5</v>
      </c>
      <c r="L1930" s="296">
        <v>140.25</v>
      </c>
      <c r="M1930" s="296">
        <v>550</v>
      </c>
      <c r="N1930" s="297">
        <v>0.25</v>
      </c>
    </row>
    <row r="1931" spans="1:14" ht="18" customHeight="1">
      <c r="A1931" s="293" t="s">
        <v>3533</v>
      </c>
      <c r="B1931" s="294">
        <v>46266</v>
      </c>
      <c r="C1931" s="286" t="s">
        <v>354</v>
      </c>
      <c r="D1931" s="286" t="s">
        <v>109</v>
      </c>
      <c r="E1931" s="295">
        <v>1</v>
      </c>
      <c r="F1931" s="295">
        <v>1</v>
      </c>
      <c r="G1931" s="296">
        <v>0</v>
      </c>
      <c r="H1931" s="296">
        <v>1429</v>
      </c>
      <c r="I1931" s="296">
        <v>900</v>
      </c>
      <c r="J1931" s="296">
        <v>945</v>
      </c>
      <c r="K1931" s="296">
        <v>484</v>
      </c>
      <c r="L1931" s="296">
        <v>145.19999999999999</v>
      </c>
      <c r="M1931" s="296">
        <v>529</v>
      </c>
      <c r="N1931" s="297">
        <v>0.37018894331700491</v>
      </c>
    </row>
    <row r="1932" spans="1:14" ht="18" customHeight="1">
      <c r="A1932" s="293" t="s">
        <v>3534</v>
      </c>
      <c r="B1932" s="294">
        <v>46266</v>
      </c>
      <c r="C1932" s="286" t="s">
        <v>168</v>
      </c>
      <c r="D1932" s="286" t="s">
        <v>96</v>
      </c>
      <c r="E1932" s="295">
        <v>2</v>
      </c>
      <c r="F1932" s="295">
        <v>2</v>
      </c>
      <c r="G1932" s="296">
        <v>0</v>
      </c>
      <c r="H1932" s="296">
        <v>2179</v>
      </c>
      <c r="I1932" s="296">
        <v>1322</v>
      </c>
      <c r="J1932" s="296">
        <v>1388.1</v>
      </c>
      <c r="K1932" s="296">
        <v>790.9</v>
      </c>
      <c r="L1932" s="296">
        <v>0</v>
      </c>
      <c r="M1932" s="296">
        <v>857</v>
      </c>
      <c r="N1932" s="297">
        <v>0.39329967875172095</v>
      </c>
    </row>
    <row r="1933" spans="1:14" ht="18" customHeight="1">
      <c r="A1933" s="293" t="s">
        <v>3535</v>
      </c>
      <c r="B1933" s="294">
        <v>46266</v>
      </c>
      <c r="C1933" s="286" t="s">
        <v>168</v>
      </c>
      <c r="D1933" s="286" t="s">
        <v>142</v>
      </c>
      <c r="E1933" s="295">
        <v>1</v>
      </c>
      <c r="F1933" s="295">
        <v>1</v>
      </c>
      <c r="G1933" s="296">
        <v>0</v>
      </c>
      <c r="H1933" s="296">
        <v>2000</v>
      </c>
      <c r="I1933" s="296">
        <v>1300</v>
      </c>
      <c r="J1933" s="296">
        <v>1365</v>
      </c>
      <c r="K1933" s="296">
        <v>635</v>
      </c>
      <c r="L1933" s="296">
        <v>0</v>
      </c>
      <c r="M1933" s="296">
        <v>700</v>
      </c>
      <c r="N1933" s="297">
        <v>0.35</v>
      </c>
    </row>
    <row r="1934" spans="1:14" ht="18" customHeight="1">
      <c r="A1934" s="293" t="s">
        <v>3536</v>
      </c>
      <c r="B1934" s="294">
        <v>46266</v>
      </c>
      <c r="C1934" s="286" t="s">
        <v>168</v>
      </c>
      <c r="D1934" s="286" t="s">
        <v>132</v>
      </c>
      <c r="E1934" s="295">
        <v>4</v>
      </c>
      <c r="F1934" s="295">
        <v>8</v>
      </c>
      <c r="G1934" s="296">
        <v>0</v>
      </c>
      <c r="H1934" s="296">
        <v>4920</v>
      </c>
      <c r="I1934" s="296">
        <v>4171</v>
      </c>
      <c r="J1934" s="296">
        <v>4296.13</v>
      </c>
      <c r="K1934" s="296">
        <v>623.87</v>
      </c>
      <c r="L1934" s="296">
        <v>0</v>
      </c>
      <c r="M1934" s="296">
        <v>749</v>
      </c>
      <c r="N1934" s="297">
        <v>0.15223577235772356</v>
      </c>
    </row>
    <row r="1935" spans="1:14" ht="18" customHeight="1">
      <c r="A1935" s="293" t="s">
        <v>3537</v>
      </c>
      <c r="B1935" s="294">
        <v>46266</v>
      </c>
      <c r="C1935" s="286" t="s">
        <v>168</v>
      </c>
      <c r="D1935" s="286" t="s">
        <v>124</v>
      </c>
      <c r="E1935" s="295">
        <v>1</v>
      </c>
      <c r="F1935" s="295">
        <v>1</v>
      </c>
      <c r="G1935" s="296">
        <v>0</v>
      </c>
      <c r="H1935" s="296">
        <v>2200</v>
      </c>
      <c r="I1935" s="296">
        <v>1550</v>
      </c>
      <c r="J1935" s="296">
        <v>1627.5</v>
      </c>
      <c r="K1935" s="296">
        <v>572.5</v>
      </c>
      <c r="L1935" s="296">
        <v>0</v>
      </c>
      <c r="M1935" s="296">
        <v>650</v>
      </c>
      <c r="N1935" s="297">
        <v>0.29545454545454547</v>
      </c>
    </row>
    <row r="1936" spans="1:14" ht="18" customHeight="1">
      <c r="A1936" s="293" t="s">
        <v>3538</v>
      </c>
      <c r="B1936" s="294">
        <v>46266</v>
      </c>
      <c r="C1936" s="286" t="s">
        <v>168</v>
      </c>
      <c r="D1936" s="286" t="s">
        <v>207</v>
      </c>
      <c r="E1936" s="295">
        <v>1</v>
      </c>
      <c r="F1936" s="295">
        <v>1</v>
      </c>
      <c r="G1936" s="296">
        <v>0</v>
      </c>
      <c r="H1936" s="296">
        <v>2000</v>
      </c>
      <c r="I1936" s="296">
        <v>900</v>
      </c>
      <c r="J1936" s="296">
        <v>945</v>
      </c>
      <c r="K1936" s="296">
        <v>1055</v>
      </c>
      <c r="L1936" s="296">
        <v>0</v>
      </c>
      <c r="M1936" s="296">
        <v>1100</v>
      </c>
      <c r="N1936" s="297">
        <v>0.55000000000000004</v>
      </c>
    </row>
    <row r="1937" spans="1:14" ht="18" customHeight="1">
      <c r="A1937" s="293" t="s">
        <v>3539</v>
      </c>
      <c r="B1937" s="294">
        <v>46267</v>
      </c>
      <c r="C1937" s="286" t="s">
        <v>3773</v>
      </c>
      <c r="D1937" s="286" t="s">
        <v>102</v>
      </c>
      <c r="E1937" s="295">
        <v>1</v>
      </c>
      <c r="F1937" s="295">
        <v>1</v>
      </c>
      <c r="G1937" s="296">
        <v>0</v>
      </c>
      <c r="H1937" s="296">
        <v>780</v>
      </c>
      <c r="I1937" s="296">
        <v>500</v>
      </c>
      <c r="J1937" s="296">
        <v>525</v>
      </c>
      <c r="K1937" s="296">
        <v>255</v>
      </c>
      <c r="L1937" s="296">
        <v>76.5</v>
      </c>
      <c r="M1937" s="296">
        <v>280</v>
      </c>
      <c r="N1937" s="297">
        <v>0.35897435897435898</v>
      </c>
    </row>
    <row r="1938" spans="1:14" ht="18" customHeight="1">
      <c r="A1938" s="293" t="s">
        <v>3540</v>
      </c>
      <c r="B1938" s="294">
        <v>46267</v>
      </c>
      <c r="C1938" s="286" t="s">
        <v>353</v>
      </c>
      <c r="D1938" s="286" t="s">
        <v>108</v>
      </c>
      <c r="E1938" s="295">
        <v>2</v>
      </c>
      <c r="F1938" s="295">
        <v>2</v>
      </c>
      <c r="G1938" s="296">
        <v>0</v>
      </c>
      <c r="H1938" s="296">
        <v>11000</v>
      </c>
      <c r="I1938" s="296">
        <v>9120</v>
      </c>
      <c r="J1938" s="296">
        <v>9576</v>
      </c>
      <c r="K1938" s="296">
        <v>1424</v>
      </c>
      <c r="L1938" s="296">
        <v>427.2</v>
      </c>
      <c r="M1938" s="296">
        <v>1880</v>
      </c>
      <c r="N1938" s="297">
        <v>0.1709090909090909</v>
      </c>
    </row>
    <row r="1939" spans="1:14" ht="18" customHeight="1">
      <c r="A1939" s="293" t="s">
        <v>3541</v>
      </c>
      <c r="B1939" s="294">
        <v>46267</v>
      </c>
      <c r="C1939" s="286" t="s">
        <v>168</v>
      </c>
      <c r="D1939" s="286" t="s">
        <v>92</v>
      </c>
      <c r="E1939" s="295">
        <v>1</v>
      </c>
      <c r="F1939" s="295">
        <v>1</v>
      </c>
      <c r="G1939" s="296">
        <v>0</v>
      </c>
      <c r="H1939" s="296">
        <v>1900</v>
      </c>
      <c r="I1939" s="296">
        <v>1000</v>
      </c>
      <c r="J1939" s="296">
        <v>1050</v>
      </c>
      <c r="K1939" s="296">
        <v>850</v>
      </c>
      <c r="L1939" s="296">
        <v>0</v>
      </c>
      <c r="M1939" s="296">
        <v>900</v>
      </c>
      <c r="N1939" s="297">
        <v>0.47368421052631576</v>
      </c>
    </row>
    <row r="1940" spans="1:14" ht="18" customHeight="1">
      <c r="A1940" s="293" t="s">
        <v>3542</v>
      </c>
      <c r="B1940" s="294">
        <v>46267</v>
      </c>
      <c r="C1940" s="286" t="s">
        <v>354</v>
      </c>
      <c r="D1940" s="286" t="s">
        <v>109</v>
      </c>
      <c r="E1940" s="295">
        <v>1</v>
      </c>
      <c r="F1940" s="295">
        <v>1</v>
      </c>
      <c r="G1940" s="296">
        <v>0</v>
      </c>
      <c r="H1940" s="296">
        <v>1965</v>
      </c>
      <c r="I1940" s="296">
        <v>1500</v>
      </c>
      <c r="J1940" s="296">
        <v>1575</v>
      </c>
      <c r="K1940" s="296">
        <v>390</v>
      </c>
      <c r="L1940" s="296">
        <v>117</v>
      </c>
      <c r="M1940" s="296">
        <v>465</v>
      </c>
      <c r="N1940" s="297">
        <v>0.23664122137404581</v>
      </c>
    </row>
    <row r="1941" spans="1:14" ht="18" customHeight="1">
      <c r="A1941" s="293" t="s">
        <v>3543</v>
      </c>
      <c r="B1941" s="294">
        <v>46267</v>
      </c>
      <c r="C1941" s="286" t="s">
        <v>168</v>
      </c>
      <c r="D1941" s="286" t="s">
        <v>281</v>
      </c>
      <c r="E1941" s="295">
        <v>2</v>
      </c>
      <c r="F1941" s="295">
        <v>2</v>
      </c>
      <c r="G1941" s="296">
        <v>0</v>
      </c>
      <c r="H1941" s="296">
        <v>3380</v>
      </c>
      <c r="I1941" s="296">
        <v>2350</v>
      </c>
      <c r="J1941" s="296">
        <v>2462.5</v>
      </c>
      <c r="K1941" s="296">
        <v>917.5</v>
      </c>
      <c r="L1941" s="296">
        <v>0</v>
      </c>
      <c r="M1941" s="296">
        <v>1030</v>
      </c>
      <c r="N1941" s="297">
        <v>0.30473372781065089</v>
      </c>
    </row>
    <row r="1942" spans="1:14" ht="18" customHeight="1">
      <c r="A1942" s="293" t="s">
        <v>3544</v>
      </c>
      <c r="B1942" s="294">
        <v>46267</v>
      </c>
      <c r="C1942" s="286" t="s">
        <v>168</v>
      </c>
      <c r="D1942" s="286" t="s">
        <v>199</v>
      </c>
      <c r="E1942" s="295">
        <v>1</v>
      </c>
      <c r="F1942" s="295">
        <v>1</v>
      </c>
      <c r="G1942" s="296">
        <v>0</v>
      </c>
      <c r="H1942" s="296">
        <v>4650</v>
      </c>
      <c r="I1942" s="296">
        <v>2650</v>
      </c>
      <c r="J1942" s="296">
        <v>2782.5</v>
      </c>
      <c r="K1942" s="296">
        <v>1867.5</v>
      </c>
      <c r="L1942" s="296">
        <v>0</v>
      </c>
      <c r="M1942" s="296">
        <v>2000</v>
      </c>
      <c r="N1942" s="297">
        <v>0.43010752688172044</v>
      </c>
    </row>
    <row r="1943" spans="1:14" ht="18" customHeight="1">
      <c r="A1943" s="293" t="s">
        <v>3545</v>
      </c>
      <c r="B1943" s="294">
        <v>46267</v>
      </c>
      <c r="C1943" s="286" t="s">
        <v>168</v>
      </c>
      <c r="D1943" s="286" t="s">
        <v>96</v>
      </c>
      <c r="E1943" s="295">
        <v>5</v>
      </c>
      <c r="F1943" s="295">
        <v>7.5</v>
      </c>
      <c r="G1943" s="296">
        <v>0</v>
      </c>
      <c r="H1943" s="296">
        <v>2595</v>
      </c>
      <c r="I1943" s="296">
        <v>1462.5</v>
      </c>
      <c r="J1943" s="296">
        <v>1535.625</v>
      </c>
      <c r="K1943" s="296">
        <v>1059.375</v>
      </c>
      <c r="L1943" s="296">
        <v>0</v>
      </c>
      <c r="M1943" s="296">
        <v>1132.5</v>
      </c>
      <c r="N1943" s="297">
        <v>0.43641618497109824</v>
      </c>
    </row>
    <row r="1944" spans="1:14" ht="18" customHeight="1">
      <c r="A1944" s="293" t="s">
        <v>3546</v>
      </c>
      <c r="B1944" s="294">
        <v>46267</v>
      </c>
      <c r="C1944" s="286" t="s">
        <v>168</v>
      </c>
      <c r="D1944" s="286" t="s">
        <v>105</v>
      </c>
      <c r="E1944" s="295">
        <v>1</v>
      </c>
      <c r="F1944" s="295">
        <v>1</v>
      </c>
      <c r="G1944" s="296">
        <v>0</v>
      </c>
      <c r="H1944" s="296">
        <v>2000</v>
      </c>
      <c r="I1944" s="296">
        <v>1300</v>
      </c>
      <c r="J1944" s="296">
        <v>1365</v>
      </c>
      <c r="K1944" s="296">
        <v>635</v>
      </c>
      <c r="L1944" s="296">
        <v>0</v>
      </c>
      <c r="M1944" s="296">
        <v>700</v>
      </c>
      <c r="N1944" s="297">
        <v>0.35</v>
      </c>
    </row>
    <row r="1945" spans="1:14" ht="18" customHeight="1">
      <c r="A1945" s="293" t="s">
        <v>3547</v>
      </c>
      <c r="B1945" s="294">
        <v>46267</v>
      </c>
      <c r="C1945" s="286" t="s">
        <v>350</v>
      </c>
      <c r="D1945" s="286" t="s">
        <v>119</v>
      </c>
      <c r="E1945" s="295">
        <v>1</v>
      </c>
      <c r="F1945" s="295">
        <v>1</v>
      </c>
      <c r="G1945" s="296">
        <v>0</v>
      </c>
      <c r="H1945" s="296">
        <v>1900</v>
      </c>
      <c r="I1945" s="296">
        <v>1150</v>
      </c>
      <c r="J1945" s="296">
        <v>1207.5</v>
      </c>
      <c r="K1945" s="296">
        <v>692.5</v>
      </c>
      <c r="L1945" s="296">
        <v>207.75</v>
      </c>
      <c r="M1945" s="296">
        <v>750</v>
      </c>
      <c r="N1945" s="297">
        <v>0.39473684210526316</v>
      </c>
    </row>
    <row r="1946" spans="1:14" ht="18" customHeight="1">
      <c r="A1946" s="293" t="s">
        <v>3548</v>
      </c>
      <c r="B1946" s="294">
        <v>46267</v>
      </c>
      <c r="C1946" s="286" t="s">
        <v>168</v>
      </c>
      <c r="D1946" s="286" t="s">
        <v>132</v>
      </c>
      <c r="E1946" s="295">
        <v>3</v>
      </c>
      <c r="F1946" s="295">
        <v>16</v>
      </c>
      <c r="G1946" s="296">
        <v>0</v>
      </c>
      <c r="H1946" s="296">
        <v>950</v>
      </c>
      <c r="I1946" s="296">
        <v>480.4</v>
      </c>
      <c r="J1946" s="296">
        <v>495.87999999999994</v>
      </c>
      <c r="K1946" s="296">
        <v>454.12000000000006</v>
      </c>
      <c r="L1946" s="296">
        <v>0</v>
      </c>
      <c r="M1946" s="296">
        <v>469.6</v>
      </c>
      <c r="N1946" s="297">
        <v>0.49431578947368421</v>
      </c>
    </row>
    <row r="1947" spans="1:14" ht="18" customHeight="1">
      <c r="A1947" s="293" t="s">
        <v>3549</v>
      </c>
      <c r="B1947" s="294">
        <v>46267</v>
      </c>
      <c r="C1947" s="286" t="s">
        <v>168</v>
      </c>
      <c r="D1947" s="286" t="s">
        <v>99</v>
      </c>
      <c r="E1947" s="295">
        <v>1</v>
      </c>
      <c r="F1947" s="295">
        <v>1</v>
      </c>
      <c r="G1947" s="296">
        <v>0</v>
      </c>
      <c r="H1947" s="296">
        <v>750</v>
      </c>
      <c r="I1947" s="296">
        <v>480</v>
      </c>
      <c r="J1947" s="296">
        <v>504</v>
      </c>
      <c r="K1947" s="296">
        <v>246</v>
      </c>
      <c r="L1947" s="296">
        <v>0</v>
      </c>
      <c r="M1947" s="296">
        <v>270</v>
      </c>
      <c r="N1947" s="297">
        <v>0.36</v>
      </c>
    </row>
    <row r="1948" spans="1:14" ht="18" customHeight="1">
      <c r="A1948" s="293" t="s">
        <v>3550</v>
      </c>
      <c r="B1948" s="294">
        <v>46268</v>
      </c>
      <c r="C1948" s="286" t="s">
        <v>353</v>
      </c>
      <c r="D1948" s="286" t="s">
        <v>103</v>
      </c>
      <c r="E1948" s="295">
        <v>3</v>
      </c>
      <c r="F1948" s="295">
        <v>4</v>
      </c>
      <c r="G1948" s="296">
        <v>0</v>
      </c>
      <c r="H1948" s="296">
        <v>2856</v>
      </c>
      <c r="I1948" s="296">
        <v>1430</v>
      </c>
      <c r="J1948" s="296">
        <v>1501.5</v>
      </c>
      <c r="K1948" s="296">
        <v>1354.5</v>
      </c>
      <c r="L1948" s="296">
        <v>406.34999999999997</v>
      </c>
      <c r="M1948" s="296">
        <v>1426</v>
      </c>
      <c r="N1948" s="297">
        <v>0.49929971988795518</v>
      </c>
    </row>
    <row r="1949" spans="1:14" ht="18" customHeight="1">
      <c r="A1949" s="293" t="s">
        <v>3551</v>
      </c>
      <c r="B1949" s="294">
        <v>46268</v>
      </c>
      <c r="C1949" s="286" t="s">
        <v>353</v>
      </c>
      <c r="D1949" s="286" t="s">
        <v>108</v>
      </c>
      <c r="E1949" s="295">
        <v>1</v>
      </c>
      <c r="F1949" s="295">
        <v>1</v>
      </c>
      <c r="G1949" s="296">
        <v>0</v>
      </c>
      <c r="H1949" s="296">
        <v>1965</v>
      </c>
      <c r="I1949" s="296">
        <v>1100</v>
      </c>
      <c r="J1949" s="296">
        <v>1155</v>
      </c>
      <c r="K1949" s="296">
        <v>810</v>
      </c>
      <c r="L1949" s="296">
        <v>243</v>
      </c>
      <c r="M1949" s="296">
        <v>865</v>
      </c>
      <c r="N1949" s="297">
        <v>0.44020356234096691</v>
      </c>
    </row>
    <row r="1950" spans="1:14" ht="18" customHeight="1">
      <c r="A1950" s="293" t="s">
        <v>3552</v>
      </c>
      <c r="B1950" s="294">
        <v>46268</v>
      </c>
      <c r="C1950" s="286" t="s">
        <v>3773</v>
      </c>
      <c r="D1950" s="286" t="s">
        <v>102</v>
      </c>
      <c r="E1950" s="295">
        <v>2</v>
      </c>
      <c r="F1950" s="295">
        <v>2</v>
      </c>
      <c r="G1950" s="296">
        <v>0</v>
      </c>
      <c r="H1950" s="296">
        <v>1280</v>
      </c>
      <c r="I1950" s="296">
        <v>680</v>
      </c>
      <c r="J1950" s="296">
        <v>714</v>
      </c>
      <c r="K1950" s="296">
        <v>566</v>
      </c>
      <c r="L1950" s="296">
        <v>169.8</v>
      </c>
      <c r="M1950" s="296">
        <v>600</v>
      </c>
      <c r="N1950" s="297">
        <v>0.46875</v>
      </c>
    </row>
    <row r="1951" spans="1:14" ht="18" customHeight="1">
      <c r="A1951" s="293" t="s">
        <v>3553</v>
      </c>
      <c r="B1951" s="294">
        <v>46268</v>
      </c>
      <c r="C1951" s="286" t="s">
        <v>359</v>
      </c>
      <c r="D1951" s="286" t="s">
        <v>114</v>
      </c>
      <c r="E1951" s="295">
        <v>1</v>
      </c>
      <c r="F1951" s="295">
        <v>1</v>
      </c>
      <c r="G1951" s="296">
        <v>0</v>
      </c>
      <c r="H1951" s="296">
        <v>1965</v>
      </c>
      <c r="I1951" s="296">
        <v>1100</v>
      </c>
      <c r="J1951" s="296">
        <v>1155</v>
      </c>
      <c r="K1951" s="296">
        <v>810</v>
      </c>
      <c r="L1951" s="296">
        <v>243</v>
      </c>
      <c r="M1951" s="296">
        <v>865</v>
      </c>
      <c r="N1951" s="297">
        <v>0.44020356234096691</v>
      </c>
    </row>
    <row r="1952" spans="1:14" ht="18" customHeight="1">
      <c r="A1952" s="293" t="s">
        <v>3554</v>
      </c>
      <c r="B1952" s="294">
        <v>46268</v>
      </c>
      <c r="C1952" s="286" t="s">
        <v>168</v>
      </c>
      <c r="D1952" s="286" t="s">
        <v>121</v>
      </c>
      <c r="E1952" s="295">
        <v>1</v>
      </c>
      <c r="F1952" s="295">
        <v>1</v>
      </c>
      <c r="G1952" s="296">
        <v>0</v>
      </c>
      <c r="H1952" s="296">
        <v>780</v>
      </c>
      <c r="I1952" s="296">
        <v>480</v>
      </c>
      <c r="J1952" s="296">
        <v>504</v>
      </c>
      <c r="K1952" s="296">
        <v>276</v>
      </c>
      <c r="L1952" s="296">
        <v>0</v>
      </c>
      <c r="M1952" s="296">
        <v>300</v>
      </c>
      <c r="N1952" s="297">
        <v>0.38461538461538464</v>
      </c>
    </row>
    <row r="1953" spans="1:14" ht="18" customHeight="1">
      <c r="A1953" s="293" t="s">
        <v>3555</v>
      </c>
      <c r="B1953" s="294">
        <v>46268</v>
      </c>
      <c r="C1953" s="286" t="s">
        <v>168</v>
      </c>
      <c r="D1953" s="286" t="s">
        <v>175</v>
      </c>
      <c r="E1953" s="295">
        <v>2</v>
      </c>
      <c r="F1953" s="295">
        <v>13</v>
      </c>
      <c r="G1953" s="296">
        <v>0</v>
      </c>
      <c r="H1953" s="296">
        <v>1230</v>
      </c>
      <c r="I1953" s="296">
        <v>600</v>
      </c>
      <c r="J1953" s="296">
        <v>630</v>
      </c>
      <c r="K1953" s="296">
        <v>600</v>
      </c>
      <c r="L1953" s="296">
        <v>0</v>
      </c>
      <c r="M1953" s="296">
        <v>630</v>
      </c>
      <c r="N1953" s="297">
        <v>0.51219512195121952</v>
      </c>
    </row>
    <row r="1954" spans="1:14" ht="18" customHeight="1">
      <c r="A1954" s="293" t="s">
        <v>3556</v>
      </c>
      <c r="B1954" s="294">
        <v>46268</v>
      </c>
      <c r="C1954" s="286" t="s">
        <v>168</v>
      </c>
      <c r="D1954" s="286" t="s">
        <v>148</v>
      </c>
      <c r="E1954" s="295">
        <v>2</v>
      </c>
      <c r="F1954" s="295">
        <v>2</v>
      </c>
      <c r="G1954" s="296">
        <v>0</v>
      </c>
      <c r="H1954" s="296">
        <v>680</v>
      </c>
      <c r="I1954" s="296">
        <v>325</v>
      </c>
      <c r="J1954" s="296">
        <v>341.25</v>
      </c>
      <c r="K1954" s="296">
        <v>338.75</v>
      </c>
      <c r="L1954" s="296">
        <v>0</v>
      </c>
      <c r="M1954" s="296">
        <v>355</v>
      </c>
      <c r="N1954" s="297">
        <v>0.5220588235294118</v>
      </c>
    </row>
    <row r="1955" spans="1:14" ht="18" customHeight="1">
      <c r="A1955" s="293" t="s">
        <v>3557</v>
      </c>
      <c r="B1955" s="294">
        <v>46268</v>
      </c>
      <c r="C1955" s="286" t="s">
        <v>168</v>
      </c>
      <c r="D1955" s="286" t="s">
        <v>96</v>
      </c>
      <c r="E1955" s="295">
        <v>9</v>
      </c>
      <c r="F1955" s="295">
        <v>14</v>
      </c>
      <c r="G1955" s="296">
        <v>0</v>
      </c>
      <c r="H1955" s="296">
        <v>1602.5</v>
      </c>
      <c r="I1955" s="296">
        <v>771</v>
      </c>
      <c r="J1955" s="296">
        <v>809.41000000000008</v>
      </c>
      <c r="K1955" s="296">
        <v>793.08999999999992</v>
      </c>
      <c r="L1955" s="296">
        <v>0</v>
      </c>
      <c r="M1955" s="296">
        <v>831.5</v>
      </c>
      <c r="N1955" s="297">
        <v>0.51887675507020281</v>
      </c>
    </row>
    <row r="1956" spans="1:14" ht="18" customHeight="1">
      <c r="A1956" s="293" t="s">
        <v>3558</v>
      </c>
      <c r="B1956" s="294">
        <v>46268</v>
      </c>
      <c r="C1956" s="286" t="s">
        <v>168</v>
      </c>
      <c r="D1956" s="286" t="s">
        <v>142</v>
      </c>
      <c r="E1956" s="295">
        <v>1</v>
      </c>
      <c r="F1956" s="295">
        <v>1</v>
      </c>
      <c r="G1956" s="296">
        <v>0</v>
      </c>
      <c r="H1956" s="296">
        <v>2000</v>
      </c>
      <c r="I1956" s="296">
        <v>1200</v>
      </c>
      <c r="J1956" s="296">
        <v>1260</v>
      </c>
      <c r="K1956" s="296">
        <v>740</v>
      </c>
      <c r="L1956" s="296">
        <v>0</v>
      </c>
      <c r="M1956" s="296">
        <v>800</v>
      </c>
      <c r="N1956" s="297">
        <v>0.4</v>
      </c>
    </row>
    <row r="1957" spans="1:14" ht="18" customHeight="1">
      <c r="A1957" s="293" t="s">
        <v>3559</v>
      </c>
      <c r="B1957" s="294">
        <v>46268</v>
      </c>
      <c r="C1957" s="286" t="s">
        <v>168</v>
      </c>
      <c r="D1957" s="286" t="s">
        <v>282</v>
      </c>
      <c r="E1957" s="295">
        <v>15</v>
      </c>
      <c r="F1957" s="295">
        <v>27.2</v>
      </c>
      <c r="G1957" s="296">
        <v>0</v>
      </c>
      <c r="H1957" s="296">
        <v>8320</v>
      </c>
      <c r="I1957" s="296">
        <v>5558</v>
      </c>
      <c r="J1957" s="296">
        <v>5758.2400000000016</v>
      </c>
      <c r="K1957" s="296">
        <v>2561.7599999999998</v>
      </c>
      <c r="L1957" s="296">
        <v>0</v>
      </c>
      <c r="M1957" s="296">
        <v>2762</v>
      </c>
      <c r="N1957" s="297">
        <v>0.33197115384615383</v>
      </c>
    </row>
    <row r="1958" spans="1:14" ht="18" customHeight="1">
      <c r="A1958" s="293" t="s">
        <v>3560</v>
      </c>
      <c r="B1958" s="294">
        <v>46268</v>
      </c>
      <c r="C1958" s="286" t="s">
        <v>168</v>
      </c>
      <c r="D1958" s="286" t="s">
        <v>115</v>
      </c>
      <c r="E1958" s="295">
        <v>8</v>
      </c>
      <c r="F1958" s="295">
        <v>10</v>
      </c>
      <c r="G1958" s="296">
        <v>0</v>
      </c>
      <c r="H1958" s="296">
        <v>5450</v>
      </c>
      <c r="I1958" s="296">
        <v>3312</v>
      </c>
      <c r="J1958" s="296">
        <v>3477.6</v>
      </c>
      <c r="K1958" s="296">
        <v>1972.4</v>
      </c>
      <c r="L1958" s="296">
        <v>0</v>
      </c>
      <c r="M1958" s="296">
        <v>2138</v>
      </c>
      <c r="N1958" s="297">
        <v>0.39229357798165138</v>
      </c>
    </row>
    <row r="1959" spans="1:14" ht="18" customHeight="1">
      <c r="A1959" s="293" t="s">
        <v>3561</v>
      </c>
      <c r="B1959" s="294">
        <v>46268</v>
      </c>
      <c r="C1959" s="286" t="s">
        <v>168</v>
      </c>
      <c r="D1959" s="286" t="s">
        <v>283</v>
      </c>
      <c r="E1959" s="295">
        <v>1</v>
      </c>
      <c r="F1959" s="295">
        <v>2</v>
      </c>
      <c r="G1959" s="296">
        <v>0</v>
      </c>
      <c r="H1959" s="296">
        <v>900</v>
      </c>
      <c r="I1959" s="296">
        <v>360</v>
      </c>
      <c r="J1959" s="296">
        <v>378</v>
      </c>
      <c r="K1959" s="296">
        <v>522</v>
      </c>
      <c r="L1959" s="296">
        <v>0</v>
      </c>
      <c r="M1959" s="296">
        <v>540</v>
      </c>
      <c r="N1959" s="297">
        <v>0.6</v>
      </c>
    </row>
    <row r="1960" spans="1:14" ht="18" customHeight="1">
      <c r="A1960" s="293" t="s">
        <v>3562</v>
      </c>
      <c r="B1960" s="294">
        <v>46268</v>
      </c>
      <c r="C1960" s="286" t="s">
        <v>168</v>
      </c>
      <c r="D1960" s="286" t="s">
        <v>97</v>
      </c>
      <c r="E1960" s="295">
        <v>2</v>
      </c>
      <c r="F1960" s="295">
        <v>2</v>
      </c>
      <c r="G1960" s="296">
        <v>0</v>
      </c>
      <c r="H1960" s="296">
        <v>1460</v>
      </c>
      <c r="I1960" s="296">
        <v>595</v>
      </c>
      <c r="J1960" s="296">
        <v>624.75</v>
      </c>
      <c r="K1960" s="296">
        <v>835.25</v>
      </c>
      <c r="L1960" s="296">
        <v>0</v>
      </c>
      <c r="M1960" s="296">
        <v>865</v>
      </c>
      <c r="N1960" s="297">
        <v>0.59246575342465757</v>
      </c>
    </row>
    <row r="1961" spans="1:14" ht="18" customHeight="1">
      <c r="A1961" s="293" t="s">
        <v>3563</v>
      </c>
      <c r="B1961" s="294">
        <v>46268</v>
      </c>
      <c r="C1961" s="286" t="s">
        <v>168</v>
      </c>
      <c r="D1961" s="286" t="s">
        <v>99</v>
      </c>
      <c r="E1961" s="295">
        <v>1</v>
      </c>
      <c r="F1961" s="295">
        <v>1</v>
      </c>
      <c r="G1961" s="296">
        <v>0</v>
      </c>
      <c r="H1961" s="296">
        <v>600</v>
      </c>
      <c r="I1961" s="296">
        <v>280</v>
      </c>
      <c r="J1961" s="296">
        <v>294</v>
      </c>
      <c r="K1961" s="296">
        <v>306</v>
      </c>
      <c r="L1961" s="296">
        <v>0</v>
      </c>
      <c r="M1961" s="296">
        <v>320</v>
      </c>
      <c r="N1961" s="297">
        <v>0.53333333333333333</v>
      </c>
    </row>
    <row r="1962" spans="1:14" ht="18" customHeight="1">
      <c r="A1962" s="293" t="s">
        <v>3564</v>
      </c>
      <c r="B1962" s="294">
        <v>46269</v>
      </c>
      <c r="C1962" s="286" t="s">
        <v>348</v>
      </c>
      <c r="D1962" s="286" t="s">
        <v>247</v>
      </c>
      <c r="E1962" s="295">
        <v>5</v>
      </c>
      <c r="F1962" s="295">
        <v>17</v>
      </c>
      <c r="G1962" s="296">
        <v>0</v>
      </c>
      <c r="H1962" s="296">
        <v>2750</v>
      </c>
      <c r="I1962" s="296">
        <v>1515</v>
      </c>
      <c r="J1962" s="296">
        <v>1590.75</v>
      </c>
      <c r="K1962" s="296">
        <v>1159.25</v>
      </c>
      <c r="L1962" s="296">
        <v>347.77499999999998</v>
      </c>
      <c r="M1962" s="296">
        <v>1235</v>
      </c>
      <c r="N1962" s="297">
        <v>0.4490909090909091</v>
      </c>
    </row>
    <row r="1963" spans="1:14" ht="18" customHeight="1">
      <c r="A1963" s="293" t="s">
        <v>3565</v>
      </c>
      <c r="B1963" s="294">
        <v>46269</v>
      </c>
      <c r="C1963" s="286" t="s">
        <v>3773</v>
      </c>
      <c r="D1963" s="286" t="s">
        <v>102</v>
      </c>
      <c r="E1963" s="295">
        <v>3</v>
      </c>
      <c r="F1963" s="295">
        <v>5</v>
      </c>
      <c r="G1963" s="296">
        <v>0</v>
      </c>
      <c r="H1963" s="296">
        <v>986</v>
      </c>
      <c r="I1963" s="296">
        <v>476</v>
      </c>
      <c r="J1963" s="296">
        <v>499.8</v>
      </c>
      <c r="K1963" s="296">
        <v>486.2</v>
      </c>
      <c r="L1963" s="296">
        <v>145.86000000000001</v>
      </c>
      <c r="M1963" s="296">
        <v>510</v>
      </c>
      <c r="N1963" s="297">
        <v>0.51724137931034486</v>
      </c>
    </row>
    <row r="1964" spans="1:14" ht="18" customHeight="1">
      <c r="A1964" s="293" t="s">
        <v>3566</v>
      </c>
      <c r="B1964" s="294">
        <v>46269</v>
      </c>
      <c r="C1964" s="286" t="s">
        <v>168</v>
      </c>
      <c r="D1964" s="286" t="s">
        <v>136</v>
      </c>
      <c r="E1964" s="295">
        <v>7</v>
      </c>
      <c r="F1964" s="295">
        <v>18.2</v>
      </c>
      <c r="G1964" s="296">
        <v>0</v>
      </c>
      <c r="H1964" s="296">
        <v>6955</v>
      </c>
      <c r="I1964" s="296">
        <v>5094.25</v>
      </c>
      <c r="J1964" s="296">
        <v>5247.0775000000003</v>
      </c>
      <c r="K1964" s="296">
        <v>1707.9225000000004</v>
      </c>
      <c r="L1964" s="296">
        <v>0</v>
      </c>
      <c r="M1964" s="296">
        <v>1860.75</v>
      </c>
      <c r="N1964" s="297">
        <v>0.26754133716750539</v>
      </c>
    </row>
    <row r="1965" spans="1:14" ht="18" customHeight="1">
      <c r="A1965" s="293" t="s">
        <v>3567</v>
      </c>
      <c r="B1965" s="294">
        <v>46269</v>
      </c>
      <c r="C1965" s="286" t="s">
        <v>168</v>
      </c>
      <c r="D1965" s="286" t="s">
        <v>241</v>
      </c>
      <c r="E1965" s="295">
        <v>1</v>
      </c>
      <c r="F1965" s="295">
        <v>4</v>
      </c>
      <c r="G1965" s="296">
        <v>0</v>
      </c>
      <c r="H1965" s="296">
        <v>200</v>
      </c>
      <c r="I1965" s="296">
        <v>140</v>
      </c>
      <c r="J1965" s="296">
        <v>147</v>
      </c>
      <c r="K1965" s="296">
        <v>53</v>
      </c>
      <c r="L1965" s="296">
        <v>0</v>
      </c>
      <c r="M1965" s="296">
        <v>60</v>
      </c>
      <c r="N1965" s="297">
        <v>0.3</v>
      </c>
    </row>
    <row r="1966" spans="1:14" ht="18" customHeight="1">
      <c r="A1966" s="293" t="s">
        <v>3568</v>
      </c>
      <c r="B1966" s="294">
        <v>46269</v>
      </c>
      <c r="C1966" s="286" t="s">
        <v>3773</v>
      </c>
      <c r="D1966" s="286" t="s">
        <v>126</v>
      </c>
      <c r="E1966" s="295">
        <v>2</v>
      </c>
      <c r="F1966" s="295">
        <v>2</v>
      </c>
      <c r="G1966" s="296">
        <v>0</v>
      </c>
      <c r="H1966" s="296">
        <v>2750</v>
      </c>
      <c r="I1966" s="296">
        <v>1940</v>
      </c>
      <c r="J1966" s="296">
        <v>2037</v>
      </c>
      <c r="K1966" s="296">
        <v>713</v>
      </c>
      <c r="L1966" s="296">
        <v>213.89999999999998</v>
      </c>
      <c r="M1966" s="296">
        <v>810</v>
      </c>
      <c r="N1966" s="297">
        <v>0.29454545454545455</v>
      </c>
    </row>
    <row r="1967" spans="1:14" ht="18" customHeight="1">
      <c r="A1967" s="293" t="s">
        <v>3569</v>
      </c>
      <c r="B1967" s="294">
        <v>46269</v>
      </c>
      <c r="C1967" s="286" t="s">
        <v>3773</v>
      </c>
      <c r="D1967" s="286" t="s">
        <v>116</v>
      </c>
      <c r="E1967" s="295">
        <v>1</v>
      </c>
      <c r="F1967" s="295">
        <v>1</v>
      </c>
      <c r="G1967" s="296">
        <v>0</v>
      </c>
      <c r="H1967" s="296">
        <v>2100</v>
      </c>
      <c r="I1967" s="296">
        <v>1400</v>
      </c>
      <c r="J1967" s="296">
        <v>1470</v>
      </c>
      <c r="K1967" s="296">
        <v>630</v>
      </c>
      <c r="L1967" s="296">
        <v>189</v>
      </c>
      <c r="M1967" s="296">
        <v>700</v>
      </c>
      <c r="N1967" s="297">
        <v>0.33333333333333331</v>
      </c>
    </row>
    <row r="1968" spans="1:14" ht="18" customHeight="1">
      <c r="A1968" s="293" t="s">
        <v>3570</v>
      </c>
      <c r="B1968" s="294">
        <v>46269</v>
      </c>
      <c r="C1968" s="286" t="s">
        <v>168</v>
      </c>
      <c r="D1968" s="286" t="s">
        <v>115</v>
      </c>
      <c r="E1968" s="295">
        <v>1</v>
      </c>
      <c r="F1968" s="295">
        <v>1</v>
      </c>
      <c r="G1968" s="296">
        <v>0</v>
      </c>
      <c r="H1968" s="296">
        <v>2000</v>
      </c>
      <c r="I1968" s="296">
        <v>1250</v>
      </c>
      <c r="J1968" s="296">
        <v>1312.5</v>
      </c>
      <c r="K1968" s="296">
        <v>687.5</v>
      </c>
      <c r="L1968" s="296">
        <v>0</v>
      </c>
      <c r="M1968" s="296">
        <v>750</v>
      </c>
      <c r="N1968" s="297">
        <v>0.375</v>
      </c>
    </row>
    <row r="1969" spans="1:14" ht="18" customHeight="1">
      <c r="A1969" s="293" t="s">
        <v>3571</v>
      </c>
      <c r="B1969" s="294">
        <v>46269</v>
      </c>
      <c r="C1969" s="286" t="s">
        <v>350</v>
      </c>
      <c r="D1969" s="286" t="s">
        <v>119</v>
      </c>
      <c r="E1969" s="295">
        <v>2</v>
      </c>
      <c r="F1969" s="295">
        <v>2</v>
      </c>
      <c r="G1969" s="296">
        <v>0</v>
      </c>
      <c r="H1969" s="296">
        <v>3800</v>
      </c>
      <c r="I1969" s="296">
        <v>2400</v>
      </c>
      <c r="J1969" s="296">
        <v>2520</v>
      </c>
      <c r="K1969" s="296">
        <v>1280</v>
      </c>
      <c r="L1969" s="296">
        <v>384</v>
      </c>
      <c r="M1969" s="296">
        <v>1400</v>
      </c>
      <c r="N1969" s="297">
        <v>0.36842105263157893</v>
      </c>
    </row>
    <row r="1970" spans="1:14" ht="18" customHeight="1">
      <c r="A1970" s="293" t="s">
        <v>3572</v>
      </c>
      <c r="B1970" s="294">
        <v>46269</v>
      </c>
      <c r="C1970" s="286" t="s">
        <v>168</v>
      </c>
      <c r="D1970" s="286" t="s">
        <v>124</v>
      </c>
      <c r="E1970" s="295">
        <v>2</v>
      </c>
      <c r="F1970" s="295">
        <v>2</v>
      </c>
      <c r="G1970" s="296">
        <v>0</v>
      </c>
      <c r="H1970" s="296">
        <v>11000</v>
      </c>
      <c r="I1970" s="296">
        <v>9120</v>
      </c>
      <c r="J1970" s="296">
        <v>9576</v>
      </c>
      <c r="K1970" s="296">
        <v>1424</v>
      </c>
      <c r="L1970" s="296">
        <v>0</v>
      </c>
      <c r="M1970" s="296">
        <v>1880</v>
      </c>
      <c r="N1970" s="297">
        <v>0.1709090909090909</v>
      </c>
    </row>
    <row r="1971" spans="1:14" ht="18" customHeight="1">
      <c r="A1971" s="293" t="s">
        <v>3573</v>
      </c>
      <c r="B1971" s="294">
        <v>46269</v>
      </c>
      <c r="C1971" s="286" t="s">
        <v>168</v>
      </c>
      <c r="D1971" s="286" t="s">
        <v>129</v>
      </c>
      <c r="E1971" s="295">
        <v>1</v>
      </c>
      <c r="F1971" s="295">
        <v>1</v>
      </c>
      <c r="G1971" s="296">
        <v>0</v>
      </c>
      <c r="H1971" s="296">
        <v>2500</v>
      </c>
      <c r="I1971" s="296">
        <v>1500</v>
      </c>
      <c r="J1971" s="296">
        <v>1575</v>
      </c>
      <c r="K1971" s="296">
        <v>925</v>
      </c>
      <c r="L1971" s="296">
        <v>0</v>
      </c>
      <c r="M1971" s="296">
        <v>1000</v>
      </c>
      <c r="N1971" s="297">
        <v>0.4</v>
      </c>
    </row>
    <row r="1972" spans="1:14" ht="18" customHeight="1">
      <c r="A1972" s="293" t="s">
        <v>3574</v>
      </c>
      <c r="B1972" s="294">
        <v>46269</v>
      </c>
      <c r="C1972" s="286" t="s">
        <v>409</v>
      </c>
      <c r="D1972" s="286" t="s">
        <v>284</v>
      </c>
      <c r="E1972" s="295">
        <v>1</v>
      </c>
      <c r="F1972" s="295">
        <v>1</v>
      </c>
      <c r="G1972" s="296">
        <v>0</v>
      </c>
      <c r="H1972" s="296">
        <v>360</v>
      </c>
      <c r="I1972" s="296">
        <v>195</v>
      </c>
      <c r="J1972" s="296">
        <v>200.85</v>
      </c>
      <c r="K1972" s="296">
        <v>159.15</v>
      </c>
      <c r="L1972" s="296">
        <v>0</v>
      </c>
      <c r="M1972" s="296">
        <v>165</v>
      </c>
      <c r="N1972" s="297">
        <v>0.45833333333333331</v>
      </c>
    </row>
    <row r="1973" spans="1:14" ht="18" customHeight="1">
      <c r="A1973" s="293" t="s">
        <v>3575</v>
      </c>
      <c r="B1973" s="294">
        <v>46269</v>
      </c>
      <c r="C1973" s="286" t="s">
        <v>353</v>
      </c>
      <c r="D1973" s="286" t="s">
        <v>174</v>
      </c>
      <c r="E1973" s="295">
        <v>1</v>
      </c>
      <c r="F1973" s="295">
        <v>2</v>
      </c>
      <c r="G1973" s="296">
        <v>0</v>
      </c>
      <c r="H1973" s="296">
        <v>3600</v>
      </c>
      <c r="I1973" s="296">
        <v>2300</v>
      </c>
      <c r="J1973" s="296">
        <v>2415</v>
      </c>
      <c r="K1973" s="296">
        <v>1185</v>
      </c>
      <c r="L1973" s="296">
        <v>355.5</v>
      </c>
      <c r="M1973" s="296">
        <v>1300</v>
      </c>
      <c r="N1973" s="297">
        <v>0.3611111111111111</v>
      </c>
    </row>
    <row r="1974" spans="1:14" ht="18" customHeight="1">
      <c r="A1974" s="293" t="s">
        <v>3576</v>
      </c>
      <c r="B1974" s="294">
        <v>46269</v>
      </c>
      <c r="C1974" s="286" t="s">
        <v>168</v>
      </c>
      <c r="D1974" s="286" t="s">
        <v>97</v>
      </c>
      <c r="E1974" s="295">
        <v>1</v>
      </c>
      <c r="F1974" s="295">
        <v>1</v>
      </c>
      <c r="G1974" s="296">
        <v>0</v>
      </c>
      <c r="H1974" s="296">
        <v>2000</v>
      </c>
      <c r="I1974" s="296">
        <v>1300</v>
      </c>
      <c r="J1974" s="296">
        <v>1365</v>
      </c>
      <c r="K1974" s="296">
        <v>635</v>
      </c>
      <c r="L1974" s="296">
        <v>0</v>
      </c>
      <c r="M1974" s="296">
        <v>700</v>
      </c>
      <c r="N1974" s="297">
        <v>0.35</v>
      </c>
    </row>
    <row r="1975" spans="1:14" ht="18" customHeight="1">
      <c r="A1975" s="293" t="s">
        <v>3577</v>
      </c>
      <c r="B1975" s="294">
        <v>46269</v>
      </c>
      <c r="C1975" s="286" t="s">
        <v>168</v>
      </c>
      <c r="D1975" s="286" t="s">
        <v>99</v>
      </c>
      <c r="E1975" s="295">
        <v>6</v>
      </c>
      <c r="F1975" s="295">
        <v>14.2</v>
      </c>
      <c r="G1975" s="296">
        <v>0</v>
      </c>
      <c r="H1975" s="296">
        <v>1400</v>
      </c>
      <c r="I1975" s="296">
        <v>779.3</v>
      </c>
      <c r="J1975" s="296">
        <v>805.56900000000007</v>
      </c>
      <c r="K1975" s="296">
        <v>594.43099999999993</v>
      </c>
      <c r="L1975" s="296">
        <v>0</v>
      </c>
      <c r="M1975" s="296">
        <v>620.70000000000005</v>
      </c>
      <c r="N1975" s="297">
        <v>0.44335714285714289</v>
      </c>
    </row>
    <row r="1976" spans="1:14" ht="18" customHeight="1">
      <c r="A1976" s="293" t="s">
        <v>3578</v>
      </c>
      <c r="B1976" s="294">
        <v>46270</v>
      </c>
      <c r="C1976" s="286" t="s">
        <v>348</v>
      </c>
      <c r="D1976" s="286" t="s">
        <v>101</v>
      </c>
      <c r="E1976" s="295">
        <v>4</v>
      </c>
      <c r="F1976" s="295">
        <v>17</v>
      </c>
      <c r="G1976" s="296">
        <v>0</v>
      </c>
      <c r="H1976" s="296">
        <v>10175</v>
      </c>
      <c r="I1976" s="296">
        <v>8545</v>
      </c>
      <c r="J1976" s="296">
        <v>8801.35</v>
      </c>
      <c r="K1976" s="296">
        <v>1373.65</v>
      </c>
      <c r="L1976" s="296">
        <v>412.09500000000003</v>
      </c>
      <c r="M1976" s="296">
        <v>1630</v>
      </c>
      <c r="N1976" s="297">
        <v>0.1601965601965602</v>
      </c>
    </row>
    <row r="1977" spans="1:14" ht="18" customHeight="1">
      <c r="A1977" s="293" t="s">
        <v>3579</v>
      </c>
      <c r="B1977" s="294">
        <v>46270</v>
      </c>
      <c r="C1977" s="286" t="s">
        <v>3773</v>
      </c>
      <c r="D1977" s="286" t="s">
        <v>102</v>
      </c>
      <c r="E1977" s="295">
        <v>4</v>
      </c>
      <c r="F1977" s="295">
        <v>4</v>
      </c>
      <c r="G1977" s="296">
        <v>0</v>
      </c>
      <c r="H1977" s="296">
        <v>10710</v>
      </c>
      <c r="I1977" s="296">
        <v>8700</v>
      </c>
      <c r="J1977" s="296">
        <v>9135</v>
      </c>
      <c r="K1977" s="296">
        <v>1575</v>
      </c>
      <c r="L1977" s="296">
        <v>472.49999999999994</v>
      </c>
      <c r="M1977" s="296">
        <v>2010</v>
      </c>
      <c r="N1977" s="297">
        <v>0.1876750700280112</v>
      </c>
    </row>
    <row r="1978" spans="1:14" ht="18" customHeight="1">
      <c r="A1978" s="293" t="s">
        <v>3580</v>
      </c>
      <c r="B1978" s="294">
        <v>46270</v>
      </c>
      <c r="C1978" s="286" t="s">
        <v>168</v>
      </c>
      <c r="D1978" s="286" t="s">
        <v>92</v>
      </c>
      <c r="E1978" s="295">
        <v>1</v>
      </c>
      <c r="F1978" s="295">
        <v>1</v>
      </c>
      <c r="G1978" s="296">
        <v>0</v>
      </c>
      <c r="H1978" s="296">
        <v>2100</v>
      </c>
      <c r="I1978" s="296">
        <v>1450</v>
      </c>
      <c r="J1978" s="296">
        <v>1522.5</v>
      </c>
      <c r="K1978" s="296">
        <v>577.5</v>
      </c>
      <c r="L1978" s="296">
        <v>0</v>
      </c>
      <c r="M1978" s="296">
        <v>650</v>
      </c>
      <c r="N1978" s="297">
        <v>0.30952380952380953</v>
      </c>
    </row>
    <row r="1979" spans="1:14" ht="18" customHeight="1">
      <c r="A1979" s="293" t="s">
        <v>3581</v>
      </c>
      <c r="B1979" s="294">
        <v>46270</v>
      </c>
      <c r="C1979" s="286" t="s">
        <v>354</v>
      </c>
      <c r="D1979" s="286" t="s">
        <v>109</v>
      </c>
      <c r="E1979" s="295">
        <v>2</v>
      </c>
      <c r="F1979" s="295">
        <v>2</v>
      </c>
      <c r="G1979" s="296">
        <v>0</v>
      </c>
      <c r="H1979" s="296">
        <v>4000</v>
      </c>
      <c r="I1979" s="296">
        <v>2550</v>
      </c>
      <c r="J1979" s="296">
        <v>2677.5</v>
      </c>
      <c r="K1979" s="296">
        <v>1322.5</v>
      </c>
      <c r="L1979" s="296">
        <v>396.75</v>
      </c>
      <c r="M1979" s="296">
        <v>1450</v>
      </c>
      <c r="N1979" s="297">
        <v>0.36249999999999999</v>
      </c>
    </row>
    <row r="1980" spans="1:14" ht="18" customHeight="1">
      <c r="A1980" s="293" t="s">
        <v>3582</v>
      </c>
      <c r="B1980" s="294">
        <v>46270</v>
      </c>
      <c r="C1980" s="286" t="s">
        <v>353</v>
      </c>
      <c r="D1980" s="286" t="s">
        <v>103</v>
      </c>
      <c r="E1980" s="295">
        <v>5</v>
      </c>
      <c r="F1980" s="295">
        <v>80</v>
      </c>
      <c r="G1980" s="296">
        <v>0</v>
      </c>
      <c r="H1980" s="296">
        <v>3800</v>
      </c>
      <c r="I1980" s="296">
        <v>1665</v>
      </c>
      <c r="J1980" s="296">
        <v>1748.25</v>
      </c>
      <c r="K1980" s="296">
        <v>2051.75</v>
      </c>
      <c r="L1980" s="296">
        <v>615.52499999999998</v>
      </c>
      <c r="M1980" s="296">
        <v>2135</v>
      </c>
      <c r="N1980" s="297">
        <v>0.56184210526315792</v>
      </c>
    </row>
    <row r="1981" spans="1:14" ht="18" customHeight="1">
      <c r="A1981" s="293" t="s">
        <v>3583</v>
      </c>
      <c r="B1981" s="294">
        <v>46270</v>
      </c>
      <c r="C1981" s="286" t="s">
        <v>168</v>
      </c>
      <c r="D1981" s="286" t="s">
        <v>121</v>
      </c>
      <c r="E1981" s="295">
        <v>2</v>
      </c>
      <c r="F1981" s="295">
        <v>2</v>
      </c>
      <c r="G1981" s="296">
        <v>0</v>
      </c>
      <c r="H1981" s="296">
        <v>11100</v>
      </c>
      <c r="I1981" s="296">
        <v>8670</v>
      </c>
      <c r="J1981" s="296">
        <v>9103.5</v>
      </c>
      <c r="K1981" s="296">
        <v>1996.5</v>
      </c>
      <c r="L1981" s="296">
        <v>0</v>
      </c>
      <c r="M1981" s="296">
        <v>2430</v>
      </c>
      <c r="N1981" s="297">
        <v>0.21891891891891893</v>
      </c>
    </row>
    <row r="1982" spans="1:14" ht="18" customHeight="1">
      <c r="A1982" s="293" t="s">
        <v>3584</v>
      </c>
      <c r="B1982" s="294">
        <v>46270</v>
      </c>
      <c r="C1982" s="286" t="s">
        <v>168</v>
      </c>
      <c r="D1982" s="286" t="s">
        <v>96</v>
      </c>
      <c r="E1982" s="295">
        <v>3</v>
      </c>
      <c r="F1982" s="295">
        <v>3</v>
      </c>
      <c r="G1982" s="296">
        <v>0</v>
      </c>
      <c r="H1982" s="296">
        <v>9750</v>
      </c>
      <c r="I1982" s="296">
        <v>8150</v>
      </c>
      <c r="J1982" s="296">
        <v>8557.5</v>
      </c>
      <c r="K1982" s="296">
        <v>1192.5</v>
      </c>
      <c r="L1982" s="296">
        <v>0</v>
      </c>
      <c r="M1982" s="296">
        <v>1600</v>
      </c>
      <c r="N1982" s="297">
        <v>0.1641025641025641</v>
      </c>
    </row>
    <row r="1983" spans="1:14" ht="18" customHeight="1">
      <c r="A1983" s="293" t="s">
        <v>3585</v>
      </c>
      <c r="B1983" s="294">
        <v>46270</v>
      </c>
      <c r="C1983" s="286" t="s">
        <v>168</v>
      </c>
      <c r="D1983" s="286" t="s">
        <v>105</v>
      </c>
      <c r="E1983" s="295">
        <v>1</v>
      </c>
      <c r="F1983" s="295">
        <v>1</v>
      </c>
      <c r="G1983" s="296">
        <v>0</v>
      </c>
      <c r="H1983" s="296">
        <v>680</v>
      </c>
      <c r="I1983" s="296">
        <v>450</v>
      </c>
      <c r="J1983" s="296">
        <v>472.5</v>
      </c>
      <c r="K1983" s="296">
        <v>207.5</v>
      </c>
      <c r="L1983" s="296">
        <v>0</v>
      </c>
      <c r="M1983" s="296">
        <v>230</v>
      </c>
      <c r="N1983" s="297">
        <v>0.33823529411764708</v>
      </c>
    </row>
    <row r="1984" spans="1:14" ht="18" customHeight="1">
      <c r="A1984" s="293" t="s">
        <v>3586</v>
      </c>
      <c r="B1984" s="294">
        <v>46270</v>
      </c>
      <c r="C1984" s="286" t="s">
        <v>168</v>
      </c>
      <c r="D1984" s="286" t="s">
        <v>129</v>
      </c>
      <c r="E1984" s="295">
        <v>4</v>
      </c>
      <c r="F1984" s="295">
        <v>17</v>
      </c>
      <c r="G1984" s="296">
        <v>0</v>
      </c>
      <c r="H1984" s="296">
        <v>825</v>
      </c>
      <c r="I1984" s="296">
        <v>481.25</v>
      </c>
      <c r="J1984" s="296">
        <v>496.52750000000003</v>
      </c>
      <c r="K1984" s="296">
        <v>328.47249999999997</v>
      </c>
      <c r="L1984" s="296">
        <v>0</v>
      </c>
      <c r="M1984" s="296">
        <v>343.75</v>
      </c>
      <c r="N1984" s="297">
        <v>0.41666666666666669</v>
      </c>
    </row>
    <row r="1985" spans="1:14" ht="18" customHeight="1">
      <c r="A1985" s="293" t="s">
        <v>3587</v>
      </c>
      <c r="B1985" s="294">
        <v>46270</v>
      </c>
      <c r="C1985" s="286" t="s">
        <v>358</v>
      </c>
      <c r="D1985" s="286" t="s">
        <v>130</v>
      </c>
      <c r="E1985" s="295">
        <v>1</v>
      </c>
      <c r="F1985" s="295">
        <v>1</v>
      </c>
      <c r="G1985" s="296">
        <v>0</v>
      </c>
      <c r="H1985" s="296">
        <v>2100</v>
      </c>
      <c r="I1985" s="296">
        <v>1400</v>
      </c>
      <c r="J1985" s="296">
        <v>1470</v>
      </c>
      <c r="K1985" s="296">
        <v>630</v>
      </c>
      <c r="L1985" s="296">
        <v>189</v>
      </c>
      <c r="M1985" s="296">
        <v>700</v>
      </c>
      <c r="N1985" s="297">
        <v>0.33333333333333331</v>
      </c>
    </row>
    <row r="1986" spans="1:14" ht="18" customHeight="1">
      <c r="A1986" s="293" t="s">
        <v>3588</v>
      </c>
      <c r="B1986" s="294">
        <v>46270</v>
      </c>
      <c r="C1986" s="286" t="s">
        <v>168</v>
      </c>
      <c r="D1986" s="286" t="s">
        <v>99</v>
      </c>
      <c r="E1986" s="295">
        <v>4</v>
      </c>
      <c r="F1986" s="295">
        <v>10</v>
      </c>
      <c r="G1986" s="296">
        <v>0</v>
      </c>
      <c r="H1986" s="296">
        <v>1345</v>
      </c>
      <c r="I1986" s="296">
        <v>900.59999999999991</v>
      </c>
      <c r="J1986" s="296">
        <v>927.61800000000017</v>
      </c>
      <c r="K1986" s="296">
        <v>417.38199999999995</v>
      </c>
      <c r="L1986" s="296">
        <v>0</v>
      </c>
      <c r="M1986" s="296">
        <v>444.40000000000009</v>
      </c>
      <c r="N1986" s="297">
        <v>0.33040892193308558</v>
      </c>
    </row>
    <row r="1987" spans="1:14" ht="18" customHeight="1">
      <c r="A1987" s="293" t="s">
        <v>3589</v>
      </c>
      <c r="B1987" s="294">
        <v>46270</v>
      </c>
      <c r="C1987" s="286" t="s">
        <v>359</v>
      </c>
      <c r="D1987" s="286" t="s">
        <v>114</v>
      </c>
      <c r="E1987" s="295">
        <v>1</v>
      </c>
      <c r="F1987" s="295">
        <v>1</v>
      </c>
      <c r="G1987" s="296">
        <v>0</v>
      </c>
      <c r="H1987" s="296">
        <v>1786</v>
      </c>
      <c r="I1987" s="296">
        <v>900</v>
      </c>
      <c r="J1987" s="296">
        <v>945</v>
      </c>
      <c r="K1987" s="296">
        <v>841</v>
      </c>
      <c r="L1987" s="296">
        <v>252.29999999999998</v>
      </c>
      <c r="M1987" s="296">
        <v>886</v>
      </c>
      <c r="N1987" s="297">
        <v>0.49608062709966405</v>
      </c>
    </row>
    <row r="1988" spans="1:14" ht="18" customHeight="1">
      <c r="A1988" s="293" t="s">
        <v>3590</v>
      </c>
      <c r="B1988" s="294">
        <v>46272</v>
      </c>
      <c r="C1988" s="286" t="s">
        <v>168</v>
      </c>
      <c r="D1988" s="286" t="s">
        <v>215</v>
      </c>
      <c r="E1988" s="295">
        <v>12</v>
      </c>
      <c r="F1988" s="295">
        <v>18.399999999999999</v>
      </c>
      <c r="G1988" s="296">
        <v>0</v>
      </c>
      <c r="H1988" s="296">
        <v>2558</v>
      </c>
      <c r="I1988" s="296">
        <v>1704.9</v>
      </c>
      <c r="J1988" s="296">
        <v>1757.7670000000001</v>
      </c>
      <c r="K1988" s="296">
        <v>800.23299999999983</v>
      </c>
      <c r="L1988" s="296">
        <v>0</v>
      </c>
      <c r="M1988" s="296">
        <v>853.09999999999991</v>
      </c>
      <c r="N1988" s="297">
        <v>0.33350273651290069</v>
      </c>
    </row>
    <row r="1989" spans="1:14" ht="18" customHeight="1">
      <c r="A1989" s="293" t="s">
        <v>3591</v>
      </c>
      <c r="B1989" s="294">
        <v>46272</v>
      </c>
      <c r="C1989" s="286" t="s">
        <v>3773</v>
      </c>
      <c r="D1989" s="286" t="s">
        <v>102</v>
      </c>
      <c r="E1989" s="295">
        <v>3</v>
      </c>
      <c r="F1989" s="295">
        <v>4</v>
      </c>
      <c r="G1989" s="296">
        <v>0</v>
      </c>
      <c r="H1989" s="296">
        <v>750</v>
      </c>
      <c r="I1989" s="296">
        <v>345</v>
      </c>
      <c r="J1989" s="296">
        <v>359.75</v>
      </c>
      <c r="K1989" s="296">
        <v>390.25</v>
      </c>
      <c r="L1989" s="296">
        <v>117.07499999999999</v>
      </c>
      <c r="M1989" s="296">
        <v>405</v>
      </c>
      <c r="N1989" s="297">
        <v>0.54</v>
      </c>
    </row>
    <row r="1990" spans="1:14" ht="18" customHeight="1">
      <c r="A1990" s="293" t="s">
        <v>3592</v>
      </c>
      <c r="B1990" s="294">
        <v>46272</v>
      </c>
      <c r="C1990" s="286" t="s">
        <v>353</v>
      </c>
      <c r="D1990" s="286" t="s">
        <v>108</v>
      </c>
      <c r="E1990" s="295">
        <v>2</v>
      </c>
      <c r="F1990" s="295">
        <v>2</v>
      </c>
      <c r="G1990" s="296">
        <v>0</v>
      </c>
      <c r="H1990" s="296">
        <v>360</v>
      </c>
      <c r="I1990" s="296">
        <v>120</v>
      </c>
      <c r="J1990" s="296">
        <v>126</v>
      </c>
      <c r="K1990" s="296">
        <v>234</v>
      </c>
      <c r="L1990" s="296">
        <v>70.2</v>
      </c>
      <c r="M1990" s="296">
        <v>240</v>
      </c>
      <c r="N1990" s="297">
        <v>0.66666666666666663</v>
      </c>
    </row>
    <row r="1991" spans="1:14" ht="18" customHeight="1">
      <c r="A1991" s="293" t="s">
        <v>3593</v>
      </c>
      <c r="B1991" s="294">
        <v>46272</v>
      </c>
      <c r="C1991" s="286" t="s">
        <v>168</v>
      </c>
      <c r="D1991" s="286" t="s">
        <v>92</v>
      </c>
      <c r="E1991" s="295">
        <v>2</v>
      </c>
      <c r="F1991" s="295">
        <v>2</v>
      </c>
      <c r="G1991" s="296">
        <v>0</v>
      </c>
      <c r="H1991" s="296">
        <v>1260</v>
      </c>
      <c r="I1991" s="296">
        <v>580</v>
      </c>
      <c r="J1991" s="296">
        <v>609</v>
      </c>
      <c r="K1991" s="296">
        <v>651</v>
      </c>
      <c r="L1991" s="296">
        <v>0</v>
      </c>
      <c r="M1991" s="296">
        <v>680</v>
      </c>
      <c r="N1991" s="297">
        <v>0.53968253968253965</v>
      </c>
    </row>
    <row r="1992" spans="1:14" ht="18" customHeight="1">
      <c r="A1992" s="293" t="s">
        <v>3594</v>
      </c>
      <c r="B1992" s="294">
        <v>46272</v>
      </c>
      <c r="C1992" s="286" t="s">
        <v>168</v>
      </c>
      <c r="D1992" s="286" t="s">
        <v>97</v>
      </c>
      <c r="E1992" s="295">
        <v>1</v>
      </c>
      <c r="F1992" s="295">
        <v>1</v>
      </c>
      <c r="G1992" s="296">
        <v>0</v>
      </c>
      <c r="H1992" s="296">
        <v>9000</v>
      </c>
      <c r="I1992" s="296">
        <v>7820</v>
      </c>
      <c r="J1992" s="296">
        <v>8211</v>
      </c>
      <c r="K1992" s="296">
        <v>789</v>
      </c>
      <c r="L1992" s="296">
        <v>0</v>
      </c>
      <c r="M1992" s="296">
        <v>1180</v>
      </c>
      <c r="N1992" s="297">
        <v>0.13111111111111112</v>
      </c>
    </row>
    <row r="1993" spans="1:14" ht="18" customHeight="1">
      <c r="A1993" s="293" t="s">
        <v>3595</v>
      </c>
      <c r="B1993" s="294">
        <v>46272</v>
      </c>
      <c r="C1993" s="286" t="s">
        <v>168</v>
      </c>
      <c r="D1993" s="286" t="s">
        <v>99</v>
      </c>
      <c r="E1993" s="295">
        <v>1</v>
      </c>
      <c r="F1993" s="295">
        <v>1</v>
      </c>
      <c r="G1993" s="296">
        <v>0</v>
      </c>
      <c r="H1993" s="296">
        <v>270</v>
      </c>
      <c r="I1993" s="296">
        <v>100</v>
      </c>
      <c r="J1993" s="296">
        <v>105</v>
      </c>
      <c r="K1993" s="296">
        <v>165</v>
      </c>
      <c r="L1993" s="296">
        <v>0</v>
      </c>
      <c r="M1993" s="296">
        <v>170</v>
      </c>
      <c r="N1993" s="297">
        <v>0.62962962962962965</v>
      </c>
    </row>
    <row r="1994" spans="1:14" ht="18" customHeight="1">
      <c r="A1994" s="293" t="s">
        <v>3596</v>
      </c>
      <c r="B1994" s="294">
        <v>46273</v>
      </c>
      <c r="C1994" s="286" t="s">
        <v>348</v>
      </c>
      <c r="D1994" s="286" t="s">
        <v>247</v>
      </c>
      <c r="E1994" s="295">
        <v>2</v>
      </c>
      <c r="F1994" s="295">
        <v>2</v>
      </c>
      <c r="G1994" s="296">
        <v>0</v>
      </c>
      <c r="H1994" s="296">
        <v>2098</v>
      </c>
      <c r="I1994" s="296">
        <v>1420</v>
      </c>
      <c r="J1994" s="296">
        <v>1491</v>
      </c>
      <c r="K1994" s="296">
        <v>607</v>
      </c>
      <c r="L1994" s="296">
        <v>182.1</v>
      </c>
      <c r="M1994" s="296">
        <v>678</v>
      </c>
      <c r="N1994" s="297">
        <v>0.32316491897044802</v>
      </c>
    </row>
    <row r="1995" spans="1:14" ht="18" customHeight="1">
      <c r="A1995" s="293" t="s">
        <v>3597</v>
      </c>
      <c r="B1995" s="294">
        <v>46273</v>
      </c>
      <c r="C1995" s="286" t="s">
        <v>168</v>
      </c>
      <c r="D1995" s="286" t="s">
        <v>121</v>
      </c>
      <c r="E1995" s="295">
        <v>1</v>
      </c>
      <c r="F1995" s="295">
        <v>1</v>
      </c>
      <c r="G1995" s="296">
        <v>0</v>
      </c>
      <c r="H1995" s="296">
        <v>2000</v>
      </c>
      <c r="I1995" s="296">
        <v>1300</v>
      </c>
      <c r="J1995" s="296">
        <v>1365</v>
      </c>
      <c r="K1995" s="296">
        <v>635</v>
      </c>
      <c r="L1995" s="296">
        <v>0</v>
      </c>
      <c r="M1995" s="296">
        <v>700</v>
      </c>
      <c r="N1995" s="297">
        <v>0.35</v>
      </c>
    </row>
    <row r="1996" spans="1:14" ht="18" customHeight="1">
      <c r="A1996" s="293" t="s">
        <v>3598</v>
      </c>
      <c r="B1996" s="294">
        <v>46273</v>
      </c>
      <c r="C1996" s="286" t="s">
        <v>168</v>
      </c>
      <c r="D1996" s="286" t="s">
        <v>96</v>
      </c>
      <c r="E1996" s="295">
        <v>3</v>
      </c>
      <c r="F1996" s="295">
        <v>3</v>
      </c>
      <c r="G1996" s="296">
        <v>0</v>
      </c>
      <c r="H1996" s="296">
        <v>2400</v>
      </c>
      <c r="I1996" s="296">
        <v>1487</v>
      </c>
      <c r="J1996" s="296">
        <v>1561.35</v>
      </c>
      <c r="K1996" s="296">
        <v>838.65</v>
      </c>
      <c r="L1996" s="296">
        <v>0</v>
      </c>
      <c r="M1996" s="296">
        <v>913</v>
      </c>
      <c r="N1996" s="297">
        <v>0.38041666666666668</v>
      </c>
    </row>
    <row r="1997" spans="1:14" ht="18" customHeight="1">
      <c r="A1997" s="293" t="s">
        <v>3599</v>
      </c>
      <c r="B1997" s="294">
        <v>46273</v>
      </c>
      <c r="C1997" s="286" t="s">
        <v>358</v>
      </c>
      <c r="D1997" s="286" t="s">
        <v>98</v>
      </c>
      <c r="E1997" s="295">
        <v>1</v>
      </c>
      <c r="F1997" s="295">
        <v>1</v>
      </c>
      <c r="G1997" s="296">
        <v>0</v>
      </c>
      <c r="H1997" s="296">
        <v>9000</v>
      </c>
      <c r="I1997" s="296">
        <v>7820</v>
      </c>
      <c r="J1997" s="296">
        <v>8211</v>
      </c>
      <c r="K1997" s="296">
        <v>789</v>
      </c>
      <c r="L1997" s="296">
        <v>236.7</v>
      </c>
      <c r="M1997" s="296">
        <v>1180</v>
      </c>
      <c r="N1997" s="297">
        <v>0.13111111111111112</v>
      </c>
    </row>
    <row r="1998" spans="1:14" ht="18" customHeight="1">
      <c r="A1998" s="293" t="s">
        <v>3600</v>
      </c>
      <c r="B1998" s="294">
        <v>46273</v>
      </c>
      <c r="C1998" s="286" t="s">
        <v>168</v>
      </c>
      <c r="D1998" s="286" t="s">
        <v>99</v>
      </c>
      <c r="E1998" s="295">
        <v>3</v>
      </c>
      <c r="F1998" s="295">
        <v>3</v>
      </c>
      <c r="G1998" s="296">
        <v>0</v>
      </c>
      <c r="H1998" s="296">
        <v>265</v>
      </c>
      <c r="I1998" s="296">
        <v>110</v>
      </c>
      <c r="J1998" s="296">
        <v>115.11999999999999</v>
      </c>
      <c r="K1998" s="296">
        <v>149.88</v>
      </c>
      <c r="L1998" s="296">
        <v>0</v>
      </c>
      <c r="M1998" s="296">
        <v>155</v>
      </c>
      <c r="N1998" s="297">
        <v>0.58490566037735847</v>
      </c>
    </row>
    <row r="1999" spans="1:14" ht="18" customHeight="1">
      <c r="A1999" s="293" t="s">
        <v>3601</v>
      </c>
      <c r="B1999" s="294">
        <v>46274</v>
      </c>
      <c r="C1999" s="286" t="s">
        <v>168</v>
      </c>
      <c r="D1999" s="286" t="s">
        <v>115</v>
      </c>
      <c r="E1999" s="295">
        <v>2</v>
      </c>
      <c r="F1999" s="295">
        <v>2</v>
      </c>
      <c r="G1999" s="296">
        <v>0</v>
      </c>
      <c r="H1999" s="296">
        <v>2650</v>
      </c>
      <c r="I1999" s="296">
        <v>1100</v>
      </c>
      <c r="J1999" s="296">
        <v>1155</v>
      </c>
      <c r="K1999" s="296">
        <v>1495</v>
      </c>
      <c r="L1999" s="296">
        <v>0</v>
      </c>
      <c r="M1999" s="296">
        <v>1550</v>
      </c>
      <c r="N1999" s="297">
        <v>0.58490566037735847</v>
      </c>
    </row>
    <row r="2000" spans="1:14" ht="18" customHeight="1">
      <c r="A2000" s="293" t="s">
        <v>3602</v>
      </c>
      <c r="B2000" s="294">
        <v>46274</v>
      </c>
      <c r="C2000" s="286" t="s">
        <v>168</v>
      </c>
      <c r="D2000" s="286" t="s">
        <v>120</v>
      </c>
      <c r="E2000" s="295">
        <v>1</v>
      </c>
      <c r="F2000" s="295">
        <v>1</v>
      </c>
      <c r="G2000" s="296">
        <v>0</v>
      </c>
      <c r="H2000" s="296">
        <v>600</v>
      </c>
      <c r="I2000" s="296">
        <v>340</v>
      </c>
      <c r="J2000" s="296">
        <v>357</v>
      </c>
      <c r="K2000" s="296">
        <v>243</v>
      </c>
      <c r="L2000" s="296">
        <v>0</v>
      </c>
      <c r="M2000" s="296">
        <v>260</v>
      </c>
      <c r="N2000" s="297">
        <v>0.43333333333333335</v>
      </c>
    </row>
    <row r="2001" spans="1:14" ht="18" customHeight="1">
      <c r="A2001" s="293" t="s">
        <v>3603</v>
      </c>
      <c r="B2001" s="294">
        <v>46274</v>
      </c>
      <c r="C2001" s="286" t="s">
        <v>353</v>
      </c>
      <c r="D2001" s="286" t="s">
        <v>108</v>
      </c>
      <c r="E2001" s="295">
        <v>3</v>
      </c>
      <c r="F2001" s="295">
        <v>3</v>
      </c>
      <c r="G2001" s="296">
        <v>0</v>
      </c>
      <c r="H2001" s="296">
        <v>2720</v>
      </c>
      <c r="I2001" s="296">
        <v>1505</v>
      </c>
      <c r="J2001" s="296">
        <v>1580.25</v>
      </c>
      <c r="K2001" s="296">
        <v>1139.75</v>
      </c>
      <c r="L2001" s="296">
        <v>341.92500000000001</v>
      </c>
      <c r="M2001" s="296">
        <v>1215</v>
      </c>
      <c r="N2001" s="297">
        <v>0.44669117647058826</v>
      </c>
    </row>
    <row r="2002" spans="1:14" ht="18" customHeight="1">
      <c r="A2002" s="293" t="s">
        <v>3604</v>
      </c>
      <c r="B2002" s="294">
        <v>46274</v>
      </c>
      <c r="C2002" s="286" t="s">
        <v>168</v>
      </c>
      <c r="D2002" s="286" t="s">
        <v>156</v>
      </c>
      <c r="E2002" s="295">
        <v>1</v>
      </c>
      <c r="F2002" s="295">
        <v>1</v>
      </c>
      <c r="G2002" s="296">
        <v>0</v>
      </c>
      <c r="H2002" s="296">
        <v>1000</v>
      </c>
      <c r="I2002" s="296">
        <v>430</v>
      </c>
      <c r="J2002" s="296">
        <v>451.5</v>
      </c>
      <c r="K2002" s="296">
        <v>548.5</v>
      </c>
      <c r="L2002" s="296">
        <v>0</v>
      </c>
      <c r="M2002" s="296">
        <v>570</v>
      </c>
      <c r="N2002" s="297">
        <v>0.56999999999999995</v>
      </c>
    </row>
    <row r="2003" spans="1:14" ht="18" customHeight="1">
      <c r="A2003" s="293" t="s">
        <v>3605</v>
      </c>
      <c r="B2003" s="294">
        <v>46274</v>
      </c>
      <c r="C2003" s="286" t="s">
        <v>168</v>
      </c>
      <c r="D2003" s="286" t="s">
        <v>92</v>
      </c>
      <c r="E2003" s="295">
        <v>1</v>
      </c>
      <c r="F2003" s="295">
        <v>1</v>
      </c>
      <c r="G2003" s="296">
        <v>0</v>
      </c>
      <c r="H2003" s="296">
        <v>630</v>
      </c>
      <c r="I2003" s="296">
        <v>450</v>
      </c>
      <c r="J2003" s="296">
        <v>472.5</v>
      </c>
      <c r="K2003" s="296">
        <v>157.5</v>
      </c>
      <c r="L2003" s="296">
        <v>0</v>
      </c>
      <c r="M2003" s="296">
        <v>180</v>
      </c>
      <c r="N2003" s="297">
        <v>0.2857142857142857</v>
      </c>
    </row>
    <row r="2004" spans="1:14" ht="18" customHeight="1">
      <c r="A2004" s="293" t="s">
        <v>3606</v>
      </c>
      <c r="B2004" s="294">
        <v>46274</v>
      </c>
      <c r="C2004" s="286" t="s">
        <v>3773</v>
      </c>
      <c r="D2004" s="286" t="s">
        <v>116</v>
      </c>
      <c r="E2004" s="295">
        <v>2</v>
      </c>
      <c r="F2004" s="295">
        <v>8</v>
      </c>
      <c r="G2004" s="296">
        <v>0</v>
      </c>
      <c r="H2004" s="296">
        <v>1820</v>
      </c>
      <c r="I2004" s="296">
        <v>890</v>
      </c>
      <c r="J2004" s="296">
        <v>934.5</v>
      </c>
      <c r="K2004" s="296">
        <v>885.5</v>
      </c>
      <c r="L2004" s="296">
        <v>265.64999999999998</v>
      </c>
      <c r="M2004" s="296">
        <v>930</v>
      </c>
      <c r="N2004" s="297">
        <v>0.51098901098901095</v>
      </c>
    </row>
    <row r="2005" spans="1:14" ht="18" customHeight="1">
      <c r="A2005" s="293" t="s">
        <v>3607</v>
      </c>
      <c r="B2005" s="294">
        <v>46274</v>
      </c>
      <c r="C2005" s="286" t="s">
        <v>168</v>
      </c>
      <c r="D2005" s="286" t="s">
        <v>129</v>
      </c>
      <c r="E2005" s="295">
        <v>3</v>
      </c>
      <c r="F2005" s="295">
        <v>7</v>
      </c>
      <c r="G2005" s="296">
        <v>0</v>
      </c>
      <c r="H2005" s="296">
        <v>2800</v>
      </c>
      <c r="I2005" s="296">
        <v>1614</v>
      </c>
      <c r="J2005" s="296">
        <v>1692.42</v>
      </c>
      <c r="K2005" s="296">
        <v>1107.58</v>
      </c>
      <c r="L2005" s="296">
        <v>0</v>
      </c>
      <c r="M2005" s="296">
        <v>1186</v>
      </c>
      <c r="N2005" s="297">
        <v>0.4235714285714286</v>
      </c>
    </row>
    <row r="2006" spans="1:14" ht="18" customHeight="1">
      <c r="A2006" s="293" t="s">
        <v>3608</v>
      </c>
      <c r="B2006" s="294">
        <v>46274</v>
      </c>
      <c r="C2006" s="286" t="s">
        <v>168</v>
      </c>
      <c r="D2006" s="286" t="s">
        <v>99</v>
      </c>
      <c r="E2006" s="295">
        <v>1</v>
      </c>
      <c r="F2006" s="295">
        <v>1</v>
      </c>
      <c r="G2006" s="296">
        <v>0</v>
      </c>
      <c r="H2006" s="296">
        <v>35</v>
      </c>
      <c r="I2006" s="296">
        <v>19</v>
      </c>
      <c r="J2006" s="296">
        <v>19.57</v>
      </c>
      <c r="K2006" s="296">
        <v>15.43</v>
      </c>
      <c r="L2006" s="296">
        <v>0</v>
      </c>
      <c r="M2006" s="296">
        <v>16</v>
      </c>
      <c r="N2006" s="297">
        <v>0.45714285714285713</v>
      </c>
    </row>
    <row r="2007" spans="1:14" ht="18" customHeight="1">
      <c r="A2007" s="293" t="s">
        <v>3609</v>
      </c>
      <c r="B2007" s="294">
        <v>46274</v>
      </c>
      <c r="C2007" s="286" t="s">
        <v>359</v>
      </c>
      <c r="D2007" s="286" t="s">
        <v>114</v>
      </c>
      <c r="E2007" s="295">
        <v>1</v>
      </c>
      <c r="F2007" s="295">
        <v>1</v>
      </c>
      <c r="G2007" s="296">
        <v>0</v>
      </c>
      <c r="H2007" s="296">
        <v>2000</v>
      </c>
      <c r="I2007" s="296">
        <v>1300</v>
      </c>
      <c r="J2007" s="296">
        <v>1365</v>
      </c>
      <c r="K2007" s="296">
        <v>635</v>
      </c>
      <c r="L2007" s="296">
        <v>190.5</v>
      </c>
      <c r="M2007" s="296">
        <v>700</v>
      </c>
      <c r="N2007" s="297">
        <v>0.35</v>
      </c>
    </row>
    <row r="2008" spans="1:14" ht="18" customHeight="1">
      <c r="A2008" s="293" t="s">
        <v>3610</v>
      </c>
      <c r="B2008" s="294">
        <v>46275</v>
      </c>
      <c r="C2008" s="286" t="s">
        <v>168</v>
      </c>
      <c r="D2008" s="286" t="s">
        <v>97</v>
      </c>
      <c r="E2008" s="295">
        <v>2</v>
      </c>
      <c r="F2008" s="295">
        <v>2</v>
      </c>
      <c r="G2008" s="296">
        <v>0</v>
      </c>
      <c r="H2008" s="296">
        <v>4100</v>
      </c>
      <c r="I2008" s="296">
        <v>2450</v>
      </c>
      <c r="J2008" s="296">
        <v>2572.5</v>
      </c>
      <c r="K2008" s="296">
        <v>1527.5</v>
      </c>
      <c r="L2008" s="296">
        <v>0</v>
      </c>
      <c r="M2008" s="296">
        <v>1650</v>
      </c>
      <c r="N2008" s="297">
        <v>0.40243902439024393</v>
      </c>
    </row>
    <row r="2009" spans="1:14" ht="18" customHeight="1">
      <c r="A2009" s="293" t="s">
        <v>3611</v>
      </c>
      <c r="B2009" s="294">
        <v>46275</v>
      </c>
      <c r="C2009" s="286" t="s">
        <v>168</v>
      </c>
      <c r="D2009" s="286" t="s">
        <v>285</v>
      </c>
      <c r="E2009" s="295">
        <v>1</v>
      </c>
      <c r="F2009" s="295">
        <v>2</v>
      </c>
      <c r="G2009" s="296">
        <v>0</v>
      </c>
      <c r="H2009" s="296">
        <v>8600</v>
      </c>
      <c r="I2009" s="296">
        <v>5701.08</v>
      </c>
      <c r="J2009" s="296">
        <v>5986.134</v>
      </c>
      <c r="K2009" s="296">
        <v>2613.866</v>
      </c>
      <c r="L2009" s="296">
        <v>0</v>
      </c>
      <c r="M2009" s="296">
        <v>2898.92</v>
      </c>
      <c r="N2009" s="297">
        <v>0.33708372093023259</v>
      </c>
    </row>
    <row r="2010" spans="1:14" ht="18" customHeight="1">
      <c r="A2010" s="293" t="s">
        <v>3612</v>
      </c>
      <c r="B2010" s="294">
        <v>46275</v>
      </c>
      <c r="C2010" s="286" t="s">
        <v>3773</v>
      </c>
      <c r="D2010" s="286" t="s">
        <v>102</v>
      </c>
      <c r="E2010" s="295">
        <v>4</v>
      </c>
      <c r="F2010" s="295">
        <v>5</v>
      </c>
      <c r="G2010" s="296">
        <v>0</v>
      </c>
      <c r="H2010" s="296">
        <v>2060</v>
      </c>
      <c r="I2010" s="296">
        <v>960</v>
      </c>
      <c r="J2010" s="296">
        <v>1008</v>
      </c>
      <c r="K2010" s="296">
        <v>1052</v>
      </c>
      <c r="L2010" s="296">
        <v>315.60000000000002</v>
      </c>
      <c r="M2010" s="296">
        <v>1100</v>
      </c>
      <c r="N2010" s="297">
        <v>0.53398058252427183</v>
      </c>
    </row>
    <row r="2011" spans="1:14" ht="18" customHeight="1">
      <c r="A2011" s="293" t="s">
        <v>3613</v>
      </c>
      <c r="B2011" s="294">
        <v>46275</v>
      </c>
      <c r="C2011" s="286" t="s">
        <v>168</v>
      </c>
      <c r="D2011" s="286" t="s">
        <v>257</v>
      </c>
      <c r="E2011" s="295">
        <v>1</v>
      </c>
      <c r="F2011" s="295">
        <v>10</v>
      </c>
      <c r="G2011" s="296">
        <v>0</v>
      </c>
      <c r="H2011" s="296">
        <v>1200</v>
      </c>
      <c r="I2011" s="296">
        <v>650</v>
      </c>
      <c r="J2011" s="296">
        <v>682.5</v>
      </c>
      <c r="K2011" s="296">
        <v>517.5</v>
      </c>
      <c r="L2011" s="296">
        <v>0</v>
      </c>
      <c r="M2011" s="296">
        <v>550</v>
      </c>
      <c r="N2011" s="297">
        <v>0.45833333333333331</v>
      </c>
    </row>
    <row r="2012" spans="1:14" ht="18" customHeight="1">
      <c r="A2012" s="293" t="s">
        <v>3614</v>
      </c>
      <c r="B2012" s="294">
        <v>46275</v>
      </c>
      <c r="C2012" s="286" t="s">
        <v>168</v>
      </c>
      <c r="D2012" s="286" t="s">
        <v>99</v>
      </c>
      <c r="E2012" s="295">
        <v>2</v>
      </c>
      <c r="F2012" s="295">
        <v>4</v>
      </c>
      <c r="G2012" s="296">
        <v>0</v>
      </c>
      <c r="H2012" s="296">
        <v>490</v>
      </c>
      <c r="I2012" s="296">
        <v>213</v>
      </c>
      <c r="J2012" s="296">
        <v>223.65</v>
      </c>
      <c r="K2012" s="296">
        <v>266.35000000000002</v>
      </c>
      <c r="L2012" s="296">
        <v>0</v>
      </c>
      <c r="M2012" s="296">
        <v>277</v>
      </c>
      <c r="N2012" s="297">
        <v>0.5653061224489796</v>
      </c>
    </row>
    <row r="2013" spans="1:14" ht="18" customHeight="1">
      <c r="A2013" s="293" t="s">
        <v>3615</v>
      </c>
      <c r="B2013" s="294">
        <v>46276</v>
      </c>
      <c r="C2013" s="286" t="s">
        <v>3773</v>
      </c>
      <c r="D2013" s="286" t="s">
        <v>102</v>
      </c>
      <c r="E2013" s="295">
        <v>2</v>
      </c>
      <c r="F2013" s="295">
        <v>2</v>
      </c>
      <c r="G2013" s="296">
        <v>0</v>
      </c>
      <c r="H2013" s="296">
        <v>1110</v>
      </c>
      <c r="I2013" s="296">
        <v>510</v>
      </c>
      <c r="J2013" s="296">
        <v>535.5</v>
      </c>
      <c r="K2013" s="296">
        <v>574.5</v>
      </c>
      <c r="L2013" s="296">
        <v>172.35</v>
      </c>
      <c r="M2013" s="296">
        <v>600</v>
      </c>
      <c r="N2013" s="297">
        <v>0.54054054054054057</v>
      </c>
    </row>
    <row r="2014" spans="1:14" ht="18" customHeight="1">
      <c r="A2014" s="293" t="s">
        <v>3616</v>
      </c>
      <c r="B2014" s="294">
        <v>46276</v>
      </c>
      <c r="C2014" s="286" t="s">
        <v>168</v>
      </c>
      <c r="D2014" s="286" t="s">
        <v>92</v>
      </c>
      <c r="E2014" s="295">
        <v>2</v>
      </c>
      <c r="F2014" s="295">
        <v>2</v>
      </c>
      <c r="G2014" s="296">
        <v>0</v>
      </c>
      <c r="H2014" s="296">
        <v>4300</v>
      </c>
      <c r="I2014" s="296">
        <v>2950</v>
      </c>
      <c r="J2014" s="296">
        <v>3097.5</v>
      </c>
      <c r="K2014" s="296">
        <v>1202.5</v>
      </c>
      <c r="L2014" s="296">
        <v>0</v>
      </c>
      <c r="M2014" s="296">
        <v>1350</v>
      </c>
      <c r="N2014" s="297">
        <v>0.31395348837209303</v>
      </c>
    </row>
    <row r="2015" spans="1:14" ht="18" customHeight="1">
      <c r="A2015" s="293" t="s">
        <v>3617</v>
      </c>
      <c r="B2015" s="294">
        <v>46276</v>
      </c>
      <c r="C2015" s="286" t="s">
        <v>359</v>
      </c>
      <c r="D2015" s="286" t="s">
        <v>114</v>
      </c>
      <c r="E2015" s="295">
        <v>1</v>
      </c>
      <c r="F2015" s="295">
        <v>1</v>
      </c>
      <c r="G2015" s="296">
        <v>0</v>
      </c>
      <c r="H2015" s="296">
        <v>2000</v>
      </c>
      <c r="I2015" s="296">
        <v>1350</v>
      </c>
      <c r="J2015" s="296">
        <v>1417.5</v>
      </c>
      <c r="K2015" s="296">
        <v>582.5</v>
      </c>
      <c r="L2015" s="296">
        <v>174.75</v>
      </c>
      <c r="M2015" s="296">
        <v>650</v>
      </c>
      <c r="N2015" s="297">
        <v>0.32500000000000001</v>
      </c>
    </row>
    <row r="2016" spans="1:14" ht="18" customHeight="1">
      <c r="A2016" s="293" t="s">
        <v>3618</v>
      </c>
      <c r="B2016" s="294">
        <v>46276</v>
      </c>
      <c r="C2016" s="286" t="s">
        <v>353</v>
      </c>
      <c r="D2016" s="286" t="s">
        <v>94</v>
      </c>
      <c r="E2016" s="295">
        <v>3</v>
      </c>
      <c r="F2016" s="295">
        <v>7</v>
      </c>
      <c r="G2016" s="296">
        <v>0</v>
      </c>
      <c r="H2016" s="296">
        <v>1030</v>
      </c>
      <c r="I2016" s="296">
        <v>440</v>
      </c>
      <c r="J2016" s="296">
        <v>462</v>
      </c>
      <c r="K2016" s="296">
        <v>568</v>
      </c>
      <c r="L2016" s="296">
        <v>170.39999999999998</v>
      </c>
      <c r="M2016" s="296">
        <v>590</v>
      </c>
      <c r="N2016" s="297">
        <v>0.57281553398058249</v>
      </c>
    </row>
    <row r="2017" spans="1:14" ht="18" customHeight="1">
      <c r="A2017" s="293" t="s">
        <v>3619</v>
      </c>
      <c r="B2017" s="294">
        <v>46276</v>
      </c>
      <c r="C2017" s="286" t="s">
        <v>3773</v>
      </c>
      <c r="D2017" s="286" t="s">
        <v>116</v>
      </c>
      <c r="E2017" s="295">
        <v>1</v>
      </c>
      <c r="F2017" s="295">
        <v>1</v>
      </c>
      <c r="G2017" s="296">
        <v>0</v>
      </c>
      <c r="H2017" s="296">
        <v>2000</v>
      </c>
      <c r="I2017" s="296">
        <v>1350</v>
      </c>
      <c r="J2017" s="296">
        <v>1417.5</v>
      </c>
      <c r="K2017" s="296">
        <v>582.5</v>
      </c>
      <c r="L2017" s="296">
        <v>174.75</v>
      </c>
      <c r="M2017" s="296">
        <v>650</v>
      </c>
      <c r="N2017" s="297">
        <v>0.32500000000000001</v>
      </c>
    </row>
    <row r="2018" spans="1:14" ht="18" customHeight="1">
      <c r="A2018" s="293" t="s">
        <v>3620</v>
      </c>
      <c r="B2018" s="294">
        <v>46276</v>
      </c>
      <c r="C2018" s="286" t="s">
        <v>168</v>
      </c>
      <c r="D2018" s="286" t="s">
        <v>142</v>
      </c>
      <c r="E2018" s="295">
        <v>1</v>
      </c>
      <c r="F2018" s="295">
        <v>1</v>
      </c>
      <c r="G2018" s="296">
        <v>0</v>
      </c>
      <c r="H2018" s="296">
        <v>2000</v>
      </c>
      <c r="I2018" s="296">
        <v>1300</v>
      </c>
      <c r="J2018" s="296">
        <v>1365</v>
      </c>
      <c r="K2018" s="296">
        <v>635</v>
      </c>
      <c r="L2018" s="296">
        <v>0</v>
      </c>
      <c r="M2018" s="296">
        <v>700</v>
      </c>
      <c r="N2018" s="297">
        <v>0.35</v>
      </c>
    </row>
    <row r="2019" spans="1:14" ht="18" customHeight="1">
      <c r="A2019" s="293" t="s">
        <v>3621</v>
      </c>
      <c r="B2019" s="294">
        <v>46276</v>
      </c>
      <c r="C2019" s="286" t="s">
        <v>168</v>
      </c>
      <c r="D2019" s="286" t="s">
        <v>131</v>
      </c>
      <c r="E2019" s="295">
        <v>2</v>
      </c>
      <c r="F2019" s="295">
        <v>5</v>
      </c>
      <c r="G2019" s="296">
        <v>0</v>
      </c>
      <c r="H2019" s="296">
        <v>940</v>
      </c>
      <c r="I2019" s="296">
        <v>475</v>
      </c>
      <c r="J2019" s="296">
        <v>489.25</v>
      </c>
      <c r="K2019" s="296">
        <v>450.75</v>
      </c>
      <c r="L2019" s="296">
        <v>0</v>
      </c>
      <c r="M2019" s="296">
        <v>465</v>
      </c>
      <c r="N2019" s="297">
        <v>0.49468085106382981</v>
      </c>
    </row>
    <row r="2020" spans="1:14" ht="18" customHeight="1">
      <c r="A2020" s="293" t="s">
        <v>3622</v>
      </c>
      <c r="B2020" s="294">
        <v>46276</v>
      </c>
      <c r="C2020" s="286" t="s">
        <v>168</v>
      </c>
      <c r="D2020" s="286" t="s">
        <v>99</v>
      </c>
      <c r="E2020" s="295">
        <v>1</v>
      </c>
      <c r="F2020" s="295">
        <v>1</v>
      </c>
      <c r="G2020" s="296">
        <v>0</v>
      </c>
      <c r="H2020" s="296">
        <v>2000</v>
      </c>
      <c r="I2020" s="296">
        <v>1450</v>
      </c>
      <c r="J2020" s="296">
        <v>1522.5</v>
      </c>
      <c r="K2020" s="296">
        <v>477.5</v>
      </c>
      <c r="L2020" s="296">
        <v>0</v>
      </c>
      <c r="M2020" s="296">
        <v>550</v>
      </c>
      <c r="N2020" s="297">
        <v>0.27500000000000002</v>
      </c>
    </row>
    <row r="2021" spans="1:14" ht="18" customHeight="1">
      <c r="A2021" s="293" t="s">
        <v>3623</v>
      </c>
      <c r="B2021" s="294">
        <v>46277</v>
      </c>
      <c r="C2021" s="286" t="s">
        <v>168</v>
      </c>
      <c r="D2021" s="286" t="s">
        <v>115</v>
      </c>
      <c r="E2021" s="295">
        <v>2</v>
      </c>
      <c r="F2021" s="295">
        <v>2</v>
      </c>
      <c r="G2021" s="296">
        <v>0</v>
      </c>
      <c r="H2021" s="296">
        <v>2775</v>
      </c>
      <c r="I2021" s="296">
        <v>1600</v>
      </c>
      <c r="J2021" s="296">
        <v>1680</v>
      </c>
      <c r="K2021" s="296">
        <v>1095</v>
      </c>
      <c r="L2021" s="296">
        <v>0</v>
      </c>
      <c r="M2021" s="296">
        <v>1175</v>
      </c>
      <c r="N2021" s="297">
        <v>0.42342342342342343</v>
      </c>
    </row>
    <row r="2022" spans="1:14" ht="18" customHeight="1">
      <c r="A2022" s="293" t="s">
        <v>3624</v>
      </c>
      <c r="B2022" s="294">
        <v>46277</v>
      </c>
      <c r="C2022" s="286" t="s">
        <v>353</v>
      </c>
      <c r="D2022" s="286" t="s">
        <v>94</v>
      </c>
      <c r="E2022" s="295">
        <v>17</v>
      </c>
      <c r="F2022" s="295">
        <v>27</v>
      </c>
      <c r="G2022" s="296">
        <v>0</v>
      </c>
      <c r="H2022" s="296">
        <v>13487</v>
      </c>
      <c r="I2022" s="296">
        <v>8960</v>
      </c>
      <c r="J2022" s="296">
        <v>9408</v>
      </c>
      <c r="K2022" s="296">
        <v>4079</v>
      </c>
      <c r="L2022" s="296">
        <v>1223.6999999999998</v>
      </c>
      <c r="M2022" s="296">
        <v>4527</v>
      </c>
      <c r="N2022" s="297">
        <v>0.33565655816712392</v>
      </c>
    </row>
    <row r="2023" spans="1:14" ht="18" customHeight="1">
      <c r="A2023" s="293" t="s">
        <v>3625</v>
      </c>
      <c r="B2023" s="294">
        <v>46277</v>
      </c>
      <c r="C2023" s="286" t="s">
        <v>168</v>
      </c>
      <c r="D2023" s="286" t="s">
        <v>132</v>
      </c>
      <c r="E2023" s="295">
        <v>6</v>
      </c>
      <c r="F2023" s="295">
        <v>18</v>
      </c>
      <c r="G2023" s="296">
        <v>0</v>
      </c>
      <c r="H2023" s="296">
        <v>3850</v>
      </c>
      <c r="I2023" s="296">
        <v>2908.4</v>
      </c>
      <c r="J2023" s="296">
        <v>2995.652</v>
      </c>
      <c r="K2023" s="296">
        <v>854.34799999999996</v>
      </c>
      <c r="L2023" s="296">
        <v>0</v>
      </c>
      <c r="M2023" s="296">
        <v>941.59999999999991</v>
      </c>
      <c r="N2023" s="297">
        <v>0.24457142857142855</v>
      </c>
    </row>
    <row r="2024" spans="1:14" ht="18" customHeight="1">
      <c r="A2024" s="293" t="s">
        <v>3626</v>
      </c>
      <c r="B2024" s="294">
        <v>46277</v>
      </c>
      <c r="C2024" s="286" t="s">
        <v>350</v>
      </c>
      <c r="D2024" s="286" t="s">
        <v>119</v>
      </c>
      <c r="E2024" s="295">
        <v>1</v>
      </c>
      <c r="F2024" s="295">
        <v>1</v>
      </c>
      <c r="G2024" s="296">
        <v>0</v>
      </c>
      <c r="H2024" s="296">
        <v>2000</v>
      </c>
      <c r="I2024" s="296">
        <v>1300</v>
      </c>
      <c r="J2024" s="296">
        <v>1365</v>
      </c>
      <c r="K2024" s="296">
        <v>635</v>
      </c>
      <c r="L2024" s="296">
        <v>190.5</v>
      </c>
      <c r="M2024" s="296">
        <v>700</v>
      </c>
      <c r="N2024" s="297">
        <v>0.35</v>
      </c>
    </row>
    <row r="2025" spans="1:14" ht="18" customHeight="1">
      <c r="A2025" s="293" t="s">
        <v>3627</v>
      </c>
      <c r="B2025" s="294">
        <v>46277</v>
      </c>
      <c r="C2025" s="286" t="s">
        <v>168</v>
      </c>
      <c r="D2025" s="286" t="s">
        <v>156</v>
      </c>
      <c r="E2025" s="295">
        <v>1</v>
      </c>
      <c r="F2025" s="295">
        <v>1</v>
      </c>
      <c r="G2025" s="296">
        <v>0</v>
      </c>
      <c r="H2025" s="296">
        <v>700</v>
      </c>
      <c r="I2025" s="296">
        <v>320</v>
      </c>
      <c r="J2025" s="296">
        <v>336</v>
      </c>
      <c r="K2025" s="296">
        <v>364</v>
      </c>
      <c r="L2025" s="296">
        <v>0</v>
      </c>
      <c r="M2025" s="296">
        <v>380</v>
      </c>
      <c r="N2025" s="297">
        <v>0.54285714285714282</v>
      </c>
    </row>
    <row r="2026" spans="1:14" ht="18" customHeight="1">
      <c r="A2026" s="293" t="s">
        <v>3628</v>
      </c>
      <c r="B2026" s="294">
        <v>46277</v>
      </c>
      <c r="C2026" s="286" t="s">
        <v>168</v>
      </c>
      <c r="D2026" s="286" t="s">
        <v>120</v>
      </c>
      <c r="E2026" s="295">
        <v>1</v>
      </c>
      <c r="F2026" s="295">
        <v>1</v>
      </c>
      <c r="G2026" s="296">
        <v>0</v>
      </c>
      <c r="H2026" s="296">
        <v>2200</v>
      </c>
      <c r="I2026" s="296">
        <v>1400</v>
      </c>
      <c r="J2026" s="296">
        <v>1470</v>
      </c>
      <c r="K2026" s="296">
        <v>730</v>
      </c>
      <c r="L2026" s="296">
        <v>0</v>
      </c>
      <c r="M2026" s="296">
        <v>800</v>
      </c>
      <c r="N2026" s="297">
        <v>0.36363636363636365</v>
      </c>
    </row>
    <row r="2027" spans="1:14" ht="18" customHeight="1">
      <c r="A2027" s="293" t="s">
        <v>3629</v>
      </c>
      <c r="B2027" s="294">
        <v>46277</v>
      </c>
      <c r="C2027" s="286" t="s">
        <v>358</v>
      </c>
      <c r="D2027" s="286" t="s">
        <v>98</v>
      </c>
      <c r="E2027" s="295">
        <v>4</v>
      </c>
      <c r="F2027" s="295">
        <v>4</v>
      </c>
      <c r="G2027" s="296">
        <v>0</v>
      </c>
      <c r="H2027" s="296">
        <v>1520</v>
      </c>
      <c r="I2027" s="296">
        <v>890</v>
      </c>
      <c r="J2027" s="296">
        <v>922.90000000000009</v>
      </c>
      <c r="K2027" s="296">
        <v>597.09999999999991</v>
      </c>
      <c r="L2027" s="296">
        <v>179.13</v>
      </c>
      <c r="M2027" s="296">
        <v>630</v>
      </c>
      <c r="N2027" s="297">
        <v>0.41447368421052633</v>
      </c>
    </row>
    <row r="2028" spans="1:14" ht="18" customHeight="1">
      <c r="A2028" s="293" t="s">
        <v>3630</v>
      </c>
      <c r="B2028" s="294">
        <v>46277</v>
      </c>
      <c r="C2028" s="286" t="s">
        <v>168</v>
      </c>
      <c r="D2028" s="286" t="s">
        <v>96</v>
      </c>
      <c r="E2028" s="295">
        <v>2</v>
      </c>
      <c r="F2028" s="295">
        <v>2</v>
      </c>
      <c r="G2028" s="296">
        <v>0</v>
      </c>
      <c r="H2028" s="296">
        <v>1980</v>
      </c>
      <c r="I2028" s="296">
        <v>1160</v>
      </c>
      <c r="J2028" s="296">
        <v>1218</v>
      </c>
      <c r="K2028" s="296">
        <v>762</v>
      </c>
      <c r="L2028" s="296">
        <v>0</v>
      </c>
      <c r="M2028" s="296">
        <v>820</v>
      </c>
      <c r="N2028" s="297">
        <v>0.41414141414141414</v>
      </c>
    </row>
    <row r="2029" spans="1:14" ht="18" customHeight="1">
      <c r="A2029" s="293" t="s">
        <v>3631</v>
      </c>
      <c r="B2029" s="294">
        <v>46277</v>
      </c>
      <c r="C2029" s="286" t="s">
        <v>168</v>
      </c>
      <c r="D2029" s="286" t="s">
        <v>99</v>
      </c>
      <c r="E2029" s="295">
        <v>3</v>
      </c>
      <c r="F2029" s="295">
        <v>6</v>
      </c>
      <c r="G2029" s="296">
        <v>0</v>
      </c>
      <c r="H2029" s="296">
        <v>1350</v>
      </c>
      <c r="I2029" s="296">
        <v>866</v>
      </c>
      <c r="J2029" s="296">
        <v>909.3</v>
      </c>
      <c r="K2029" s="296">
        <v>440.7</v>
      </c>
      <c r="L2029" s="296">
        <v>0</v>
      </c>
      <c r="M2029" s="296">
        <v>484</v>
      </c>
      <c r="N2029" s="297">
        <v>0.35851851851851851</v>
      </c>
    </row>
    <row r="2030" spans="1:14" ht="18" customHeight="1">
      <c r="A2030" s="293" t="s">
        <v>3632</v>
      </c>
      <c r="B2030" s="294">
        <v>46279</v>
      </c>
      <c r="C2030" s="286" t="s">
        <v>168</v>
      </c>
      <c r="D2030" s="286" t="s">
        <v>121</v>
      </c>
      <c r="E2030" s="295">
        <v>1</v>
      </c>
      <c r="F2030" s="295">
        <v>1</v>
      </c>
      <c r="G2030" s="296">
        <v>0</v>
      </c>
      <c r="H2030" s="296">
        <v>1786</v>
      </c>
      <c r="I2030" s="296">
        <v>1380</v>
      </c>
      <c r="J2030" s="296">
        <v>1449</v>
      </c>
      <c r="K2030" s="296">
        <v>337</v>
      </c>
      <c r="L2030" s="296">
        <v>0</v>
      </c>
      <c r="M2030" s="296">
        <v>406</v>
      </c>
      <c r="N2030" s="297">
        <v>0.22732362821948487</v>
      </c>
    </row>
    <row r="2031" spans="1:14" ht="18" customHeight="1">
      <c r="A2031" s="293" t="s">
        <v>3633</v>
      </c>
      <c r="B2031" s="294">
        <v>46279</v>
      </c>
      <c r="C2031" s="286" t="s">
        <v>3773</v>
      </c>
      <c r="D2031" s="286" t="s">
        <v>102</v>
      </c>
      <c r="E2031" s="295">
        <v>2</v>
      </c>
      <c r="F2031" s="295">
        <v>2</v>
      </c>
      <c r="G2031" s="296">
        <v>0</v>
      </c>
      <c r="H2031" s="296">
        <v>3000</v>
      </c>
      <c r="I2031" s="296">
        <v>1600</v>
      </c>
      <c r="J2031" s="296">
        <v>1680</v>
      </c>
      <c r="K2031" s="296">
        <v>1320</v>
      </c>
      <c r="L2031" s="296">
        <v>396</v>
      </c>
      <c r="M2031" s="296">
        <v>1400</v>
      </c>
      <c r="N2031" s="297">
        <v>0.46666666666666667</v>
      </c>
    </row>
    <row r="2032" spans="1:14" ht="18" customHeight="1">
      <c r="A2032" s="293" t="s">
        <v>3634</v>
      </c>
      <c r="B2032" s="294">
        <v>46279</v>
      </c>
      <c r="C2032" s="286" t="s">
        <v>168</v>
      </c>
      <c r="D2032" s="286" t="s">
        <v>112</v>
      </c>
      <c r="E2032" s="295">
        <v>8</v>
      </c>
      <c r="F2032" s="295">
        <v>18.2</v>
      </c>
      <c r="G2032" s="296">
        <v>0</v>
      </c>
      <c r="H2032" s="296">
        <v>2605</v>
      </c>
      <c r="I2032" s="296">
        <v>1693.1499999999999</v>
      </c>
      <c r="J2032" s="296">
        <v>1756.9005</v>
      </c>
      <c r="K2032" s="296">
        <v>848.09949999999981</v>
      </c>
      <c r="L2032" s="296">
        <v>0</v>
      </c>
      <c r="M2032" s="296">
        <v>911.85000000000014</v>
      </c>
      <c r="N2032" s="297">
        <v>0.35003838771593093</v>
      </c>
    </row>
    <row r="2033" spans="1:14" ht="18" customHeight="1">
      <c r="A2033" s="293" t="s">
        <v>3635</v>
      </c>
      <c r="B2033" s="294">
        <v>46279</v>
      </c>
      <c r="C2033" s="286" t="s">
        <v>168</v>
      </c>
      <c r="D2033" s="286" t="s">
        <v>96</v>
      </c>
      <c r="E2033" s="295">
        <v>2</v>
      </c>
      <c r="F2033" s="295">
        <v>3</v>
      </c>
      <c r="G2033" s="296">
        <v>0</v>
      </c>
      <c r="H2033" s="296">
        <v>1940</v>
      </c>
      <c r="I2033" s="296">
        <v>1230</v>
      </c>
      <c r="J2033" s="296">
        <v>1291.5</v>
      </c>
      <c r="K2033" s="296">
        <v>648.5</v>
      </c>
      <c r="L2033" s="296">
        <v>0</v>
      </c>
      <c r="M2033" s="296">
        <v>710</v>
      </c>
      <c r="N2033" s="297">
        <v>0.36597938144329895</v>
      </c>
    </row>
    <row r="2034" spans="1:14" ht="18" customHeight="1">
      <c r="A2034" s="293" t="s">
        <v>3636</v>
      </c>
      <c r="B2034" s="294">
        <v>46279</v>
      </c>
      <c r="C2034" s="286" t="s">
        <v>168</v>
      </c>
      <c r="D2034" s="286" t="s">
        <v>131</v>
      </c>
      <c r="E2034" s="295">
        <v>3</v>
      </c>
      <c r="F2034" s="295">
        <v>15</v>
      </c>
      <c r="G2034" s="296">
        <v>0</v>
      </c>
      <c r="H2034" s="296">
        <v>1840</v>
      </c>
      <c r="I2034" s="296">
        <v>993</v>
      </c>
      <c r="J2034" s="296">
        <v>1022.79</v>
      </c>
      <c r="K2034" s="296">
        <v>817.21</v>
      </c>
      <c r="L2034" s="296">
        <v>0</v>
      </c>
      <c r="M2034" s="296">
        <v>847</v>
      </c>
      <c r="N2034" s="297">
        <v>0.46032608695652172</v>
      </c>
    </row>
    <row r="2035" spans="1:14" ht="18" customHeight="1">
      <c r="A2035" s="293" t="s">
        <v>3637</v>
      </c>
      <c r="B2035" s="294">
        <v>46279</v>
      </c>
      <c r="C2035" s="286" t="s">
        <v>168</v>
      </c>
      <c r="D2035" s="286" t="s">
        <v>99</v>
      </c>
      <c r="E2035" s="295">
        <v>2</v>
      </c>
      <c r="F2035" s="295">
        <v>2</v>
      </c>
      <c r="G2035" s="296">
        <v>0</v>
      </c>
      <c r="H2035" s="296">
        <v>850</v>
      </c>
      <c r="I2035" s="296">
        <v>490</v>
      </c>
      <c r="J2035" s="296">
        <v>514.5</v>
      </c>
      <c r="K2035" s="296">
        <v>335.5</v>
      </c>
      <c r="L2035" s="296">
        <v>0</v>
      </c>
      <c r="M2035" s="296">
        <v>360</v>
      </c>
      <c r="N2035" s="297">
        <v>0.42352941176470588</v>
      </c>
    </row>
    <row r="2036" spans="1:14" ht="18" customHeight="1">
      <c r="A2036" s="293" t="s">
        <v>3638</v>
      </c>
      <c r="B2036" s="294">
        <v>46279</v>
      </c>
      <c r="C2036" s="286" t="s">
        <v>353</v>
      </c>
      <c r="D2036" s="286" t="s">
        <v>108</v>
      </c>
      <c r="E2036" s="295">
        <v>1</v>
      </c>
      <c r="F2036" s="295">
        <v>1</v>
      </c>
      <c r="G2036" s="296">
        <v>0</v>
      </c>
      <c r="H2036" s="296">
        <v>2000</v>
      </c>
      <c r="I2036" s="296">
        <v>1450</v>
      </c>
      <c r="J2036" s="296">
        <v>1522.5</v>
      </c>
      <c r="K2036" s="296">
        <v>477.5</v>
      </c>
      <c r="L2036" s="296">
        <v>143.25</v>
      </c>
      <c r="M2036" s="296">
        <v>550</v>
      </c>
      <c r="N2036" s="297">
        <v>0.27500000000000002</v>
      </c>
    </row>
    <row r="2037" spans="1:14" ht="18" customHeight="1">
      <c r="A2037" s="293" t="s">
        <v>3639</v>
      </c>
      <c r="B2037" s="294">
        <v>46280</v>
      </c>
      <c r="C2037" s="286" t="s">
        <v>168</v>
      </c>
      <c r="D2037" s="286" t="s">
        <v>156</v>
      </c>
      <c r="E2037" s="295">
        <v>2</v>
      </c>
      <c r="F2037" s="295">
        <v>2</v>
      </c>
      <c r="G2037" s="296">
        <v>0</v>
      </c>
      <c r="H2037" s="296">
        <v>2180</v>
      </c>
      <c r="I2037" s="296">
        <v>972</v>
      </c>
      <c r="J2037" s="296">
        <v>1020.6</v>
      </c>
      <c r="K2037" s="296">
        <v>1159.4000000000001</v>
      </c>
      <c r="L2037" s="296">
        <v>0</v>
      </c>
      <c r="M2037" s="296">
        <v>1208</v>
      </c>
      <c r="N2037" s="297">
        <v>0.55412844036697251</v>
      </c>
    </row>
    <row r="2038" spans="1:14" ht="18" customHeight="1">
      <c r="A2038" s="293" t="s">
        <v>3640</v>
      </c>
      <c r="B2038" s="294">
        <v>46280</v>
      </c>
      <c r="C2038" s="286" t="s">
        <v>348</v>
      </c>
      <c r="D2038" s="286" t="s">
        <v>180</v>
      </c>
      <c r="E2038" s="295">
        <v>2</v>
      </c>
      <c r="F2038" s="295">
        <v>31</v>
      </c>
      <c r="G2038" s="296">
        <v>0</v>
      </c>
      <c r="H2038" s="296">
        <v>1575</v>
      </c>
      <c r="I2038" s="296">
        <v>954</v>
      </c>
      <c r="J2038" s="296">
        <v>1001.7</v>
      </c>
      <c r="K2038" s="296">
        <v>573.29999999999995</v>
      </c>
      <c r="L2038" s="296">
        <v>171.98999999999998</v>
      </c>
      <c r="M2038" s="296">
        <v>621</v>
      </c>
      <c r="N2038" s="297">
        <v>0.39428571428571429</v>
      </c>
    </row>
    <row r="2039" spans="1:14" ht="18" customHeight="1">
      <c r="A2039" s="293" t="s">
        <v>3641</v>
      </c>
      <c r="B2039" s="294">
        <v>46280</v>
      </c>
      <c r="C2039" s="286" t="s">
        <v>168</v>
      </c>
      <c r="D2039" s="286" t="s">
        <v>246</v>
      </c>
      <c r="E2039" s="295">
        <v>3</v>
      </c>
      <c r="F2039" s="295">
        <v>4</v>
      </c>
      <c r="G2039" s="296">
        <v>0</v>
      </c>
      <c r="H2039" s="296">
        <v>7260</v>
      </c>
      <c r="I2039" s="296">
        <v>4650</v>
      </c>
      <c r="J2039" s="296">
        <v>4882.5</v>
      </c>
      <c r="K2039" s="296">
        <v>2377.5</v>
      </c>
      <c r="L2039" s="296">
        <v>0</v>
      </c>
      <c r="M2039" s="296">
        <v>2610</v>
      </c>
      <c r="N2039" s="297">
        <v>0.35950413223140498</v>
      </c>
    </row>
    <row r="2040" spans="1:14" ht="18" customHeight="1">
      <c r="A2040" s="293" t="s">
        <v>3642</v>
      </c>
      <c r="B2040" s="294">
        <v>46280</v>
      </c>
      <c r="C2040" s="286" t="s">
        <v>168</v>
      </c>
      <c r="D2040" s="286" t="s">
        <v>96</v>
      </c>
      <c r="E2040" s="295">
        <v>1</v>
      </c>
      <c r="F2040" s="295">
        <v>1</v>
      </c>
      <c r="G2040" s="296">
        <v>0</v>
      </c>
      <c r="H2040" s="296">
        <v>780</v>
      </c>
      <c r="I2040" s="296">
        <v>500</v>
      </c>
      <c r="J2040" s="296">
        <v>525</v>
      </c>
      <c r="K2040" s="296">
        <v>255</v>
      </c>
      <c r="L2040" s="296">
        <v>0</v>
      </c>
      <c r="M2040" s="296">
        <v>280</v>
      </c>
      <c r="N2040" s="297">
        <v>0.35897435897435898</v>
      </c>
    </row>
    <row r="2041" spans="1:14" ht="18" customHeight="1">
      <c r="A2041" s="293" t="s">
        <v>3643</v>
      </c>
      <c r="B2041" s="294">
        <v>46280</v>
      </c>
      <c r="C2041" s="286" t="s">
        <v>354</v>
      </c>
      <c r="D2041" s="286" t="s">
        <v>109</v>
      </c>
      <c r="E2041" s="295">
        <v>1</v>
      </c>
      <c r="F2041" s="295">
        <v>1</v>
      </c>
      <c r="G2041" s="296">
        <v>0</v>
      </c>
      <c r="H2041" s="296">
        <v>2100</v>
      </c>
      <c r="I2041" s="296">
        <v>1400</v>
      </c>
      <c r="J2041" s="296">
        <v>1470</v>
      </c>
      <c r="K2041" s="296">
        <v>630</v>
      </c>
      <c r="L2041" s="296">
        <v>189</v>
      </c>
      <c r="M2041" s="296">
        <v>700</v>
      </c>
      <c r="N2041" s="297">
        <v>0.33333333333333331</v>
      </c>
    </row>
    <row r="2042" spans="1:14" ht="18" customHeight="1">
      <c r="A2042" s="293" t="s">
        <v>3644</v>
      </c>
      <c r="B2042" s="294">
        <v>46280</v>
      </c>
      <c r="C2042" s="286" t="s">
        <v>168</v>
      </c>
      <c r="D2042" s="286" t="s">
        <v>207</v>
      </c>
      <c r="E2042" s="295">
        <v>1</v>
      </c>
      <c r="F2042" s="295">
        <v>1</v>
      </c>
      <c r="G2042" s="296">
        <v>0</v>
      </c>
      <c r="H2042" s="296">
        <v>2000</v>
      </c>
      <c r="I2042" s="296">
        <v>1350</v>
      </c>
      <c r="J2042" s="296">
        <v>1417.5</v>
      </c>
      <c r="K2042" s="296">
        <v>582.5</v>
      </c>
      <c r="L2042" s="296">
        <v>0</v>
      </c>
      <c r="M2042" s="296">
        <v>650</v>
      </c>
      <c r="N2042" s="297">
        <v>0.32500000000000001</v>
      </c>
    </row>
    <row r="2043" spans="1:14" ht="18" customHeight="1">
      <c r="A2043" s="293" t="s">
        <v>3645</v>
      </c>
      <c r="B2043" s="294">
        <v>46281</v>
      </c>
      <c r="C2043" s="286" t="s">
        <v>168</v>
      </c>
      <c r="D2043" s="286" t="s">
        <v>162</v>
      </c>
      <c r="E2043" s="295">
        <v>5</v>
      </c>
      <c r="F2043" s="295">
        <v>14</v>
      </c>
      <c r="G2043" s="296">
        <v>0</v>
      </c>
      <c r="H2043" s="296">
        <v>5900</v>
      </c>
      <c r="I2043" s="296">
        <v>4842.25</v>
      </c>
      <c r="J2043" s="296">
        <v>4987.5175000000008</v>
      </c>
      <c r="K2043" s="296">
        <v>912.48249999999996</v>
      </c>
      <c r="L2043" s="296">
        <v>0</v>
      </c>
      <c r="M2043" s="296">
        <v>1057.75</v>
      </c>
      <c r="N2043" s="297">
        <v>0.17927966101694914</v>
      </c>
    </row>
    <row r="2044" spans="1:14" ht="18" customHeight="1">
      <c r="A2044" s="293" t="s">
        <v>3646</v>
      </c>
      <c r="B2044" s="294">
        <v>46281</v>
      </c>
      <c r="C2044" s="286" t="s">
        <v>353</v>
      </c>
      <c r="D2044" s="286" t="s">
        <v>94</v>
      </c>
      <c r="E2044" s="295">
        <v>1</v>
      </c>
      <c r="F2044" s="295">
        <v>1</v>
      </c>
      <c r="G2044" s="296">
        <v>0</v>
      </c>
      <c r="H2044" s="296">
        <v>2100</v>
      </c>
      <c r="I2044" s="296">
        <v>1550</v>
      </c>
      <c r="J2044" s="296">
        <v>1627.5</v>
      </c>
      <c r="K2044" s="296">
        <v>472.5</v>
      </c>
      <c r="L2044" s="296">
        <v>141.75</v>
      </c>
      <c r="M2044" s="296">
        <v>550</v>
      </c>
      <c r="N2044" s="297">
        <v>0.26190476190476192</v>
      </c>
    </row>
    <row r="2045" spans="1:14" ht="18" customHeight="1">
      <c r="A2045" s="293" t="s">
        <v>3647</v>
      </c>
      <c r="B2045" s="294">
        <v>46281</v>
      </c>
      <c r="C2045" s="286" t="s">
        <v>168</v>
      </c>
      <c r="D2045" s="286" t="s">
        <v>132</v>
      </c>
      <c r="E2045" s="295">
        <v>1</v>
      </c>
      <c r="F2045" s="295">
        <v>1</v>
      </c>
      <c r="G2045" s="296">
        <v>0</v>
      </c>
      <c r="H2045" s="296">
        <v>460</v>
      </c>
      <c r="I2045" s="296">
        <v>295</v>
      </c>
      <c r="J2045" s="296">
        <v>303.85000000000002</v>
      </c>
      <c r="K2045" s="296">
        <v>156.14999999999998</v>
      </c>
      <c r="L2045" s="296">
        <v>0</v>
      </c>
      <c r="M2045" s="296">
        <v>165</v>
      </c>
      <c r="N2045" s="297">
        <v>0.35869565217391303</v>
      </c>
    </row>
    <row r="2046" spans="1:14" ht="18" customHeight="1">
      <c r="A2046" s="293" t="s">
        <v>3648</v>
      </c>
      <c r="B2046" s="294">
        <v>46281</v>
      </c>
      <c r="C2046" s="286" t="s">
        <v>168</v>
      </c>
      <c r="D2046" s="286" t="s">
        <v>124</v>
      </c>
      <c r="E2046" s="295">
        <v>1</v>
      </c>
      <c r="F2046" s="295">
        <v>1</v>
      </c>
      <c r="G2046" s="296">
        <v>0</v>
      </c>
      <c r="H2046" s="296">
        <v>2000</v>
      </c>
      <c r="I2046" s="296">
        <v>1200</v>
      </c>
      <c r="J2046" s="296">
        <v>1260</v>
      </c>
      <c r="K2046" s="296">
        <v>740</v>
      </c>
      <c r="L2046" s="296">
        <v>0</v>
      </c>
      <c r="M2046" s="296">
        <v>800</v>
      </c>
      <c r="N2046" s="297">
        <v>0.4</v>
      </c>
    </row>
    <row r="2047" spans="1:14" ht="18" customHeight="1">
      <c r="A2047" s="293" t="s">
        <v>3649</v>
      </c>
      <c r="B2047" s="294">
        <v>46281</v>
      </c>
      <c r="C2047" s="286" t="s">
        <v>353</v>
      </c>
      <c r="D2047" s="286" t="s">
        <v>103</v>
      </c>
      <c r="E2047" s="295">
        <v>1</v>
      </c>
      <c r="F2047" s="295">
        <v>1</v>
      </c>
      <c r="G2047" s="296">
        <v>0</v>
      </c>
      <c r="H2047" s="296">
        <v>2000</v>
      </c>
      <c r="I2047" s="296">
        <v>1350</v>
      </c>
      <c r="J2047" s="296">
        <v>1417.5</v>
      </c>
      <c r="K2047" s="296">
        <v>582.5</v>
      </c>
      <c r="L2047" s="296">
        <v>174.75</v>
      </c>
      <c r="M2047" s="296">
        <v>650</v>
      </c>
      <c r="N2047" s="297">
        <v>0.32500000000000001</v>
      </c>
    </row>
    <row r="2048" spans="1:14" ht="18" customHeight="1">
      <c r="A2048" s="293" t="s">
        <v>3650</v>
      </c>
      <c r="B2048" s="294">
        <v>46281</v>
      </c>
      <c r="C2048" s="286" t="s">
        <v>168</v>
      </c>
      <c r="D2048" s="286" t="s">
        <v>105</v>
      </c>
      <c r="E2048" s="295">
        <v>1</v>
      </c>
      <c r="F2048" s="295">
        <v>1</v>
      </c>
      <c r="G2048" s="296">
        <v>0</v>
      </c>
      <c r="H2048" s="296">
        <v>2200</v>
      </c>
      <c r="I2048" s="296">
        <v>1500</v>
      </c>
      <c r="J2048" s="296">
        <v>1575</v>
      </c>
      <c r="K2048" s="296">
        <v>625</v>
      </c>
      <c r="L2048" s="296">
        <v>0</v>
      </c>
      <c r="M2048" s="296">
        <v>700</v>
      </c>
      <c r="N2048" s="297">
        <v>0.31818181818181818</v>
      </c>
    </row>
    <row r="2049" spans="1:14" ht="18" customHeight="1">
      <c r="A2049" s="293" t="s">
        <v>3651</v>
      </c>
      <c r="B2049" s="294">
        <v>46281</v>
      </c>
      <c r="C2049" s="286" t="s">
        <v>168</v>
      </c>
      <c r="D2049" s="286" t="s">
        <v>121</v>
      </c>
      <c r="E2049" s="295">
        <v>1</v>
      </c>
      <c r="F2049" s="295">
        <v>1</v>
      </c>
      <c r="G2049" s="296">
        <v>0</v>
      </c>
      <c r="H2049" s="296">
        <v>9000</v>
      </c>
      <c r="I2049" s="296">
        <v>7820</v>
      </c>
      <c r="J2049" s="296">
        <v>8211</v>
      </c>
      <c r="K2049" s="296">
        <v>789</v>
      </c>
      <c r="L2049" s="296">
        <v>0</v>
      </c>
      <c r="M2049" s="296">
        <v>1180</v>
      </c>
      <c r="N2049" s="297">
        <v>0.13111111111111112</v>
      </c>
    </row>
    <row r="2050" spans="1:14" ht="18" customHeight="1">
      <c r="A2050" s="293" t="s">
        <v>3652</v>
      </c>
      <c r="B2050" s="294">
        <v>46281</v>
      </c>
      <c r="C2050" s="286" t="s">
        <v>168</v>
      </c>
      <c r="D2050" s="286" t="s">
        <v>263</v>
      </c>
      <c r="E2050" s="295">
        <v>2</v>
      </c>
      <c r="F2050" s="295">
        <v>3</v>
      </c>
      <c r="G2050" s="296">
        <v>0</v>
      </c>
      <c r="H2050" s="296">
        <v>1030</v>
      </c>
      <c r="I2050" s="296">
        <v>581.20000000000005</v>
      </c>
      <c r="J2050" s="296">
        <v>610.26</v>
      </c>
      <c r="K2050" s="296">
        <v>419.74</v>
      </c>
      <c r="L2050" s="296">
        <v>0</v>
      </c>
      <c r="M2050" s="296">
        <v>448.79999999999995</v>
      </c>
      <c r="N2050" s="297">
        <v>0.4357281553398058</v>
      </c>
    </row>
    <row r="2051" spans="1:14" ht="18" customHeight="1">
      <c r="A2051" s="293" t="s">
        <v>3653</v>
      </c>
      <c r="B2051" s="294">
        <v>46281</v>
      </c>
      <c r="C2051" s="286" t="s">
        <v>168</v>
      </c>
      <c r="D2051" s="286" t="s">
        <v>178</v>
      </c>
      <c r="E2051" s="295">
        <v>1</v>
      </c>
      <c r="F2051" s="295">
        <v>1</v>
      </c>
      <c r="G2051" s="296">
        <v>0</v>
      </c>
      <c r="H2051" s="296">
        <v>2200</v>
      </c>
      <c r="I2051" s="296">
        <v>1500</v>
      </c>
      <c r="J2051" s="296">
        <v>1575</v>
      </c>
      <c r="K2051" s="296">
        <v>625</v>
      </c>
      <c r="L2051" s="296">
        <v>0</v>
      </c>
      <c r="M2051" s="296">
        <v>700</v>
      </c>
      <c r="N2051" s="297">
        <v>0.31818181818181818</v>
      </c>
    </row>
    <row r="2052" spans="1:14" ht="18" customHeight="1">
      <c r="A2052" s="293" t="s">
        <v>3654</v>
      </c>
      <c r="B2052" s="294">
        <v>46281</v>
      </c>
      <c r="C2052" s="286" t="s">
        <v>168</v>
      </c>
      <c r="D2052" s="286" t="s">
        <v>99</v>
      </c>
      <c r="E2052" s="295">
        <v>2</v>
      </c>
      <c r="F2052" s="295">
        <v>2</v>
      </c>
      <c r="G2052" s="296">
        <v>0</v>
      </c>
      <c r="H2052" s="296">
        <v>1250</v>
      </c>
      <c r="I2052" s="296">
        <v>495</v>
      </c>
      <c r="J2052" s="296">
        <v>519.75</v>
      </c>
      <c r="K2052" s="296">
        <v>730.25</v>
      </c>
      <c r="L2052" s="296">
        <v>0</v>
      </c>
      <c r="M2052" s="296">
        <v>755</v>
      </c>
      <c r="N2052" s="297">
        <v>0.60399999999999998</v>
      </c>
    </row>
    <row r="2053" spans="1:14" ht="18" customHeight="1">
      <c r="A2053" s="293" t="s">
        <v>3655</v>
      </c>
      <c r="B2053" s="294">
        <v>46281</v>
      </c>
      <c r="C2053" s="286" t="s">
        <v>168</v>
      </c>
      <c r="D2053" s="286" t="s">
        <v>115</v>
      </c>
      <c r="E2053" s="295">
        <v>1</v>
      </c>
      <c r="F2053" s="295">
        <v>1</v>
      </c>
      <c r="G2053" s="296">
        <v>0</v>
      </c>
      <c r="H2053" s="296">
        <v>2200</v>
      </c>
      <c r="I2053" s="296">
        <v>1600</v>
      </c>
      <c r="J2053" s="296">
        <v>1680</v>
      </c>
      <c r="K2053" s="296">
        <v>520</v>
      </c>
      <c r="L2053" s="296">
        <v>0</v>
      </c>
      <c r="M2053" s="296">
        <v>600</v>
      </c>
      <c r="N2053" s="297">
        <v>0.27272727272727271</v>
      </c>
    </row>
    <row r="2054" spans="1:14" ht="18" customHeight="1">
      <c r="A2054" s="293" t="s">
        <v>3656</v>
      </c>
      <c r="B2054" s="294">
        <v>46282</v>
      </c>
      <c r="C2054" s="286" t="s">
        <v>168</v>
      </c>
      <c r="D2054" s="286" t="s">
        <v>121</v>
      </c>
      <c r="E2054" s="295">
        <v>1</v>
      </c>
      <c r="F2054" s="295">
        <v>1</v>
      </c>
      <c r="G2054" s="296">
        <v>0</v>
      </c>
      <c r="H2054" s="296">
        <v>2100</v>
      </c>
      <c r="I2054" s="296">
        <v>1100</v>
      </c>
      <c r="J2054" s="296">
        <v>1155</v>
      </c>
      <c r="K2054" s="296">
        <v>945</v>
      </c>
      <c r="L2054" s="296">
        <v>0</v>
      </c>
      <c r="M2054" s="296">
        <v>1000</v>
      </c>
      <c r="N2054" s="297">
        <v>0.47619047619047616</v>
      </c>
    </row>
    <row r="2055" spans="1:14" ht="18" customHeight="1">
      <c r="A2055" s="293" t="s">
        <v>3657</v>
      </c>
      <c r="B2055" s="294">
        <v>46282</v>
      </c>
      <c r="C2055" s="286" t="s">
        <v>168</v>
      </c>
      <c r="D2055" s="286" t="s">
        <v>112</v>
      </c>
      <c r="E2055" s="295">
        <v>1</v>
      </c>
      <c r="F2055" s="295">
        <v>1</v>
      </c>
      <c r="G2055" s="296">
        <v>0</v>
      </c>
      <c r="H2055" s="296">
        <v>3000</v>
      </c>
      <c r="I2055" s="296">
        <v>2100</v>
      </c>
      <c r="J2055" s="296">
        <v>2205</v>
      </c>
      <c r="K2055" s="296">
        <v>795</v>
      </c>
      <c r="L2055" s="296">
        <v>0</v>
      </c>
      <c r="M2055" s="296">
        <v>900</v>
      </c>
      <c r="N2055" s="297">
        <v>0.3</v>
      </c>
    </row>
    <row r="2056" spans="1:14" ht="18" customHeight="1">
      <c r="A2056" s="293" t="s">
        <v>3658</v>
      </c>
      <c r="B2056" s="294">
        <v>46282</v>
      </c>
      <c r="C2056" s="286" t="s">
        <v>168</v>
      </c>
      <c r="D2056" s="286" t="s">
        <v>99</v>
      </c>
      <c r="E2056" s="295">
        <v>4</v>
      </c>
      <c r="F2056" s="295">
        <v>4</v>
      </c>
      <c r="G2056" s="296">
        <v>0</v>
      </c>
      <c r="H2056" s="296">
        <v>1630</v>
      </c>
      <c r="I2056" s="296">
        <v>775</v>
      </c>
      <c r="J2056" s="296">
        <v>811.25</v>
      </c>
      <c r="K2056" s="296">
        <v>818.75</v>
      </c>
      <c r="L2056" s="296">
        <v>0</v>
      </c>
      <c r="M2056" s="296">
        <v>855</v>
      </c>
      <c r="N2056" s="297">
        <v>0.52453987730061347</v>
      </c>
    </row>
    <row r="2057" spans="1:14" ht="18" customHeight="1">
      <c r="A2057" s="293" t="s">
        <v>3659</v>
      </c>
      <c r="B2057" s="294">
        <v>46282</v>
      </c>
      <c r="C2057" s="286" t="s">
        <v>168</v>
      </c>
      <c r="D2057" s="286" t="s">
        <v>286</v>
      </c>
      <c r="E2057" s="295">
        <v>11</v>
      </c>
      <c r="F2057" s="295">
        <v>28.8</v>
      </c>
      <c r="G2057" s="296">
        <v>0</v>
      </c>
      <c r="H2057" s="296">
        <v>4815</v>
      </c>
      <c r="I2057" s="296">
        <v>3135</v>
      </c>
      <c r="J2057" s="296">
        <v>3230.7700000000004</v>
      </c>
      <c r="K2057" s="296">
        <v>1584.23</v>
      </c>
      <c r="L2057" s="296">
        <v>0</v>
      </c>
      <c r="M2057" s="296">
        <v>1680</v>
      </c>
      <c r="N2057" s="297">
        <v>0.34890965732087226</v>
      </c>
    </row>
    <row r="2058" spans="1:14" ht="18" customHeight="1">
      <c r="A2058" s="293" t="s">
        <v>3660</v>
      </c>
      <c r="B2058" s="294">
        <v>46283</v>
      </c>
      <c r="C2058" s="286" t="s">
        <v>168</v>
      </c>
      <c r="D2058" s="286" t="s">
        <v>207</v>
      </c>
      <c r="E2058" s="295">
        <v>2</v>
      </c>
      <c r="F2058" s="295">
        <v>2</v>
      </c>
      <c r="G2058" s="296">
        <v>0</v>
      </c>
      <c r="H2058" s="296">
        <v>785</v>
      </c>
      <c r="I2058" s="296">
        <v>499</v>
      </c>
      <c r="J2058" s="296">
        <v>523.57000000000005</v>
      </c>
      <c r="K2058" s="296">
        <v>261.43</v>
      </c>
      <c r="L2058" s="296">
        <v>0</v>
      </c>
      <c r="M2058" s="296">
        <v>286</v>
      </c>
      <c r="N2058" s="297">
        <v>0.36433121019108278</v>
      </c>
    </row>
    <row r="2059" spans="1:14" ht="18" customHeight="1">
      <c r="A2059" s="293" t="s">
        <v>3661</v>
      </c>
      <c r="B2059" s="294">
        <v>46283</v>
      </c>
      <c r="C2059" s="286" t="s">
        <v>168</v>
      </c>
      <c r="D2059" s="286" t="s">
        <v>99</v>
      </c>
      <c r="E2059" s="295">
        <v>9</v>
      </c>
      <c r="F2059" s="295">
        <v>14</v>
      </c>
      <c r="G2059" s="296">
        <v>0</v>
      </c>
      <c r="H2059" s="296">
        <v>1554</v>
      </c>
      <c r="I2059" s="296">
        <v>898.4</v>
      </c>
      <c r="J2059" s="296">
        <v>925.99199999999996</v>
      </c>
      <c r="K2059" s="296">
        <v>628.00800000000004</v>
      </c>
      <c r="L2059" s="296">
        <v>0</v>
      </c>
      <c r="M2059" s="296">
        <v>655.6</v>
      </c>
      <c r="N2059" s="297">
        <v>0.42187902187902188</v>
      </c>
    </row>
    <row r="2060" spans="1:14" ht="18" customHeight="1">
      <c r="A2060" s="293" t="s">
        <v>3662</v>
      </c>
      <c r="B2060" s="294">
        <v>46283</v>
      </c>
      <c r="C2060" s="286" t="s">
        <v>3773</v>
      </c>
      <c r="D2060" s="286" t="s">
        <v>100</v>
      </c>
      <c r="E2060" s="295">
        <v>5</v>
      </c>
      <c r="F2060" s="295">
        <v>10.4</v>
      </c>
      <c r="G2060" s="296">
        <v>0</v>
      </c>
      <c r="H2060" s="296">
        <v>1588</v>
      </c>
      <c r="I2060" s="296">
        <v>995.00000000000011</v>
      </c>
      <c r="J2060" s="296">
        <v>1026.962</v>
      </c>
      <c r="K2060" s="296">
        <v>561.0379999999999</v>
      </c>
      <c r="L2060" s="296">
        <v>168.31139999999996</v>
      </c>
      <c r="M2060" s="296">
        <v>592.99999999999989</v>
      </c>
      <c r="N2060" s="297">
        <v>0.37342569269521403</v>
      </c>
    </row>
    <row r="2061" spans="1:14" ht="18" customHeight="1">
      <c r="A2061" s="293" t="s">
        <v>3663</v>
      </c>
      <c r="B2061" s="294">
        <v>46283</v>
      </c>
      <c r="C2061" s="286" t="s">
        <v>168</v>
      </c>
      <c r="D2061" s="286" t="s">
        <v>137</v>
      </c>
      <c r="E2061" s="295">
        <v>1</v>
      </c>
      <c r="F2061" s="295">
        <v>1</v>
      </c>
      <c r="G2061" s="296">
        <v>0</v>
      </c>
      <c r="H2061" s="296">
        <v>850</v>
      </c>
      <c r="I2061" s="296">
        <v>480</v>
      </c>
      <c r="J2061" s="296">
        <v>504</v>
      </c>
      <c r="K2061" s="296">
        <v>346</v>
      </c>
      <c r="L2061" s="296">
        <v>0</v>
      </c>
      <c r="M2061" s="296">
        <v>370</v>
      </c>
      <c r="N2061" s="297">
        <v>0.43529411764705883</v>
      </c>
    </row>
    <row r="2062" spans="1:14" ht="18" customHeight="1">
      <c r="A2062" s="293" t="s">
        <v>3664</v>
      </c>
      <c r="B2062" s="294">
        <v>46284</v>
      </c>
      <c r="C2062" s="286" t="s">
        <v>168</v>
      </c>
      <c r="D2062" s="286" t="s">
        <v>105</v>
      </c>
      <c r="E2062" s="295">
        <v>4</v>
      </c>
      <c r="F2062" s="295">
        <v>4</v>
      </c>
      <c r="G2062" s="296">
        <v>0</v>
      </c>
      <c r="H2062" s="296">
        <v>3440</v>
      </c>
      <c r="I2062" s="296">
        <v>2160</v>
      </c>
      <c r="J2062" s="296">
        <v>2261.4</v>
      </c>
      <c r="K2062" s="296">
        <v>1178.5999999999999</v>
      </c>
      <c r="L2062" s="296">
        <v>0</v>
      </c>
      <c r="M2062" s="296">
        <v>1280</v>
      </c>
      <c r="N2062" s="297">
        <v>0.37209302325581395</v>
      </c>
    </row>
    <row r="2063" spans="1:14" ht="18" customHeight="1">
      <c r="A2063" s="293" t="s">
        <v>3665</v>
      </c>
      <c r="B2063" s="294">
        <v>46284</v>
      </c>
      <c r="C2063" s="286" t="s">
        <v>168</v>
      </c>
      <c r="D2063" s="286" t="s">
        <v>96</v>
      </c>
      <c r="E2063" s="295">
        <v>3</v>
      </c>
      <c r="F2063" s="295">
        <v>4</v>
      </c>
      <c r="G2063" s="296">
        <v>0</v>
      </c>
      <c r="H2063" s="296">
        <v>2670</v>
      </c>
      <c r="I2063" s="296">
        <v>1760</v>
      </c>
      <c r="J2063" s="296">
        <v>1841.4</v>
      </c>
      <c r="K2063" s="296">
        <v>828.59999999999991</v>
      </c>
      <c r="L2063" s="296">
        <v>0</v>
      </c>
      <c r="M2063" s="296">
        <v>910</v>
      </c>
      <c r="N2063" s="297">
        <v>0.34082397003745318</v>
      </c>
    </row>
    <row r="2064" spans="1:14" ht="18" customHeight="1">
      <c r="A2064" s="293" t="s">
        <v>3666</v>
      </c>
      <c r="B2064" s="294">
        <v>46284</v>
      </c>
      <c r="C2064" s="286" t="s">
        <v>168</v>
      </c>
      <c r="D2064" s="286" t="s">
        <v>97</v>
      </c>
      <c r="E2064" s="295">
        <v>4</v>
      </c>
      <c r="F2064" s="295">
        <v>5</v>
      </c>
      <c r="G2064" s="296">
        <v>0</v>
      </c>
      <c r="H2064" s="296">
        <v>7400</v>
      </c>
      <c r="I2064" s="296">
        <v>4190</v>
      </c>
      <c r="J2064" s="296">
        <v>4399.5</v>
      </c>
      <c r="K2064" s="296">
        <v>3000.5</v>
      </c>
      <c r="L2064" s="296">
        <v>0</v>
      </c>
      <c r="M2064" s="296">
        <v>3210</v>
      </c>
      <c r="N2064" s="297">
        <v>0.43378378378378379</v>
      </c>
    </row>
    <row r="2065" spans="1:14" ht="18" customHeight="1">
      <c r="A2065" s="293" t="s">
        <v>3667</v>
      </c>
      <c r="B2065" s="294">
        <v>46284</v>
      </c>
      <c r="C2065" s="286" t="s">
        <v>168</v>
      </c>
      <c r="D2065" s="286" t="s">
        <v>121</v>
      </c>
      <c r="E2065" s="295">
        <v>1</v>
      </c>
      <c r="F2065" s="295">
        <v>1</v>
      </c>
      <c r="G2065" s="296">
        <v>0</v>
      </c>
      <c r="H2065" s="296">
        <v>2100</v>
      </c>
      <c r="I2065" s="296">
        <v>1450</v>
      </c>
      <c r="J2065" s="296">
        <v>1522.5</v>
      </c>
      <c r="K2065" s="296">
        <v>577.5</v>
      </c>
      <c r="L2065" s="296">
        <v>0</v>
      </c>
      <c r="M2065" s="296">
        <v>650</v>
      </c>
      <c r="N2065" s="297">
        <v>0.30952380952380953</v>
      </c>
    </row>
    <row r="2066" spans="1:14" ht="18" customHeight="1">
      <c r="A2066" s="293" t="s">
        <v>3668</v>
      </c>
      <c r="B2066" s="294">
        <v>46284</v>
      </c>
      <c r="C2066" s="286" t="s">
        <v>3773</v>
      </c>
      <c r="D2066" s="286" t="s">
        <v>102</v>
      </c>
      <c r="E2066" s="295">
        <v>4</v>
      </c>
      <c r="F2066" s="295">
        <v>4</v>
      </c>
      <c r="G2066" s="296">
        <v>0</v>
      </c>
      <c r="H2066" s="296">
        <v>3910</v>
      </c>
      <c r="I2066" s="296">
        <v>2220</v>
      </c>
      <c r="J2066" s="296">
        <v>2331</v>
      </c>
      <c r="K2066" s="296">
        <v>1579</v>
      </c>
      <c r="L2066" s="296">
        <v>473.69999999999993</v>
      </c>
      <c r="M2066" s="296">
        <v>1690</v>
      </c>
      <c r="N2066" s="297">
        <v>0.43222506393861893</v>
      </c>
    </row>
    <row r="2067" spans="1:14" ht="18" customHeight="1">
      <c r="A2067" s="293" t="s">
        <v>3669</v>
      </c>
      <c r="B2067" s="294">
        <v>46284</v>
      </c>
      <c r="C2067" s="286" t="s">
        <v>168</v>
      </c>
      <c r="D2067" s="286" t="s">
        <v>131</v>
      </c>
      <c r="E2067" s="295">
        <v>3</v>
      </c>
      <c r="F2067" s="295">
        <v>19</v>
      </c>
      <c r="G2067" s="296">
        <v>0</v>
      </c>
      <c r="H2067" s="296">
        <v>2660</v>
      </c>
      <c r="I2067" s="296">
        <v>1465</v>
      </c>
      <c r="J2067" s="296">
        <v>1508.95</v>
      </c>
      <c r="K2067" s="296">
        <v>1151.05</v>
      </c>
      <c r="L2067" s="296">
        <v>0</v>
      </c>
      <c r="M2067" s="296">
        <v>1195</v>
      </c>
      <c r="N2067" s="297">
        <v>0.4492481203007519</v>
      </c>
    </row>
    <row r="2068" spans="1:14" ht="18" customHeight="1">
      <c r="A2068" s="293" t="s">
        <v>3670</v>
      </c>
      <c r="B2068" s="294">
        <v>46284</v>
      </c>
      <c r="C2068" s="286" t="s">
        <v>168</v>
      </c>
      <c r="D2068" s="286" t="s">
        <v>99</v>
      </c>
      <c r="E2068" s="295">
        <v>7</v>
      </c>
      <c r="F2068" s="295">
        <v>8</v>
      </c>
      <c r="G2068" s="296">
        <v>0</v>
      </c>
      <c r="H2068" s="296">
        <v>594</v>
      </c>
      <c r="I2068" s="296">
        <v>289</v>
      </c>
      <c r="J2068" s="296">
        <v>301.51</v>
      </c>
      <c r="K2068" s="296">
        <v>292.49</v>
      </c>
      <c r="L2068" s="296">
        <v>0</v>
      </c>
      <c r="M2068" s="296">
        <v>305</v>
      </c>
      <c r="N2068" s="297">
        <v>0.51346801346801352</v>
      </c>
    </row>
    <row r="2069" spans="1:14" ht="18" customHeight="1">
      <c r="A2069" s="293" t="s">
        <v>3671</v>
      </c>
      <c r="B2069" s="294">
        <v>46284</v>
      </c>
      <c r="C2069" s="286" t="s">
        <v>3773</v>
      </c>
      <c r="D2069" s="286" t="s">
        <v>116</v>
      </c>
      <c r="E2069" s="295">
        <v>1</v>
      </c>
      <c r="F2069" s="295">
        <v>1</v>
      </c>
      <c r="G2069" s="296">
        <v>0</v>
      </c>
      <c r="H2069" s="296">
        <v>2000</v>
      </c>
      <c r="I2069" s="296">
        <v>1400</v>
      </c>
      <c r="J2069" s="296">
        <v>1470</v>
      </c>
      <c r="K2069" s="296">
        <v>530</v>
      </c>
      <c r="L2069" s="296">
        <v>159</v>
      </c>
      <c r="M2069" s="296">
        <v>600</v>
      </c>
      <c r="N2069" s="297">
        <v>0.3</v>
      </c>
    </row>
    <row r="2070" spans="1:14" ht="18" customHeight="1">
      <c r="A2070" s="293" t="s">
        <v>3672</v>
      </c>
      <c r="B2070" s="294">
        <v>46286</v>
      </c>
      <c r="C2070" s="286" t="s">
        <v>168</v>
      </c>
      <c r="D2070" s="286" t="s">
        <v>110</v>
      </c>
      <c r="E2070" s="295">
        <v>10</v>
      </c>
      <c r="F2070" s="295">
        <v>53</v>
      </c>
      <c r="G2070" s="296">
        <v>0</v>
      </c>
      <c r="H2070" s="296">
        <v>11478</v>
      </c>
      <c r="I2070" s="296">
        <v>8961.4500000000007</v>
      </c>
      <c r="J2070" s="296">
        <v>9262.6984999999986</v>
      </c>
      <c r="K2070" s="296">
        <v>2215.3015000000005</v>
      </c>
      <c r="L2070" s="296">
        <v>0</v>
      </c>
      <c r="M2070" s="296">
        <v>2516.5499999999993</v>
      </c>
      <c r="N2070" s="297">
        <v>0.21924986931521165</v>
      </c>
    </row>
    <row r="2071" spans="1:14" ht="18" customHeight="1">
      <c r="A2071" s="293" t="s">
        <v>3673</v>
      </c>
      <c r="B2071" s="294">
        <v>46286</v>
      </c>
      <c r="C2071" s="286" t="s">
        <v>168</v>
      </c>
      <c r="D2071" s="286" t="s">
        <v>105</v>
      </c>
      <c r="E2071" s="295">
        <v>2</v>
      </c>
      <c r="F2071" s="295">
        <v>2</v>
      </c>
      <c r="G2071" s="296">
        <v>0</v>
      </c>
      <c r="H2071" s="296">
        <v>4000</v>
      </c>
      <c r="I2071" s="296">
        <v>2500</v>
      </c>
      <c r="J2071" s="296">
        <v>2625</v>
      </c>
      <c r="K2071" s="296">
        <v>1375</v>
      </c>
      <c r="L2071" s="296">
        <v>0</v>
      </c>
      <c r="M2071" s="296">
        <v>1500</v>
      </c>
      <c r="N2071" s="297">
        <v>0.375</v>
      </c>
    </row>
    <row r="2072" spans="1:14" ht="18" customHeight="1">
      <c r="A2072" s="293" t="s">
        <v>3674</v>
      </c>
      <c r="B2072" s="294">
        <v>46286</v>
      </c>
      <c r="C2072" s="286" t="s">
        <v>168</v>
      </c>
      <c r="D2072" s="286" t="s">
        <v>99</v>
      </c>
      <c r="E2072" s="295">
        <v>9</v>
      </c>
      <c r="F2072" s="295">
        <v>40</v>
      </c>
      <c r="G2072" s="296">
        <v>0</v>
      </c>
      <c r="H2072" s="296">
        <v>3891</v>
      </c>
      <c r="I2072" s="296">
        <v>2156.67</v>
      </c>
      <c r="J2072" s="296">
        <v>2254.5380999999998</v>
      </c>
      <c r="K2072" s="296">
        <v>1636.4619000000002</v>
      </c>
      <c r="L2072" s="296">
        <v>0</v>
      </c>
      <c r="M2072" s="296">
        <v>1734.33</v>
      </c>
      <c r="N2072" s="297">
        <v>0.44572860447185814</v>
      </c>
    </row>
    <row r="2073" spans="1:14" ht="18" customHeight="1">
      <c r="A2073" s="293" t="s">
        <v>3675</v>
      </c>
      <c r="B2073" s="294">
        <v>46286</v>
      </c>
      <c r="C2073" s="286" t="s">
        <v>168</v>
      </c>
      <c r="D2073" s="286" t="s">
        <v>120</v>
      </c>
      <c r="E2073" s="295">
        <v>1</v>
      </c>
      <c r="F2073" s="295">
        <v>1</v>
      </c>
      <c r="G2073" s="296">
        <v>0</v>
      </c>
      <c r="H2073" s="296">
        <v>400</v>
      </c>
      <c r="I2073" s="296">
        <v>120</v>
      </c>
      <c r="J2073" s="296">
        <v>126</v>
      </c>
      <c r="K2073" s="296">
        <v>274</v>
      </c>
      <c r="L2073" s="296">
        <v>0</v>
      </c>
      <c r="M2073" s="296">
        <v>280</v>
      </c>
      <c r="N2073" s="297">
        <v>0.7</v>
      </c>
    </row>
    <row r="2074" spans="1:14" ht="18" customHeight="1">
      <c r="A2074" s="293" t="s">
        <v>3676</v>
      </c>
      <c r="B2074" s="294">
        <v>46286</v>
      </c>
      <c r="C2074" s="286" t="s">
        <v>168</v>
      </c>
      <c r="D2074" s="286" t="s">
        <v>145</v>
      </c>
      <c r="E2074" s="295">
        <v>6</v>
      </c>
      <c r="F2074" s="295">
        <v>5.4</v>
      </c>
      <c r="G2074" s="296">
        <v>0</v>
      </c>
      <c r="H2074" s="296">
        <v>2235</v>
      </c>
      <c r="I2074" s="296">
        <v>1642.45</v>
      </c>
      <c r="J2074" s="296">
        <v>1691.7235000000001</v>
      </c>
      <c r="K2074" s="296">
        <v>543.27649999999983</v>
      </c>
      <c r="L2074" s="296">
        <v>0</v>
      </c>
      <c r="M2074" s="296">
        <v>592.54999999999995</v>
      </c>
      <c r="N2074" s="297">
        <v>0.26512304250559282</v>
      </c>
    </row>
    <row r="2075" spans="1:14" ht="18" customHeight="1">
      <c r="A2075" s="293" t="s">
        <v>3677</v>
      </c>
      <c r="B2075" s="294">
        <v>46286</v>
      </c>
      <c r="C2075" s="286" t="s">
        <v>168</v>
      </c>
      <c r="D2075" s="286" t="s">
        <v>115</v>
      </c>
      <c r="E2075" s="295">
        <v>1</v>
      </c>
      <c r="F2075" s="295">
        <v>1</v>
      </c>
      <c r="G2075" s="296">
        <v>0</v>
      </c>
      <c r="H2075" s="296">
        <v>2000</v>
      </c>
      <c r="I2075" s="296">
        <v>900</v>
      </c>
      <c r="J2075" s="296">
        <v>945</v>
      </c>
      <c r="K2075" s="296">
        <v>1055</v>
      </c>
      <c r="L2075" s="296">
        <v>0</v>
      </c>
      <c r="M2075" s="296">
        <v>1100</v>
      </c>
      <c r="N2075" s="297">
        <v>0.55000000000000004</v>
      </c>
    </row>
    <row r="2076" spans="1:14" ht="18" customHeight="1">
      <c r="A2076" s="293" t="s">
        <v>3678</v>
      </c>
      <c r="B2076" s="294">
        <v>46286</v>
      </c>
      <c r="C2076" s="286" t="s">
        <v>3773</v>
      </c>
      <c r="D2076" s="286" t="s">
        <v>102</v>
      </c>
      <c r="E2076" s="295">
        <v>1</v>
      </c>
      <c r="F2076" s="295">
        <v>1</v>
      </c>
      <c r="G2076" s="296">
        <v>0</v>
      </c>
      <c r="H2076" s="296">
        <v>500</v>
      </c>
      <c r="I2076" s="296">
        <v>260</v>
      </c>
      <c r="J2076" s="296">
        <v>273</v>
      </c>
      <c r="K2076" s="296">
        <v>227</v>
      </c>
      <c r="L2076" s="296">
        <v>68.099999999999994</v>
      </c>
      <c r="M2076" s="296">
        <v>240</v>
      </c>
      <c r="N2076" s="297">
        <v>0.48</v>
      </c>
    </row>
    <row r="2077" spans="1:14" ht="18" customHeight="1">
      <c r="A2077" s="293" t="s">
        <v>3679</v>
      </c>
      <c r="B2077" s="294">
        <v>46286</v>
      </c>
      <c r="C2077" s="286" t="s">
        <v>353</v>
      </c>
      <c r="D2077" s="286" t="s">
        <v>108</v>
      </c>
      <c r="E2077" s="295">
        <v>1</v>
      </c>
      <c r="F2077" s="295">
        <v>1</v>
      </c>
      <c r="G2077" s="296">
        <v>0</v>
      </c>
      <c r="H2077" s="296">
        <v>2100</v>
      </c>
      <c r="I2077" s="296">
        <v>1450</v>
      </c>
      <c r="J2077" s="296">
        <v>1522.5</v>
      </c>
      <c r="K2077" s="296">
        <v>577.5</v>
      </c>
      <c r="L2077" s="296">
        <v>173.25</v>
      </c>
      <c r="M2077" s="296">
        <v>650</v>
      </c>
      <c r="N2077" s="297">
        <v>0.30952380952380953</v>
      </c>
    </row>
    <row r="2078" spans="1:14" ht="18" customHeight="1">
      <c r="A2078" s="293" t="s">
        <v>3680</v>
      </c>
      <c r="B2078" s="294">
        <v>46286</v>
      </c>
      <c r="C2078" s="286" t="s">
        <v>353</v>
      </c>
      <c r="D2078" s="286" t="s">
        <v>174</v>
      </c>
      <c r="E2078" s="295">
        <v>1</v>
      </c>
      <c r="F2078" s="295">
        <v>1</v>
      </c>
      <c r="G2078" s="296">
        <v>0</v>
      </c>
      <c r="H2078" s="296">
        <v>1900</v>
      </c>
      <c r="I2078" s="296">
        <v>1150</v>
      </c>
      <c r="J2078" s="296">
        <v>1207.5</v>
      </c>
      <c r="K2078" s="296">
        <v>692.5</v>
      </c>
      <c r="L2078" s="296">
        <v>207.75</v>
      </c>
      <c r="M2078" s="296">
        <v>750</v>
      </c>
      <c r="N2078" s="297">
        <v>0.39473684210526316</v>
      </c>
    </row>
    <row r="2079" spans="1:14" ht="18" customHeight="1">
      <c r="A2079" s="293" t="s">
        <v>3681</v>
      </c>
      <c r="B2079" s="294">
        <v>46286</v>
      </c>
      <c r="C2079" s="286" t="s">
        <v>168</v>
      </c>
      <c r="D2079" s="286" t="s">
        <v>96</v>
      </c>
      <c r="E2079" s="295">
        <v>4</v>
      </c>
      <c r="F2079" s="295">
        <v>18</v>
      </c>
      <c r="G2079" s="296">
        <v>0</v>
      </c>
      <c r="H2079" s="296">
        <v>1140</v>
      </c>
      <c r="I2079" s="296">
        <v>522</v>
      </c>
      <c r="J2079" s="296">
        <v>548.1</v>
      </c>
      <c r="K2079" s="296">
        <v>591.9</v>
      </c>
      <c r="L2079" s="296">
        <v>0</v>
      </c>
      <c r="M2079" s="296">
        <v>618</v>
      </c>
      <c r="N2079" s="297">
        <v>0.54210526315789476</v>
      </c>
    </row>
    <row r="2080" spans="1:14" ht="18" customHeight="1">
      <c r="A2080" s="293" t="s">
        <v>3682</v>
      </c>
      <c r="B2080" s="294">
        <v>46286</v>
      </c>
      <c r="C2080" s="286" t="s">
        <v>168</v>
      </c>
      <c r="D2080" s="286" t="s">
        <v>256</v>
      </c>
      <c r="E2080" s="295">
        <v>4</v>
      </c>
      <c r="F2080" s="295">
        <v>9.1999999999999993</v>
      </c>
      <c r="G2080" s="296">
        <v>0</v>
      </c>
      <c r="H2080" s="296">
        <v>6630</v>
      </c>
      <c r="I2080" s="296">
        <v>5033.3999999999996</v>
      </c>
      <c r="J2080" s="296">
        <v>5184.402</v>
      </c>
      <c r="K2080" s="296">
        <v>1445.5980000000002</v>
      </c>
      <c r="L2080" s="296">
        <v>0</v>
      </c>
      <c r="M2080" s="296">
        <v>1596.6000000000004</v>
      </c>
      <c r="N2080" s="297">
        <v>0.24081447963800912</v>
      </c>
    </row>
    <row r="2081" spans="1:14" ht="18" customHeight="1">
      <c r="A2081" s="293" t="s">
        <v>3683</v>
      </c>
      <c r="B2081" s="294">
        <v>46287</v>
      </c>
      <c r="C2081" s="286" t="s">
        <v>168</v>
      </c>
      <c r="D2081" s="286" t="s">
        <v>105</v>
      </c>
      <c r="E2081" s="295">
        <v>1</v>
      </c>
      <c r="F2081" s="295">
        <v>1</v>
      </c>
      <c r="G2081" s="296">
        <v>0</v>
      </c>
      <c r="H2081" s="296">
        <v>2100</v>
      </c>
      <c r="I2081" s="296">
        <v>1380</v>
      </c>
      <c r="J2081" s="296">
        <v>1449</v>
      </c>
      <c r="K2081" s="296">
        <v>651</v>
      </c>
      <c r="L2081" s="296">
        <v>0</v>
      </c>
      <c r="M2081" s="296">
        <v>720</v>
      </c>
      <c r="N2081" s="297">
        <v>0.34285714285714286</v>
      </c>
    </row>
    <row r="2082" spans="1:14" ht="18" customHeight="1">
      <c r="A2082" s="293" t="s">
        <v>3684</v>
      </c>
      <c r="B2082" s="294">
        <v>46287</v>
      </c>
      <c r="C2082" s="286" t="s">
        <v>168</v>
      </c>
      <c r="D2082" s="286" t="s">
        <v>99</v>
      </c>
      <c r="E2082" s="295">
        <v>3</v>
      </c>
      <c r="F2082" s="295">
        <v>3</v>
      </c>
      <c r="G2082" s="296">
        <v>0</v>
      </c>
      <c r="H2082" s="296">
        <v>710</v>
      </c>
      <c r="I2082" s="296">
        <v>445</v>
      </c>
      <c r="J2082" s="296">
        <v>458.35</v>
      </c>
      <c r="K2082" s="296">
        <v>251.64999999999998</v>
      </c>
      <c r="L2082" s="296">
        <v>0</v>
      </c>
      <c r="M2082" s="296">
        <v>265</v>
      </c>
      <c r="N2082" s="297">
        <v>0.37323943661971831</v>
      </c>
    </row>
    <row r="2083" spans="1:14" ht="18" customHeight="1">
      <c r="A2083" s="293" t="s">
        <v>3685</v>
      </c>
      <c r="B2083" s="294">
        <v>46287</v>
      </c>
      <c r="C2083" s="286" t="s">
        <v>353</v>
      </c>
      <c r="D2083" s="286" t="s">
        <v>108</v>
      </c>
      <c r="E2083" s="295">
        <v>2</v>
      </c>
      <c r="F2083" s="295">
        <v>6</v>
      </c>
      <c r="G2083" s="296">
        <v>0</v>
      </c>
      <c r="H2083" s="296">
        <v>9450</v>
      </c>
      <c r="I2083" s="296">
        <v>8035</v>
      </c>
      <c r="J2083" s="296">
        <v>8436.75</v>
      </c>
      <c r="K2083" s="296">
        <v>1013.25</v>
      </c>
      <c r="L2083" s="296">
        <v>303.97499999999997</v>
      </c>
      <c r="M2083" s="296">
        <v>1415</v>
      </c>
      <c r="N2083" s="297">
        <v>0.14973544973544972</v>
      </c>
    </row>
    <row r="2084" spans="1:14" ht="18" customHeight="1">
      <c r="A2084" s="293" t="s">
        <v>3686</v>
      </c>
      <c r="B2084" s="294">
        <v>46288</v>
      </c>
      <c r="C2084" s="286" t="s">
        <v>354</v>
      </c>
      <c r="D2084" s="286" t="s">
        <v>109</v>
      </c>
      <c r="E2084" s="295">
        <v>1</v>
      </c>
      <c r="F2084" s="295">
        <v>1</v>
      </c>
      <c r="G2084" s="296">
        <v>0</v>
      </c>
      <c r="H2084" s="296">
        <v>2100</v>
      </c>
      <c r="I2084" s="296">
        <v>1550</v>
      </c>
      <c r="J2084" s="296">
        <v>1627.5</v>
      </c>
      <c r="K2084" s="296">
        <v>472.5</v>
      </c>
      <c r="L2084" s="296">
        <v>141.75</v>
      </c>
      <c r="M2084" s="296">
        <v>550</v>
      </c>
      <c r="N2084" s="297">
        <v>0.26190476190476192</v>
      </c>
    </row>
    <row r="2085" spans="1:14" ht="18" customHeight="1">
      <c r="A2085" s="293" t="s">
        <v>3687</v>
      </c>
      <c r="B2085" s="294">
        <v>46288</v>
      </c>
      <c r="C2085" s="286" t="s">
        <v>168</v>
      </c>
      <c r="D2085" s="286" t="s">
        <v>96</v>
      </c>
      <c r="E2085" s="295">
        <v>1</v>
      </c>
      <c r="F2085" s="295">
        <v>1</v>
      </c>
      <c r="G2085" s="296">
        <v>0</v>
      </c>
      <c r="H2085" s="296">
        <v>800</v>
      </c>
      <c r="I2085" s="296">
        <v>320</v>
      </c>
      <c r="J2085" s="296">
        <v>336</v>
      </c>
      <c r="K2085" s="296">
        <v>464</v>
      </c>
      <c r="L2085" s="296">
        <v>0</v>
      </c>
      <c r="M2085" s="296">
        <v>480</v>
      </c>
      <c r="N2085" s="297">
        <v>0.6</v>
      </c>
    </row>
    <row r="2086" spans="1:14" ht="18" customHeight="1">
      <c r="A2086" s="293" t="s">
        <v>3688</v>
      </c>
      <c r="B2086" s="294">
        <v>46288</v>
      </c>
      <c r="C2086" s="286" t="s">
        <v>168</v>
      </c>
      <c r="D2086" s="286" t="s">
        <v>113</v>
      </c>
      <c r="E2086" s="295">
        <v>3</v>
      </c>
      <c r="F2086" s="295">
        <v>3</v>
      </c>
      <c r="G2086" s="296">
        <v>0</v>
      </c>
      <c r="H2086" s="296">
        <v>3110</v>
      </c>
      <c r="I2086" s="296">
        <v>1530</v>
      </c>
      <c r="J2086" s="296">
        <v>1606.5</v>
      </c>
      <c r="K2086" s="296">
        <v>1503.5</v>
      </c>
      <c r="L2086" s="296">
        <v>0</v>
      </c>
      <c r="M2086" s="296">
        <v>1580</v>
      </c>
      <c r="N2086" s="297">
        <v>0.50803858520900325</v>
      </c>
    </row>
    <row r="2087" spans="1:14" ht="18" customHeight="1">
      <c r="A2087" s="293" t="s">
        <v>3689</v>
      </c>
      <c r="B2087" s="294">
        <v>46288</v>
      </c>
      <c r="C2087" s="286" t="s">
        <v>168</v>
      </c>
      <c r="D2087" s="286" t="s">
        <v>287</v>
      </c>
      <c r="E2087" s="295">
        <v>1</v>
      </c>
      <c r="F2087" s="295">
        <v>1</v>
      </c>
      <c r="G2087" s="296">
        <v>0</v>
      </c>
      <c r="H2087" s="296">
        <v>550</v>
      </c>
      <c r="I2087" s="296">
        <v>270</v>
      </c>
      <c r="J2087" s="296">
        <v>283.5</v>
      </c>
      <c r="K2087" s="296">
        <v>266.5</v>
      </c>
      <c r="L2087" s="296">
        <v>0</v>
      </c>
      <c r="M2087" s="296">
        <v>280</v>
      </c>
      <c r="N2087" s="297">
        <v>0.50909090909090904</v>
      </c>
    </row>
    <row r="2088" spans="1:14" ht="18" customHeight="1">
      <c r="A2088" s="293" t="s">
        <v>3690</v>
      </c>
      <c r="B2088" s="294">
        <v>46288</v>
      </c>
      <c r="C2088" s="286" t="s">
        <v>348</v>
      </c>
      <c r="D2088" s="286" t="s">
        <v>247</v>
      </c>
      <c r="E2088" s="295">
        <v>1</v>
      </c>
      <c r="F2088" s="295">
        <v>1</v>
      </c>
      <c r="G2088" s="296">
        <v>0</v>
      </c>
      <c r="H2088" s="296">
        <v>2100</v>
      </c>
      <c r="I2088" s="296">
        <v>1380</v>
      </c>
      <c r="J2088" s="296">
        <v>1449</v>
      </c>
      <c r="K2088" s="296">
        <v>651</v>
      </c>
      <c r="L2088" s="296">
        <v>195.29999999999998</v>
      </c>
      <c r="M2088" s="296">
        <v>720</v>
      </c>
      <c r="N2088" s="297">
        <v>0.34285714285714286</v>
      </c>
    </row>
    <row r="2089" spans="1:14" ht="18" customHeight="1">
      <c r="A2089" s="293" t="s">
        <v>3691</v>
      </c>
      <c r="B2089" s="294">
        <v>46288</v>
      </c>
      <c r="C2089" s="286" t="s">
        <v>168</v>
      </c>
      <c r="D2089" s="286" t="s">
        <v>115</v>
      </c>
      <c r="E2089" s="295">
        <v>1</v>
      </c>
      <c r="F2089" s="295">
        <v>1</v>
      </c>
      <c r="G2089" s="296">
        <v>0</v>
      </c>
      <c r="H2089" s="296">
        <v>2000</v>
      </c>
      <c r="I2089" s="296">
        <v>1050</v>
      </c>
      <c r="J2089" s="296">
        <v>1102.5</v>
      </c>
      <c r="K2089" s="296">
        <v>897.5</v>
      </c>
      <c r="L2089" s="296">
        <v>0</v>
      </c>
      <c r="M2089" s="296">
        <v>950</v>
      </c>
      <c r="N2089" s="297">
        <v>0.47499999999999998</v>
      </c>
    </row>
    <row r="2090" spans="1:14" ht="18" customHeight="1">
      <c r="A2090" s="293" t="s">
        <v>3692</v>
      </c>
      <c r="B2090" s="294">
        <v>46288</v>
      </c>
      <c r="C2090" s="286" t="s">
        <v>168</v>
      </c>
      <c r="D2090" s="286" t="s">
        <v>99</v>
      </c>
      <c r="E2090" s="295">
        <v>3</v>
      </c>
      <c r="F2090" s="295">
        <v>8</v>
      </c>
      <c r="G2090" s="296">
        <v>0</v>
      </c>
      <c r="H2090" s="296">
        <v>4710</v>
      </c>
      <c r="I2090" s="296">
        <v>3014</v>
      </c>
      <c r="J2090" s="296">
        <v>3162.42</v>
      </c>
      <c r="K2090" s="296">
        <v>1547.58</v>
      </c>
      <c r="L2090" s="296">
        <v>0</v>
      </c>
      <c r="M2090" s="296">
        <v>1696</v>
      </c>
      <c r="N2090" s="297">
        <v>0.36008492569002121</v>
      </c>
    </row>
    <row r="2091" spans="1:14" ht="18" customHeight="1">
      <c r="A2091" s="293" t="s">
        <v>3693</v>
      </c>
      <c r="B2091" s="294">
        <v>46288</v>
      </c>
      <c r="C2091" s="286" t="s">
        <v>353</v>
      </c>
      <c r="D2091" s="286" t="s">
        <v>103</v>
      </c>
      <c r="E2091" s="295">
        <v>2</v>
      </c>
      <c r="F2091" s="295">
        <v>2</v>
      </c>
      <c r="G2091" s="296">
        <v>0</v>
      </c>
      <c r="H2091" s="296">
        <v>4200</v>
      </c>
      <c r="I2091" s="296">
        <v>2700</v>
      </c>
      <c r="J2091" s="296">
        <v>2835</v>
      </c>
      <c r="K2091" s="296">
        <v>1365</v>
      </c>
      <c r="L2091" s="296">
        <v>409.5</v>
      </c>
      <c r="M2091" s="296">
        <v>1500</v>
      </c>
      <c r="N2091" s="297">
        <v>0.35714285714285715</v>
      </c>
    </row>
    <row r="2092" spans="1:14" ht="18" customHeight="1">
      <c r="A2092" s="293" t="s">
        <v>3694</v>
      </c>
      <c r="B2092" s="294">
        <v>46288</v>
      </c>
      <c r="C2092" s="286" t="s">
        <v>168</v>
      </c>
      <c r="D2092" s="286" t="s">
        <v>142</v>
      </c>
      <c r="E2092" s="295">
        <v>1</v>
      </c>
      <c r="F2092" s="295">
        <v>1</v>
      </c>
      <c r="G2092" s="296">
        <v>0</v>
      </c>
      <c r="H2092" s="296">
        <v>2000</v>
      </c>
      <c r="I2092" s="296">
        <v>1200</v>
      </c>
      <c r="J2092" s="296">
        <v>1260</v>
      </c>
      <c r="K2092" s="296">
        <v>740</v>
      </c>
      <c r="L2092" s="296">
        <v>0</v>
      </c>
      <c r="M2092" s="296">
        <v>800</v>
      </c>
      <c r="N2092" s="297">
        <v>0.4</v>
      </c>
    </row>
    <row r="2093" spans="1:14" ht="18" customHeight="1">
      <c r="A2093" s="293" t="s">
        <v>3695</v>
      </c>
      <c r="B2093" s="294">
        <v>46288</v>
      </c>
      <c r="C2093" s="286" t="s">
        <v>3773</v>
      </c>
      <c r="D2093" s="286" t="s">
        <v>102</v>
      </c>
      <c r="E2093" s="295">
        <v>2</v>
      </c>
      <c r="F2093" s="295">
        <v>2</v>
      </c>
      <c r="G2093" s="296">
        <v>0</v>
      </c>
      <c r="H2093" s="296">
        <v>11200</v>
      </c>
      <c r="I2093" s="296">
        <v>9470</v>
      </c>
      <c r="J2093" s="296">
        <v>9943.5</v>
      </c>
      <c r="K2093" s="296">
        <v>1256.5</v>
      </c>
      <c r="L2093" s="296">
        <v>376.95</v>
      </c>
      <c r="M2093" s="296">
        <v>1730</v>
      </c>
      <c r="N2093" s="297">
        <v>0.15446428571428572</v>
      </c>
    </row>
    <row r="2094" spans="1:14" ht="18" customHeight="1">
      <c r="A2094" s="293" t="s">
        <v>3696</v>
      </c>
      <c r="B2094" s="294">
        <v>46288</v>
      </c>
      <c r="C2094" s="286" t="s">
        <v>168</v>
      </c>
      <c r="D2094" s="286" t="s">
        <v>92</v>
      </c>
      <c r="E2094" s="295">
        <v>1</v>
      </c>
      <c r="F2094" s="295">
        <v>1</v>
      </c>
      <c r="G2094" s="296">
        <v>0</v>
      </c>
      <c r="H2094" s="296">
        <v>2000</v>
      </c>
      <c r="I2094" s="296">
        <v>1350</v>
      </c>
      <c r="J2094" s="296">
        <v>1417.5</v>
      </c>
      <c r="K2094" s="296">
        <v>582.5</v>
      </c>
      <c r="L2094" s="296">
        <v>0</v>
      </c>
      <c r="M2094" s="296">
        <v>650</v>
      </c>
      <c r="N2094" s="297">
        <v>0.32500000000000001</v>
      </c>
    </row>
    <row r="2095" spans="1:14" ht="18" customHeight="1">
      <c r="A2095" s="293" t="s">
        <v>3697</v>
      </c>
      <c r="B2095" s="294">
        <v>46288</v>
      </c>
      <c r="C2095" s="286" t="s">
        <v>168</v>
      </c>
      <c r="D2095" s="286" t="s">
        <v>184</v>
      </c>
      <c r="E2095" s="295">
        <v>4</v>
      </c>
      <c r="F2095" s="295">
        <v>13</v>
      </c>
      <c r="G2095" s="296">
        <v>0</v>
      </c>
      <c r="H2095" s="296">
        <v>1230</v>
      </c>
      <c r="I2095" s="296">
        <v>824.25</v>
      </c>
      <c r="J2095" s="296">
        <v>848.97749999999996</v>
      </c>
      <c r="K2095" s="296">
        <v>381.02249999999998</v>
      </c>
      <c r="L2095" s="296">
        <v>0</v>
      </c>
      <c r="M2095" s="296">
        <v>405.75</v>
      </c>
      <c r="N2095" s="297">
        <v>0.32987804878048782</v>
      </c>
    </row>
    <row r="2096" spans="1:14" ht="18" customHeight="1">
      <c r="A2096" s="293" t="s">
        <v>3698</v>
      </c>
      <c r="B2096" s="294">
        <v>46289</v>
      </c>
      <c r="C2096" s="286" t="s">
        <v>168</v>
      </c>
      <c r="D2096" s="286" t="s">
        <v>92</v>
      </c>
      <c r="E2096" s="295">
        <v>1</v>
      </c>
      <c r="F2096" s="295">
        <v>1</v>
      </c>
      <c r="G2096" s="296">
        <v>0</v>
      </c>
      <c r="H2096" s="296">
        <v>2000</v>
      </c>
      <c r="I2096" s="296">
        <v>1300</v>
      </c>
      <c r="J2096" s="296">
        <v>1365</v>
      </c>
      <c r="K2096" s="296">
        <v>635</v>
      </c>
      <c r="L2096" s="296">
        <v>0</v>
      </c>
      <c r="M2096" s="296">
        <v>700</v>
      </c>
      <c r="N2096" s="297">
        <v>0.35</v>
      </c>
    </row>
    <row r="2097" spans="1:14" ht="18" customHeight="1">
      <c r="A2097" s="293" t="s">
        <v>3699</v>
      </c>
      <c r="B2097" s="294">
        <v>46289</v>
      </c>
      <c r="C2097" s="286" t="s">
        <v>354</v>
      </c>
      <c r="D2097" s="286" t="s">
        <v>109</v>
      </c>
      <c r="E2097" s="295">
        <v>1</v>
      </c>
      <c r="F2097" s="295">
        <v>1</v>
      </c>
      <c r="G2097" s="296">
        <v>0</v>
      </c>
      <c r="H2097" s="296">
        <v>2100</v>
      </c>
      <c r="I2097" s="296">
        <v>1450</v>
      </c>
      <c r="J2097" s="296">
        <v>1522.5</v>
      </c>
      <c r="K2097" s="296">
        <v>577.5</v>
      </c>
      <c r="L2097" s="296">
        <v>173.25</v>
      </c>
      <c r="M2097" s="296">
        <v>650</v>
      </c>
      <c r="N2097" s="297">
        <v>0.30952380952380953</v>
      </c>
    </row>
    <row r="2098" spans="1:14" ht="18" customHeight="1">
      <c r="A2098" s="293" t="s">
        <v>3700</v>
      </c>
      <c r="B2098" s="294">
        <v>46289</v>
      </c>
      <c r="C2098" s="286" t="s">
        <v>168</v>
      </c>
      <c r="D2098" s="286" t="s">
        <v>115</v>
      </c>
      <c r="E2098" s="295">
        <v>1</v>
      </c>
      <c r="F2098" s="295">
        <v>1</v>
      </c>
      <c r="G2098" s="296">
        <v>0</v>
      </c>
      <c r="H2098" s="296">
        <v>1800</v>
      </c>
      <c r="I2098" s="296">
        <v>1150</v>
      </c>
      <c r="J2098" s="296">
        <v>1207.5</v>
      </c>
      <c r="K2098" s="296">
        <v>592.5</v>
      </c>
      <c r="L2098" s="296">
        <v>0</v>
      </c>
      <c r="M2098" s="296">
        <v>650</v>
      </c>
      <c r="N2098" s="297">
        <v>0.3611111111111111</v>
      </c>
    </row>
    <row r="2099" spans="1:14" ht="18" customHeight="1">
      <c r="A2099" s="293" t="s">
        <v>3701</v>
      </c>
      <c r="B2099" s="294">
        <v>46289</v>
      </c>
      <c r="C2099" s="286" t="s">
        <v>168</v>
      </c>
      <c r="D2099" s="286" t="s">
        <v>120</v>
      </c>
      <c r="E2099" s="295">
        <v>1</v>
      </c>
      <c r="F2099" s="295">
        <v>1</v>
      </c>
      <c r="G2099" s="296">
        <v>0</v>
      </c>
      <c r="H2099" s="296">
        <v>2000</v>
      </c>
      <c r="I2099" s="296">
        <v>1350</v>
      </c>
      <c r="J2099" s="296">
        <v>1417.5</v>
      </c>
      <c r="K2099" s="296">
        <v>582.5</v>
      </c>
      <c r="L2099" s="296">
        <v>0</v>
      </c>
      <c r="M2099" s="296">
        <v>650</v>
      </c>
      <c r="N2099" s="297">
        <v>0.32500000000000001</v>
      </c>
    </row>
    <row r="2100" spans="1:14" ht="18" customHeight="1">
      <c r="A2100" s="293" t="s">
        <v>3702</v>
      </c>
      <c r="B2100" s="294">
        <v>46289</v>
      </c>
      <c r="C2100" s="286" t="s">
        <v>168</v>
      </c>
      <c r="D2100" s="286" t="s">
        <v>96</v>
      </c>
      <c r="E2100" s="295">
        <v>2</v>
      </c>
      <c r="F2100" s="295">
        <v>3</v>
      </c>
      <c r="G2100" s="296">
        <v>0</v>
      </c>
      <c r="H2100" s="296">
        <v>2240</v>
      </c>
      <c r="I2100" s="296">
        <v>1430</v>
      </c>
      <c r="J2100" s="296">
        <v>1501.5</v>
      </c>
      <c r="K2100" s="296">
        <v>738.5</v>
      </c>
      <c r="L2100" s="296">
        <v>0</v>
      </c>
      <c r="M2100" s="296">
        <v>810</v>
      </c>
      <c r="N2100" s="297">
        <v>0.36160714285714285</v>
      </c>
    </row>
    <row r="2101" spans="1:14" ht="18" customHeight="1">
      <c r="A2101" s="293" t="s">
        <v>3703</v>
      </c>
      <c r="B2101" s="294">
        <v>46289</v>
      </c>
      <c r="C2101" s="286" t="s">
        <v>3773</v>
      </c>
      <c r="D2101" s="286" t="s">
        <v>288</v>
      </c>
      <c r="E2101" s="295">
        <v>2</v>
      </c>
      <c r="F2101" s="295">
        <v>6</v>
      </c>
      <c r="G2101" s="296">
        <v>0</v>
      </c>
      <c r="H2101" s="296">
        <v>2575</v>
      </c>
      <c r="I2101" s="296">
        <v>1983.5</v>
      </c>
      <c r="J2101" s="296">
        <v>2043.0050000000001</v>
      </c>
      <c r="K2101" s="296">
        <v>531.995</v>
      </c>
      <c r="L2101" s="296">
        <v>159.5985</v>
      </c>
      <c r="M2101" s="296">
        <v>591.5</v>
      </c>
      <c r="N2101" s="297">
        <v>0.22970873786407767</v>
      </c>
    </row>
    <row r="2102" spans="1:14" ht="18" customHeight="1">
      <c r="A2102" s="293" t="s">
        <v>3704</v>
      </c>
      <c r="B2102" s="294">
        <v>46289</v>
      </c>
      <c r="C2102" s="286" t="s">
        <v>168</v>
      </c>
      <c r="D2102" s="286" t="s">
        <v>124</v>
      </c>
      <c r="E2102" s="295">
        <v>2</v>
      </c>
      <c r="F2102" s="295">
        <v>2</v>
      </c>
      <c r="G2102" s="296">
        <v>0</v>
      </c>
      <c r="H2102" s="296">
        <v>2430</v>
      </c>
      <c r="I2102" s="296">
        <v>1230</v>
      </c>
      <c r="J2102" s="296">
        <v>1284.9000000000001</v>
      </c>
      <c r="K2102" s="296">
        <v>1145.0999999999999</v>
      </c>
      <c r="L2102" s="296">
        <v>0</v>
      </c>
      <c r="M2102" s="296">
        <v>1200</v>
      </c>
      <c r="N2102" s="297">
        <v>0.49382716049382713</v>
      </c>
    </row>
    <row r="2103" spans="1:14" ht="18" customHeight="1">
      <c r="A2103" s="293" t="s">
        <v>3705</v>
      </c>
      <c r="B2103" s="294">
        <v>46289</v>
      </c>
      <c r="C2103" s="286" t="s">
        <v>168</v>
      </c>
      <c r="D2103" s="286" t="s">
        <v>99</v>
      </c>
      <c r="E2103" s="295">
        <v>6</v>
      </c>
      <c r="F2103" s="295">
        <v>8</v>
      </c>
      <c r="G2103" s="296">
        <v>0</v>
      </c>
      <c r="H2103" s="296">
        <v>3955</v>
      </c>
      <c r="I2103" s="296">
        <v>2060</v>
      </c>
      <c r="J2103" s="296">
        <v>2154.9</v>
      </c>
      <c r="K2103" s="296">
        <v>1800.1</v>
      </c>
      <c r="L2103" s="296">
        <v>0</v>
      </c>
      <c r="M2103" s="296">
        <v>1895</v>
      </c>
      <c r="N2103" s="297">
        <v>0.47914032869785084</v>
      </c>
    </row>
    <row r="2104" spans="1:14" ht="18" customHeight="1">
      <c r="A2104" s="293" t="s">
        <v>3706</v>
      </c>
      <c r="B2104" s="294">
        <v>46289</v>
      </c>
      <c r="C2104" s="286" t="s">
        <v>168</v>
      </c>
      <c r="D2104" s="286" t="s">
        <v>97</v>
      </c>
      <c r="E2104" s="295">
        <v>2</v>
      </c>
      <c r="F2104" s="295">
        <v>3</v>
      </c>
      <c r="G2104" s="296">
        <v>0</v>
      </c>
      <c r="H2104" s="296">
        <v>3100</v>
      </c>
      <c r="I2104" s="296">
        <v>1490</v>
      </c>
      <c r="J2104" s="296">
        <v>1564.5</v>
      </c>
      <c r="K2104" s="296">
        <v>1535.5</v>
      </c>
      <c r="L2104" s="296">
        <v>0</v>
      </c>
      <c r="M2104" s="296">
        <v>1610</v>
      </c>
      <c r="N2104" s="297">
        <v>0.51935483870967747</v>
      </c>
    </row>
    <row r="2105" spans="1:14" ht="18" customHeight="1">
      <c r="A2105" s="293" t="s">
        <v>3707</v>
      </c>
      <c r="B2105" s="294">
        <v>46289</v>
      </c>
      <c r="C2105" s="286" t="s">
        <v>168</v>
      </c>
      <c r="D2105" s="286" t="s">
        <v>121</v>
      </c>
      <c r="E2105" s="295">
        <v>3</v>
      </c>
      <c r="F2105" s="295">
        <v>5</v>
      </c>
      <c r="G2105" s="296">
        <v>0</v>
      </c>
      <c r="H2105" s="296">
        <v>3250</v>
      </c>
      <c r="I2105" s="296">
        <v>2018</v>
      </c>
      <c r="J2105" s="296">
        <v>2118.9</v>
      </c>
      <c r="K2105" s="296">
        <v>1131.0999999999999</v>
      </c>
      <c r="L2105" s="296">
        <v>0</v>
      </c>
      <c r="M2105" s="296">
        <v>1232</v>
      </c>
      <c r="N2105" s="297">
        <v>0.37907692307692309</v>
      </c>
    </row>
    <row r="2106" spans="1:14" ht="18" customHeight="1">
      <c r="A2106" s="293" t="s">
        <v>3708</v>
      </c>
      <c r="B2106" s="294">
        <v>46290</v>
      </c>
      <c r="C2106" s="286" t="s">
        <v>168</v>
      </c>
      <c r="D2106" s="286" t="s">
        <v>258</v>
      </c>
      <c r="E2106" s="295">
        <v>1</v>
      </c>
      <c r="F2106" s="295">
        <v>1</v>
      </c>
      <c r="G2106" s="296">
        <v>0</v>
      </c>
      <c r="H2106" s="296">
        <v>360</v>
      </c>
      <c r="I2106" s="296">
        <v>140</v>
      </c>
      <c r="J2106" s="296">
        <v>147</v>
      </c>
      <c r="K2106" s="296">
        <v>213</v>
      </c>
      <c r="L2106" s="296">
        <v>0</v>
      </c>
      <c r="M2106" s="296">
        <v>220</v>
      </c>
      <c r="N2106" s="297">
        <v>0.61111111111111116</v>
      </c>
    </row>
    <row r="2107" spans="1:14" ht="18" customHeight="1">
      <c r="A2107" s="293" t="s">
        <v>3709</v>
      </c>
      <c r="B2107" s="294">
        <v>46290</v>
      </c>
      <c r="C2107" s="286" t="s">
        <v>168</v>
      </c>
      <c r="D2107" s="286" t="s">
        <v>149</v>
      </c>
      <c r="E2107" s="295">
        <v>3</v>
      </c>
      <c r="F2107" s="295">
        <v>8</v>
      </c>
      <c r="G2107" s="296">
        <v>0</v>
      </c>
      <c r="H2107" s="296">
        <v>891</v>
      </c>
      <c r="I2107" s="296">
        <v>496.72</v>
      </c>
      <c r="J2107" s="296">
        <v>511.6216</v>
      </c>
      <c r="K2107" s="296">
        <v>379.3784</v>
      </c>
      <c r="L2107" s="296">
        <v>0</v>
      </c>
      <c r="M2107" s="296">
        <v>394.28</v>
      </c>
      <c r="N2107" s="297">
        <v>0.44251402918069582</v>
      </c>
    </row>
    <row r="2108" spans="1:14" ht="18" customHeight="1">
      <c r="A2108" s="293" t="s">
        <v>3710</v>
      </c>
      <c r="B2108" s="294">
        <v>46290</v>
      </c>
      <c r="C2108" s="286" t="s">
        <v>168</v>
      </c>
      <c r="D2108" s="286" t="s">
        <v>121</v>
      </c>
      <c r="E2108" s="295">
        <v>1</v>
      </c>
      <c r="F2108" s="295">
        <v>1</v>
      </c>
      <c r="G2108" s="296">
        <v>0</v>
      </c>
      <c r="H2108" s="296">
        <v>360</v>
      </c>
      <c r="I2108" s="296">
        <v>200</v>
      </c>
      <c r="J2108" s="296">
        <v>210</v>
      </c>
      <c r="K2108" s="296">
        <v>150</v>
      </c>
      <c r="L2108" s="296">
        <v>0</v>
      </c>
      <c r="M2108" s="296">
        <v>160</v>
      </c>
      <c r="N2108" s="297">
        <v>0.44444444444444442</v>
      </c>
    </row>
    <row r="2109" spans="1:14" ht="18" customHeight="1">
      <c r="A2109" s="293" t="s">
        <v>3711</v>
      </c>
      <c r="B2109" s="294">
        <v>46290</v>
      </c>
      <c r="C2109" s="286" t="s">
        <v>168</v>
      </c>
      <c r="D2109" s="286" t="s">
        <v>279</v>
      </c>
      <c r="E2109" s="295">
        <v>2</v>
      </c>
      <c r="F2109" s="295">
        <v>25</v>
      </c>
      <c r="G2109" s="296">
        <v>0</v>
      </c>
      <c r="H2109" s="296">
        <v>2020</v>
      </c>
      <c r="I2109" s="296">
        <v>924</v>
      </c>
      <c r="J2109" s="296">
        <v>970.2</v>
      </c>
      <c r="K2109" s="296">
        <v>1049.8</v>
      </c>
      <c r="L2109" s="296">
        <v>0</v>
      </c>
      <c r="M2109" s="296">
        <v>1096</v>
      </c>
      <c r="N2109" s="297">
        <v>0.54257425742574261</v>
      </c>
    </row>
    <row r="2110" spans="1:14" ht="18" customHeight="1">
      <c r="A2110" s="293" t="s">
        <v>3712</v>
      </c>
      <c r="B2110" s="294">
        <v>46290</v>
      </c>
      <c r="C2110" s="286" t="s">
        <v>168</v>
      </c>
      <c r="D2110" s="286" t="s">
        <v>96</v>
      </c>
      <c r="E2110" s="295">
        <v>1</v>
      </c>
      <c r="F2110" s="295">
        <v>1</v>
      </c>
      <c r="G2110" s="296">
        <v>0</v>
      </c>
      <c r="H2110" s="296">
        <v>1800</v>
      </c>
      <c r="I2110" s="296">
        <v>1100</v>
      </c>
      <c r="J2110" s="296">
        <v>1155</v>
      </c>
      <c r="K2110" s="296">
        <v>645</v>
      </c>
      <c r="L2110" s="296">
        <v>0</v>
      </c>
      <c r="M2110" s="296">
        <v>700</v>
      </c>
      <c r="N2110" s="297">
        <v>0.3888888888888889</v>
      </c>
    </row>
    <row r="2111" spans="1:14" ht="18" customHeight="1">
      <c r="A2111" s="293" t="s">
        <v>3713</v>
      </c>
      <c r="B2111" s="294">
        <v>46290</v>
      </c>
      <c r="C2111" s="286" t="s">
        <v>168</v>
      </c>
      <c r="D2111" s="286" t="s">
        <v>115</v>
      </c>
      <c r="E2111" s="295">
        <v>1</v>
      </c>
      <c r="F2111" s="295">
        <v>1</v>
      </c>
      <c r="G2111" s="296">
        <v>0</v>
      </c>
      <c r="H2111" s="296">
        <v>2000</v>
      </c>
      <c r="I2111" s="296">
        <v>1300</v>
      </c>
      <c r="J2111" s="296">
        <v>1365</v>
      </c>
      <c r="K2111" s="296">
        <v>635</v>
      </c>
      <c r="L2111" s="296">
        <v>0</v>
      </c>
      <c r="M2111" s="296">
        <v>700</v>
      </c>
      <c r="N2111" s="297">
        <v>0.35</v>
      </c>
    </row>
    <row r="2112" spans="1:14" ht="18" customHeight="1">
      <c r="A2112" s="293" t="s">
        <v>3714</v>
      </c>
      <c r="B2112" s="294">
        <v>46290</v>
      </c>
      <c r="C2112" s="286" t="s">
        <v>353</v>
      </c>
      <c r="D2112" s="286" t="s">
        <v>94</v>
      </c>
      <c r="E2112" s="295">
        <v>1</v>
      </c>
      <c r="F2112" s="295">
        <v>1</v>
      </c>
      <c r="G2112" s="296">
        <v>0</v>
      </c>
      <c r="H2112" s="296">
        <v>420</v>
      </c>
      <c r="I2112" s="296">
        <v>250</v>
      </c>
      <c r="J2112" s="296">
        <v>262.5</v>
      </c>
      <c r="K2112" s="296">
        <v>157.5</v>
      </c>
      <c r="L2112" s="296">
        <v>0</v>
      </c>
      <c r="M2112" s="296">
        <v>170</v>
      </c>
      <c r="N2112" s="297">
        <v>0.40476190476190477</v>
      </c>
    </row>
    <row r="2113" spans="1:14" ht="18" customHeight="1">
      <c r="A2113" s="293" t="s">
        <v>3715</v>
      </c>
      <c r="B2113" s="294">
        <v>46290</v>
      </c>
      <c r="C2113" s="286" t="s">
        <v>353</v>
      </c>
      <c r="D2113" s="286" t="s">
        <v>108</v>
      </c>
      <c r="E2113" s="295">
        <v>1</v>
      </c>
      <c r="F2113" s="295">
        <v>1</v>
      </c>
      <c r="G2113" s="296">
        <v>0</v>
      </c>
      <c r="H2113" s="296">
        <v>1800</v>
      </c>
      <c r="I2113" s="296">
        <v>1150</v>
      </c>
      <c r="J2113" s="296">
        <v>1207.5</v>
      </c>
      <c r="K2113" s="296">
        <v>592.5</v>
      </c>
      <c r="L2113" s="296">
        <v>0</v>
      </c>
      <c r="M2113" s="296">
        <v>650</v>
      </c>
      <c r="N2113" s="297">
        <v>0.3611111111111111</v>
      </c>
    </row>
    <row r="2114" spans="1:14" ht="18" customHeight="1">
      <c r="A2114" s="293" t="s">
        <v>3716</v>
      </c>
      <c r="B2114" s="294">
        <v>46290</v>
      </c>
      <c r="C2114" s="286" t="s">
        <v>168</v>
      </c>
      <c r="D2114" s="286" t="s">
        <v>99</v>
      </c>
      <c r="E2114" s="295">
        <v>7</v>
      </c>
      <c r="F2114" s="295">
        <v>25.2</v>
      </c>
      <c r="G2114" s="296">
        <v>0</v>
      </c>
      <c r="H2114" s="296">
        <v>5950</v>
      </c>
      <c r="I2114" s="296">
        <v>3999.2999999999997</v>
      </c>
      <c r="J2114" s="296">
        <v>4122.6390000000001</v>
      </c>
      <c r="K2114" s="296">
        <v>1827.3609999999996</v>
      </c>
      <c r="L2114" s="296">
        <v>0</v>
      </c>
      <c r="M2114" s="296">
        <v>1950.7000000000003</v>
      </c>
      <c r="N2114" s="297">
        <v>0.32784873949579835</v>
      </c>
    </row>
    <row r="2115" spans="1:14" ht="18" customHeight="1">
      <c r="A2115" s="293" t="s">
        <v>3717</v>
      </c>
      <c r="B2115" s="294">
        <v>46290</v>
      </c>
      <c r="C2115" s="286" t="s">
        <v>168</v>
      </c>
      <c r="D2115" s="286" t="s">
        <v>181</v>
      </c>
      <c r="E2115" s="295">
        <v>2</v>
      </c>
      <c r="F2115" s="295">
        <v>5</v>
      </c>
      <c r="G2115" s="296">
        <v>0</v>
      </c>
      <c r="H2115" s="296">
        <v>440</v>
      </c>
      <c r="I2115" s="296">
        <v>221</v>
      </c>
      <c r="J2115" s="296">
        <v>228.15</v>
      </c>
      <c r="K2115" s="296">
        <v>211.85000000000002</v>
      </c>
      <c r="L2115" s="296">
        <v>0</v>
      </c>
      <c r="M2115" s="296">
        <v>219</v>
      </c>
      <c r="N2115" s="297">
        <v>0.49772727272727274</v>
      </c>
    </row>
    <row r="2116" spans="1:14" ht="18" customHeight="1">
      <c r="A2116" s="293" t="s">
        <v>3718</v>
      </c>
      <c r="B2116" s="294">
        <v>46291</v>
      </c>
      <c r="C2116" s="286" t="s">
        <v>168</v>
      </c>
      <c r="D2116" s="286" t="s">
        <v>149</v>
      </c>
      <c r="E2116" s="295">
        <v>8</v>
      </c>
      <c r="F2116" s="295">
        <v>70</v>
      </c>
      <c r="G2116" s="296">
        <v>0</v>
      </c>
      <c r="H2116" s="296">
        <v>3940</v>
      </c>
      <c r="I2116" s="296">
        <v>2453.8000000000002</v>
      </c>
      <c r="J2116" s="296">
        <v>2549.3740000000003</v>
      </c>
      <c r="K2116" s="296">
        <v>1390.6259999999997</v>
      </c>
      <c r="L2116" s="296">
        <v>0</v>
      </c>
      <c r="M2116" s="296">
        <v>1486.1999999999998</v>
      </c>
      <c r="N2116" s="297">
        <v>0.37720812182741115</v>
      </c>
    </row>
    <row r="2117" spans="1:14" ht="18" customHeight="1">
      <c r="A2117" s="293" t="s">
        <v>3719</v>
      </c>
      <c r="B2117" s="294">
        <v>46291</v>
      </c>
      <c r="C2117" s="286" t="s">
        <v>3773</v>
      </c>
      <c r="D2117" s="286" t="s">
        <v>100</v>
      </c>
      <c r="E2117" s="295">
        <v>1</v>
      </c>
      <c r="F2117" s="295">
        <v>2</v>
      </c>
      <c r="G2117" s="296">
        <v>0</v>
      </c>
      <c r="H2117" s="296">
        <v>140</v>
      </c>
      <c r="I2117" s="296">
        <v>62</v>
      </c>
      <c r="J2117" s="296">
        <v>65.100000000000009</v>
      </c>
      <c r="K2117" s="296">
        <v>74.899999999999991</v>
      </c>
      <c r="L2117" s="296">
        <v>22.469999999999995</v>
      </c>
      <c r="M2117" s="296">
        <v>78</v>
      </c>
      <c r="N2117" s="297">
        <v>0.55714285714285716</v>
      </c>
    </row>
    <row r="2118" spans="1:14" ht="18" customHeight="1">
      <c r="A2118" s="293" t="s">
        <v>3720</v>
      </c>
      <c r="B2118" s="294">
        <v>46291</v>
      </c>
      <c r="C2118" s="286" t="s">
        <v>353</v>
      </c>
      <c r="D2118" s="286" t="s">
        <v>94</v>
      </c>
      <c r="E2118" s="295">
        <v>18</v>
      </c>
      <c r="F2118" s="295">
        <v>24</v>
      </c>
      <c r="G2118" s="296">
        <v>0</v>
      </c>
      <c r="H2118" s="296">
        <v>14055</v>
      </c>
      <c r="I2118" s="296">
        <v>7945</v>
      </c>
      <c r="J2118" s="296">
        <v>8342.25</v>
      </c>
      <c r="K2118" s="296">
        <v>5712.75</v>
      </c>
      <c r="L2118" s="296">
        <v>1087.575</v>
      </c>
      <c r="M2118" s="296">
        <v>6110</v>
      </c>
      <c r="N2118" s="297">
        <v>0.43472073995019567</v>
      </c>
    </row>
    <row r="2119" spans="1:14" ht="18" customHeight="1">
      <c r="A2119" s="293" t="s">
        <v>3721</v>
      </c>
      <c r="B2119" s="294">
        <v>46291</v>
      </c>
      <c r="C2119" s="286" t="s">
        <v>168</v>
      </c>
      <c r="D2119" s="286" t="s">
        <v>289</v>
      </c>
      <c r="E2119" s="295">
        <v>12</v>
      </c>
      <c r="F2119" s="295">
        <v>45.2</v>
      </c>
      <c r="G2119" s="296">
        <v>0</v>
      </c>
      <c r="H2119" s="296">
        <v>12606</v>
      </c>
      <c r="I2119" s="296">
        <v>7598.920000000001</v>
      </c>
      <c r="J2119" s="296">
        <v>7890.8995999999997</v>
      </c>
      <c r="K2119" s="296">
        <v>4715.1004000000003</v>
      </c>
      <c r="L2119" s="296">
        <v>0</v>
      </c>
      <c r="M2119" s="296">
        <v>5007.079999999999</v>
      </c>
      <c r="N2119" s="297">
        <v>0.39719815960653648</v>
      </c>
    </row>
    <row r="2120" spans="1:14" ht="18" customHeight="1">
      <c r="A2120" s="293" t="s">
        <v>3722</v>
      </c>
      <c r="B2120" s="294">
        <v>46291</v>
      </c>
      <c r="C2120" s="286" t="s">
        <v>3773</v>
      </c>
      <c r="D2120" s="286" t="s">
        <v>102</v>
      </c>
      <c r="E2120" s="295">
        <v>1</v>
      </c>
      <c r="F2120" s="295">
        <v>1</v>
      </c>
      <c r="G2120" s="296">
        <v>0</v>
      </c>
      <c r="H2120" s="296">
        <v>1900</v>
      </c>
      <c r="I2120" s="296">
        <v>1000</v>
      </c>
      <c r="J2120" s="296">
        <v>1050</v>
      </c>
      <c r="K2120" s="296">
        <v>850</v>
      </c>
      <c r="L2120" s="296">
        <v>255</v>
      </c>
      <c r="M2120" s="296">
        <v>900</v>
      </c>
      <c r="N2120" s="297">
        <v>0.47368421052631576</v>
      </c>
    </row>
    <row r="2121" spans="1:14" ht="18" customHeight="1">
      <c r="A2121" s="293" t="s">
        <v>3723</v>
      </c>
      <c r="B2121" s="294">
        <v>46291</v>
      </c>
      <c r="C2121" s="286" t="s">
        <v>168</v>
      </c>
      <c r="D2121" s="286" t="s">
        <v>96</v>
      </c>
      <c r="E2121" s="295">
        <v>2</v>
      </c>
      <c r="F2121" s="295">
        <v>3</v>
      </c>
      <c r="G2121" s="296">
        <v>0</v>
      </c>
      <c r="H2121" s="296">
        <v>440</v>
      </c>
      <c r="I2121" s="296">
        <v>152</v>
      </c>
      <c r="J2121" s="296">
        <v>159.6</v>
      </c>
      <c r="K2121" s="296">
        <v>280.39999999999998</v>
      </c>
      <c r="L2121" s="296">
        <v>0</v>
      </c>
      <c r="M2121" s="296">
        <v>288</v>
      </c>
      <c r="N2121" s="297">
        <v>0.65454545454545454</v>
      </c>
    </row>
    <row r="2122" spans="1:14" ht="18" customHeight="1">
      <c r="A2122" s="293" t="s">
        <v>3724</v>
      </c>
      <c r="B2122" s="294">
        <v>46291</v>
      </c>
      <c r="C2122" s="286" t="s">
        <v>168</v>
      </c>
      <c r="D2122" s="286" t="s">
        <v>99</v>
      </c>
      <c r="E2122" s="295">
        <v>5</v>
      </c>
      <c r="F2122" s="295">
        <v>10</v>
      </c>
      <c r="G2122" s="296">
        <v>0</v>
      </c>
      <c r="H2122" s="296">
        <v>1275</v>
      </c>
      <c r="I2122" s="296">
        <v>645</v>
      </c>
      <c r="J2122" s="296">
        <v>675.79</v>
      </c>
      <c r="K2122" s="296">
        <v>599.21</v>
      </c>
      <c r="L2122" s="296">
        <v>0</v>
      </c>
      <c r="M2122" s="296">
        <v>630</v>
      </c>
      <c r="N2122" s="297">
        <v>0.49411764705882355</v>
      </c>
    </row>
    <row r="2123" spans="1:14" ht="18" customHeight="1">
      <c r="A2123" s="293" t="s">
        <v>3725</v>
      </c>
      <c r="B2123" s="294">
        <v>46291</v>
      </c>
      <c r="C2123" s="286" t="s">
        <v>168</v>
      </c>
      <c r="D2123" s="286" t="s">
        <v>117</v>
      </c>
      <c r="E2123" s="295">
        <v>1</v>
      </c>
      <c r="F2123" s="295">
        <v>2</v>
      </c>
      <c r="G2123" s="296">
        <v>0</v>
      </c>
      <c r="H2123" s="296">
        <v>120</v>
      </c>
      <c r="I2123" s="296">
        <v>58</v>
      </c>
      <c r="J2123" s="296">
        <v>60.900000000000006</v>
      </c>
      <c r="K2123" s="296">
        <v>59.099999999999994</v>
      </c>
      <c r="L2123" s="296">
        <v>0</v>
      </c>
      <c r="M2123" s="296">
        <v>62</v>
      </c>
      <c r="N2123" s="297">
        <v>0.51666666666666672</v>
      </c>
    </row>
    <row r="2124" spans="1:14" ht="18" customHeight="1">
      <c r="A2124" s="293" t="s">
        <v>3726</v>
      </c>
      <c r="B2124" s="294">
        <v>46291</v>
      </c>
      <c r="C2124" s="286" t="s">
        <v>358</v>
      </c>
      <c r="D2124" s="286" t="s">
        <v>98</v>
      </c>
      <c r="E2124" s="295">
        <v>2</v>
      </c>
      <c r="F2124" s="295">
        <v>2</v>
      </c>
      <c r="G2124" s="296">
        <v>0</v>
      </c>
      <c r="H2124" s="296">
        <v>9450</v>
      </c>
      <c r="I2124" s="296">
        <v>8000</v>
      </c>
      <c r="J2124" s="296">
        <v>8400</v>
      </c>
      <c r="K2124" s="296">
        <v>1050</v>
      </c>
      <c r="L2124" s="296">
        <v>315</v>
      </c>
      <c r="M2124" s="296">
        <v>1450</v>
      </c>
      <c r="N2124" s="297">
        <v>0.15343915343915343</v>
      </c>
    </row>
    <row r="2125" spans="1:14" ht="18" customHeight="1">
      <c r="A2125" s="293" t="s">
        <v>3727</v>
      </c>
      <c r="B2125" s="294">
        <v>46291</v>
      </c>
      <c r="C2125" s="286" t="s">
        <v>168</v>
      </c>
      <c r="D2125" s="286" t="s">
        <v>113</v>
      </c>
      <c r="E2125" s="295">
        <v>3</v>
      </c>
      <c r="F2125" s="295">
        <v>3</v>
      </c>
      <c r="G2125" s="296">
        <v>0</v>
      </c>
      <c r="H2125" s="296">
        <v>3150</v>
      </c>
      <c r="I2125" s="296">
        <v>1960</v>
      </c>
      <c r="J2125" s="296">
        <v>2058</v>
      </c>
      <c r="K2125" s="296">
        <v>1092</v>
      </c>
      <c r="L2125" s="296">
        <v>0</v>
      </c>
      <c r="M2125" s="296">
        <v>1190</v>
      </c>
      <c r="N2125" s="297">
        <v>0.37777777777777777</v>
      </c>
    </row>
    <row r="2126" spans="1:14" ht="18" customHeight="1">
      <c r="A2126" s="293" t="s">
        <v>3728</v>
      </c>
      <c r="B2126" s="294">
        <v>46291</v>
      </c>
      <c r="C2126" s="286" t="s">
        <v>168</v>
      </c>
      <c r="D2126" s="286" t="s">
        <v>290</v>
      </c>
      <c r="E2126" s="295">
        <v>5</v>
      </c>
      <c r="F2126" s="295">
        <v>7</v>
      </c>
      <c r="G2126" s="296">
        <v>0</v>
      </c>
      <c r="H2126" s="296">
        <v>850</v>
      </c>
      <c r="I2126" s="296">
        <v>524</v>
      </c>
      <c r="J2126" s="296">
        <v>549.44000000000005</v>
      </c>
      <c r="K2126" s="296">
        <v>300.56</v>
      </c>
      <c r="L2126" s="296">
        <v>0</v>
      </c>
      <c r="M2126" s="296">
        <v>326</v>
      </c>
      <c r="N2126" s="297">
        <v>0.3835294117647059</v>
      </c>
    </row>
    <row r="2127" spans="1:14" ht="18" customHeight="1">
      <c r="A2127" s="293" t="s">
        <v>3729</v>
      </c>
      <c r="B2127" s="294">
        <v>46291</v>
      </c>
      <c r="C2127" s="286" t="s">
        <v>168</v>
      </c>
      <c r="D2127" s="286" t="s">
        <v>129</v>
      </c>
      <c r="E2127" s="295">
        <v>6</v>
      </c>
      <c r="F2127" s="295">
        <v>23</v>
      </c>
      <c r="G2127" s="296">
        <v>0</v>
      </c>
      <c r="H2127" s="296">
        <v>1011</v>
      </c>
      <c r="I2127" s="296">
        <v>588.69999999999993</v>
      </c>
      <c r="J2127" s="296">
        <v>606.88100000000009</v>
      </c>
      <c r="K2127" s="296">
        <v>404.11899999999997</v>
      </c>
      <c r="L2127" s="296">
        <v>0</v>
      </c>
      <c r="M2127" s="296">
        <v>422.30000000000007</v>
      </c>
      <c r="N2127" s="297">
        <v>0.41770524233432255</v>
      </c>
    </row>
    <row r="2128" spans="1:14" ht="18" customHeight="1">
      <c r="A2128" s="293" t="s">
        <v>3730</v>
      </c>
      <c r="B2128" s="294">
        <v>46291</v>
      </c>
      <c r="C2128" s="286" t="s">
        <v>353</v>
      </c>
      <c r="D2128" s="286" t="s">
        <v>108</v>
      </c>
      <c r="E2128" s="295">
        <v>1</v>
      </c>
      <c r="F2128" s="295">
        <v>1</v>
      </c>
      <c r="G2128" s="296">
        <v>0</v>
      </c>
      <c r="H2128" s="296">
        <v>1900</v>
      </c>
      <c r="I2128" s="296">
        <v>1150</v>
      </c>
      <c r="J2128" s="296">
        <v>1207.5</v>
      </c>
      <c r="K2128" s="296">
        <v>692.5</v>
      </c>
      <c r="L2128" s="296">
        <v>207.75</v>
      </c>
      <c r="M2128" s="296">
        <v>750</v>
      </c>
      <c r="N2128" s="297">
        <v>0.39473684210526316</v>
      </c>
    </row>
    <row r="2129" spans="1:14" ht="18" customHeight="1">
      <c r="A2129" s="293" t="s">
        <v>3731</v>
      </c>
      <c r="B2129" s="294">
        <v>46293</v>
      </c>
      <c r="C2129" s="286" t="s">
        <v>353</v>
      </c>
      <c r="D2129" s="286" t="s">
        <v>103</v>
      </c>
      <c r="E2129" s="295">
        <v>2</v>
      </c>
      <c r="F2129" s="295">
        <v>3</v>
      </c>
      <c r="G2129" s="296">
        <v>0</v>
      </c>
      <c r="H2129" s="296">
        <v>2800</v>
      </c>
      <c r="I2129" s="296">
        <v>1600</v>
      </c>
      <c r="J2129" s="296">
        <v>1680</v>
      </c>
      <c r="K2129" s="296">
        <v>1120</v>
      </c>
      <c r="L2129" s="296">
        <v>336</v>
      </c>
      <c r="M2129" s="296">
        <v>1200</v>
      </c>
      <c r="N2129" s="297">
        <v>0.42857142857142855</v>
      </c>
    </row>
    <row r="2130" spans="1:14" ht="18" customHeight="1">
      <c r="A2130" s="293" t="s">
        <v>3732</v>
      </c>
      <c r="B2130" s="294">
        <v>46293</v>
      </c>
      <c r="C2130" s="286" t="s">
        <v>354</v>
      </c>
      <c r="D2130" s="286" t="s">
        <v>109</v>
      </c>
      <c r="E2130" s="295">
        <v>1</v>
      </c>
      <c r="F2130" s="295">
        <v>1</v>
      </c>
      <c r="G2130" s="296">
        <v>0</v>
      </c>
      <c r="H2130" s="296">
        <v>2000</v>
      </c>
      <c r="I2130" s="296">
        <v>1200</v>
      </c>
      <c r="J2130" s="296">
        <v>1260</v>
      </c>
      <c r="K2130" s="296">
        <v>740</v>
      </c>
      <c r="L2130" s="296">
        <v>222</v>
      </c>
      <c r="M2130" s="296">
        <v>800</v>
      </c>
      <c r="N2130" s="297">
        <v>0.4</v>
      </c>
    </row>
    <row r="2131" spans="1:14" ht="18" customHeight="1">
      <c r="A2131" s="293" t="s">
        <v>3733</v>
      </c>
      <c r="B2131" s="294">
        <v>46293</v>
      </c>
      <c r="C2131" s="286" t="s">
        <v>3773</v>
      </c>
      <c r="D2131" s="286" t="s">
        <v>102</v>
      </c>
      <c r="E2131" s="295">
        <v>1</v>
      </c>
      <c r="F2131" s="295">
        <v>1</v>
      </c>
      <c r="G2131" s="296">
        <v>0</v>
      </c>
      <c r="H2131" s="296">
        <v>2100</v>
      </c>
      <c r="I2131" s="296">
        <v>1400</v>
      </c>
      <c r="J2131" s="296">
        <v>1470</v>
      </c>
      <c r="K2131" s="296">
        <v>630</v>
      </c>
      <c r="L2131" s="296">
        <v>189</v>
      </c>
      <c r="M2131" s="296">
        <v>700</v>
      </c>
      <c r="N2131" s="297">
        <v>0.33333333333333331</v>
      </c>
    </row>
    <row r="2132" spans="1:14" ht="18" customHeight="1">
      <c r="A2132" s="293" t="s">
        <v>3734</v>
      </c>
      <c r="B2132" s="294">
        <v>46293</v>
      </c>
      <c r="C2132" s="286" t="s">
        <v>168</v>
      </c>
      <c r="D2132" s="286" t="s">
        <v>99</v>
      </c>
      <c r="E2132" s="295">
        <v>2</v>
      </c>
      <c r="F2132" s="295">
        <v>2</v>
      </c>
      <c r="G2132" s="296">
        <v>0</v>
      </c>
      <c r="H2132" s="296">
        <v>2550</v>
      </c>
      <c r="I2132" s="296">
        <v>1195</v>
      </c>
      <c r="J2132" s="296">
        <v>1254.75</v>
      </c>
      <c r="K2132" s="296">
        <v>1295.25</v>
      </c>
      <c r="L2132" s="296">
        <v>0</v>
      </c>
      <c r="M2132" s="296">
        <v>1355</v>
      </c>
      <c r="N2132" s="297">
        <v>0.53137254901960784</v>
      </c>
    </row>
    <row r="2133" spans="1:14" ht="18" customHeight="1">
      <c r="A2133" s="293" t="s">
        <v>3735</v>
      </c>
      <c r="B2133" s="294">
        <v>46293</v>
      </c>
      <c r="C2133" s="286" t="s">
        <v>168</v>
      </c>
      <c r="D2133" s="286" t="s">
        <v>105</v>
      </c>
      <c r="E2133" s="295">
        <v>1</v>
      </c>
      <c r="F2133" s="295">
        <v>1</v>
      </c>
      <c r="G2133" s="296">
        <v>0</v>
      </c>
      <c r="H2133" s="296">
        <v>1900</v>
      </c>
      <c r="I2133" s="296">
        <v>1150</v>
      </c>
      <c r="J2133" s="296">
        <v>1207.5</v>
      </c>
      <c r="K2133" s="296">
        <v>692.5</v>
      </c>
      <c r="L2133" s="296">
        <v>0</v>
      </c>
      <c r="M2133" s="296">
        <v>750</v>
      </c>
      <c r="N2133" s="297">
        <v>0.39473684210526316</v>
      </c>
    </row>
    <row r="2134" spans="1:14" ht="18" customHeight="1">
      <c r="A2134" s="293" t="s">
        <v>3736</v>
      </c>
      <c r="B2134" s="294">
        <v>46293</v>
      </c>
      <c r="C2134" s="286" t="s">
        <v>168</v>
      </c>
      <c r="D2134" s="286" t="s">
        <v>175</v>
      </c>
      <c r="E2134" s="295">
        <v>2</v>
      </c>
      <c r="F2134" s="295">
        <v>3</v>
      </c>
      <c r="G2134" s="296">
        <v>0</v>
      </c>
      <c r="H2134" s="296">
        <v>2300</v>
      </c>
      <c r="I2134" s="296">
        <v>1250</v>
      </c>
      <c r="J2134" s="296">
        <v>1312.5</v>
      </c>
      <c r="K2134" s="296">
        <v>987.5</v>
      </c>
      <c r="L2134" s="296">
        <v>0</v>
      </c>
      <c r="M2134" s="296">
        <v>1050</v>
      </c>
      <c r="N2134" s="297">
        <v>0.45652173913043476</v>
      </c>
    </row>
    <row r="2135" spans="1:14" ht="18" customHeight="1">
      <c r="A2135" s="293" t="s">
        <v>3737</v>
      </c>
      <c r="B2135" s="294">
        <v>46294</v>
      </c>
      <c r="C2135" s="286" t="s">
        <v>3773</v>
      </c>
      <c r="D2135" s="286" t="s">
        <v>102</v>
      </c>
      <c r="E2135" s="295">
        <v>4</v>
      </c>
      <c r="F2135" s="295">
        <v>4</v>
      </c>
      <c r="G2135" s="296">
        <v>0</v>
      </c>
      <c r="H2135" s="296">
        <v>5200</v>
      </c>
      <c r="I2135" s="296">
        <v>3300</v>
      </c>
      <c r="J2135" s="296">
        <v>3465</v>
      </c>
      <c r="K2135" s="296">
        <v>1735</v>
      </c>
      <c r="L2135" s="296">
        <v>520.5</v>
      </c>
      <c r="M2135" s="296">
        <v>1900</v>
      </c>
      <c r="N2135" s="297">
        <v>0.36538461538461536</v>
      </c>
    </row>
    <row r="2136" spans="1:14" ht="18" customHeight="1">
      <c r="A2136" s="293" t="s">
        <v>3738</v>
      </c>
      <c r="B2136" s="294">
        <v>46294</v>
      </c>
      <c r="C2136" s="286" t="s">
        <v>168</v>
      </c>
      <c r="D2136" s="286" t="s">
        <v>96</v>
      </c>
      <c r="E2136" s="295">
        <v>7</v>
      </c>
      <c r="F2136" s="295">
        <v>8</v>
      </c>
      <c r="G2136" s="296">
        <v>0</v>
      </c>
      <c r="H2136" s="296">
        <v>6950</v>
      </c>
      <c r="I2136" s="296">
        <v>3790</v>
      </c>
      <c r="J2136" s="296">
        <v>3979.5</v>
      </c>
      <c r="K2136" s="296">
        <v>2970.5</v>
      </c>
      <c r="L2136" s="296">
        <v>0</v>
      </c>
      <c r="M2136" s="296">
        <v>3160</v>
      </c>
      <c r="N2136" s="297">
        <v>0.45467625899280578</v>
      </c>
    </row>
    <row r="2137" spans="1:14" ht="18" customHeight="1">
      <c r="A2137" s="293" t="s">
        <v>3739</v>
      </c>
      <c r="B2137" s="294">
        <v>46294</v>
      </c>
      <c r="C2137" s="286" t="s">
        <v>168</v>
      </c>
      <c r="D2137" s="286" t="s">
        <v>113</v>
      </c>
      <c r="E2137" s="295">
        <v>1</v>
      </c>
      <c r="F2137" s="295">
        <v>1</v>
      </c>
      <c r="G2137" s="296">
        <v>0</v>
      </c>
      <c r="H2137" s="296">
        <v>2000</v>
      </c>
      <c r="I2137" s="296">
        <v>850</v>
      </c>
      <c r="J2137" s="296">
        <v>892.5</v>
      </c>
      <c r="K2137" s="296">
        <v>1107.5</v>
      </c>
      <c r="L2137" s="296">
        <v>0</v>
      </c>
      <c r="M2137" s="296">
        <v>1150</v>
      </c>
      <c r="N2137" s="297">
        <v>0.57499999999999996</v>
      </c>
    </row>
    <row r="2138" spans="1:14" ht="18" customHeight="1">
      <c r="A2138" s="293" t="s">
        <v>3740</v>
      </c>
      <c r="B2138" s="294">
        <v>46294</v>
      </c>
      <c r="C2138" s="286" t="s">
        <v>168</v>
      </c>
      <c r="D2138" s="286" t="s">
        <v>99</v>
      </c>
      <c r="E2138" s="295">
        <v>2</v>
      </c>
      <c r="F2138" s="295">
        <v>5</v>
      </c>
      <c r="G2138" s="296">
        <v>0</v>
      </c>
      <c r="H2138" s="296">
        <v>3280</v>
      </c>
      <c r="I2138" s="296">
        <v>2224</v>
      </c>
      <c r="J2138" s="296">
        <v>2335.1999999999998</v>
      </c>
      <c r="K2138" s="296">
        <v>944.8</v>
      </c>
      <c r="L2138" s="296">
        <v>0</v>
      </c>
      <c r="M2138" s="296">
        <v>1056</v>
      </c>
      <c r="N2138" s="297">
        <v>0.32195121951219513</v>
      </c>
    </row>
    <row r="2139" spans="1:14" ht="18" customHeight="1">
      <c r="A2139" s="293" t="s">
        <v>3741</v>
      </c>
      <c r="B2139" s="294">
        <v>46294</v>
      </c>
      <c r="C2139" s="286" t="s">
        <v>353</v>
      </c>
      <c r="D2139" s="286" t="s">
        <v>108</v>
      </c>
      <c r="E2139" s="295">
        <v>1</v>
      </c>
      <c r="F2139" s="295">
        <v>1</v>
      </c>
      <c r="G2139" s="296">
        <v>0</v>
      </c>
      <c r="H2139" s="296">
        <v>2100</v>
      </c>
      <c r="I2139" s="296">
        <v>1400</v>
      </c>
      <c r="J2139" s="296">
        <v>1470</v>
      </c>
      <c r="K2139" s="296">
        <v>630</v>
      </c>
      <c r="L2139" s="296">
        <v>189</v>
      </c>
      <c r="M2139" s="296">
        <v>700</v>
      </c>
      <c r="N2139" s="297">
        <v>0.33333333333333331</v>
      </c>
    </row>
    <row r="2140" spans="1:14" ht="18" customHeight="1">
      <c r="A2140" s="293" t="s">
        <v>3742</v>
      </c>
      <c r="B2140" s="294">
        <v>46294</v>
      </c>
      <c r="C2140" s="286" t="s">
        <v>3773</v>
      </c>
      <c r="D2140" s="286" t="s">
        <v>126</v>
      </c>
      <c r="E2140" s="295">
        <v>1</v>
      </c>
      <c r="F2140" s="295">
        <v>1</v>
      </c>
      <c r="G2140" s="296">
        <v>0</v>
      </c>
      <c r="H2140" s="296">
        <v>1800</v>
      </c>
      <c r="I2140" s="296">
        <v>1100</v>
      </c>
      <c r="J2140" s="296">
        <v>1155</v>
      </c>
      <c r="K2140" s="296">
        <v>645</v>
      </c>
      <c r="L2140" s="296">
        <v>193.5</v>
      </c>
      <c r="M2140" s="296">
        <v>700</v>
      </c>
      <c r="N2140" s="297">
        <v>0.3888888888888889</v>
      </c>
    </row>
    <row r="2141" spans="1:14" ht="18" customHeight="1">
      <c r="A2141" s="293" t="s">
        <v>3743</v>
      </c>
      <c r="B2141" s="294">
        <v>46295</v>
      </c>
      <c r="C2141" s="286" t="s">
        <v>168</v>
      </c>
      <c r="D2141" s="286" t="s">
        <v>92</v>
      </c>
      <c r="E2141" s="295">
        <v>2</v>
      </c>
      <c r="F2141" s="295">
        <v>2</v>
      </c>
      <c r="G2141" s="296">
        <v>0</v>
      </c>
      <c r="H2141" s="296">
        <v>3600</v>
      </c>
      <c r="I2141" s="296">
        <v>1780</v>
      </c>
      <c r="J2141" s="296">
        <v>1869</v>
      </c>
      <c r="K2141" s="296">
        <v>1731</v>
      </c>
      <c r="L2141" s="296">
        <v>0</v>
      </c>
      <c r="M2141" s="296">
        <v>1820</v>
      </c>
      <c r="N2141" s="297">
        <v>0.50555555555555554</v>
      </c>
    </row>
    <row r="2142" spans="1:14" ht="18" customHeight="1">
      <c r="A2142" s="293" t="s">
        <v>3744</v>
      </c>
      <c r="B2142" s="294">
        <v>46295</v>
      </c>
      <c r="C2142" s="286" t="s">
        <v>168</v>
      </c>
      <c r="D2142" s="286" t="s">
        <v>115</v>
      </c>
      <c r="E2142" s="295">
        <v>1</v>
      </c>
      <c r="F2142" s="295">
        <v>1</v>
      </c>
      <c r="G2142" s="296">
        <v>0</v>
      </c>
      <c r="H2142" s="296">
        <v>2000</v>
      </c>
      <c r="I2142" s="296">
        <v>1200</v>
      </c>
      <c r="J2142" s="296">
        <v>1260</v>
      </c>
      <c r="K2142" s="296">
        <v>740</v>
      </c>
      <c r="L2142" s="296">
        <v>0</v>
      </c>
      <c r="M2142" s="296">
        <v>800</v>
      </c>
      <c r="N2142" s="297">
        <v>0.4</v>
      </c>
    </row>
    <row r="2143" spans="1:14" ht="18" customHeight="1">
      <c r="A2143" s="293" t="s">
        <v>3745</v>
      </c>
      <c r="B2143" s="294">
        <v>46295</v>
      </c>
      <c r="C2143" s="286" t="s">
        <v>168</v>
      </c>
      <c r="D2143" s="286" t="s">
        <v>99</v>
      </c>
      <c r="E2143" s="295">
        <v>9</v>
      </c>
      <c r="F2143" s="295">
        <v>33.799999999999997</v>
      </c>
      <c r="G2143" s="296">
        <v>0</v>
      </c>
      <c r="H2143" s="296">
        <v>10545</v>
      </c>
      <c r="I2143" s="296">
        <v>7619.2</v>
      </c>
      <c r="J2143" s="296">
        <v>7850.7759999999998</v>
      </c>
      <c r="K2143" s="296">
        <v>2694.2239999999997</v>
      </c>
      <c r="L2143" s="296">
        <v>0</v>
      </c>
      <c r="M2143" s="296">
        <v>2925.8</v>
      </c>
      <c r="N2143" s="297">
        <v>0.27745851114272169</v>
      </c>
    </row>
    <row r="2144" spans="1:14" ht="18" customHeight="1">
      <c r="A2144" s="293" t="s">
        <v>3746</v>
      </c>
      <c r="B2144" s="294">
        <v>46295</v>
      </c>
      <c r="C2144" s="286" t="s">
        <v>3773</v>
      </c>
      <c r="D2144" s="286" t="s">
        <v>126</v>
      </c>
      <c r="E2144" s="295">
        <v>2</v>
      </c>
      <c r="F2144" s="295">
        <v>2</v>
      </c>
      <c r="G2144" s="296">
        <v>0</v>
      </c>
      <c r="H2144" s="296">
        <v>2760</v>
      </c>
      <c r="I2144" s="296">
        <v>1710</v>
      </c>
      <c r="J2144" s="296">
        <v>1795.5</v>
      </c>
      <c r="K2144" s="296">
        <v>964.5</v>
      </c>
      <c r="L2144" s="296">
        <v>289.35000000000002</v>
      </c>
      <c r="M2144" s="296">
        <v>1050</v>
      </c>
      <c r="N2144" s="297">
        <v>0.38043478260869568</v>
      </c>
    </row>
    <row r="2145" spans="1:14" ht="18" customHeight="1">
      <c r="A2145" s="293" t="s">
        <v>3747</v>
      </c>
      <c r="B2145" s="294">
        <v>46295</v>
      </c>
      <c r="C2145" s="286" t="s">
        <v>168</v>
      </c>
      <c r="D2145" s="286" t="s">
        <v>121</v>
      </c>
      <c r="E2145" s="295">
        <v>1</v>
      </c>
      <c r="F2145" s="295">
        <v>1</v>
      </c>
      <c r="G2145" s="296">
        <v>0</v>
      </c>
      <c r="H2145" s="296">
        <v>9000</v>
      </c>
      <c r="I2145" s="296">
        <v>7820</v>
      </c>
      <c r="J2145" s="296">
        <v>8211</v>
      </c>
      <c r="K2145" s="296">
        <v>789</v>
      </c>
      <c r="L2145" s="296">
        <v>0</v>
      </c>
      <c r="M2145" s="296">
        <v>1180</v>
      </c>
      <c r="N2145" s="297">
        <v>0.13111111111111112</v>
      </c>
    </row>
    <row r="2146" spans="1:14" ht="18" customHeight="1">
      <c r="A2146" s="293" t="s">
        <v>3748</v>
      </c>
      <c r="B2146" s="294">
        <v>46295</v>
      </c>
      <c r="C2146" s="286" t="s">
        <v>3773</v>
      </c>
      <c r="D2146" s="286" t="s">
        <v>102</v>
      </c>
      <c r="E2146" s="295">
        <v>3</v>
      </c>
      <c r="F2146" s="295">
        <v>5</v>
      </c>
      <c r="G2146" s="296">
        <v>0</v>
      </c>
      <c r="H2146" s="296">
        <v>3020</v>
      </c>
      <c r="I2146" s="296">
        <v>1425</v>
      </c>
      <c r="J2146" s="296">
        <v>1496.25</v>
      </c>
      <c r="K2146" s="296">
        <v>1523.75</v>
      </c>
      <c r="L2146" s="296">
        <v>457.125</v>
      </c>
      <c r="M2146" s="296">
        <v>1595</v>
      </c>
      <c r="N2146" s="297">
        <v>0.52814569536423839</v>
      </c>
    </row>
    <row r="2147" spans="1:14" ht="18" customHeight="1">
      <c r="A2147" s="293" t="s">
        <v>3749</v>
      </c>
      <c r="B2147" s="294">
        <v>46295</v>
      </c>
      <c r="C2147" s="286" t="s">
        <v>353</v>
      </c>
      <c r="D2147" s="286" t="s">
        <v>94</v>
      </c>
      <c r="E2147" s="295">
        <v>1</v>
      </c>
      <c r="F2147" s="295">
        <v>1</v>
      </c>
      <c r="G2147" s="296">
        <v>0</v>
      </c>
      <c r="H2147" s="296">
        <v>700</v>
      </c>
      <c r="I2147" s="296">
        <v>220</v>
      </c>
      <c r="J2147" s="296">
        <v>231</v>
      </c>
      <c r="K2147" s="296">
        <v>469</v>
      </c>
      <c r="L2147" s="296">
        <v>140.69999999999999</v>
      </c>
      <c r="M2147" s="296">
        <v>480</v>
      </c>
      <c r="N2147" s="297">
        <v>0.68571428571428572</v>
      </c>
    </row>
    <row r="2148" spans="1:14" ht="18" customHeight="1">
      <c r="A2148" s="293" t="s">
        <v>3750</v>
      </c>
      <c r="B2148" s="294">
        <v>46295</v>
      </c>
      <c r="C2148" s="286" t="s">
        <v>168</v>
      </c>
      <c r="D2148" s="286" t="s">
        <v>120</v>
      </c>
      <c r="E2148" s="295">
        <v>1</v>
      </c>
      <c r="F2148" s="295">
        <v>1</v>
      </c>
      <c r="G2148" s="296">
        <v>0</v>
      </c>
      <c r="H2148" s="296">
        <v>1800</v>
      </c>
      <c r="I2148" s="296">
        <v>1100</v>
      </c>
      <c r="J2148" s="296">
        <v>1155</v>
      </c>
      <c r="K2148" s="296">
        <v>645</v>
      </c>
      <c r="L2148" s="296">
        <v>0</v>
      </c>
      <c r="M2148" s="296">
        <v>700</v>
      </c>
      <c r="N2148" s="297">
        <v>0.3888888888888889</v>
      </c>
    </row>
    <row r="2149" spans="1:14" ht="18" customHeight="1">
      <c r="A2149" s="293" t="s">
        <v>3751</v>
      </c>
      <c r="B2149" s="294">
        <v>46295</v>
      </c>
      <c r="C2149" s="286" t="s">
        <v>353</v>
      </c>
      <c r="D2149" s="286" t="s">
        <v>103</v>
      </c>
      <c r="E2149" s="295">
        <v>1</v>
      </c>
      <c r="F2149" s="295">
        <v>5</v>
      </c>
      <c r="G2149" s="296">
        <v>0</v>
      </c>
      <c r="H2149" s="296">
        <v>3150</v>
      </c>
      <c r="I2149" s="296">
        <v>2250</v>
      </c>
      <c r="J2149" s="296">
        <v>2362.5</v>
      </c>
      <c r="K2149" s="296">
        <v>787.5</v>
      </c>
      <c r="L2149" s="296">
        <v>236.25</v>
      </c>
      <c r="M2149" s="296">
        <v>900</v>
      </c>
      <c r="N2149" s="297">
        <v>0.2857142857142857</v>
      </c>
    </row>
    <row r="2150" spans="1:14" ht="18" customHeight="1">
      <c r="A2150" s="293" t="s">
        <v>3752</v>
      </c>
      <c r="B2150" s="294">
        <v>46295</v>
      </c>
      <c r="C2150" s="286" t="s">
        <v>359</v>
      </c>
      <c r="D2150" s="286" t="s">
        <v>114</v>
      </c>
      <c r="E2150" s="295">
        <v>3</v>
      </c>
      <c r="F2150" s="295">
        <v>21</v>
      </c>
      <c r="G2150" s="296">
        <v>0</v>
      </c>
      <c r="H2150" s="296">
        <v>2700</v>
      </c>
      <c r="I2150" s="296">
        <v>1715</v>
      </c>
      <c r="J2150" s="296">
        <v>1799.35</v>
      </c>
      <c r="K2150" s="296">
        <v>900.65</v>
      </c>
      <c r="L2150" s="296">
        <v>270.19499999999999</v>
      </c>
      <c r="M2150" s="296">
        <v>985</v>
      </c>
      <c r="N2150" s="297">
        <v>0.36481481481481481</v>
      </c>
    </row>
    <row r="2151" spans="1:14" ht="18" customHeight="1">
      <c r="A2151" s="293" t="s">
        <v>3753</v>
      </c>
      <c r="B2151" s="294">
        <v>46295</v>
      </c>
      <c r="C2151" s="286" t="s">
        <v>3773</v>
      </c>
      <c r="D2151" s="286" t="s">
        <v>116</v>
      </c>
      <c r="E2151" s="295">
        <v>1</v>
      </c>
      <c r="F2151" s="295">
        <v>1</v>
      </c>
      <c r="G2151" s="296">
        <v>0</v>
      </c>
      <c r="H2151" s="296">
        <v>4160</v>
      </c>
      <c r="I2151" s="296">
        <v>2150</v>
      </c>
      <c r="J2151" s="296">
        <v>2257.5</v>
      </c>
      <c r="K2151" s="296">
        <v>1902.5</v>
      </c>
      <c r="L2151" s="296">
        <v>570.75</v>
      </c>
      <c r="M2151" s="296">
        <v>2010</v>
      </c>
      <c r="N2151" s="297">
        <v>0.48317307692307693</v>
      </c>
    </row>
    <row r="2152" spans="1:14" ht="18" customHeight="1">
      <c r="A2152" s="293" t="s">
        <v>3754</v>
      </c>
      <c r="B2152" s="294">
        <v>46295</v>
      </c>
      <c r="C2152" s="286" t="s">
        <v>168</v>
      </c>
      <c r="D2152" s="286" t="s">
        <v>128</v>
      </c>
      <c r="E2152" s="295">
        <v>3</v>
      </c>
      <c r="F2152" s="295">
        <v>5</v>
      </c>
      <c r="G2152" s="296">
        <v>0</v>
      </c>
      <c r="H2152" s="296">
        <v>6200</v>
      </c>
      <c r="I2152" s="296">
        <v>3870</v>
      </c>
      <c r="J2152" s="296">
        <v>4063.5</v>
      </c>
      <c r="K2152" s="296">
        <v>2136.5</v>
      </c>
      <c r="L2152" s="296">
        <v>0</v>
      </c>
      <c r="M2152" s="296">
        <v>2330</v>
      </c>
      <c r="N2152" s="297">
        <v>0.37580645161290321</v>
      </c>
    </row>
    <row r="2153" spans="1:14" ht="18" customHeight="1">
      <c r="A2153" s="293" t="s">
        <v>3755</v>
      </c>
      <c r="B2153" s="294">
        <v>46296</v>
      </c>
      <c r="C2153" s="286" t="s">
        <v>168</v>
      </c>
      <c r="D2153" s="286" t="s">
        <v>167</v>
      </c>
      <c r="E2153" s="295">
        <v>1</v>
      </c>
      <c r="F2153" s="295">
        <v>1</v>
      </c>
      <c r="G2153" s="296">
        <v>0</v>
      </c>
      <c r="H2153" s="296">
        <v>2100</v>
      </c>
      <c r="I2153" s="296">
        <v>1450</v>
      </c>
      <c r="J2153" s="296">
        <v>1522.5</v>
      </c>
      <c r="K2153" s="296">
        <v>577.5</v>
      </c>
      <c r="L2153" s="296">
        <v>0</v>
      </c>
      <c r="M2153" s="296">
        <v>650</v>
      </c>
      <c r="N2153" s="297">
        <v>0.30952380952380953</v>
      </c>
    </row>
    <row r="2154" spans="1:14" ht="18" customHeight="1">
      <c r="A2154" s="293" t="s">
        <v>3756</v>
      </c>
      <c r="B2154" s="294">
        <v>46296</v>
      </c>
      <c r="C2154" s="286" t="s">
        <v>168</v>
      </c>
      <c r="D2154" s="286" t="s">
        <v>289</v>
      </c>
      <c r="E2154" s="295">
        <v>8</v>
      </c>
      <c r="F2154" s="295">
        <v>17.8</v>
      </c>
      <c r="G2154" s="296">
        <v>0</v>
      </c>
      <c r="H2154" s="296">
        <v>4910</v>
      </c>
      <c r="I2154" s="296">
        <v>2953.8</v>
      </c>
      <c r="J2154" s="296">
        <v>3050.4540000000006</v>
      </c>
      <c r="K2154" s="296">
        <v>1859.5459999999998</v>
      </c>
      <c r="L2154" s="296">
        <v>0</v>
      </c>
      <c r="M2154" s="296">
        <v>1956.1999999999998</v>
      </c>
      <c r="N2154" s="297">
        <v>0.39841140529531566</v>
      </c>
    </row>
    <row r="2155" spans="1:14" ht="18" customHeight="1">
      <c r="A2155" s="293" t="s">
        <v>3757</v>
      </c>
      <c r="B2155" s="294">
        <v>46296</v>
      </c>
      <c r="C2155" s="286" t="s">
        <v>168</v>
      </c>
      <c r="D2155" s="286" t="s">
        <v>99</v>
      </c>
      <c r="E2155" s="295">
        <v>5</v>
      </c>
      <c r="F2155" s="295">
        <v>11</v>
      </c>
      <c r="G2155" s="296">
        <v>0</v>
      </c>
      <c r="H2155" s="296">
        <v>4425</v>
      </c>
      <c r="I2155" s="296">
        <v>3419.4</v>
      </c>
      <c r="J2155" s="296">
        <v>3531.5820000000003</v>
      </c>
      <c r="K2155" s="296">
        <v>893.41800000000001</v>
      </c>
      <c r="L2155" s="296">
        <v>0</v>
      </c>
      <c r="M2155" s="296">
        <v>1005.5999999999999</v>
      </c>
      <c r="N2155" s="297">
        <v>0.22725423728813557</v>
      </c>
    </row>
    <row r="2156" spans="1:14" ht="18" customHeight="1">
      <c r="A2156" s="293" t="s">
        <v>3758</v>
      </c>
      <c r="B2156" s="294">
        <v>46296</v>
      </c>
      <c r="C2156" s="286" t="s">
        <v>168</v>
      </c>
      <c r="D2156" s="286" t="s">
        <v>162</v>
      </c>
      <c r="E2156" s="295">
        <v>6</v>
      </c>
      <c r="F2156" s="295">
        <v>47</v>
      </c>
      <c r="G2156" s="296">
        <v>0</v>
      </c>
      <c r="H2156" s="296">
        <v>13735</v>
      </c>
      <c r="I2156" s="296">
        <v>11092</v>
      </c>
      <c r="J2156" s="296">
        <v>11424.76</v>
      </c>
      <c r="K2156" s="296">
        <v>2310.2400000000002</v>
      </c>
      <c r="L2156" s="296">
        <v>0</v>
      </c>
      <c r="M2156" s="296">
        <v>2643</v>
      </c>
      <c r="N2156" s="297">
        <v>0.19242810338551147</v>
      </c>
    </row>
    <row r="2157" spans="1:14" ht="18" customHeight="1">
      <c r="A2157" s="293" t="s">
        <v>3759</v>
      </c>
      <c r="B2157" s="294">
        <v>46296</v>
      </c>
      <c r="C2157" s="286" t="s">
        <v>168</v>
      </c>
      <c r="D2157" s="286" t="s">
        <v>112</v>
      </c>
      <c r="E2157" s="295">
        <v>4</v>
      </c>
      <c r="F2157" s="295">
        <v>9</v>
      </c>
      <c r="G2157" s="296">
        <v>0</v>
      </c>
      <c r="H2157" s="296">
        <v>445</v>
      </c>
      <c r="I2157" s="296">
        <v>248.29999999999998</v>
      </c>
      <c r="J2157" s="296">
        <v>256.46100000000001</v>
      </c>
      <c r="K2157" s="296">
        <v>188.53899999999999</v>
      </c>
      <c r="L2157" s="296">
        <v>0</v>
      </c>
      <c r="M2157" s="296">
        <v>196.70000000000002</v>
      </c>
      <c r="N2157" s="297">
        <v>0.4420224719101124</v>
      </c>
    </row>
    <row r="2158" spans="1:14" ht="18" customHeight="1">
      <c r="A2158" s="293" t="s">
        <v>3760</v>
      </c>
      <c r="B2158" s="294">
        <v>46296</v>
      </c>
      <c r="C2158" s="286" t="s">
        <v>353</v>
      </c>
      <c r="D2158" s="286" t="s">
        <v>94</v>
      </c>
      <c r="E2158" s="295">
        <v>1</v>
      </c>
      <c r="F2158" s="295">
        <v>4</v>
      </c>
      <c r="G2158" s="296">
        <v>0</v>
      </c>
      <c r="H2158" s="296">
        <v>1000</v>
      </c>
      <c r="I2158" s="296">
        <v>340</v>
      </c>
      <c r="J2158" s="296">
        <v>357</v>
      </c>
      <c r="K2158" s="296">
        <v>643</v>
      </c>
      <c r="L2158" s="296">
        <v>192.9</v>
      </c>
      <c r="M2158" s="296">
        <v>660</v>
      </c>
      <c r="N2158" s="297">
        <v>0.66</v>
      </c>
    </row>
    <row r="2159" spans="1:14" ht="18" customHeight="1">
      <c r="A2159" s="293" t="s">
        <v>3761</v>
      </c>
      <c r="B2159" s="294">
        <v>46296</v>
      </c>
      <c r="C2159" s="286" t="s">
        <v>168</v>
      </c>
      <c r="D2159" s="286" t="s">
        <v>258</v>
      </c>
      <c r="E2159" s="295">
        <v>5</v>
      </c>
      <c r="F2159" s="295">
        <v>27</v>
      </c>
      <c r="G2159" s="296">
        <v>0</v>
      </c>
      <c r="H2159" s="296">
        <v>8000</v>
      </c>
      <c r="I2159" s="296">
        <v>5697.1</v>
      </c>
      <c r="J2159" s="296">
        <v>5886.7330000000011</v>
      </c>
      <c r="K2159" s="296">
        <v>2113.2669999999998</v>
      </c>
      <c r="L2159" s="296">
        <v>0</v>
      </c>
      <c r="M2159" s="296">
        <v>2302.8999999999996</v>
      </c>
      <c r="N2159" s="297">
        <v>0.28786249999999997</v>
      </c>
    </row>
    <row r="2160" spans="1:14" ht="18" customHeight="1">
      <c r="A2160" s="293"/>
      <c r="B2160" s="294"/>
      <c r="C2160" s="286"/>
      <c r="D2160" s="286"/>
      <c r="E2160" s="295"/>
      <c r="F2160" s="295"/>
      <c r="G2160" s="296"/>
      <c r="H2160" s="296"/>
      <c r="I2160" s="296"/>
      <c r="J2160" s="296"/>
      <c r="K2160" s="296"/>
      <c r="L2160" s="296"/>
      <c r="M2160" s="296"/>
      <c r="N2160" s="297"/>
    </row>
    <row r="2161" spans="1:14" ht="18" customHeight="1">
      <c r="A2161" s="293"/>
      <c r="B2161" s="294"/>
      <c r="C2161" s="286"/>
      <c r="D2161" s="286"/>
      <c r="E2161" s="295"/>
      <c r="F2161" s="295"/>
      <c r="G2161" s="296"/>
      <c r="H2161" s="296"/>
      <c r="I2161" s="296"/>
      <c r="J2161" s="296"/>
      <c r="K2161" s="296"/>
      <c r="L2161" s="296"/>
      <c r="M2161" s="296"/>
      <c r="N2161" s="297"/>
    </row>
    <row r="2162" spans="1:14" ht="18" customHeight="1">
      <c r="A2162" s="293"/>
      <c r="B2162" s="294"/>
      <c r="C2162" s="286"/>
      <c r="D2162" s="286"/>
      <c r="E2162" s="295"/>
      <c r="F2162" s="295"/>
      <c r="G2162" s="296"/>
      <c r="H2162" s="296"/>
      <c r="I2162" s="296"/>
      <c r="J2162" s="296"/>
      <c r="K2162" s="296"/>
      <c r="L2162" s="296"/>
      <c r="M2162" s="296"/>
      <c r="N2162" s="297"/>
    </row>
    <row r="2163" spans="1:14" ht="18" customHeight="1">
      <c r="A2163" s="293"/>
      <c r="B2163" s="294"/>
      <c r="C2163" s="286"/>
      <c r="D2163" s="286"/>
      <c r="E2163" s="295"/>
      <c r="F2163" s="295"/>
      <c r="G2163" s="296"/>
      <c r="H2163" s="296"/>
      <c r="I2163" s="296"/>
      <c r="J2163" s="296"/>
      <c r="K2163" s="296"/>
      <c r="L2163" s="296"/>
      <c r="M2163" s="296"/>
      <c r="N2163" s="297"/>
    </row>
    <row r="2164" spans="1:14" ht="18" customHeight="1">
      <c r="A2164" s="293"/>
      <c r="B2164" s="294"/>
      <c r="C2164" s="286"/>
      <c r="D2164" s="286"/>
      <c r="E2164" s="295"/>
      <c r="F2164" s="295"/>
      <c r="G2164" s="296"/>
      <c r="H2164" s="296"/>
      <c r="I2164" s="296"/>
      <c r="J2164" s="296"/>
      <c r="K2164" s="296"/>
      <c r="L2164" s="296"/>
      <c r="M2164" s="296"/>
      <c r="N2164" s="297"/>
    </row>
    <row r="2165" spans="1:14" ht="18" customHeight="1">
      <c r="A2165" s="293"/>
      <c r="B2165" s="294"/>
      <c r="C2165" s="286"/>
      <c r="D2165" s="286"/>
      <c r="E2165" s="295"/>
      <c r="F2165" s="295"/>
      <c r="G2165" s="296"/>
      <c r="H2165" s="296"/>
      <c r="I2165" s="296"/>
      <c r="J2165" s="296"/>
      <c r="K2165" s="296"/>
      <c r="L2165" s="296"/>
      <c r="M2165" s="296"/>
      <c r="N2165" s="297"/>
    </row>
    <row r="2166" spans="1:14" ht="18" customHeight="1">
      <c r="A2166" s="293"/>
      <c r="B2166" s="294"/>
      <c r="C2166" s="286"/>
      <c r="D2166" s="286"/>
      <c r="E2166" s="295"/>
      <c r="F2166" s="295"/>
      <c r="G2166" s="296"/>
      <c r="H2166" s="296"/>
      <c r="I2166" s="296"/>
      <c r="J2166" s="296"/>
      <c r="K2166" s="296"/>
      <c r="L2166" s="296"/>
      <c r="M2166" s="296"/>
      <c r="N2166" s="297"/>
    </row>
    <row r="2167" spans="1:14" ht="18" customHeight="1">
      <c r="A2167" s="293"/>
      <c r="B2167" s="294"/>
      <c r="C2167" s="286"/>
      <c r="D2167" s="286"/>
      <c r="E2167" s="295"/>
      <c r="F2167" s="295"/>
      <c r="G2167" s="296"/>
      <c r="H2167" s="296"/>
      <c r="I2167" s="296"/>
      <c r="J2167" s="296"/>
      <c r="K2167" s="296"/>
      <c r="L2167" s="296"/>
      <c r="M2167" s="296"/>
      <c r="N2167" s="297"/>
    </row>
    <row r="2168" spans="1:14" ht="18" customHeight="1">
      <c r="A2168" s="293"/>
      <c r="B2168" s="294"/>
      <c r="C2168" s="286"/>
      <c r="D2168" s="286"/>
      <c r="E2168" s="295"/>
      <c r="F2168" s="295"/>
      <c r="G2168" s="296"/>
      <c r="H2168" s="296"/>
      <c r="I2168" s="296"/>
      <c r="J2168" s="296"/>
      <c r="K2168" s="296"/>
      <c r="L2168" s="296"/>
      <c r="M2168" s="296"/>
      <c r="N2168" s="297"/>
    </row>
    <row r="2169" spans="1:14" ht="18" customHeight="1">
      <c r="A2169" s="293"/>
      <c r="B2169" s="294"/>
      <c r="C2169" s="286"/>
      <c r="D2169" s="286"/>
      <c r="E2169" s="295"/>
      <c r="F2169" s="295"/>
      <c r="G2169" s="296"/>
      <c r="H2169" s="296"/>
      <c r="I2169" s="296"/>
      <c r="J2169" s="296"/>
      <c r="K2169" s="296"/>
      <c r="L2169" s="296"/>
      <c r="M2169" s="296"/>
      <c r="N2169" s="297"/>
    </row>
    <row r="2170" spans="1:14" ht="18" customHeight="1">
      <c r="A2170" s="293"/>
      <c r="B2170" s="294"/>
      <c r="C2170" s="286"/>
      <c r="D2170" s="286"/>
      <c r="E2170" s="295"/>
      <c r="F2170" s="295"/>
      <c r="G2170" s="296"/>
      <c r="H2170" s="296"/>
      <c r="I2170" s="296"/>
      <c r="J2170" s="296"/>
      <c r="K2170" s="296"/>
      <c r="L2170" s="296"/>
      <c r="M2170" s="296"/>
      <c r="N2170" s="297"/>
    </row>
    <row r="2171" spans="1:14" ht="18" customHeight="1">
      <c r="A2171" s="293"/>
      <c r="B2171" s="294"/>
      <c r="C2171" s="286"/>
      <c r="D2171" s="286"/>
      <c r="E2171" s="295"/>
      <c r="F2171" s="295"/>
      <c r="G2171" s="296"/>
      <c r="H2171" s="296"/>
      <c r="I2171" s="296"/>
      <c r="J2171" s="296"/>
      <c r="K2171" s="296"/>
      <c r="L2171" s="296"/>
      <c r="M2171" s="296"/>
      <c r="N2171" s="297"/>
    </row>
    <row r="2172" spans="1:14" ht="18" customHeight="1">
      <c r="A2172" s="293"/>
      <c r="B2172" s="294"/>
      <c r="C2172" s="286"/>
      <c r="D2172" s="286"/>
      <c r="E2172" s="295"/>
      <c r="F2172" s="295"/>
      <c r="G2172" s="296"/>
      <c r="H2172" s="296"/>
      <c r="I2172" s="296"/>
      <c r="J2172" s="296"/>
      <c r="K2172" s="296"/>
      <c r="L2172" s="296"/>
      <c r="M2172" s="296"/>
      <c r="N2172" s="297"/>
    </row>
    <row r="2173" spans="1:14" ht="18" customHeight="1">
      <c r="A2173" s="293"/>
      <c r="B2173" s="294"/>
      <c r="C2173" s="286"/>
      <c r="D2173" s="286"/>
      <c r="E2173" s="295"/>
      <c r="F2173" s="295"/>
      <c r="G2173" s="296"/>
      <c r="H2173" s="296"/>
      <c r="I2173" s="296"/>
      <c r="J2173" s="296"/>
      <c r="K2173" s="296"/>
      <c r="L2173" s="296"/>
      <c r="M2173" s="296"/>
      <c r="N2173" s="297"/>
    </row>
    <row r="2174" spans="1:14" ht="18" customHeight="1">
      <c r="A2174" s="293"/>
      <c r="B2174" s="294"/>
      <c r="C2174" s="286"/>
      <c r="D2174" s="286"/>
      <c r="E2174" s="295"/>
      <c r="F2174" s="295"/>
      <c r="G2174" s="296"/>
      <c r="H2174" s="296"/>
      <c r="I2174" s="296"/>
      <c r="J2174" s="296"/>
      <c r="K2174" s="296"/>
      <c r="L2174" s="296"/>
      <c r="M2174" s="296"/>
      <c r="N2174" s="297"/>
    </row>
    <row r="2175" spans="1:14" ht="18" customHeight="1">
      <c r="A2175" s="293"/>
      <c r="B2175" s="294"/>
      <c r="C2175" s="286"/>
      <c r="D2175" s="286"/>
      <c r="E2175" s="295"/>
      <c r="F2175" s="295"/>
      <c r="G2175" s="296"/>
      <c r="H2175" s="296"/>
      <c r="I2175" s="296"/>
      <c r="J2175" s="296"/>
      <c r="K2175" s="296"/>
      <c r="L2175" s="296"/>
      <c r="M2175" s="296"/>
      <c r="N2175" s="297"/>
    </row>
    <row r="2176" spans="1:14" ht="18" customHeight="1">
      <c r="A2176" s="293"/>
      <c r="B2176" s="294"/>
      <c r="C2176" s="286"/>
      <c r="D2176" s="286"/>
      <c r="E2176" s="295"/>
      <c r="F2176" s="295"/>
      <c r="G2176" s="296"/>
      <c r="H2176" s="296"/>
      <c r="I2176" s="296"/>
      <c r="J2176" s="296"/>
      <c r="K2176" s="296"/>
      <c r="L2176" s="296"/>
      <c r="M2176" s="296"/>
      <c r="N2176" s="297"/>
    </row>
    <row r="2177" spans="1:14" ht="18" customHeight="1">
      <c r="A2177" s="293"/>
      <c r="B2177" s="294"/>
      <c r="C2177" s="286"/>
      <c r="D2177" s="286"/>
      <c r="E2177" s="295"/>
      <c r="F2177" s="295"/>
      <c r="G2177" s="296"/>
      <c r="H2177" s="296"/>
      <c r="I2177" s="296"/>
      <c r="J2177" s="296"/>
      <c r="K2177" s="296"/>
      <c r="L2177" s="296"/>
      <c r="M2177" s="296"/>
      <c r="N2177" s="297"/>
    </row>
    <row r="2178" spans="1:14" ht="18" customHeight="1">
      <c r="A2178" s="293"/>
      <c r="B2178" s="294"/>
      <c r="C2178" s="286"/>
      <c r="D2178" s="286"/>
      <c r="E2178" s="295"/>
      <c r="F2178" s="295"/>
      <c r="G2178" s="296"/>
      <c r="H2178" s="296"/>
      <c r="I2178" s="296"/>
      <c r="J2178" s="296"/>
      <c r="K2178" s="296"/>
      <c r="L2178" s="296"/>
      <c r="M2178" s="296"/>
      <c r="N2178" s="297"/>
    </row>
    <row r="2179" spans="1:14" ht="18" customHeight="1">
      <c r="A2179" s="293"/>
      <c r="B2179" s="294"/>
      <c r="C2179" s="286"/>
      <c r="D2179" s="286"/>
      <c r="E2179" s="295"/>
      <c r="F2179" s="295"/>
      <c r="G2179" s="296"/>
      <c r="H2179" s="296"/>
      <c r="I2179" s="296"/>
      <c r="J2179" s="296"/>
      <c r="K2179" s="296"/>
      <c r="L2179" s="296"/>
      <c r="M2179" s="296"/>
      <c r="N2179" s="297"/>
    </row>
    <row r="2180" spans="1:14" ht="18" customHeight="1">
      <c r="A2180" s="293"/>
      <c r="B2180" s="294"/>
      <c r="C2180" s="286"/>
      <c r="D2180" s="286"/>
      <c r="E2180" s="295"/>
      <c r="F2180" s="295"/>
      <c r="G2180" s="296"/>
      <c r="H2180" s="296"/>
      <c r="I2180" s="296"/>
      <c r="J2180" s="296"/>
      <c r="K2180" s="296"/>
      <c r="L2180" s="296"/>
      <c r="M2180" s="296"/>
      <c r="N2180" s="297"/>
    </row>
    <row r="2181" spans="1:14" ht="18" customHeight="1">
      <c r="A2181" s="293"/>
      <c r="B2181" s="294"/>
      <c r="C2181" s="286"/>
      <c r="D2181" s="286"/>
      <c r="E2181" s="295"/>
      <c r="F2181" s="295"/>
      <c r="G2181" s="296"/>
      <c r="H2181" s="296"/>
      <c r="I2181" s="296"/>
      <c r="J2181" s="296"/>
      <c r="K2181" s="296"/>
      <c r="L2181" s="296"/>
      <c r="M2181" s="296"/>
      <c r="N2181" s="297"/>
    </row>
    <row r="2182" spans="1:14" ht="18" customHeight="1">
      <c r="A2182" s="293"/>
      <c r="B2182" s="294"/>
      <c r="C2182" s="286"/>
      <c r="D2182" s="286"/>
      <c r="E2182" s="295"/>
      <c r="F2182" s="295"/>
      <c r="G2182" s="296"/>
      <c r="H2182" s="296"/>
      <c r="I2182" s="296"/>
      <c r="J2182" s="296"/>
      <c r="K2182" s="296"/>
      <c r="L2182" s="296"/>
      <c r="M2182" s="296"/>
      <c r="N2182" s="297"/>
    </row>
    <row r="2183" spans="1:14" ht="18" customHeight="1">
      <c r="A2183" s="293"/>
      <c r="B2183" s="294"/>
      <c r="C2183" s="286"/>
      <c r="D2183" s="286"/>
      <c r="E2183" s="295"/>
      <c r="F2183" s="295"/>
      <c r="G2183" s="296"/>
      <c r="H2183" s="296"/>
      <c r="I2183" s="296"/>
      <c r="J2183" s="296"/>
      <c r="K2183" s="296"/>
      <c r="L2183" s="296"/>
      <c r="M2183" s="296"/>
      <c r="N2183" s="297"/>
    </row>
    <row r="2184" spans="1:14" ht="18" customHeight="1">
      <c r="A2184" s="293"/>
      <c r="B2184" s="294"/>
      <c r="C2184" s="286"/>
      <c r="D2184" s="286"/>
      <c r="E2184" s="295"/>
      <c r="F2184" s="295"/>
      <c r="G2184" s="296"/>
      <c r="H2184" s="296"/>
      <c r="I2184" s="296"/>
      <c r="J2184" s="296"/>
      <c r="K2184" s="296"/>
      <c r="L2184" s="296"/>
      <c r="M2184" s="296"/>
      <c r="N2184" s="297"/>
    </row>
    <row r="2185" spans="1:14" ht="18" customHeight="1">
      <c r="A2185" s="293"/>
      <c r="B2185" s="294"/>
      <c r="C2185" s="286"/>
      <c r="D2185" s="286"/>
      <c r="E2185" s="295"/>
      <c r="F2185" s="295"/>
      <c r="G2185" s="296"/>
      <c r="H2185" s="296"/>
      <c r="I2185" s="296"/>
      <c r="J2185" s="296"/>
      <c r="K2185" s="296"/>
      <c r="L2185" s="296"/>
      <c r="M2185" s="296"/>
      <c r="N2185" s="297"/>
    </row>
    <row r="2186" spans="1:14" ht="18" customHeight="1">
      <c r="A2186" s="293"/>
      <c r="B2186" s="294"/>
      <c r="C2186" s="286"/>
      <c r="D2186" s="286"/>
      <c r="E2186" s="295"/>
      <c r="F2186" s="295"/>
      <c r="G2186" s="296"/>
      <c r="H2186" s="296"/>
      <c r="I2186" s="296"/>
      <c r="J2186" s="296"/>
      <c r="K2186" s="296"/>
      <c r="L2186" s="296"/>
      <c r="M2186" s="296"/>
      <c r="N2186" s="297"/>
    </row>
    <row r="2187" spans="1:14" ht="18" customHeight="1">
      <c r="A2187" s="293"/>
      <c r="B2187" s="294"/>
      <c r="C2187" s="286"/>
      <c r="D2187" s="286"/>
      <c r="E2187" s="295"/>
      <c r="F2187" s="295"/>
      <c r="G2187" s="296"/>
      <c r="H2187" s="296"/>
      <c r="I2187" s="296"/>
      <c r="J2187" s="296"/>
      <c r="K2187" s="296"/>
      <c r="L2187" s="296"/>
      <c r="M2187" s="296"/>
      <c r="N2187" s="297"/>
    </row>
    <row r="2188" spans="1:14" ht="18" customHeight="1">
      <c r="A2188" s="293"/>
      <c r="B2188" s="294"/>
      <c r="C2188" s="286"/>
      <c r="D2188" s="286"/>
      <c r="E2188" s="295"/>
      <c r="F2188" s="295"/>
      <c r="G2188" s="296"/>
      <c r="H2188" s="296"/>
      <c r="I2188" s="296"/>
      <c r="J2188" s="296"/>
      <c r="K2188" s="296"/>
      <c r="L2188" s="296"/>
      <c r="M2188" s="296"/>
      <c r="N2188" s="297"/>
    </row>
    <row r="2189" spans="1:14" ht="18" customHeight="1">
      <c r="A2189" s="293"/>
      <c r="B2189" s="294"/>
      <c r="C2189" s="286"/>
      <c r="D2189" s="286"/>
      <c r="E2189" s="295"/>
      <c r="F2189" s="295"/>
      <c r="G2189" s="296"/>
      <c r="H2189" s="296"/>
      <c r="I2189" s="296"/>
      <c r="J2189" s="296"/>
      <c r="K2189" s="296"/>
      <c r="L2189" s="296"/>
      <c r="M2189" s="296"/>
      <c r="N2189" s="297"/>
    </row>
    <row r="2190" spans="1:14" ht="18" customHeight="1">
      <c r="A2190" s="293"/>
      <c r="B2190" s="294"/>
      <c r="C2190" s="286"/>
      <c r="D2190" s="286"/>
      <c r="E2190" s="295"/>
      <c r="F2190" s="295"/>
      <c r="G2190" s="296"/>
      <c r="H2190" s="296"/>
      <c r="I2190" s="296"/>
      <c r="J2190" s="296"/>
      <c r="K2190" s="296"/>
      <c r="L2190" s="296"/>
      <c r="M2190" s="296"/>
      <c r="N2190" s="297"/>
    </row>
    <row r="2191" spans="1:14" ht="18" customHeight="1">
      <c r="A2191" s="293"/>
      <c r="B2191" s="294"/>
      <c r="C2191" s="286"/>
      <c r="D2191" s="286"/>
      <c r="E2191" s="295"/>
      <c r="F2191" s="295"/>
      <c r="G2191" s="296"/>
      <c r="H2191" s="296"/>
      <c r="I2191" s="296"/>
      <c r="J2191" s="296"/>
      <c r="K2191" s="296"/>
      <c r="L2191" s="296"/>
      <c r="M2191" s="296"/>
      <c r="N2191" s="297"/>
    </row>
    <row r="2192" spans="1:14" ht="18" customHeight="1">
      <c r="A2192" s="293"/>
      <c r="B2192" s="294"/>
      <c r="C2192" s="286"/>
      <c r="D2192" s="286"/>
      <c r="E2192" s="295"/>
      <c r="F2192" s="295"/>
      <c r="G2192" s="296"/>
      <c r="H2192" s="296"/>
      <c r="I2192" s="296"/>
      <c r="J2192" s="296"/>
      <c r="K2192" s="296"/>
      <c r="L2192" s="296"/>
      <c r="M2192" s="296"/>
      <c r="N2192" s="297"/>
    </row>
    <row r="2193" spans="1:14" ht="18" customHeight="1">
      <c r="A2193" s="293"/>
      <c r="B2193" s="294"/>
      <c r="C2193" s="286"/>
      <c r="D2193" s="286"/>
      <c r="E2193" s="295"/>
      <c r="F2193" s="295"/>
      <c r="G2193" s="296"/>
      <c r="H2193" s="296"/>
      <c r="I2193" s="296"/>
      <c r="J2193" s="296"/>
      <c r="K2193" s="296"/>
      <c r="L2193" s="296"/>
      <c r="M2193" s="296"/>
      <c r="N2193" s="297"/>
    </row>
    <row r="2194" spans="1:14" ht="18" customHeight="1">
      <c r="A2194" s="293"/>
      <c r="B2194" s="294"/>
      <c r="C2194" s="286"/>
      <c r="D2194" s="286"/>
      <c r="E2194" s="295"/>
      <c r="F2194" s="295"/>
      <c r="G2194" s="296"/>
      <c r="H2194" s="296"/>
      <c r="I2194" s="296"/>
      <c r="J2194" s="296"/>
      <c r="K2194" s="296"/>
      <c r="L2194" s="296"/>
      <c r="M2194" s="296"/>
      <c r="N2194" s="297"/>
    </row>
    <row r="2195" spans="1:14" ht="18" customHeight="1">
      <c r="A2195" s="293"/>
      <c r="B2195" s="294"/>
      <c r="C2195" s="286"/>
      <c r="D2195" s="286"/>
      <c r="E2195" s="295"/>
      <c r="F2195" s="295"/>
      <c r="G2195" s="296"/>
      <c r="H2195" s="296"/>
      <c r="I2195" s="296"/>
      <c r="J2195" s="296"/>
      <c r="K2195" s="296"/>
      <c r="L2195" s="296"/>
      <c r="M2195" s="296"/>
      <c r="N2195" s="297"/>
    </row>
    <row r="2196" spans="1:14" ht="18" customHeight="1">
      <c r="A2196" s="293"/>
      <c r="B2196" s="294"/>
      <c r="C2196" s="286"/>
      <c r="D2196" s="286"/>
      <c r="E2196" s="295"/>
      <c r="F2196" s="295"/>
      <c r="G2196" s="296"/>
      <c r="H2196" s="296"/>
      <c r="I2196" s="296"/>
      <c r="J2196" s="296"/>
      <c r="K2196" s="296"/>
      <c r="L2196" s="296"/>
      <c r="M2196" s="296"/>
      <c r="N2196" s="297"/>
    </row>
    <row r="2197" spans="1:14" ht="18" customHeight="1">
      <c r="A2197" s="293"/>
      <c r="B2197" s="294"/>
      <c r="C2197" s="286"/>
      <c r="D2197" s="286"/>
      <c r="E2197" s="295"/>
      <c r="F2197" s="295"/>
      <c r="G2197" s="296"/>
      <c r="H2197" s="296"/>
      <c r="I2197" s="296"/>
      <c r="J2197" s="296"/>
      <c r="K2197" s="296"/>
      <c r="L2197" s="296"/>
      <c r="M2197" s="296"/>
      <c r="N2197" s="297"/>
    </row>
    <row r="2198" spans="1:14" ht="18" customHeight="1">
      <c r="A2198" s="293"/>
      <c r="B2198" s="294"/>
      <c r="C2198" s="286"/>
      <c r="D2198" s="286"/>
      <c r="E2198" s="295"/>
      <c r="F2198" s="295"/>
      <c r="G2198" s="296"/>
      <c r="H2198" s="296"/>
      <c r="I2198" s="296"/>
      <c r="J2198" s="296"/>
      <c r="K2198" s="296"/>
      <c r="L2198" s="296"/>
      <c r="M2198" s="296"/>
      <c r="N2198" s="297"/>
    </row>
    <row r="2199" spans="1:14" ht="18" customHeight="1">
      <c r="A2199" s="293"/>
      <c r="B2199" s="294"/>
      <c r="C2199" s="286"/>
      <c r="D2199" s="286"/>
      <c r="E2199" s="295"/>
      <c r="F2199" s="295"/>
      <c r="G2199" s="296"/>
      <c r="H2199" s="296"/>
      <c r="I2199" s="296"/>
      <c r="J2199" s="296"/>
      <c r="K2199" s="296"/>
      <c r="L2199" s="296"/>
      <c r="M2199" s="296"/>
      <c r="N2199" s="297"/>
    </row>
    <row r="2200" spans="1:14" ht="18" customHeight="1">
      <c r="A2200" s="293"/>
      <c r="B2200" s="294"/>
      <c r="C2200" s="286"/>
      <c r="D2200" s="286"/>
      <c r="E2200" s="295"/>
      <c r="F2200" s="295"/>
      <c r="G2200" s="296"/>
      <c r="H2200" s="296"/>
      <c r="I2200" s="296"/>
      <c r="J2200" s="296"/>
      <c r="K2200" s="296"/>
      <c r="L2200" s="296"/>
      <c r="M2200" s="296"/>
      <c r="N2200" s="297"/>
    </row>
  </sheetData>
  <mergeCells count="2">
    <mergeCell ref="A1:N1"/>
    <mergeCell ref="A2:N2"/>
  </mergeCells>
  <conditionalFormatting sqref="M7:M2200">
    <cfRule type="dataBar" priority="1">
      <dataBar>
        <cfvo type="min"/>
        <cfvo type="max"/>
        <color rgb="FF638EC6"/>
      </dataBar>
      <extLst>
        <ext xmlns:x14="http://schemas.microsoft.com/office/spreadsheetml/2009/9/main" uri="{B025F937-C7B1-47D3-B67F-A62EFF666E3E}">
          <x14:id>{455ED09D-5C82-4D61-98E7-0686031601A7}</x14:id>
        </ext>
      </extLst>
    </cfRule>
  </conditionalFormatting>
  <conditionalFormatting sqref="N7:N2200">
    <cfRule type="colorScale" priority="2">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55ED09D-5C82-4D61-98E7-0686031601A7}">
            <x14:dataBar minLength="0" maxLength="100" negativeBarColorSameAsPositive="1" axisPosition="none">
              <x14:cfvo type="min"/>
              <x14:cfvo type="max"/>
            </x14:dataBar>
          </x14:cfRule>
          <xm:sqref>M7:M2200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B697F-0EF1-4045-AF88-24A4AFAD8970}">
  <dimension ref="A1:O33"/>
  <sheetViews>
    <sheetView workbookViewId="0">
      <selection activeCell="B15" sqref="B15"/>
    </sheetView>
  </sheetViews>
  <sheetFormatPr defaultRowHeight="14.25"/>
  <cols>
    <col min="1" max="1" width="21" style="110" customWidth="1"/>
    <col min="2" max="2" width="31.625" style="9" customWidth="1"/>
    <col min="3" max="15" width="13.625" customWidth="1"/>
  </cols>
  <sheetData>
    <row r="1" spans="1:15" ht="23.25">
      <c r="A1" s="208" t="s">
        <v>1605</v>
      </c>
      <c r="B1" s="208"/>
      <c r="C1" s="208"/>
      <c r="D1" s="208"/>
      <c r="E1" s="208"/>
      <c r="F1" s="208"/>
      <c r="G1" s="208"/>
      <c r="H1" s="208"/>
      <c r="I1" s="208"/>
      <c r="J1" s="208"/>
      <c r="K1" s="208"/>
      <c r="L1" s="208"/>
      <c r="M1" s="208"/>
      <c r="N1" s="208"/>
      <c r="O1" s="208"/>
    </row>
    <row r="2" spans="1:15">
      <c r="A2" s="209" t="s">
        <v>1606</v>
      </c>
      <c r="B2" s="209"/>
      <c r="C2" s="209"/>
      <c r="D2" s="209"/>
      <c r="E2" s="209"/>
      <c r="F2" s="209"/>
      <c r="G2" s="209"/>
      <c r="H2" s="209"/>
      <c r="I2" s="209"/>
      <c r="J2" s="209"/>
      <c r="K2" s="209"/>
      <c r="L2" s="209"/>
      <c r="M2" s="209"/>
      <c r="N2" s="209"/>
      <c r="O2" s="209"/>
    </row>
    <row r="4" spans="1:15" s="9" customFormat="1">
      <c r="A4" s="9" t="s">
        <v>376</v>
      </c>
      <c r="B4" s="9" t="s">
        <v>1607</v>
      </c>
      <c r="C4" s="9" t="s">
        <v>417</v>
      </c>
      <c r="D4" s="9" t="s">
        <v>418</v>
      </c>
      <c r="E4" s="9" t="s">
        <v>421</v>
      </c>
      <c r="F4" s="9" t="s">
        <v>422</v>
      </c>
      <c r="G4" s="9" t="s">
        <v>423</v>
      </c>
      <c r="H4" s="9" t="s">
        <v>424</v>
      </c>
      <c r="I4" s="9" t="s">
        <v>426</v>
      </c>
      <c r="J4" s="9" t="s">
        <v>420</v>
      </c>
      <c r="K4" s="9" t="s">
        <v>419</v>
      </c>
      <c r="L4" s="9" t="s">
        <v>427</v>
      </c>
      <c r="M4" s="9" t="s">
        <v>428</v>
      </c>
      <c r="N4" s="9" t="s">
        <v>429</v>
      </c>
      <c r="O4" s="9" t="s">
        <v>1608</v>
      </c>
    </row>
    <row r="5" spans="1:15">
      <c r="A5" s="110" t="s">
        <v>377</v>
      </c>
      <c r="B5" s="9" t="s">
        <v>378</v>
      </c>
      <c r="C5" s="206">
        <v>599</v>
      </c>
      <c r="D5" s="206">
        <v>599</v>
      </c>
      <c r="E5" s="206">
        <v>605</v>
      </c>
      <c r="F5" s="206">
        <v>605</v>
      </c>
      <c r="G5" s="206">
        <v>605</v>
      </c>
      <c r="H5" s="206">
        <v>605</v>
      </c>
      <c r="I5" s="206">
        <v>605</v>
      </c>
      <c r="J5" s="206">
        <v>605</v>
      </c>
      <c r="K5" s="206">
        <v>605</v>
      </c>
      <c r="L5" s="206">
        <v>0</v>
      </c>
      <c r="M5" s="206">
        <v>0</v>
      </c>
      <c r="N5" s="206">
        <v>0</v>
      </c>
      <c r="O5" s="206">
        <v>5433</v>
      </c>
    </row>
    <row r="6" spans="1:15">
      <c r="A6" s="110" t="s">
        <v>377</v>
      </c>
      <c r="B6" s="9" t="s">
        <v>379</v>
      </c>
      <c r="C6" s="206">
        <v>1907</v>
      </c>
      <c r="D6" s="206">
        <v>1907</v>
      </c>
      <c r="E6" s="206">
        <v>1907</v>
      </c>
      <c r="F6" s="206">
        <v>1907</v>
      </c>
      <c r="G6" s="206">
        <v>1907</v>
      </c>
      <c r="H6" s="206">
        <v>1907</v>
      </c>
      <c r="I6" s="206">
        <v>1907</v>
      </c>
      <c r="J6" s="206">
        <v>1907</v>
      </c>
      <c r="K6" s="206">
        <v>1907</v>
      </c>
      <c r="L6" s="206">
        <v>0</v>
      </c>
      <c r="M6" s="206">
        <v>0</v>
      </c>
      <c r="N6" s="206">
        <v>0</v>
      </c>
      <c r="O6" s="206">
        <v>17163</v>
      </c>
    </row>
    <row r="7" spans="1:15">
      <c r="A7" s="110" t="s">
        <v>377</v>
      </c>
      <c r="B7" s="9" t="s">
        <v>380</v>
      </c>
      <c r="C7" s="206">
        <v>9000</v>
      </c>
      <c r="D7" s="206">
        <v>9000</v>
      </c>
      <c r="E7" s="206">
        <v>9000</v>
      </c>
      <c r="F7" s="206">
        <v>9000</v>
      </c>
      <c r="G7" s="206">
        <v>9000</v>
      </c>
      <c r="H7" s="206">
        <v>9000</v>
      </c>
      <c r="I7" s="206">
        <v>9000</v>
      </c>
      <c r="J7" s="206">
        <v>9000</v>
      </c>
      <c r="K7" s="206">
        <v>9000</v>
      </c>
      <c r="L7" s="206">
        <v>0</v>
      </c>
      <c r="M7" s="206">
        <v>0</v>
      </c>
      <c r="N7" s="206">
        <v>0</v>
      </c>
      <c r="O7" s="206">
        <v>81000</v>
      </c>
    </row>
    <row r="8" spans="1:15">
      <c r="A8" s="110" t="s">
        <v>377</v>
      </c>
      <c r="B8" s="9" t="s">
        <v>381</v>
      </c>
      <c r="C8" s="206">
        <v>5000</v>
      </c>
      <c r="D8" s="206">
        <v>5000</v>
      </c>
      <c r="E8" s="206">
        <v>5000</v>
      </c>
      <c r="F8" s="206">
        <v>5000</v>
      </c>
      <c r="G8" s="206">
        <v>5000</v>
      </c>
      <c r="H8" s="206">
        <v>5000</v>
      </c>
      <c r="I8" s="206">
        <v>5000</v>
      </c>
      <c r="J8" s="206">
        <v>5000</v>
      </c>
      <c r="K8" s="206">
        <v>5000</v>
      </c>
      <c r="L8" s="206">
        <v>0</v>
      </c>
      <c r="M8" s="206">
        <v>0</v>
      </c>
      <c r="N8" s="206">
        <v>0</v>
      </c>
      <c r="O8" s="206">
        <v>45000</v>
      </c>
    </row>
    <row r="9" spans="1:15">
      <c r="A9" s="110" t="s">
        <v>377</v>
      </c>
      <c r="B9" s="9" t="s">
        <v>382</v>
      </c>
      <c r="C9" s="206">
        <v>17365</v>
      </c>
      <c r="D9" s="206">
        <v>17365</v>
      </c>
      <c r="E9" s="206">
        <v>17365</v>
      </c>
      <c r="F9" s="206">
        <v>17365</v>
      </c>
      <c r="G9" s="206">
        <v>17365</v>
      </c>
      <c r="H9" s="206">
        <v>17365</v>
      </c>
      <c r="I9" s="206">
        <v>17365</v>
      </c>
      <c r="J9" s="206">
        <v>17365</v>
      </c>
      <c r="K9" s="206">
        <v>17365</v>
      </c>
      <c r="L9" s="206">
        <v>0</v>
      </c>
      <c r="M9" s="206">
        <v>0</v>
      </c>
      <c r="N9" s="206">
        <v>0</v>
      </c>
      <c r="O9" s="206">
        <v>156285</v>
      </c>
    </row>
    <row r="10" spans="1:15">
      <c r="A10" s="110" t="s">
        <v>377</v>
      </c>
      <c r="B10" s="9" t="s">
        <v>383</v>
      </c>
      <c r="C10" s="206">
        <v>2000</v>
      </c>
      <c r="D10" s="206">
        <v>2000</v>
      </c>
      <c r="E10" s="206">
        <v>2000</v>
      </c>
      <c r="F10" s="206">
        <v>2000</v>
      </c>
      <c r="G10" s="206">
        <v>2000</v>
      </c>
      <c r="H10" s="206">
        <v>2000</v>
      </c>
      <c r="I10" s="206">
        <v>2000</v>
      </c>
      <c r="J10" s="206">
        <v>2000</v>
      </c>
      <c r="K10" s="206">
        <v>2000</v>
      </c>
      <c r="L10" s="206">
        <v>0</v>
      </c>
      <c r="M10" s="206">
        <v>0</v>
      </c>
      <c r="N10" s="206">
        <v>0</v>
      </c>
      <c r="O10" s="206">
        <v>18000</v>
      </c>
    </row>
    <row r="11" spans="1:15">
      <c r="A11" s="110" t="s">
        <v>377</v>
      </c>
      <c r="B11" s="9" t="s">
        <v>384</v>
      </c>
      <c r="C11" s="206">
        <v>6306</v>
      </c>
      <c r="D11" s="206">
        <v>7104</v>
      </c>
      <c r="E11" s="206">
        <v>8413</v>
      </c>
      <c r="F11" s="206">
        <v>9632</v>
      </c>
      <c r="G11" s="206">
        <v>11203</v>
      </c>
      <c r="H11" s="206">
        <v>11637</v>
      </c>
      <c r="I11" s="206">
        <v>8815.0300000000007</v>
      </c>
      <c r="J11" s="206">
        <v>5766</v>
      </c>
      <c r="K11" s="206">
        <v>8135</v>
      </c>
      <c r="L11" s="206">
        <v>0</v>
      </c>
      <c r="M11" s="206">
        <v>0</v>
      </c>
      <c r="N11" s="206">
        <v>0</v>
      </c>
      <c r="O11" s="206">
        <v>77011.03</v>
      </c>
    </row>
    <row r="12" spans="1:15">
      <c r="A12" s="110" t="s">
        <v>377</v>
      </c>
      <c r="B12" s="9" t="s">
        <v>385</v>
      </c>
      <c r="C12" s="206">
        <v>505</v>
      </c>
      <c r="D12" s="206">
        <v>502</v>
      </c>
      <c r="E12" s="206">
        <v>502</v>
      </c>
      <c r="F12" s="206">
        <v>497</v>
      </c>
      <c r="G12" s="206">
        <v>502</v>
      </c>
      <c r="H12" s="206">
        <v>497</v>
      </c>
      <c r="I12" s="206">
        <v>503</v>
      </c>
      <c r="J12" s="206">
        <v>503</v>
      </c>
      <c r="K12" s="206">
        <v>551</v>
      </c>
      <c r="L12" s="206">
        <v>0</v>
      </c>
      <c r="M12" s="206">
        <v>0</v>
      </c>
      <c r="N12" s="206">
        <v>0</v>
      </c>
      <c r="O12" s="206">
        <v>4562</v>
      </c>
    </row>
    <row r="13" spans="1:15">
      <c r="A13" s="110">
        <v>0</v>
      </c>
      <c r="B13" s="9" t="s">
        <v>386</v>
      </c>
      <c r="C13" s="206">
        <v>1500</v>
      </c>
      <c r="D13" s="206">
        <v>1500</v>
      </c>
      <c r="E13" s="206">
        <v>1500</v>
      </c>
      <c r="F13" s="206">
        <v>1500</v>
      </c>
      <c r="G13" s="206">
        <v>1500</v>
      </c>
      <c r="H13" s="206">
        <v>1500</v>
      </c>
      <c r="I13" s="206">
        <v>1500</v>
      </c>
      <c r="J13" s="206">
        <v>1500</v>
      </c>
      <c r="K13" s="206">
        <v>1500</v>
      </c>
      <c r="L13" s="206">
        <v>0</v>
      </c>
      <c r="M13" s="206" t="s">
        <v>387</v>
      </c>
      <c r="N13" s="206">
        <v>0</v>
      </c>
      <c r="O13" s="206">
        <v>13500</v>
      </c>
    </row>
    <row r="14" spans="1:15">
      <c r="A14" s="110">
        <v>0</v>
      </c>
      <c r="B14" s="9" t="s">
        <v>388</v>
      </c>
      <c r="C14" s="206">
        <v>470</v>
      </c>
      <c r="D14" s="206">
        <v>470</v>
      </c>
      <c r="E14" s="206">
        <v>470</v>
      </c>
      <c r="F14" s="206">
        <v>470</v>
      </c>
      <c r="G14" s="206">
        <v>470</v>
      </c>
      <c r="H14" s="206">
        <v>470</v>
      </c>
      <c r="I14" s="206">
        <v>470</v>
      </c>
      <c r="J14" s="206">
        <v>470</v>
      </c>
      <c r="K14" s="206">
        <v>470</v>
      </c>
      <c r="L14" s="206">
        <v>0</v>
      </c>
      <c r="M14" s="206">
        <v>0</v>
      </c>
      <c r="N14" s="206">
        <v>0</v>
      </c>
      <c r="O14" s="206">
        <v>4230</v>
      </c>
    </row>
    <row r="15" spans="1:15">
      <c r="A15" s="110">
        <v>0</v>
      </c>
      <c r="B15" s="9" t="s">
        <v>389</v>
      </c>
      <c r="C15" s="206">
        <v>30951</v>
      </c>
      <c r="D15" s="206">
        <v>28750</v>
      </c>
      <c r="E15" s="206">
        <v>29850</v>
      </c>
      <c r="F15" s="206">
        <v>26963</v>
      </c>
      <c r="G15" s="206">
        <v>27743</v>
      </c>
      <c r="H15" s="206">
        <v>28785</v>
      </c>
      <c r="I15" s="206">
        <v>28935</v>
      </c>
      <c r="J15" s="206">
        <v>29177</v>
      </c>
      <c r="K15" s="206">
        <v>35935</v>
      </c>
      <c r="L15" s="206">
        <v>0</v>
      </c>
      <c r="M15" s="206">
        <v>0</v>
      </c>
      <c r="N15" s="206">
        <v>0</v>
      </c>
      <c r="O15" s="206">
        <v>267089</v>
      </c>
    </row>
    <row r="16" spans="1:15">
      <c r="A16" s="110">
        <v>0</v>
      </c>
      <c r="B16" s="9" t="s">
        <v>390</v>
      </c>
      <c r="C16" s="206">
        <v>31630</v>
      </c>
      <c r="D16" s="206">
        <v>30400</v>
      </c>
      <c r="E16" s="206">
        <v>30962</v>
      </c>
      <c r="F16" s="206">
        <v>28343</v>
      </c>
      <c r="G16" s="206">
        <v>28985</v>
      </c>
      <c r="H16" s="206">
        <v>29692</v>
      </c>
      <c r="I16" s="206">
        <v>30435</v>
      </c>
      <c r="J16" s="206">
        <v>28985</v>
      </c>
      <c r="K16" s="206">
        <v>35242</v>
      </c>
      <c r="L16" s="206">
        <v>0</v>
      </c>
      <c r="M16" s="206">
        <v>0</v>
      </c>
      <c r="N16" s="206">
        <v>0</v>
      </c>
      <c r="O16" s="206">
        <v>274674</v>
      </c>
    </row>
    <row r="17" spans="1:15">
      <c r="A17" s="110">
        <v>0</v>
      </c>
      <c r="B17" s="9" t="s">
        <v>391</v>
      </c>
      <c r="C17" s="206">
        <v>14130</v>
      </c>
      <c r="D17" s="206">
        <v>14130</v>
      </c>
      <c r="E17" s="206">
        <v>14130</v>
      </c>
      <c r="F17" s="206">
        <v>12025</v>
      </c>
      <c r="G17" s="206">
        <v>12025</v>
      </c>
      <c r="H17" s="206">
        <v>12025</v>
      </c>
      <c r="I17" s="206">
        <v>12025</v>
      </c>
      <c r="J17" s="206">
        <v>12025</v>
      </c>
      <c r="K17" s="206">
        <v>12025</v>
      </c>
      <c r="L17" s="206">
        <v>0</v>
      </c>
      <c r="M17" s="206">
        <v>0</v>
      </c>
      <c r="N17" s="206">
        <v>0</v>
      </c>
      <c r="O17" s="206">
        <v>114540</v>
      </c>
    </row>
    <row r="18" spans="1:15">
      <c r="A18" s="110">
        <v>0</v>
      </c>
      <c r="B18" s="9" t="s">
        <v>392</v>
      </c>
      <c r="C18" s="206">
        <v>3000</v>
      </c>
      <c r="D18" s="206">
        <v>3000</v>
      </c>
      <c r="E18" s="206">
        <v>3000</v>
      </c>
      <c r="F18" s="206">
        <v>3000</v>
      </c>
      <c r="G18" s="206">
        <v>3000</v>
      </c>
      <c r="H18" s="206">
        <v>3000</v>
      </c>
      <c r="I18" s="206">
        <v>3000</v>
      </c>
      <c r="J18" s="206">
        <v>3000</v>
      </c>
      <c r="K18" s="206">
        <v>3000</v>
      </c>
      <c r="L18" s="206">
        <v>0</v>
      </c>
      <c r="M18" s="206">
        <v>0</v>
      </c>
      <c r="N18" s="206">
        <v>0</v>
      </c>
      <c r="O18" s="206">
        <v>27000</v>
      </c>
    </row>
    <row r="19" spans="1:15">
      <c r="A19" s="110">
        <v>0</v>
      </c>
      <c r="B19" s="9" t="s">
        <v>393</v>
      </c>
      <c r="C19" s="206">
        <v>3842</v>
      </c>
      <c r="D19" s="206">
        <v>3683</v>
      </c>
      <c r="E19" s="206">
        <v>4149</v>
      </c>
      <c r="F19" s="206">
        <v>3907</v>
      </c>
      <c r="G19" s="206">
        <v>3668</v>
      </c>
      <c r="H19" s="206">
        <v>4720</v>
      </c>
      <c r="I19" s="206">
        <v>4370</v>
      </c>
      <c r="J19" s="206">
        <v>3940</v>
      </c>
      <c r="K19" s="206">
        <v>3742</v>
      </c>
      <c r="L19" s="206">
        <v>0</v>
      </c>
      <c r="M19" s="206">
        <v>0</v>
      </c>
      <c r="N19" s="206">
        <v>0</v>
      </c>
      <c r="O19" s="206">
        <v>36021</v>
      </c>
    </row>
    <row r="20" spans="1:15">
      <c r="A20" s="110">
        <v>0</v>
      </c>
      <c r="B20" s="9" t="s">
        <v>394</v>
      </c>
      <c r="C20" s="206">
        <v>6340</v>
      </c>
      <c r="D20" s="206">
        <v>4058</v>
      </c>
      <c r="E20" s="206">
        <v>2595</v>
      </c>
      <c r="F20" s="206">
        <v>7480</v>
      </c>
      <c r="G20" s="206">
        <v>7565</v>
      </c>
      <c r="H20" s="206">
        <v>10190</v>
      </c>
      <c r="I20" s="206">
        <v>5330</v>
      </c>
      <c r="J20" s="206">
        <v>2900</v>
      </c>
      <c r="K20" s="206">
        <v>2775</v>
      </c>
      <c r="L20" s="206">
        <v>0</v>
      </c>
      <c r="M20" s="206">
        <v>0</v>
      </c>
      <c r="N20" s="206">
        <v>0</v>
      </c>
      <c r="O20" s="206">
        <v>49233</v>
      </c>
    </row>
    <row r="21" spans="1:15">
      <c r="A21" s="110">
        <v>0</v>
      </c>
      <c r="B21" s="9" t="s">
        <v>395</v>
      </c>
      <c r="C21" s="206">
        <v>3974</v>
      </c>
      <c r="D21" s="206">
        <v>1749</v>
      </c>
      <c r="E21" s="206">
        <v>2062</v>
      </c>
      <c r="F21" s="206">
        <v>1415</v>
      </c>
      <c r="G21" s="206">
        <v>1800</v>
      </c>
      <c r="H21" s="206">
        <v>2230</v>
      </c>
      <c r="I21" s="206">
        <v>1764</v>
      </c>
      <c r="J21" s="206">
        <v>919</v>
      </c>
      <c r="K21" s="206">
        <v>920</v>
      </c>
      <c r="L21" s="206">
        <v>0</v>
      </c>
      <c r="M21" s="206">
        <v>0</v>
      </c>
      <c r="N21" s="206">
        <v>0</v>
      </c>
      <c r="O21" s="206">
        <v>16833</v>
      </c>
    </row>
    <row r="22" spans="1:15">
      <c r="A22" s="110">
        <v>0</v>
      </c>
      <c r="B22" s="9" t="s">
        <v>396</v>
      </c>
      <c r="C22" s="206">
        <v>2500</v>
      </c>
      <c r="D22" s="206">
        <v>2500</v>
      </c>
      <c r="E22" s="206">
        <v>2500</v>
      </c>
      <c r="F22" s="206">
        <v>2500</v>
      </c>
      <c r="G22" s="206">
        <v>2500</v>
      </c>
      <c r="H22" s="206">
        <v>2500</v>
      </c>
      <c r="I22" s="206">
        <v>2500</v>
      </c>
      <c r="J22" s="206">
        <v>2500</v>
      </c>
      <c r="K22" s="206">
        <v>2500</v>
      </c>
      <c r="L22" s="206">
        <v>0</v>
      </c>
      <c r="M22" s="206">
        <v>0</v>
      </c>
      <c r="N22" s="206">
        <v>0</v>
      </c>
      <c r="O22" s="206">
        <v>22500</v>
      </c>
    </row>
    <row r="23" spans="1:15">
      <c r="A23" s="110">
        <v>0</v>
      </c>
      <c r="B23" s="9" t="s">
        <v>397</v>
      </c>
      <c r="C23" s="206">
        <v>545</v>
      </c>
      <c r="D23" s="206">
        <v>0</v>
      </c>
      <c r="E23" s="206">
        <v>260</v>
      </c>
      <c r="F23" s="206">
        <v>570</v>
      </c>
      <c r="G23" s="206">
        <v>260</v>
      </c>
      <c r="H23" s="206">
        <v>1090</v>
      </c>
      <c r="I23" s="206">
        <v>2070</v>
      </c>
      <c r="J23" s="206">
        <v>880</v>
      </c>
      <c r="K23" s="206">
        <v>0</v>
      </c>
      <c r="L23" s="206">
        <v>0</v>
      </c>
      <c r="M23" s="206">
        <v>0</v>
      </c>
      <c r="N23" s="206">
        <v>0</v>
      </c>
      <c r="O23" s="206">
        <v>5675</v>
      </c>
    </row>
    <row r="24" spans="1:15">
      <c r="A24" s="110">
        <v>0</v>
      </c>
      <c r="B24" s="9" t="s">
        <v>398</v>
      </c>
      <c r="C24" s="206">
        <v>0</v>
      </c>
      <c r="D24" s="206">
        <v>0</v>
      </c>
      <c r="E24" s="206">
        <v>0</v>
      </c>
      <c r="F24" s="206">
        <v>7500</v>
      </c>
      <c r="G24" s="206">
        <v>0</v>
      </c>
      <c r="H24" s="206">
        <v>0</v>
      </c>
      <c r="I24" s="206">
        <v>0</v>
      </c>
      <c r="J24" s="206">
        <v>0</v>
      </c>
      <c r="K24" s="206">
        <v>0</v>
      </c>
      <c r="L24" s="206">
        <v>0</v>
      </c>
      <c r="M24" s="206">
        <v>0</v>
      </c>
      <c r="N24" s="206">
        <v>0</v>
      </c>
      <c r="O24" s="206">
        <v>7500</v>
      </c>
    </row>
    <row r="25" spans="1:15">
      <c r="A25" s="110">
        <v>0</v>
      </c>
      <c r="B25" s="9" t="s">
        <v>399</v>
      </c>
      <c r="C25" s="206">
        <v>0</v>
      </c>
      <c r="D25" s="206">
        <v>7500</v>
      </c>
      <c r="E25" s="206">
        <v>0</v>
      </c>
      <c r="F25" s="206">
        <v>0</v>
      </c>
      <c r="G25" s="206">
        <v>0</v>
      </c>
      <c r="H25" s="206">
        <v>0</v>
      </c>
      <c r="I25" s="206">
        <v>0</v>
      </c>
      <c r="J25" s="206">
        <v>0</v>
      </c>
      <c r="K25" s="206">
        <v>0</v>
      </c>
      <c r="L25" s="206">
        <v>0</v>
      </c>
      <c r="M25" s="206">
        <v>0</v>
      </c>
      <c r="N25" s="206">
        <v>0</v>
      </c>
      <c r="O25" s="206">
        <v>7500</v>
      </c>
    </row>
    <row r="26" spans="1:15">
      <c r="A26" s="110">
        <v>0</v>
      </c>
      <c r="B26" s="9" t="s">
        <v>400</v>
      </c>
      <c r="C26" s="206">
        <v>0</v>
      </c>
      <c r="D26" s="206">
        <v>0</v>
      </c>
      <c r="E26" s="206">
        <v>0</v>
      </c>
      <c r="F26" s="206">
        <v>1915</v>
      </c>
      <c r="G26" s="206">
        <v>0</v>
      </c>
      <c r="H26" s="206">
        <v>0</v>
      </c>
      <c r="I26" s="206">
        <v>1700</v>
      </c>
      <c r="J26" s="206">
        <v>0</v>
      </c>
      <c r="K26" s="206">
        <v>2205</v>
      </c>
      <c r="L26" s="206">
        <v>0</v>
      </c>
      <c r="M26" s="206">
        <v>0</v>
      </c>
      <c r="N26" s="206">
        <v>0</v>
      </c>
      <c r="O26" s="206">
        <v>5820</v>
      </c>
    </row>
    <row r="27" spans="1:15">
      <c r="A27" s="110">
        <v>0</v>
      </c>
      <c r="B27" s="9" t="s">
        <v>401</v>
      </c>
      <c r="C27" s="206">
        <v>0</v>
      </c>
      <c r="D27" s="206">
        <v>13433.3</v>
      </c>
      <c r="E27" s="206">
        <v>0</v>
      </c>
      <c r="F27" s="206">
        <v>0</v>
      </c>
      <c r="G27" s="206">
        <v>0</v>
      </c>
      <c r="H27" s="206">
        <v>0</v>
      </c>
      <c r="I27" s="206">
        <v>0</v>
      </c>
      <c r="J27" s="206">
        <v>0</v>
      </c>
      <c r="K27" s="206">
        <v>0</v>
      </c>
      <c r="L27" s="206">
        <v>0</v>
      </c>
      <c r="M27" s="206">
        <v>0</v>
      </c>
      <c r="N27" s="206">
        <v>0</v>
      </c>
      <c r="O27" s="206">
        <v>13433.3</v>
      </c>
    </row>
    <row r="28" spans="1:15">
      <c r="A28" s="110">
        <v>0</v>
      </c>
      <c r="B28" s="9" t="s">
        <v>402</v>
      </c>
      <c r="C28" s="206">
        <v>0</v>
      </c>
      <c r="D28" s="206">
        <v>0</v>
      </c>
      <c r="E28" s="206">
        <v>0</v>
      </c>
      <c r="F28" s="206">
        <v>3200</v>
      </c>
      <c r="G28" s="206">
        <v>0</v>
      </c>
      <c r="H28" s="206">
        <v>0</v>
      </c>
      <c r="I28" s="206">
        <v>0</v>
      </c>
      <c r="J28" s="206">
        <v>0</v>
      </c>
      <c r="K28" s="206">
        <v>0</v>
      </c>
      <c r="L28" s="206">
        <v>0</v>
      </c>
      <c r="M28" s="206">
        <v>0</v>
      </c>
      <c r="N28" s="206">
        <v>0</v>
      </c>
      <c r="O28" s="206">
        <v>3200</v>
      </c>
    </row>
    <row r="29" spans="1:15">
      <c r="A29" s="110">
        <v>0</v>
      </c>
      <c r="B29" s="9" t="s">
        <v>403</v>
      </c>
      <c r="C29" s="206">
        <v>0</v>
      </c>
      <c r="D29" s="206">
        <v>0</v>
      </c>
      <c r="E29" s="206">
        <v>0</v>
      </c>
      <c r="F29" s="206">
        <v>0</v>
      </c>
      <c r="G29" s="206">
        <v>0</v>
      </c>
      <c r="H29" s="206">
        <v>0</v>
      </c>
      <c r="I29" s="206">
        <v>0</v>
      </c>
      <c r="J29" s="206">
        <v>1099</v>
      </c>
      <c r="K29" s="206">
        <v>0</v>
      </c>
      <c r="L29" s="206">
        <v>0</v>
      </c>
      <c r="M29" s="206">
        <v>0</v>
      </c>
      <c r="N29" s="206">
        <v>0</v>
      </c>
      <c r="O29" s="206">
        <v>1099</v>
      </c>
    </row>
    <row r="30" spans="1:15">
      <c r="A30" s="110" t="s">
        <v>404</v>
      </c>
      <c r="B30" s="207">
        <v>161200</v>
      </c>
      <c r="C30" s="206">
        <v>13433.333333333334</v>
      </c>
      <c r="D30" s="206">
        <v>13433.3</v>
      </c>
      <c r="E30" s="206">
        <v>13433.3</v>
      </c>
      <c r="F30" s="206">
        <v>13433.3</v>
      </c>
      <c r="G30" s="206">
        <v>13433.3</v>
      </c>
      <c r="H30" s="206">
        <v>13433.3</v>
      </c>
      <c r="I30" s="206">
        <v>13433.3</v>
      </c>
      <c r="J30" s="206">
        <v>13433.3</v>
      </c>
      <c r="K30" s="206">
        <v>13433.3</v>
      </c>
      <c r="L30" s="206">
        <v>0</v>
      </c>
      <c r="M30" s="206">
        <v>0</v>
      </c>
      <c r="N30" s="206">
        <v>0</v>
      </c>
      <c r="O30" s="206">
        <v>120899.73333333335</v>
      </c>
    </row>
    <row r="31" spans="1:15">
      <c r="A31" s="110" t="s">
        <v>405</v>
      </c>
      <c r="B31" s="207">
        <v>77000</v>
      </c>
      <c r="C31" s="206">
        <v>6416.666666666667</v>
      </c>
      <c r="D31" s="206">
        <v>6416.6666666666697</v>
      </c>
      <c r="E31" s="206">
        <v>6416.6666666666697</v>
      </c>
      <c r="F31" s="206">
        <v>6416.6666666666697</v>
      </c>
      <c r="G31" s="206">
        <v>6416.6666666666697</v>
      </c>
      <c r="H31" s="206">
        <v>6416.6666666666697</v>
      </c>
      <c r="I31" s="206">
        <v>6416.6666666666697</v>
      </c>
      <c r="J31" s="206">
        <v>6416.6666666666697</v>
      </c>
      <c r="K31" s="206">
        <v>6416.6666666666697</v>
      </c>
      <c r="L31" s="206">
        <v>0</v>
      </c>
      <c r="M31" s="206">
        <v>0</v>
      </c>
      <c r="N31" s="206">
        <v>0</v>
      </c>
      <c r="O31" s="206">
        <v>57750.000000000036</v>
      </c>
    </row>
    <row r="32" spans="1:15">
      <c r="A32" s="110" t="s">
        <v>406</v>
      </c>
      <c r="B32" s="9">
        <v>72200</v>
      </c>
      <c r="C32" s="206">
        <v>6016.666666666667</v>
      </c>
      <c r="D32" s="206">
        <v>6016.6666666666697</v>
      </c>
      <c r="E32" s="206">
        <v>6016.6666666666697</v>
      </c>
      <c r="F32" s="206">
        <v>6016.6666666666697</v>
      </c>
      <c r="G32" s="206">
        <v>6016.6666666666697</v>
      </c>
      <c r="H32" s="206">
        <v>6016.6666666666697</v>
      </c>
      <c r="I32" s="206">
        <v>6016.6666666666697</v>
      </c>
      <c r="J32" s="206">
        <v>6016.6666666666697</v>
      </c>
      <c r="K32" s="206">
        <v>6016.6666666666697</v>
      </c>
      <c r="L32" s="206">
        <v>0</v>
      </c>
      <c r="M32" s="206">
        <v>0</v>
      </c>
      <c r="N32" s="206">
        <v>0</v>
      </c>
      <c r="O32" s="206">
        <v>54150.000000000036</v>
      </c>
    </row>
    <row r="33" spans="1:15">
      <c r="A33" s="110" t="s">
        <v>407</v>
      </c>
      <c r="B33" s="9">
        <v>12000</v>
      </c>
      <c r="C33" s="206">
        <v>1000</v>
      </c>
      <c r="D33" s="206">
        <v>1000</v>
      </c>
      <c r="E33" s="206">
        <v>1000</v>
      </c>
      <c r="F33" s="206">
        <v>1000</v>
      </c>
      <c r="G33" s="206">
        <v>1000</v>
      </c>
      <c r="H33" s="206">
        <v>1000</v>
      </c>
      <c r="I33" s="206">
        <v>1000</v>
      </c>
      <c r="J33" s="206">
        <v>1000</v>
      </c>
      <c r="K33" s="206">
        <v>1000</v>
      </c>
      <c r="L33" s="206">
        <v>0</v>
      </c>
      <c r="M33" s="206">
        <v>0</v>
      </c>
      <c r="N33" s="206">
        <v>0</v>
      </c>
      <c r="O33" s="206">
        <v>9000</v>
      </c>
    </row>
  </sheetData>
  <mergeCells count="2">
    <mergeCell ref="A1:O1"/>
    <mergeCell ref="A2:O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dimension ref="A15:U92"/>
  <sheetViews>
    <sheetView topLeftCell="C1" workbookViewId="0">
      <selection activeCell="K681" sqref="K681"/>
    </sheetView>
  </sheetViews>
  <sheetFormatPr defaultColWidth="9" defaultRowHeight="14.25"/>
  <cols>
    <col min="1" max="1" width="3.25" style="82" customWidth="1"/>
    <col min="2" max="2" width="21.125" style="82" customWidth="1"/>
    <col min="3" max="3" width="4.75" style="82" customWidth="1"/>
    <col min="4" max="4" width="14" style="82" customWidth="1"/>
    <col min="5" max="5" width="4.125" style="82" customWidth="1"/>
    <col min="6" max="6" width="26" style="82" customWidth="1"/>
    <col min="7" max="7" width="4.75" style="82" customWidth="1"/>
    <col min="8" max="8" width="15.125" style="82" customWidth="1"/>
    <col min="9" max="9" width="4.75" style="82" customWidth="1"/>
    <col min="10" max="10" width="21.5" style="82" customWidth="1"/>
    <col min="11" max="11" width="4.625" style="82" customWidth="1"/>
    <col min="12" max="12" width="11.25" style="82" customWidth="1"/>
    <col min="13" max="15" width="9" style="82"/>
    <col min="16" max="16" width="26" style="82" customWidth="1"/>
    <col min="17" max="17" width="12.75" style="82" customWidth="1"/>
    <col min="18" max="18" width="11.25" style="82" customWidth="1"/>
    <col min="19" max="19" width="16" style="82" customWidth="1"/>
    <col min="20" max="16384" width="9" style="82"/>
  </cols>
  <sheetData>
    <row r="15" spans="16:21" ht="15">
      <c r="P15" s="83" t="s">
        <v>433</v>
      </c>
      <c r="Q15" s="84" t="e">
        <f>D65</f>
        <v>#REF!</v>
      </c>
      <c r="R15" s="84" t="e">
        <f>D67</f>
        <v>#REF!</v>
      </c>
      <c r="U15" s="85" t="e">
        <f>D68</f>
        <v>#REF!</v>
      </c>
    </row>
    <row r="16" spans="16:21" ht="15">
      <c r="P16" s="83" t="s">
        <v>295</v>
      </c>
      <c r="Q16" s="84" t="e">
        <f>H65</f>
        <v>#REF!</v>
      </c>
      <c r="R16" s="84" t="e">
        <f>H67</f>
        <v>#REF!</v>
      </c>
      <c r="U16" s="85" t="e">
        <f>H68</f>
        <v>#REF!</v>
      </c>
    </row>
    <row r="17" spans="1:21" ht="15">
      <c r="P17" s="83" t="s">
        <v>294</v>
      </c>
      <c r="Q17" s="84" t="e">
        <f>D76</f>
        <v>#REF!</v>
      </c>
      <c r="R17" s="84" t="e">
        <f>D78</f>
        <v>#REF!</v>
      </c>
      <c r="U17" s="85" t="e">
        <f>D79</f>
        <v>#REF!</v>
      </c>
    </row>
    <row r="18" spans="1:21" ht="15">
      <c r="P18" s="83" t="s">
        <v>297</v>
      </c>
      <c r="Q18" s="84" t="e">
        <f>H76</f>
        <v>#REF!</v>
      </c>
      <c r="R18" s="84">
        <f>H83</f>
        <v>513430.0021176468</v>
      </c>
      <c r="U18" s="85" t="e">
        <f>H79</f>
        <v>#REF!</v>
      </c>
    </row>
    <row r="19" spans="1:21">
      <c r="Q19" s="84" t="e">
        <f>SUM(Q15:Q18)</f>
        <v>#REF!</v>
      </c>
    </row>
    <row r="31" spans="1:21" ht="15">
      <c r="A31" s="82" t="s">
        <v>434</v>
      </c>
      <c r="B31" s="86" t="s">
        <v>435</v>
      </c>
    </row>
    <row r="32" spans="1:21" ht="15">
      <c r="B32" s="86" t="s">
        <v>86</v>
      </c>
      <c r="F32" s="83" t="s">
        <v>36</v>
      </c>
      <c r="G32" s="205" t="s">
        <v>436</v>
      </c>
      <c r="H32" s="88" t="e">
        <f>SUM(H33:H37)</f>
        <v>#REF!</v>
      </c>
    </row>
    <row r="33" spans="2:8">
      <c r="B33" s="89" t="s">
        <v>425</v>
      </c>
      <c r="C33" s="205" t="s">
        <v>436</v>
      </c>
      <c r="D33" s="88" t="e">
        <f>#REF!</f>
        <v>#REF!</v>
      </c>
      <c r="F33" s="89" t="s">
        <v>437</v>
      </c>
      <c r="G33" s="205" t="s">
        <v>436</v>
      </c>
      <c r="H33" s="88" t="e">
        <f>#REF!</f>
        <v>#REF!</v>
      </c>
    </row>
    <row r="34" spans="2:8">
      <c r="B34" s="89" t="s">
        <v>438</v>
      </c>
      <c r="C34" s="205" t="s">
        <v>436</v>
      </c>
      <c r="D34" s="88" t="e">
        <f>#REF!</f>
        <v>#REF!</v>
      </c>
      <c r="F34" s="89" t="s">
        <v>439</v>
      </c>
      <c r="G34" s="205" t="s">
        <v>436</v>
      </c>
      <c r="H34" s="84" t="e">
        <f>#REF!</f>
        <v>#REF!</v>
      </c>
    </row>
    <row r="35" spans="2:8">
      <c r="B35" s="89" t="s">
        <v>440</v>
      </c>
      <c r="C35" s="205" t="s">
        <v>436</v>
      </c>
      <c r="D35" s="88" t="e">
        <f>#REF!</f>
        <v>#REF!</v>
      </c>
      <c r="F35" s="89" t="s">
        <v>441</v>
      </c>
      <c r="G35" s="205" t="s">
        <v>436</v>
      </c>
      <c r="H35" s="88" t="e">
        <f>#REF!</f>
        <v>#REF!</v>
      </c>
    </row>
    <row r="36" spans="2:8">
      <c r="B36" s="89" t="s">
        <v>442</v>
      </c>
      <c r="C36" s="205" t="s">
        <v>436</v>
      </c>
      <c r="D36" s="88" t="e">
        <f>#REF!</f>
        <v>#REF!</v>
      </c>
      <c r="F36" s="89" t="s">
        <v>443</v>
      </c>
      <c r="G36" s="205" t="s">
        <v>436</v>
      </c>
      <c r="H36" s="88" t="e">
        <f>#REF!</f>
        <v>#REF!</v>
      </c>
    </row>
    <row r="37" spans="2:8">
      <c r="B37" s="89"/>
      <c r="C37" s="87"/>
      <c r="D37" s="84"/>
      <c r="F37" s="89" t="s">
        <v>444</v>
      </c>
      <c r="G37" s="205" t="s">
        <v>436</v>
      </c>
      <c r="H37" s="88" t="e">
        <f>#REF!</f>
        <v>#REF!</v>
      </c>
    </row>
    <row r="39" spans="2:8" ht="15">
      <c r="B39" s="83" t="s">
        <v>445</v>
      </c>
      <c r="D39" s="84">
        <f>SUM(D40:D44)</f>
        <v>433300</v>
      </c>
      <c r="F39" s="83" t="s">
        <v>446</v>
      </c>
    </row>
    <row r="40" spans="2:8">
      <c r="B40" s="89" t="s">
        <v>447</v>
      </c>
      <c r="C40" s="205" t="s">
        <v>436</v>
      </c>
      <c r="D40" s="84">
        <f>298000-18000</f>
        <v>280000</v>
      </c>
      <c r="F40" s="89" t="s">
        <v>371</v>
      </c>
      <c r="G40" s="205" t="s">
        <v>436</v>
      </c>
      <c r="H40" s="88" t="e">
        <f>#REF!</f>
        <v>#REF!</v>
      </c>
    </row>
    <row r="41" spans="2:8">
      <c r="B41" s="89" t="s">
        <v>448</v>
      </c>
      <c r="C41" s="205" t="s">
        <v>436</v>
      </c>
      <c r="D41" s="84">
        <v>76000</v>
      </c>
      <c r="F41" s="89" t="s">
        <v>449</v>
      </c>
      <c r="G41" s="205" t="s">
        <v>436</v>
      </c>
      <c r="H41" s="88" t="e">
        <f>#REF!</f>
        <v>#REF!</v>
      </c>
    </row>
    <row r="42" spans="2:8">
      <c r="B42" s="89" t="s">
        <v>450</v>
      </c>
      <c r="C42" s="205" t="s">
        <v>436</v>
      </c>
      <c r="D42" s="84">
        <v>15600</v>
      </c>
      <c r="F42" s="89" t="s">
        <v>451</v>
      </c>
      <c r="G42" s="205" t="s">
        <v>436</v>
      </c>
      <c r="H42" s="84" t="e">
        <f>H41-(D39*1/3)</f>
        <v>#REF!</v>
      </c>
    </row>
    <row r="43" spans="2:8">
      <c r="B43" s="89" t="s">
        <v>452</v>
      </c>
      <c r="C43" s="205" t="s">
        <v>436</v>
      </c>
      <c r="D43" s="84">
        <v>12800</v>
      </c>
    </row>
    <row r="44" spans="2:8">
      <c r="B44" s="89" t="s">
        <v>453</v>
      </c>
      <c r="C44" s="205" t="s">
        <v>436</v>
      </c>
      <c r="D44" s="84">
        <v>48900</v>
      </c>
    </row>
    <row r="45" spans="2:8">
      <c r="D45" s="88"/>
    </row>
    <row r="46" spans="2:8" ht="15">
      <c r="B46" s="90" t="s">
        <v>454</v>
      </c>
      <c r="D46" s="84" t="e">
        <f>H42/2</f>
        <v>#REF!</v>
      </c>
    </row>
    <row r="47" spans="2:8">
      <c r="B47" s="91" t="s">
        <v>455</v>
      </c>
      <c r="C47" s="205" t="s">
        <v>436</v>
      </c>
      <c r="D47" s="84" t="e">
        <f>$D$46*0.6</f>
        <v>#REF!</v>
      </c>
    </row>
    <row r="48" spans="2:8">
      <c r="B48" s="91" t="s">
        <v>456</v>
      </c>
      <c r="C48" s="205" t="s">
        <v>436</v>
      </c>
      <c r="D48" s="84" t="e">
        <f>$D$46*0.3</f>
        <v>#REF!</v>
      </c>
    </row>
    <row r="49" spans="1:6">
      <c r="B49" s="91" t="s">
        <v>457</v>
      </c>
      <c r="C49" s="205" t="s">
        <v>436</v>
      </c>
      <c r="D49" s="84" t="e">
        <f>$D$46*0.1</f>
        <v>#REF!</v>
      </c>
    </row>
    <row r="50" spans="1:6">
      <c r="D50" s="88"/>
    </row>
    <row r="51" spans="1:6" ht="15">
      <c r="A51" s="82" t="s">
        <v>458</v>
      </c>
      <c r="B51" s="83" t="s">
        <v>459</v>
      </c>
      <c r="D51" s="84">
        <f>SUM(D52:D61)</f>
        <v>897309</v>
      </c>
    </row>
    <row r="52" spans="1:6">
      <c r="B52" s="89" t="s">
        <v>460</v>
      </c>
      <c r="C52" s="205" t="s">
        <v>436</v>
      </c>
      <c r="D52" s="84">
        <v>630839</v>
      </c>
      <c r="F52" s="82" t="s">
        <v>461</v>
      </c>
    </row>
    <row r="53" spans="1:6">
      <c r="B53" s="89" t="s">
        <v>462</v>
      </c>
      <c r="C53" s="205" t="s">
        <v>436</v>
      </c>
      <c r="D53" s="84">
        <v>0</v>
      </c>
      <c r="F53" s="82" t="s">
        <v>463</v>
      </c>
    </row>
    <row r="54" spans="1:6">
      <c r="B54" s="89" t="s">
        <v>464</v>
      </c>
      <c r="C54" s="205" t="s">
        <v>436</v>
      </c>
      <c r="D54" s="84">
        <v>0</v>
      </c>
      <c r="F54" s="82" t="s">
        <v>465</v>
      </c>
    </row>
    <row r="55" spans="1:6">
      <c r="B55" s="89" t="s">
        <v>466</v>
      </c>
      <c r="C55" s="205" t="s">
        <v>436</v>
      </c>
      <c r="D55" s="84">
        <v>0</v>
      </c>
      <c r="F55" s="82" t="s">
        <v>467</v>
      </c>
    </row>
    <row r="56" spans="1:6">
      <c r="B56" s="89" t="s">
        <v>189</v>
      </c>
      <c r="C56" s="205" t="s">
        <v>436</v>
      </c>
      <c r="D56" s="84">
        <v>199090</v>
      </c>
      <c r="F56" s="82" t="s">
        <v>468</v>
      </c>
    </row>
    <row r="57" spans="1:6">
      <c r="B57" s="89" t="s">
        <v>408</v>
      </c>
      <c r="C57" s="205" t="s">
        <v>436</v>
      </c>
      <c r="D57" s="84">
        <v>3115</v>
      </c>
      <c r="F57" s="82" t="s">
        <v>467</v>
      </c>
    </row>
    <row r="58" spans="1:6">
      <c r="B58" s="89" t="s">
        <v>469</v>
      </c>
      <c r="C58" s="205" t="s">
        <v>436</v>
      </c>
      <c r="D58" s="84">
        <v>5655</v>
      </c>
      <c r="F58" s="82" t="s">
        <v>467</v>
      </c>
    </row>
    <row r="59" spans="1:6">
      <c r="B59" s="89" t="s">
        <v>470</v>
      </c>
      <c r="C59" s="205" t="s">
        <v>436</v>
      </c>
      <c r="D59" s="84">
        <v>9350</v>
      </c>
      <c r="F59" s="82" t="s">
        <v>467</v>
      </c>
    </row>
    <row r="60" spans="1:6">
      <c r="B60" s="89" t="s">
        <v>471</v>
      </c>
      <c r="C60" s="205" t="s">
        <v>436</v>
      </c>
      <c r="D60" s="84">
        <v>25560</v>
      </c>
      <c r="F60" s="82" t="s">
        <v>467</v>
      </c>
    </row>
    <row r="61" spans="1:6">
      <c r="B61" s="89" t="s">
        <v>472</v>
      </c>
      <c r="C61" s="205" t="s">
        <v>436</v>
      </c>
      <c r="D61" s="84">
        <f>18400+5300</f>
        <v>23700</v>
      </c>
      <c r="F61" s="82" t="s">
        <v>467</v>
      </c>
    </row>
    <row r="62" spans="1:6">
      <c r="D62" s="88"/>
    </row>
    <row r="63" spans="1:6" ht="15">
      <c r="A63" s="82" t="s">
        <v>473</v>
      </c>
      <c r="B63" s="83" t="s">
        <v>474</v>
      </c>
    </row>
    <row r="64" spans="1:6" ht="15">
      <c r="B64" s="83" t="s">
        <v>433</v>
      </c>
      <c r="F64" s="83" t="s">
        <v>295</v>
      </c>
    </row>
    <row r="65" spans="2:18">
      <c r="B65" s="92" t="s">
        <v>86</v>
      </c>
      <c r="C65" s="205" t="s">
        <v>436</v>
      </c>
      <c r="D65" s="84" t="e">
        <f>SUMIFS(#REF!,#REF!,"CAR AIRCON")</f>
        <v>#REF!</v>
      </c>
      <c r="F65" s="92" t="s">
        <v>86</v>
      </c>
      <c r="G65" s="205" t="s">
        <v>436</v>
      </c>
      <c r="H65" s="84" t="e">
        <f>SUMIFS(#REF!,#REF!,"TOOLS")</f>
        <v>#REF!</v>
      </c>
    </row>
    <row r="66" spans="2:18">
      <c r="B66" s="92" t="s">
        <v>90</v>
      </c>
      <c r="C66" s="205" t="s">
        <v>436</v>
      </c>
      <c r="D66" s="84" t="e">
        <f>SUMIFS(#REF!,#REF!,"CAR AIRCON")</f>
        <v>#REF!</v>
      </c>
      <c r="F66" s="92" t="s">
        <v>90</v>
      </c>
      <c r="G66" s="205" t="s">
        <v>436</v>
      </c>
      <c r="H66" s="84" t="e">
        <f>SUMIFS(#REF!,#REF!,"TOOLS")</f>
        <v>#REF!</v>
      </c>
    </row>
    <row r="67" spans="2:18">
      <c r="B67" s="92" t="s">
        <v>91</v>
      </c>
      <c r="C67" s="205" t="s">
        <v>436</v>
      </c>
      <c r="D67" s="84" t="e">
        <f>D65-D66</f>
        <v>#REF!</v>
      </c>
      <c r="F67" s="92" t="s">
        <v>91</v>
      </c>
      <c r="G67" s="205" t="s">
        <v>436</v>
      </c>
      <c r="H67" s="84" t="e">
        <f>H65-H66</f>
        <v>#REF!</v>
      </c>
    </row>
    <row r="68" spans="2:18">
      <c r="B68" s="92" t="s">
        <v>475</v>
      </c>
      <c r="C68" s="205" t="s">
        <v>436</v>
      </c>
      <c r="D68" s="93" t="e">
        <f>IF(D65=0,0,D67/D65)</f>
        <v>#REF!</v>
      </c>
      <c r="F68" s="92" t="s">
        <v>475</v>
      </c>
      <c r="G68" s="87"/>
      <c r="H68" s="93" t="e">
        <f>IF(H65=0,0,H67/H65)</f>
        <v>#REF!</v>
      </c>
    </row>
    <row r="69" spans="2:18">
      <c r="B69" s="94" t="s">
        <v>476</v>
      </c>
      <c r="C69" s="205" t="s">
        <v>436</v>
      </c>
      <c r="D69" s="88">
        <v>456300</v>
      </c>
      <c r="F69" s="94" t="s">
        <v>476</v>
      </c>
      <c r="G69" s="205" t="s">
        <v>436</v>
      </c>
      <c r="H69" s="88">
        <v>140223</v>
      </c>
    </row>
    <row r="70" spans="2:18">
      <c r="B70" s="94" t="s">
        <v>477</v>
      </c>
      <c r="C70" s="205" t="s">
        <v>436</v>
      </c>
      <c r="D70" s="88">
        <v>285418</v>
      </c>
      <c r="F70" s="94" t="s">
        <v>477</v>
      </c>
      <c r="G70" s="205" t="s">
        <v>436</v>
      </c>
      <c r="H70" s="88">
        <v>40690</v>
      </c>
    </row>
    <row r="71" spans="2:18">
      <c r="B71" s="94" t="s">
        <v>478</v>
      </c>
      <c r="C71" s="205" t="s">
        <v>436</v>
      </c>
      <c r="D71" s="88">
        <v>374033.5</v>
      </c>
      <c r="F71" s="94" t="s">
        <v>478</v>
      </c>
      <c r="G71" s="205" t="s">
        <v>436</v>
      </c>
      <c r="H71" s="88">
        <v>69825.166666666701</v>
      </c>
    </row>
    <row r="72" spans="2:18" ht="15">
      <c r="B72" s="95" t="s">
        <v>479</v>
      </c>
      <c r="C72" s="205" t="s">
        <v>436</v>
      </c>
      <c r="D72" s="88">
        <f>D71*1.2</f>
        <v>448840.2</v>
      </c>
      <c r="F72" s="95" t="s">
        <v>479</v>
      </c>
      <c r="G72" s="205" t="s">
        <v>436</v>
      </c>
      <c r="H72" s="88">
        <f>H71*1.2</f>
        <v>83790.200000000041</v>
      </c>
      <c r="Q72" s="82" t="s">
        <v>88</v>
      </c>
      <c r="R72" s="82" t="s">
        <v>480</v>
      </c>
    </row>
    <row r="73" spans="2:18" ht="15">
      <c r="B73" s="96" t="s">
        <v>481</v>
      </c>
      <c r="C73" s="205" t="s">
        <v>436</v>
      </c>
      <c r="D73" s="97" t="s">
        <v>482</v>
      </c>
      <c r="F73" s="95"/>
      <c r="G73" s="87"/>
      <c r="H73" s="88"/>
      <c r="Q73" s="98">
        <v>39295</v>
      </c>
    </row>
    <row r="74" spans="2:18">
      <c r="Q74" s="98">
        <v>38998</v>
      </c>
    </row>
    <row r="75" spans="2:18" ht="15">
      <c r="B75" s="83" t="s">
        <v>294</v>
      </c>
      <c r="C75" s="87"/>
      <c r="F75" s="83" t="s">
        <v>297</v>
      </c>
      <c r="G75" s="87"/>
      <c r="Q75" s="98">
        <v>45998</v>
      </c>
    </row>
    <row r="76" spans="2:18">
      <c r="B76" s="92" t="s">
        <v>86</v>
      </c>
      <c r="C76" s="205" t="s">
        <v>436</v>
      </c>
      <c r="D76" s="84" t="e">
        <f>SUMIFS(#REF!,#REF!,"GENERAL")</f>
        <v>#REF!</v>
      </c>
      <c r="F76" s="92" t="s">
        <v>86</v>
      </c>
      <c r="G76" s="205" t="s">
        <v>436</v>
      </c>
      <c r="H76" s="84" t="e">
        <f>SUMIFS(#REF!,#REF!,"INSTALLATION MATERIALS")</f>
        <v>#REF!</v>
      </c>
    </row>
    <row r="77" spans="2:18">
      <c r="B77" s="92" t="s">
        <v>90</v>
      </c>
      <c r="C77" s="205" t="s">
        <v>436</v>
      </c>
      <c r="D77" s="84" t="e">
        <f>SUMIFS(#REF!,#REF!,"GENERAL")</f>
        <v>#REF!</v>
      </c>
      <c r="F77" s="92" t="s">
        <v>90</v>
      </c>
      <c r="G77" s="205" t="s">
        <v>436</v>
      </c>
      <c r="H77" s="84" t="e">
        <f>SUMIFS(#REF!,#REF!,"INSTALLATION MATERIALS")</f>
        <v>#REF!</v>
      </c>
    </row>
    <row r="78" spans="2:18">
      <c r="B78" s="92" t="s">
        <v>91</v>
      </c>
      <c r="C78" s="205" t="s">
        <v>436</v>
      </c>
      <c r="D78" s="84" t="e">
        <f>D76-D77</f>
        <v>#REF!</v>
      </c>
      <c r="F78" s="92" t="s">
        <v>91</v>
      </c>
      <c r="G78" s="205" t="s">
        <v>436</v>
      </c>
      <c r="H78" s="84" t="e">
        <f>H76-H77</f>
        <v>#REF!</v>
      </c>
    </row>
    <row r="79" spans="2:18">
      <c r="B79" s="92" t="s">
        <v>475</v>
      </c>
      <c r="C79" s="205" t="s">
        <v>436</v>
      </c>
      <c r="D79" s="93" t="e">
        <f>IF(D76=0,0,D78/D76)</f>
        <v>#REF!</v>
      </c>
      <c r="F79" s="92" t="s">
        <v>475</v>
      </c>
      <c r="G79" s="205" t="s">
        <v>436</v>
      </c>
      <c r="H79" s="93" t="e">
        <f>IF(H76=0,0,H78/H76)</f>
        <v>#REF!</v>
      </c>
    </row>
    <row r="80" spans="2:18">
      <c r="B80" s="94" t="s">
        <v>476</v>
      </c>
      <c r="C80" s="205" t="s">
        <v>436</v>
      </c>
      <c r="D80" s="88">
        <v>790350.4</v>
      </c>
      <c r="F80" s="94" t="s">
        <v>476</v>
      </c>
      <c r="G80" s="205" t="s">
        <v>436</v>
      </c>
      <c r="H80" s="88">
        <v>1258720.54</v>
      </c>
    </row>
    <row r="81" spans="2:8">
      <c r="B81" s="94" t="s">
        <v>477</v>
      </c>
      <c r="C81" s="205" t="s">
        <v>436</v>
      </c>
      <c r="D81" s="88">
        <v>201213</v>
      </c>
      <c r="F81" s="94" t="s">
        <v>477</v>
      </c>
      <c r="G81" s="205" t="s">
        <v>436</v>
      </c>
      <c r="H81" s="88">
        <v>163865</v>
      </c>
    </row>
    <row r="82" spans="2:8">
      <c r="B82" s="94" t="s">
        <v>478</v>
      </c>
      <c r="C82" s="205" t="s">
        <v>436</v>
      </c>
      <c r="D82" s="88">
        <v>358177.83055555599</v>
      </c>
      <c r="F82" s="94" t="s">
        <v>478</v>
      </c>
      <c r="G82" s="205" t="s">
        <v>436</v>
      </c>
      <c r="H82" s="88">
        <v>427858.33509803901</v>
      </c>
    </row>
    <row r="83" spans="2:8" ht="15">
      <c r="B83" s="95" t="s">
        <v>479</v>
      </c>
      <c r="D83" s="88">
        <f>D82*1.2</f>
        <v>429813.39666666719</v>
      </c>
      <c r="F83" s="95" t="s">
        <v>479</v>
      </c>
      <c r="H83" s="88">
        <f>H82*1.2</f>
        <v>513430.0021176468</v>
      </c>
    </row>
    <row r="84" spans="2:8">
      <c r="B84" s="96" t="s">
        <v>481</v>
      </c>
      <c r="C84" s="205" t="s">
        <v>436</v>
      </c>
      <c r="D84" s="97" t="s">
        <v>483</v>
      </c>
      <c r="F84" s="96" t="s">
        <v>481</v>
      </c>
      <c r="G84" s="205" t="s">
        <v>436</v>
      </c>
      <c r="H84" s="97" t="s">
        <v>484</v>
      </c>
    </row>
    <row r="86" spans="2:8" ht="15">
      <c r="B86" s="95" t="s">
        <v>365</v>
      </c>
    </row>
    <row r="87" spans="2:8">
      <c r="B87" s="94" t="s">
        <v>476</v>
      </c>
      <c r="D87" s="88">
        <f>D69+H69+H80+D80</f>
        <v>2645593.94</v>
      </c>
    </row>
    <row r="88" spans="2:8">
      <c r="B88" s="94" t="s">
        <v>477</v>
      </c>
      <c r="D88" s="88">
        <f>D70+H70+D81+H81</f>
        <v>691186</v>
      </c>
    </row>
    <row r="89" spans="2:8">
      <c r="B89" s="94" t="s">
        <v>478</v>
      </c>
      <c r="D89" s="88">
        <f>D71+H71+D82+H82</f>
        <v>1229894.8323202617</v>
      </c>
    </row>
    <row r="90" spans="2:8">
      <c r="B90" s="94" t="s">
        <v>485</v>
      </c>
      <c r="D90" s="85">
        <v>0.2</v>
      </c>
    </row>
    <row r="91" spans="2:8">
      <c r="B91" s="94" t="s">
        <v>486</v>
      </c>
      <c r="D91" s="88">
        <f>D89*(1+D90)</f>
        <v>1475873.798784314</v>
      </c>
    </row>
    <row r="92" spans="2:8">
      <c r="B92" s="94" t="s">
        <v>487</v>
      </c>
      <c r="D92" s="88">
        <f>D91*12</f>
        <v>17710485.585411768</v>
      </c>
    </row>
  </sheetData>
  <hyperlinks>
    <hyperlink ref="B46" r:id="rId1" xr:uid="{00000000-0004-0000-0C00-000000000000}"/>
    <hyperlink ref="B47" r:id="rId2" xr:uid="{00000000-0004-0000-0C00-000001000000}"/>
    <hyperlink ref="B48" r:id="rId3" xr:uid="{00000000-0004-0000-0C00-000002000000}"/>
    <hyperlink ref="B49" r:id="rId4" xr:uid="{00000000-0004-0000-0C00-000003000000}"/>
  </hyperlinks>
  <pageMargins left="0.7" right="0.7" top="0.75" bottom="0.75" header="0.3" footer="0.3"/>
  <pageSetup paperSize="9" orientation="portrait"/>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B1:P199"/>
  <sheetViews>
    <sheetView topLeftCell="A133" zoomScale="89" zoomScaleNormal="89" workbookViewId="0">
      <selection activeCell="K681" sqref="K681"/>
    </sheetView>
  </sheetViews>
  <sheetFormatPr defaultColWidth="9" defaultRowHeight="14.25"/>
  <cols>
    <col min="2" max="2" width="46" customWidth="1"/>
    <col min="3" max="3" width="16.75" customWidth="1"/>
    <col min="4" max="10" width="7.625" customWidth="1"/>
    <col min="11" max="11" width="6.625" customWidth="1"/>
    <col min="12" max="14" width="4.75" customWidth="1"/>
    <col min="15" max="15" width="2" customWidth="1"/>
    <col min="16" max="16" width="7" customWidth="1"/>
  </cols>
  <sheetData>
    <row r="1" spans="2:16" ht="30">
      <c r="B1" s="3" t="s">
        <v>78</v>
      </c>
    </row>
    <row r="5" spans="2:16">
      <c r="B5" t="s">
        <v>488</v>
      </c>
      <c r="C5" t="s">
        <v>489</v>
      </c>
    </row>
    <row r="6" spans="2:16">
      <c r="B6" t="s">
        <v>410</v>
      </c>
      <c r="C6">
        <v>1</v>
      </c>
      <c r="D6">
        <v>2</v>
      </c>
      <c r="E6">
        <v>3</v>
      </c>
      <c r="F6">
        <v>4</v>
      </c>
      <c r="G6">
        <v>5</v>
      </c>
      <c r="H6">
        <v>6</v>
      </c>
      <c r="I6">
        <v>7</v>
      </c>
      <c r="J6">
        <v>8</v>
      </c>
      <c r="K6">
        <v>9</v>
      </c>
      <c r="L6">
        <v>10</v>
      </c>
      <c r="M6">
        <v>11</v>
      </c>
      <c r="N6">
        <v>12</v>
      </c>
      <c r="P6" t="s">
        <v>411</v>
      </c>
    </row>
    <row r="7" spans="2:16">
      <c r="B7" s="5" t="s">
        <v>151</v>
      </c>
      <c r="C7" s="81"/>
      <c r="D7" s="81">
        <v>900</v>
      </c>
      <c r="E7" s="81"/>
      <c r="F7" s="81"/>
      <c r="G7" s="81"/>
      <c r="H7" s="81"/>
      <c r="I7" s="81"/>
      <c r="J7" s="81"/>
      <c r="K7" s="81"/>
      <c r="L7" s="81"/>
      <c r="M7" s="81"/>
      <c r="N7" s="81"/>
    </row>
    <row r="8" spans="2:16">
      <c r="B8" s="5" t="s">
        <v>189</v>
      </c>
      <c r="C8" s="81"/>
      <c r="D8" s="81"/>
      <c r="E8" s="81"/>
      <c r="F8" s="81">
        <v>83899</v>
      </c>
      <c r="G8" s="81"/>
      <c r="H8" s="81"/>
      <c r="I8" s="81"/>
      <c r="J8" s="81"/>
      <c r="K8" s="81"/>
      <c r="L8" s="81"/>
      <c r="M8" s="81"/>
      <c r="N8" s="81"/>
    </row>
    <row r="9" spans="2:16">
      <c r="B9" s="5" t="s">
        <v>141</v>
      </c>
      <c r="C9" s="81"/>
      <c r="D9" s="81">
        <v>7800</v>
      </c>
      <c r="E9" s="81">
        <v>8550</v>
      </c>
      <c r="F9" s="81">
        <v>8500</v>
      </c>
      <c r="G9" s="81">
        <v>8500</v>
      </c>
      <c r="H9" s="81"/>
      <c r="I9" s="81"/>
      <c r="J9" s="81"/>
      <c r="K9" s="81"/>
      <c r="L9" s="81"/>
      <c r="M9" s="81"/>
      <c r="N9" s="81"/>
    </row>
    <row r="10" spans="2:16">
      <c r="B10" s="5" t="s">
        <v>181</v>
      </c>
      <c r="C10" s="81"/>
      <c r="D10" s="81"/>
      <c r="E10" s="81"/>
      <c r="F10" s="81">
        <v>491</v>
      </c>
      <c r="G10" s="81">
        <v>780</v>
      </c>
      <c r="H10" s="81">
        <v>1040</v>
      </c>
      <c r="I10" s="81"/>
      <c r="J10" s="81">
        <v>430</v>
      </c>
      <c r="K10" s="81"/>
      <c r="L10" s="81"/>
      <c r="M10" s="81"/>
      <c r="N10" s="81"/>
    </row>
    <row r="11" spans="2:16">
      <c r="B11" s="5" t="s">
        <v>215</v>
      </c>
      <c r="C11" s="81"/>
      <c r="D11" s="81"/>
      <c r="E11" s="81"/>
      <c r="F11" s="81"/>
      <c r="G11" s="81">
        <v>1010</v>
      </c>
      <c r="H11" s="81">
        <v>464</v>
      </c>
      <c r="I11" s="81"/>
      <c r="J11" s="81"/>
      <c r="K11" s="81"/>
      <c r="L11" s="81"/>
      <c r="M11" s="81"/>
      <c r="N11" s="81"/>
    </row>
    <row r="12" spans="2:16">
      <c r="B12" s="5" t="s">
        <v>125</v>
      </c>
      <c r="C12" s="81">
        <v>900</v>
      </c>
      <c r="D12" s="81"/>
      <c r="E12" s="81">
        <v>120</v>
      </c>
      <c r="F12" s="81">
        <v>2200</v>
      </c>
      <c r="G12" s="81"/>
      <c r="H12" s="81">
        <v>1300</v>
      </c>
      <c r="I12" s="81">
        <v>1630</v>
      </c>
      <c r="J12" s="81"/>
      <c r="K12" s="81"/>
      <c r="L12" s="81"/>
      <c r="M12" s="81"/>
      <c r="N12" s="81"/>
    </row>
    <row r="13" spans="2:16">
      <c r="B13" s="5" t="s">
        <v>207</v>
      </c>
      <c r="C13" s="81"/>
      <c r="D13" s="81"/>
      <c r="E13" s="81"/>
      <c r="F13" s="81"/>
      <c r="G13" s="81">
        <v>9770</v>
      </c>
      <c r="H13" s="81">
        <v>3855</v>
      </c>
      <c r="I13" s="81">
        <v>300</v>
      </c>
      <c r="J13" s="81">
        <v>145</v>
      </c>
      <c r="K13" s="81">
        <v>2000</v>
      </c>
      <c r="L13" s="81"/>
      <c r="M13" s="81"/>
      <c r="N13" s="81"/>
    </row>
    <row r="14" spans="2:16">
      <c r="B14" s="5" t="s">
        <v>101</v>
      </c>
      <c r="C14" s="81">
        <v>1338</v>
      </c>
      <c r="D14" s="81">
        <v>7750</v>
      </c>
      <c r="E14" s="81"/>
      <c r="F14" s="81">
        <v>2140</v>
      </c>
      <c r="G14" s="81">
        <v>1040</v>
      </c>
      <c r="H14" s="81">
        <v>1555</v>
      </c>
      <c r="I14" s="81"/>
      <c r="J14" s="81">
        <v>200</v>
      </c>
      <c r="K14" s="81"/>
      <c r="L14" s="81"/>
      <c r="M14" s="81"/>
      <c r="N14" s="81"/>
    </row>
    <row r="15" spans="2:16">
      <c r="B15" s="5" t="s">
        <v>155</v>
      </c>
      <c r="C15" s="81"/>
      <c r="D15" s="81">
        <v>23295</v>
      </c>
      <c r="E15" s="81">
        <v>38700</v>
      </c>
      <c r="F15" s="81">
        <v>8070</v>
      </c>
      <c r="G15" s="81">
        <v>34234</v>
      </c>
      <c r="H15" s="81">
        <v>83760</v>
      </c>
      <c r="I15" s="81">
        <v>30660</v>
      </c>
      <c r="J15" s="81">
        <v>11875</v>
      </c>
      <c r="K15" s="81"/>
      <c r="L15" s="81"/>
      <c r="M15" s="81"/>
      <c r="N15" s="81"/>
    </row>
    <row r="16" spans="2:16">
      <c r="B16" s="5" t="s">
        <v>176</v>
      </c>
      <c r="C16" s="81"/>
      <c r="D16" s="81"/>
      <c r="E16" s="81"/>
      <c r="F16" s="81">
        <v>8492</v>
      </c>
      <c r="G16" s="81"/>
      <c r="H16" s="81"/>
      <c r="I16" s="81">
        <v>8800</v>
      </c>
      <c r="J16" s="81"/>
      <c r="K16" s="81"/>
      <c r="L16" s="81"/>
      <c r="M16" s="81"/>
      <c r="N16" s="81"/>
    </row>
    <row r="17" spans="2:14">
      <c r="B17" s="5" t="s">
        <v>136</v>
      </c>
      <c r="C17" s="81">
        <v>9225</v>
      </c>
      <c r="D17" s="81">
        <v>7195</v>
      </c>
      <c r="E17" s="81">
        <v>4995</v>
      </c>
      <c r="F17" s="81">
        <v>15582</v>
      </c>
      <c r="G17" s="81">
        <v>49151</v>
      </c>
      <c r="H17" s="81">
        <v>5116</v>
      </c>
      <c r="I17" s="81">
        <v>4776</v>
      </c>
      <c r="J17" s="81"/>
      <c r="K17" s="81"/>
      <c r="L17" s="81"/>
      <c r="M17" s="81"/>
      <c r="N17" s="81"/>
    </row>
    <row r="18" spans="2:14">
      <c r="B18" s="5" t="s">
        <v>133</v>
      </c>
      <c r="C18" s="81">
        <v>5975</v>
      </c>
      <c r="D18" s="81">
        <v>2100</v>
      </c>
      <c r="E18" s="81">
        <v>3485</v>
      </c>
      <c r="F18" s="81">
        <v>1970</v>
      </c>
      <c r="G18" s="81"/>
      <c r="H18" s="81"/>
      <c r="I18" s="81">
        <v>2000</v>
      </c>
      <c r="J18" s="81"/>
      <c r="K18" s="81"/>
      <c r="L18" s="81"/>
      <c r="M18" s="81"/>
      <c r="N18" s="81"/>
    </row>
    <row r="19" spans="2:14">
      <c r="B19" s="5" t="s">
        <v>184</v>
      </c>
      <c r="C19" s="81"/>
      <c r="D19" s="81"/>
      <c r="E19" s="81"/>
      <c r="F19" s="81">
        <v>8460</v>
      </c>
      <c r="G19" s="81">
        <v>3340</v>
      </c>
      <c r="H19" s="81"/>
      <c r="I19" s="81"/>
      <c r="J19" s="81">
        <v>6920</v>
      </c>
      <c r="K19" s="81"/>
      <c r="L19" s="81"/>
      <c r="M19" s="81"/>
      <c r="N19" s="81"/>
    </row>
    <row r="20" spans="2:14">
      <c r="B20" s="5" t="s">
        <v>120</v>
      </c>
      <c r="C20" s="81">
        <v>12815</v>
      </c>
      <c r="D20" s="81">
        <v>1650</v>
      </c>
      <c r="E20" s="81">
        <v>5900</v>
      </c>
      <c r="F20" s="81">
        <v>10300</v>
      </c>
      <c r="G20" s="81">
        <v>2450</v>
      </c>
      <c r="H20" s="81">
        <v>20550</v>
      </c>
      <c r="I20" s="81">
        <v>5100</v>
      </c>
      <c r="J20" s="81">
        <v>15836</v>
      </c>
      <c r="K20" s="81"/>
      <c r="L20" s="81"/>
      <c r="M20" s="81"/>
      <c r="N20" s="81"/>
    </row>
    <row r="21" spans="2:14">
      <c r="B21" s="5" t="s">
        <v>112</v>
      </c>
      <c r="C21" s="81">
        <v>2055</v>
      </c>
      <c r="D21" s="81">
        <v>4626</v>
      </c>
      <c r="E21" s="81">
        <v>6315</v>
      </c>
      <c r="F21" s="81">
        <v>6001</v>
      </c>
      <c r="G21" s="81">
        <v>15395</v>
      </c>
      <c r="H21" s="81">
        <v>33455</v>
      </c>
      <c r="I21" s="81">
        <v>2370</v>
      </c>
      <c r="J21" s="81">
        <v>8750</v>
      </c>
      <c r="K21" s="81"/>
      <c r="L21" s="81"/>
      <c r="M21" s="81"/>
      <c r="N21" s="81"/>
    </row>
    <row r="22" spans="2:14">
      <c r="B22" s="5" t="s">
        <v>165</v>
      </c>
      <c r="C22" s="81"/>
      <c r="D22" s="81"/>
      <c r="E22" s="81">
        <v>4400</v>
      </c>
      <c r="F22" s="81"/>
      <c r="G22" s="81"/>
      <c r="H22" s="81">
        <v>3534</v>
      </c>
      <c r="I22" s="81">
        <v>7495</v>
      </c>
      <c r="J22" s="81"/>
      <c r="K22" s="81"/>
      <c r="L22" s="81"/>
      <c r="M22" s="81"/>
      <c r="N22" s="81"/>
    </row>
    <row r="23" spans="2:14">
      <c r="B23" s="5" t="s">
        <v>126</v>
      </c>
      <c r="C23" s="81">
        <v>5650</v>
      </c>
      <c r="D23" s="81">
        <v>5250</v>
      </c>
      <c r="E23" s="81">
        <v>4400</v>
      </c>
      <c r="F23" s="81">
        <v>2800</v>
      </c>
      <c r="G23" s="81">
        <v>17100</v>
      </c>
      <c r="H23" s="81">
        <v>5500</v>
      </c>
      <c r="I23" s="81">
        <v>5550</v>
      </c>
      <c r="J23" s="81">
        <v>1200</v>
      </c>
      <c r="K23" s="81"/>
      <c r="L23" s="81"/>
      <c r="M23" s="81"/>
      <c r="N23" s="81"/>
    </row>
    <row r="24" spans="2:14">
      <c r="B24" s="5" t="s">
        <v>108</v>
      </c>
      <c r="C24" s="81">
        <v>30015</v>
      </c>
      <c r="D24" s="81">
        <v>29306</v>
      </c>
      <c r="E24" s="81">
        <v>43898</v>
      </c>
      <c r="F24" s="81">
        <v>42229</v>
      </c>
      <c r="G24" s="81">
        <v>64198</v>
      </c>
      <c r="H24" s="81">
        <v>26982</v>
      </c>
      <c r="I24" s="81">
        <v>56912</v>
      </c>
      <c r="J24" s="81">
        <v>21563</v>
      </c>
      <c r="K24" s="81"/>
      <c r="L24" s="81"/>
      <c r="M24" s="81"/>
      <c r="N24" s="81"/>
    </row>
    <row r="25" spans="2:14">
      <c r="B25" s="5" t="s">
        <v>113</v>
      </c>
      <c r="C25" s="81">
        <v>6940</v>
      </c>
      <c r="D25" s="81">
        <v>8450</v>
      </c>
      <c r="E25" s="81">
        <v>531</v>
      </c>
      <c r="F25" s="81">
        <v>100</v>
      </c>
      <c r="G25" s="81">
        <v>6786</v>
      </c>
      <c r="H25" s="81"/>
      <c r="I25" s="81">
        <v>1900</v>
      </c>
      <c r="J25" s="81"/>
      <c r="K25" s="81"/>
      <c r="L25" s="81"/>
      <c r="M25" s="81"/>
      <c r="N25" s="81"/>
    </row>
    <row r="26" spans="2:14">
      <c r="B26" s="5" t="s">
        <v>109</v>
      </c>
      <c r="C26" s="81">
        <v>13320</v>
      </c>
      <c r="D26" s="81">
        <v>22436</v>
      </c>
      <c r="E26" s="81">
        <v>12115</v>
      </c>
      <c r="F26" s="81">
        <v>12545</v>
      </c>
      <c r="G26" s="81">
        <v>25092</v>
      </c>
      <c r="H26" s="81">
        <v>23005</v>
      </c>
      <c r="I26" s="81">
        <v>16133</v>
      </c>
      <c r="J26" s="81">
        <v>24682</v>
      </c>
      <c r="K26" s="81">
        <v>1600</v>
      </c>
      <c r="L26" s="81"/>
      <c r="M26" s="81"/>
      <c r="N26" s="81"/>
    </row>
    <row r="27" spans="2:14">
      <c r="B27" s="5" t="s">
        <v>103</v>
      </c>
      <c r="C27" s="81">
        <v>35400</v>
      </c>
      <c r="D27" s="81">
        <v>5800</v>
      </c>
      <c r="E27" s="81">
        <v>4928</v>
      </c>
      <c r="F27" s="81">
        <v>17580</v>
      </c>
      <c r="G27" s="81">
        <v>34496</v>
      </c>
      <c r="H27" s="81">
        <v>16715</v>
      </c>
      <c r="I27" s="81">
        <v>15640</v>
      </c>
      <c r="J27" s="81">
        <v>22934</v>
      </c>
      <c r="K27" s="81"/>
      <c r="L27" s="81"/>
      <c r="M27" s="81"/>
      <c r="N27" s="81"/>
    </row>
    <row r="28" spans="2:14">
      <c r="B28" s="5" t="s">
        <v>114</v>
      </c>
      <c r="C28" s="81">
        <v>10410</v>
      </c>
      <c r="D28" s="81">
        <v>21930</v>
      </c>
      <c r="E28" s="81">
        <v>12575</v>
      </c>
      <c r="F28" s="81">
        <v>9424</v>
      </c>
      <c r="G28" s="81">
        <v>18400</v>
      </c>
      <c r="H28" s="81">
        <v>15252</v>
      </c>
      <c r="I28" s="81">
        <v>5956</v>
      </c>
      <c r="J28" s="81">
        <v>6722</v>
      </c>
      <c r="K28" s="81"/>
      <c r="L28" s="81"/>
      <c r="M28" s="81"/>
      <c r="N28" s="81"/>
    </row>
    <row r="29" spans="2:14">
      <c r="B29" s="5" t="s">
        <v>121</v>
      </c>
      <c r="C29" s="81">
        <v>8700</v>
      </c>
      <c r="D29" s="81">
        <v>34398</v>
      </c>
      <c r="E29" s="81">
        <v>46700</v>
      </c>
      <c r="F29" s="81">
        <v>34370</v>
      </c>
      <c r="G29" s="81">
        <v>38482</v>
      </c>
      <c r="H29" s="81">
        <v>35380</v>
      </c>
      <c r="I29" s="81">
        <v>38680</v>
      </c>
      <c r="J29" s="81">
        <v>19230</v>
      </c>
      <c r="K29" s="81"/>
      <c r="L29" s="81"/>
      <c r="M29" s="81"/>
      <c r="N29" s="81"/>
    </row>
    <row r="30" spans="2:14">
      <c r="B30" s="5" t="s">
        <v>149</v>
      </c>
      <c r="C30" s="81"/>
      <c r="D30" s="81">
        <v>2290</v>
      </c>
      <c r="E30" s="81"/>
      <c r="F30" s="81"/>
      <c r="G30" s="81">
        <v>13601</v>
      </c>
      <c r="H30" s="81">
        <v>16506</v>
      </c>
      <c r="I30" s="81">
        <v>7471</v>
      </c>
      <c r="J30" s="81"/>
      <c r="K30" s="81"/>
      <c r="L30" s="81"/>
      <c r="M30" s="81"/>
      <c r="N30" s="81"/>
    </row>
    <row r="31" spans="2:14">
      <c r="B31" s="5" t="s">
        <v>271</v>
      </c>
      <c r="C31" s="81"/>
      <c r="D31" s="81"/>
      <c r="E31" s="81"/>
      <c r="F31" s="81"/>
      <c r="G31" s="81"/>
      <c r="H31" s="81"/>
      <c r="I31" s="81"/>
      <c r="J31" s="81">
        <v>700</v>
      </c>
      <c r="K31" s="81"/>
      <c r="L31" s="81"/>
      <c r="M31" s="81"/>
      <c r="N31" s="81"/>
    </row>
    <row r="32" spans="2:14">
      <c r="B32" s="5" t="s">
        <v>221</v>
      </c>
      <c r="C32" s="81"/>
      <c r="D32" s="81"/>
      <c r="E32" s="81"/>
      <c r="F32" s="81"/>
      <c r="G32" s="81"/>
      <c r="H32" s="81">
        <v>3710</v>
      </c>
      <c r="I32" s="81">
        <v>1800</v>
      </c>
      <c r="J32" s="81"/>
      <c r="K32" s="81"/>
      <c r="L32" s="81"/>
      <c r="M32" s="81"/>
      <c r="N32" s="81"/>
    </row>
    <row r="33" spans="2:14">
      <c r="B33" s="5" t="s">
        <v>150</v>
      </c>
      <c r="C33" s="81"/>
      <c r="D33" s="81">
        <v>8100</v>
      </c>
      <c r="E33" s="81"/>
      <c r="F33" s="81"/>
      <c r="G33" s="81"/>
      <c r="H33" s="81">
        <v>8900</v>
      </c>
      <c r="I33" s="81"/>
      <c r="J33" s="81">
        <v>9000</v>
      </c>
      <c r="K33" s="81"/>
      <c r="L33" s="81"/>
      <c r="M33" s="81"/>
      <c r="N33" s="81"/>
    </row>
    <row r="34" spans="2:14">
      <c r="B34" s="5" t="s">
        <v>94</v>
      </c>
      <c r="C34" s="81">
        <v>39555</v>
      </c>
      <c r="D34" s="81">
        <v>49192</v>
      </c>
      <c r="E34" s="81">
        <v>35276</v>
      </c>
      <c r="F34" s="81">
        <v>45469</v>
      </c>
      <c r="G34" s="81">
        <v>27222</v>
      </c>
      <c r="H34" s="81">
        <v>33747</v>
      </c>
      <c r="I34" s="81">
        <v>36018</v>
      </c>
      <c r="J34" s="81">
        <v>27346</v>
      </c>
      <c r="K34" s="81"/>
      <c r="L34" s="81"/>
      <c r="M34" s="81"/>
      <c r="N34" s="81"/>
    </row>
    <row r="35" spans="2:14">
      <c r="B35" s="5" t="s">
        <v>254</v>
      </c>
      <c r="C35" s="81"/>
      <c r="D35" s="81"/>
      <c r="E35" s="81"/>
      <c r="F35" s="81"/>
      <c r="G35" s="81"/>
      <c r="H35" s="81"/>
      <c r="I35" s="81">
        <v>180</v>
      </c>
      <c r="J35" s="81"/>
      <c r="K35" s="81"/>
      <c r="L35" s="81"/>
      <c r="M35" s="81"/>
      <c r="N35" s="81"/>
    </row>
    <row r="36" spans="2:14">
      <c r="B36" s="5" t="s">
        <v>152</v>
      </c>
      <c r="C36" s="81"/>
      <c r="D36" s="81">
        <v>1900</v>
      </c>
      <c r="E36" s="81"/>
      <c r="F36" s="81"/>
      <c r="G36" s="81"/>
      <c r="H36" s="81"/>
      <c r="I36" s="81"/>
      <c r="J36" s="81"/>
      <c r="K36" s="81"/>
      <c r="L36" s="81"/>
      <c r="M36" s="81"/>
      <c r="N36" s="81"/>
    </row>
    <row r="37" spans="2:14">
      <c r="B37" s="5" t="s">
        <v>148</v>
      </c>
      <c r="C37" s="81"/>
      <c r="D37" s="81">
        <v>3700</v>
      </c>
      <c r="E37" s="81"/>
      <c r="F37" s="81"/>
      <c r="G37" s="81">
        <v>4275</v>
      </c>
      <c r="H37" s="81"/>
      <c r="I37" s="81"/>
      <c r="J37" s="81"/>
      <c r="K37" s="81"/>
      <c r="L37" s="81"/>
      <c r="M37" s="81"/>
      <c r="N37" s="81"/>
    </row>
    <row r="38" spans="2:14">
      <c r="B38" s="5" t="s">
        <v>95</v>
      </c>
      <c r="C38" s="81">
        <v>7800</v>
      </c>
      <c r="D38" s="81">
        <v>7800</v>
      </c>
      <c r="E38" s="81"/>
      <c r="F38" s="81"/>
      <c r="G38" s="81"/>
      <c r="H38" s="81"/>
      <c r="I38" s="81"/>
      <c r="J38" s="81"/>
      <c r="K38" s="81"/>
      <c r="L38" s="81"/>
      <c r="M38" s="81"/>
      <c r="N38" s="81"/>
    </row>
    <row r="39" spans="2:14">
      <c r="B39" s="5" t="s">
        <v>162</v>
      </c>
      <c r="C39" s="81"/>
      <c r="D39" s="81"/>
      <c r="E39" s="81">
        <v>19960</v>
      </c>
      <c r="F39" s="81">
        <v>23360</v>
      </c>
      <c r="G39" s="81">
        <v>860</v>
      </c>
      <c r="H39" s="81">
        <v>24720</v>
      </c>
      <c r="I39" s="81">
        <v>8350</v>
      </c>
      <c r="J39" s="81">
        <v>33055</v>
      </c>
      <c r="K39" s="81"/>
      <c r="L39" s="81"/>
      <c r="M39" s="81"/>
      <c r="N39" s="81"/>
    </row>
    <row r="40" spans="2:14">
      <c r="B40" s="5" t="s">
        <v>110</v>
      </c>
      <c r="C40" s="81">
        <v>2806</v>
      </c>
      <c r="D40" s="81"/>
      <c r="E40" s="81">
        <v>5330</v>
      </c>
      <c r="F40" s="81">
        <v>568</v>
      </c>
      <c r="G40" s="81">
        <v>2808</v>
      </c>
      <c r="H40" s="81"/>
      <c r="I40" s="81">
        <v>2988</v>
      </c>
      <c r="J40" s="81"/>
      <c r="K40" s="81"/>
      <c r="L40" s="81"/>
      <c r="M40" s="81"/>
      <c r="N40" s="81"/>
    </row>
    <row r="41" spans="2:14">
      <c r="B41" s="5" t="s">
        <v>199</v>
      </c>
      <c r="C41" s="81"/>
      <c r="D41" s="81"/>
      <c r="E41" s="81"/>
      <c r="F41" s="81">
        <v>1900</v>
      </c>
      <c r="G41" s="81"/>
      <c r="H41" s="81"/>
      <c r="I41" s="81">
        <v>5100</v>
      </c>
      <c r="J41" s="81">
        <v>7250</v>
      </c>
      <c r="K41" s="81"/>
      <c r="L41" s="81"/>
      <c r="M41" s="81"/>
      <c r="N41" s="81"/>
    </row>
    <row r="42" spans="2:14">
      <c r="B42" s="5" t="s">
        <v>96</v>
      </c>
      <c r="C42" s="81">
        <v>43955</v>
      </c>
      <c r="D42" s="81">
        <v>39496</v>
      </c>
      <c r="E42" s="81">
        <v>37625</v>
      </c>
      <c r="F42" s="81">
        <v>46746</v>
      </c>
      <c r="G42" s="81">
        <v>64300</v>
      </c>
      <c r="H42" s="81">
        <v>42152</v>
      </c>
      <c r="I42" s="81">
        <v>52865</v>
      </c>
      <c r="J42" s="81">
        <v>22841.5</v>
      </c>
      <c r="K42" s="81">
        <v>2200</v>
      </c>
      <c r="L42" s="81"/>
      <c r="M42" s="81"/>
      <c r="N42" s="81"/>
    </row>
    <row r="43" spans="2:14">
      <c r="B43" s="5" t="s">
        <v>142</v>
      </c>
      <c r="C43" s="81"/>
      <c r="D43" s="81">
        <v>6550</v>
      </c>
      <c r="E43" s="81">
        <v>3700</v>
      </c>
      <c r="F43" s="81">
        <v>7700</v>
      </c>
      <c r="G43" s="81">
        <v>2000</v>
      </c>
      <c r="H43" s="81">
        <v>5100</v>
      </c>
      <c r="I43" s="81">
        <v>3970</v>
      </c>
      <c r="J43" s="81">
        <v>3600</v>
      </c>
      <c r="K43" s="81">
        <v>2000</v>
      </c>
      <c r="L43" s="81"/>
      <c r="M43" s="81"/>
      <c r="N43" s="81"/>
    </row>
    <row r="44" spans="2:14">
      <c r="B44" s="5" t="s">
        <v>118</v>
      </c>
      <c r="C44" s="81">
        <v>2000</v>
      </c>
      <c r="D44" s="81"/>
      <c r="E44" s="81">
        <v>5100</v>
      </c>
      <c r="F44" s="81"/>
      <c r="G44" s="81">
        <v>2367</v>
      </c>
      <c r="H44" s="81"/>
      <c r="I44" s="81"/>
      <c r="J44" s="81"/>
      <c r="K44" s="81"/>
      <c r="L44" s="81"/>
      <c r="M44" s="81"/>
      <c r="N44" s="81"/>
    </row>
    <row r="45" spans="2:14">
      <c r="B45" s="5" t="s">
        <v>171</v>
      </c>
      <c r="C45" s="81"/>
      <c r="D45" s="81"/>
      <c r="E45" s="81">
        <v>200</v>
      </c>
      <c r="F45" s="81">
        <v>1721</v>
      </c>
      <c r="G45" s="81"/>
      <c r="H45" s="81"/>
      <c r="I45" s="81">
        <v>385</v>
      </c>
      <c r="J45" s="81"/>
      <c r="K45" s="81"/>
      <c r="L45" s="81"/>
      <c r="M45" s="81"/>
      <c r="N45" s="81"/>
    </row>
    <row r="46" spans="2:14">
      <c r="B46" s="5" t="s">
        <v>105</v>
      </c>
      <c r="C46" s="81">
        <v>12570</v>
      </c>
      <c r="D46" s="81">
        <v>25050</v>
      </c>
      <c r="E46" s="81">
        <v>24325</v>
      </c>
      <c r="F46" s="81">
        <v>46278</v>
      </c>
      <c r="G46" s="81">
        <v>33640</v>
      </c>
      <c r="H46" s="81">
        <v>34400</v>
      </c>
      <c r="I46" s="81">
        <v>14100</v>
      </c>
      <c r="J46" s="81">
        <v>3897</v>
      </c>
      <c r="K46" s="81"/>
      <c r="L46" s="81"/>
      <c r="M46" s="81"/>
      <c r="N46" s="81"/>
    </row>
    <row r="47" spans="2:14">
      <c r="B47" s="5" t="s">
        <v>115</v>
      </c>
      <c r="C47" s="81">
        <v>40880</v>
      </c>
      <c r="D47" s="81">
        <v>42776</v>
      </c>
      <c r="E47" s="81">
        <v>49315</v>
      </c>
      <c r="F47" s="81">
        <v>28585</v>
      </c>
      <c r="G47" s="81">
        <v>60360</v>
      </c>
      <c r="H47" s="81">
        <v>51080</v>
      </c>
      <c r="I47" s="81">
        <v>57796</v>
      </c>
      <c r="J47" s="81">
        <v>19751</v>
      </c>
      <c r="K47" s="81"/>
      <c r="L47" s="81"/>
      <c r="M47" s="81"/>
      <c r="N47" s="81"/>
    </row>
    <row r="48" spans="2:14">
      <c r="B48" s="5" t="s">
        <v>128</v>
      </c>
      <c r="C48" s="81">
        <v>6767.5</v>
      </c>
      <c r="D48" s="81">
        <v>5200</v>
      </c>
      <c r="E48" s="81">
        <v>8260</v>
      </c>
      <c r="F48" s="81">
        <v>7318</v>
      </c>
      <c r="G48" s="81">
        <v>14730</v>
      </c>
      <c r="H48" s="81">
        <v>6680</v>
      </c>
      <c r="I48" s="81">
        <v>10900</v>
      </c>
      <c r="J48" s="81"/>
      <c r="K48" s="81"/>
      <c r="L48" s="81"/>
      <c r="M48" s="81"/>
      <c r="N48" s="81"/>
    </row>
    <row r="49" spans="2:14">
      <c r="B49" s="5" t="s">
        <v>170</v>
      </c>
      <c r="C49" s="81"/>
      <c r="D49" s="81"/>
      <c r="E49" s="81">
        <v>9150</v>
      </c>
      <c r="F49" s="81"/>
      <c r="G49" s="81"/>
      <c r="H49" s="81"/>
      <c r="I49" s="81"/>
      <c r="J49" s="81"/>
      <c r="K49" s="81"/>
      <c r="L49" s="81"/>
      <c r="M49" s="81"/>
      <c r="N49" s="81"/>
    </row>
    <row r="50" spans="2:14">
      <c r="B50" s="5" t="s">
        <v>490</v>
      </c>
      <c r="C50" s="81">
        <v>1800</v>
      </c>
      <c r="D50" s="81">
        <v>1800</v>
      </c>
      <c r="E50" s="81">
        <v>3400</v>
      </c>
      <c r="F50" s="81"/>
      <c r="G50" s="81">
        <v>4823</v>
      </c>
      <c r="H50" s="81">
        <v>2000</v>
      </c>
      <c r="I50" s="81">
        <v>1900</v>
      </c>
      <c r="J50" s="81">
        <v>1900</v>
      </c>
      <c r="K50" s="81"/>
      <c r="L50" s="81"/>
      <c r="M50" s="81"/>
      <c r="N50" s="81"/>
    </row>
    <row r="51" spans="2:14">
      <c r="B51" s="5" t="s">
        <v>124</v>
      </c>
      <c r="C51" s="81">
        <v>6700</v>
      </c>
      <c r="D51" s="81"/>
      <c r="E51" s="81">
        <v>28017</v>
      </c>
      <c r="F51" s="81">
        <v>25307</v>
      </c>
      <c r="G51" s="81">
        <v>30485</v>
      </c>
      <c r="H51" s="81">
        <v>28133</v>
      </c>
      <c r="I51" s="81">
        <v>35730</v>
      </c>
      <c r="J51" s="81">
        <v>15575</v>
      </c>
      <c r="K51" s="81">
        <v>2200</v>
      </c>
      <c r="L51" s="81"/>
      <c r="M51" s="81"/>
      <c r="N51" s="81"/>
    </row>
    <row r="52" spans="2:14">
      <c r="B52" s="5" t="s">
        <v>202</v>
      </c>
      <c r="C52" s="81"/>
      <c r="D52" s="81"/>
      <c r="E52" s="81"/>
      <c r="F52" s="81"/>
      <c r="G52" s="81">
        <v>2550</v>
      </c>
      <c r="H52" s="81"/>
      <c r="I52" s="81"/>
      <c r="J52" s="81"/>
      <c r="K52" s="81"/>
      <c r="L52" s="81"/>
      <c r="M52" s="81"/>
      <c r="N52" s="81"/>
    </row>
    <row r="53" spans="2:14">
      <c r="B53" s="5" t="s">
        <v>145</v>
      </c>
      <c r="C53" s="81"/>
      <c r="D53" s="81">
        <v>2250</v>
      </c>
      <c r="E53" s="81">
        <v>8815</v>
      </c>
      <c r="F53" s="81">
        <v>4365</v>
      </c>
      <c r="G53" s="81">
        <v>1526</v>
      </c>
      <c r="H53" s="81">
        <v>19607</v>
      </c>
      <c r="I53" s="81">
        <v>4175</v>
      </c>
      <c r="J53" s="81">
        <v>9650</v>
      </c>
      <c r="K53" s="81"/>
      <c r="L53" s="81"/>
      <c r="M53" s="81"/>
      <c r="N53" s="81"/>
    </row>
    <row r="54" spans="2:14">
      <c r="B54" s="5" t="s">
        <v>246</v>
      </c>
      <c r="C54" s="81"/>
      <c r="D54" s="81"/>
      <c r="E54" s="81"/>
      <c r="F54" s="81"/>
      <c r="G54" s="81"/>
      <c r="H54" s="81"/>
      <c r="I54" s="81">
        <v>11366</v>
      </c>
      <c r="J54" s="81"/>
      <c r="K54" s="81"/>
      <c r="L54" s="81"/>
      <c r="M54" s="81"/>
      <c r="N54" s="81"/>
    </row>
    <row r="55" spans="2:14">
      <c r="B55" s="5" t="s">
        <v>129</v>
      </c>
      <c r="C55" s="81">
        <v>695</v>
      </c>
      <c r="D55" s="81">
        <v>3163</v>
      </c>
      <c r="E55" s="81">
        <v>2000</v>
      </c>
      <c r="F55" s="81">
        <v>9621</v>
      </c>
      <c r="G55" s="81">
        <v>11120</v>
      </c>
      <c r="H55" s="81">
        <v>8210</v>
      </c>
      <c r="I55" s="81"/>
      <c r="J55" s="81">
        <v>6375</v>
      </c>
      <c r="K55" s="81"/>
      <c r="L55" s="81"/>
      <c r="M55" s="81"/>
      <c r="N55" s="81"/>
    </row>
    <row r="56" spans="2:14">
      <c r="B56" s="5" t="s">
        <v>127</v>
      </c>
      <c r="C56" s="81">
        <v>415</v>
      </c>
      <c r="D56" s="81">
        <v>440</v>
      </c>
      <c r="E56" s="81">
        <v>430</v>
      </c>
      <c r="F56" s="81"/>
      <c r="G56" s="81"/>
      <c r="H56" s="81"/>
      <c r="I56" s="81">
        <v>2275</v>
      </c>
      <c r="J56" s="81"/>
      <c r="K56" s="81"/>
      <c r="L56" s="81"/>
      <c r="M56" s="81"/>
      <c r="N56" s="81"/>
    </row>
    <row r="57" spans="2:14">
      <c r="B57" s="5" t="s">
        <v>234</v>
      </c>
      <c r="C57" s="81"/>
      <c r="D57" s="81"/>
      <c r="E57" s="81"/>
      <c r="F57" s="81"/>
      <c r="G57" s="81"/>
      <c r="H57" s="81">
        <v>8700</v>
      </c>
      <c r="I57" s="81">
        <v>8800</v>
      </c>
      <c r="J57" s="81"/>
      <c r="K57" s="81"/>
      <c r="L57" s="81"/>
      <c r="M57" s="81"/>
      <c r="N57" s="81"/>
    </row>
    <row r="58" spans="2:14">
      <c r="B58" s="5" t="s">
        <v>117</v>
      </c>
      <c r="C58" s="81">
        <v>9835</v>
      </c>
      <c r="D58" s="81">
        <v>4785</v>
      </c>
      <c r="E58" s="81">
        <v>2890</v>
      </c>
      <c r="F58" s="81">
        <v>11143</v>
      </c>
      <c r="G58" s="81">
        <v>6006</v>
      </c>
      <c r="H58" s="81">
        <v>5635</v>
      </c>
      <c r="I58" s="81">
        <v>5040</v>
      </c>
      <c r="J58" s="81">
        <v>2115</v>
      </c>
      <c r="K58" s="81"/>
      <c r="L58" s="81"/>
      <c r="M58" s="81"/>
      <c r="N58" s="81"/>
    </row>
    <row r="59" spans="2:14">
      <c r="B59" s="5" t="s">
        <v>122</v>
      </c>
      <c r="C59" s="81">
        <v>870</v>
      </c>
      <c r="D59" s="81">
        <v>500</v>
      </c>
      <c r="E59" s="81"/>
      <c r="F59" s="81"/>
      <c r="G59" s="81"/>
      <c r="H59" s="81">
        <v>430</v>
      </c>
      <c r="I59" s="81"/>
      <c r="J59" s="81"/>
      <c r="K59" s="81"/>
      <c r="L59" s="81"/>
      <c r="M59" s="81"/>
      <c r="N59" s="81"/>
    </row>
    <row r="60" spans="2:14">
      <c r="B60" s="5" t="s">
        <v>491</v>
      </c>
      <c r="C60" s="81">
        <v>200</v>
      </c>
      <c r="D60" s="81"/>
      <c r="E60" s="81"/>
      <c r="F60" s="81"/>
      <c r="G60" s="81"/>
      <c r="H60" s="81"/>
      <c r="I60" s="81"/>
      <c r="J60" s="81"/>
      <c r="K60" s="81"/>
      <c r="L60" s="81"/>
      <c r="M60" s="81"/>
      <c r="N60" s="81"/>
    </row>
    <row r="61" spans="2:14">
      <c r="B61" s="5" t="s">
        <v>259</v>
      </c>
      <c r="C61" s="81"/>
      <c r="D61" s="81"/>
      <c r="E61" s="81"/>
      <c r="F61" s="81"/>
      <c r="G61" s="81"/>
      <c r="H61" s="81"/>
      <c r="I61" s="81">
        <v>5060</v>
      </c>
      <c r="J61" s="81"/>
      <c r="K61" s="81"/>
      <c r="L61" s="81"/>
      <c r="M61" s="81"/>
      <c r="N61" s="81"/>
    </row>
    <row r="62" spans="2:14">
      <c r="B62" s="5" t="s">
        <v>138</v>
      </c>
      <c r="C62" s="81">
        <v>6700</v>
      </c>
      <c r="D62" s="81"/>
      <c r="E62" s="81">
        <v>1090</v>
      </c>
      <c r="F62" s="81">
        <v>627</v>
      </c>
      <c r="G62" s="81"/>
      <c r="H62" s="81"/>
      <c r="I62" s="81"/>
      <c r="J62" s="81">
        <v>950</v>
      </c>
      <c r="K62" s="81"/>
      <c r="L62" s="81"/>
      <c r="M62" s="81"/>
      <c r="N62" s="81"/>
    </row>
    <row r="63" spans="2:14">
      <c r="B63" s="5" t="s">
        <v>208</v>
      </c>
      <c r="C63" s="81"/>
      <c r="D63" s="81"/>
      <c r="E63" s="81"/>
      <c r="F63" s="81"/>
      <c r="G63" s="81">
        <v>660</v>
      </c>
      <c r="H63" s="81"/>
      <c r="I63" s="81"/>
      <c r="J63" s="81"/>
      <c r="K63" s="81"/>
      <c r="L63" s="81"/>
      <c r="M63" s="81"/>
      <c r="N63" s="81"/>
    </row>
    <row r="64" spans="2:14">
      <c r="B64" s="5" t="s">
        <v>174</v>
      </c>
      <c r="C64" s="81"/>
      <c r="D64" s="81"/>
      <c r="E64" s="81">
        <v>2000</v>
      </c>
      <c r="F64" s="81">
        <v>2768</v>
      </c>
      <c r="G64" s="81">
        <v>1785</v>
      </c>
      <c r="H64" s="81"/>
      <c r="I64" s="81">
        <v>2150</v>
      </c>
      <c r="J64" s="81">
        <v>4000</v>
      </c>
      <c r="K64" s="81"/>
      <c r="L64" s="81"/>
      <c r="M64" s="81"/>
      <c r="N64" s="81"/>
    </row>
    <row r="65" spans="2:16">
      <c r="B65" s="5" t="s">
        <v>492</v>
      </c>
      <c r="C65" s="81"/>
      <c r="D65" s="81"/>
      <c r="E65" s="81"/>
      <c r="F65" s="81"/>
      <c r="G65" s="81"/>
      <c r="H65" s="81">
        <v>3295</v>
      </c>
      <c r="I65" s="81"/>
      <c r="J65" s="81"/>
      <c r="K65" s="81"/>
      <c r="L65" s="81"/>
      <c r="M65" s="81"/>
      <c r="N65" s="81"/>
    </row>
    <row r="66" spans="2:16">
      <c r="B66" s="5" t="s">
        <v>111</v>
      </c>
      <c r="C66" s="81">
        <v>13200</v>
      </c>
      <c r="D66" s="81"/>
      <c r="E66" s="81"/>
      <c r="F66" s="81"/>
      <c r="G66" s="81"/>
      <c r="H66" s="81"/>
      <c r="I66" s="81"/>
      <c r="J66" s="81"/>
      <c r="K66" s="81"/>
      <c r="L66" s="81"/>
      <c r="M66" s="81"/>
      <c r="N66" s="81"/>
    </row>
    <row r="67" spans="2:16">
      <c r="B67" s="5" t="s">
        <v>106</v>
      </c>
      <c r="C67" s="81">
        <v>1050</v>
      </c>
      <c r="D67" s="81"/>
      <c r="E67" s="81">
        <v>2610</v>
      </c>
      <c r="F67" s="81">
        <v>30807</v>
      </c>
      <c r="G67" s="81"/>
      <c r="H67" s="81">
        <v>758</v>
      </c>
      <c r="I67" s="81"/>
      <c r="J67" s="81"/>
      <c r="K67" s="81"/>
      <c r="L67" s="81"/>
      <c r="M67" s="81"/>
      <c r="N67" s="81"/>
    </row>
    <row r="68" spans="2:16">
      <c r="B68" s="5" t="s">
        <v>256</v>
      </c>
      <c r="C68" s="81"/>
      <c r="D68" s="81"/>
      <c r="E68" s="81"/>
      <c r="F68" s="81"/>
      <c r="G68" s="81"/>
      <c r="H68" s="81"/>
      <c r="I68" s="81">
        <v>3880</v>
      </c>
      <c r="J68" s="81"/>
      <c r="K68" s="81"/>
      <c r="L68" s="81"/>
      <c r="M68" s="81"/>
      <c r="N68" s="81"/>
    </row>
    <row r="69" spans="2:16">
      <c r="B69" s="5" t="s">
        <v>233</v>
      </c>
      <c r="C69" s="81"/>
      <c r="D69" s="81"/>
      <c r="E69" s="81"/>
      <c r="F69" s="81"/>
      <c r="G69" s="81"/>
      <c r="H69" s="81">
        <v>100</v>
      </c>
      <c r="I69" s="81"/>
      <c r="J69" s="81"/>
      <c r="K69" s="81"/>
      <c r="L69" s="81"/>
      <c r="M69" s="81"/>
      <c r="N69" s="81"/>
    </row>
    <row r="70" spans="2:16">
      <c r="B70" s="5" t="s">
        <v>201</v>
      </c>
      <c r="C70" s="81"/>
      <c r="D70" s="81"/>
      <c r="E70" s="81"/>
      <c r="F70" s="81">
        <v>6700</v>
      </c>
      <c r="G70" s="81"/>
      <c r="H70" s="81"/>
      <c r="I70" s="81"/>
      <c r="J70" s="81"/>
      <c r="K70" s="81"/>
      <c r="L70" s="81"/>
      <c r="M70" s="81"/>
      <c r="N70" s="81"/>
    </row>
    <row r="71" spans="2:16">
      <c r="B71" s="5" t="s">
        <v>98</v>
      </c>
      <c r="C71" s="81">
        <v>18300</v>
      </c>
      <c r="D71" s="81">
        <v>24000</v>
      </c>
      <c r="E71" s="81">
        <v>31895</v>
      </c>
      <c r="F71" s="81">
        <v>25650</v>
      </c>
      <c r="G71" s="81">
        <v>36350</v>
      </c>
      <c r="H71" s="81">
        <v>59190</v>
      </c>
      <c r="I71" s="81">
        <v>29131</v>
      </c>
      <c r="J71" s="81">
        <v>19350</v>
      </c>
      <c r="K71" s="81"/>
      <c r="L71" s="81"/>
      <c r="M71" s="81"/>
      <c r="N71" s="81"/>
    </row>
    <row r="72" spans="2:16">
      <c r="B72" s="5" t="s">
        <v>262</v>
      </c>
      <c r="C72" s="81"/>
      <c r="D72" s="81"/>
      <c r="E72" s="81"/>
      <c r="F72" s="81"/>
      <c r="G72" s="81"/>
      <c r="H72" s="81"/>
      <c r="I72" s="81">
        <v>714</v>
      </c>
      <c r="J72" s="81"/>
      <c r="K72" s="81"/>
      <c r="L72" s="81"/>
      <c r="M72" s="81"/>
      <c r="N72" s="81"/>
    </row>
    <row r="73" spans="2:16">
      <c r="B73" s="5" t="s">
        <v>130</v>
      </c>
      <c r="C73" s="81">
        <v>7800</v>
      </c>
      <c r="D73" s="81"/>
      <c r="E73" s="81"/>
      <c r="F73" s="81"/>
      <c r="G73" s="81">
        <v>550</v>
      </c>
      <c r="H73" s="81">
        <v>8700</v>
      </c>
      <c r="I73" s="81">
        <v>550</v>
      </c>
      <c r="J73" s="81">
        <v>2000</v>
      </c>
      <c r="K73" s="81"/>
      <c r="L73" s="81"/>
      <c r="M73" s="81"/>
      <c r="N73" s="81"/>
    </row>
    <row r="74" spans="2:16">
      <c r="B74" s="5" t="s">
        <v>131</v>
      </c>
      <c r="C74" s="81">
        <v>630</v>
      </c>
      <c r="D74" s="81">
        <v>540</v>
      </c>
      <c r="E74" s="81"/>
      <c r="F74" s="81">
        <v>8530</v>
      </c>
      <c r="G74" s="81">
        <v>3500</v>
      </c>
      <c r="H74" s="81">
        <v>3500</v>
      </c>
      <c r="I74" s="81"/>
      <c r="J74" s="81"/>
      <c r="K74" s="81"/>
      <c r="L74" s="81"/>
      <c r="M74" s="81"/>
      <c r="N74" s="81"/>
    </row>
    <row r="75" spans="2:16">
      <c r="B75" s="5" t="s">
        <v>248</v>
      </c>
      <c r="C75" s="81"/>
      <c r="D75" s="81"/>
      <c r="E75" s="81"/>
      <c r="F75" s="81"/>
      <c r="G75" s="81"/>
      <c r="H75" s="81"/>
      <c r="I75" s="81">
        <v>738</v>
      </c>
      <c r="J75" s="81"/>
      <c r="K75" s="81"/>
      <c r="L75" s="81"/>
      <c r="M75" s="81"/>
      <c r="N75" s="81"/>
    </row>
    <row r="76" spans="2:16">
      <c r="B76" s="5" t="s">
        <v>185</v>
      </c>
      <c r="C76" s="81"/>
      <c r="D76" s="81"/>
      <c r="E76" s="81"/>
      <c r="F76" s="81">
        <v>6755</v>
      </c>
      <c r="G76" s="81">
        <v>7630</v>
      </c>
      <c r="H76" s="81"/>
      <c r="I76" s="81">
        <v>2061</v>
      </c>
      <c r="J76" s="81"/>
      <c r="K76" s="81"/>
      <c r="L76" s="81"/>
      <c r="M76" s="81"/>
      <c r="N76" s="81"/>
    </row>
    <row r="77" spans="2:16">
      <c r="B77" s="5" t="s">
        <v>143</v>
      </c>
      <c r="C77" s="81"/>
      <c r="D77" s="81">
        <v>8160</v>
      </c>
      <c r="E77" s="81"/>
      <c r="F77" s="81">
        <v>5250</v>
      </c>
      <c r="G77" s="81"/>
      <c r="H77" s="81"/>
      <c r="I77" s="81">
        <v>6620</v>
      </c>
      <c r="J77" s="81"/>
      <c r="K77" s="81"/>
      <c r="L77" s="81"/>
      <c r="M77" s="81"/>
      <c r="N77" s="81"/>
    </row>
    <row r="78" spans="2:16">
      <c r="B78" s="5" t="s">
        <v>99</v>
      </c>
      <c r="C78" s="81">
        <v>58900</v>
      </c>
      <c r="D78" s="81">
        <v>57184</v>
      </c>
      <c r="E78" s="81">
        <v>51495</v>
      </c>
      <c r="F78" s="81">
        <v>39274</v>
      </c>
      <c r="G78" s="81">
        <v>53126</v>
      </c>
      <c r="H78" s="81">
        <v>57934</v>
      </c>
      <c r="I78" s="81">
        <v>69694</v>
      </c>
      <c r="J78" s="81">
        <v>24280</v>
      </c>
      <c r="K78" s="81"/>
      <c r="L78" s="81"/>
      <c r="M78" s="81"/>
      <c r="N78" s="81"/>
    </row>
    <row r="79" spans="2:16">
      <c r="B79" s="5" t="s">
        <v>239</v>
      </c>
      <c r="C79" s="81"/>
      <c r="D79" s="81"/>
      <c r="E79" s="81"/>
      <c r="F79" s="81"/>
      <c r="G79" s="81"/>
      <c r="H79" s="81">
        <v>485</v>
      </c>
      <c r="I79" s="81">
        <v>225</v>
      </c>
      <c r="J79" s="81">
        <v>750</v>
      </c>
      <c r="K79" s="81"/>
      <c r="L79" s="81"/>
      <c r="M79" s="81"/>
      <c r="N79" s="81"/>
    </row>
    <row r="80" spans="2:16">
      <c r="B80" s="5" t="s">
        <v>411</v>
      </c>
      <c r="C80" s="81">
        <v>0</v>
      </c>
      <c r="D80" s="81">
        <v>0</v>
      </c>
      <c r="E80" s="81">
        <v>0</v>
      </c>
      <c r="F80" s="81">
        <v>0</v>
      </c>
      <c r="G80" s="81">
        <v>0</v>
      </c>
      <c r="H80" s="81">
        <v>0</v>
      </c>
      <c r="I80" s="81">
        <v>0</v>
      </c>
      <c r="J80" s="81">
        <v>0</v>
      </c>
      <c r="K80" s="81">
        <v>0</v>
      </c>
      <c r="L80" s="81">
        <v>0</v>
      </c>
      <c r="M80" s="81">
        <v>0</v>
      </c>
      <c r="N80" s="81">
        <v>0</v>
      </c>
      <c r="O80">
        <v>0</v>
      </c>
      <c r="P80">
        <v>0</v>
      </c>
    </row>
    <row r="81" spans="2:14">
      <c r="B81" s="5" t="s">
        <v>123</v>
      </c>
      <c r="C81" s="81">
        <v>1520</v>
      </c>
      <c r="D81" s="81">
        <v>2890</v>
      </c>
      <c r="E81" s="81">
        <v>1550</v>
      </c>
      <c r="F81" s="81">
        <v>2200</v>
      </c>
      <c r="G81" s="81"/>
      <c r="H81" s="81">
        <v>2000</v>
      </c>
      <c r="I81" s="81"/>
      <c r="J81" s="81"/>
      <c r="K81" s="81"/>
      <c r="L81" s="81"/>
      <c r="M81" s="81"/>
      <c r="N81" s="81"/>
    </row>
    <row r="82" spans="2:14">
      <c r="B82" s="5" t="s">
        <v>104</v>
      </c>
      <c r="C82" s="81">
        <v>1959</v>
      </c>
      <c r="D82" s="81">
        <v>1405</v>
      </c>
      <c r="E82" s="81"/>
      <c r="F82" s="81">
        <v>2455</v>
      </c>
      <c r="G82" s="81">
        <v>12256</v>
      </c>
      <c r="H82" s="81"/>
      <c r="I82" s="81">
        <v>1270</v>
      </c>
      <c r="J82" s="81">
        <v>250</v>
      </c>
      <c r="K82" s="81"/>
      <c r="L82" s="81"/>
      <c r="M82" s="81"/>
      <c r="N82" s="81"/>
    </row>
    <row r="83" spans="2:14">
      <c r="B83" s="5" t="s">
        <v>144</v>
      </c>
      <c r="C83" s="81"/>
      <c r="D83" s="81">
        <v>2500</v>
      </c>
      <c r="E83" s="81">
        <v>3342</v>
      </c>
      <c r="F83" s="81">
        <v>2677</v>
      </c>
      <c r="G83" s="81"/>
      <c r="H83" s="81">
        <v>350</v>
      </c>
      <c r="I83" s="81"/>
      <c r="J83" s="81"/>
      <c r="K83" s="81"/>
      <c r="L83" s="81"/>
      <c r="M83" s="81"/>
      <c r="N83" s="81"/>
    </row>
    <row r="84" spans="2:14">
      <c r="B84" s="5" t="s">
        <v>92</v>
      </c>
      <c r="C84" s="81">
        <v>36290</v>
      </c>
      <c r="D84" s="81">
        <v>26000</v>
      </c>
      <c r="E84" s="81">
        <v>16020</v>
      </c>
      <c r="F84" s="81">
        <v>35961</v>
      </c>
      <c r="G84" s="81">
        <v>39050</v>
      </c>
      <c r="H84" s="81">
        <v>35530</v>
      </c>
      <c r="I84" s="81">
        <v>22500</v>
      </c>
      <c r="J84" s="81">
        <v>29316</v>
      </c>
      <c r="K84" s="81"/>
      <c r="L84" s="81"/>
      <c r="M84" s="81"/>
      <c r="N84" s="81"/>
    </row>
    <row r="85" spans="2:14">
      <c r="B85" s="5" t="s">
        <v>116</v>
      </c>
      <c r="C85" s="81">
        <v>6425</v>
      </c>
      <c r="D85" s="81">
        <v>14250</v>
      </c>
      <c r="E85" s="81">
        <v>15094</v>
      </c>
      <c r="F85" s="81">
        <v>17519</v>
      </c>
      <c r="G85" s="81">
        <v>21290</v>
      </c>
      <c r="H85" s="81">
        <v>35206</v>
      </c>
      <c r="I85" s="81">
        <v>1964</v>
      </c>
      <c r="J85" s="81"/>
      <c r="K85" s="81"/>
      <c r="L85" s="81"/>
      <c r="M85" s="81"/>
      <c r="N85" s="81"/>
    </row>
    <row r="86" spans="2:14">
      <c r="B86" s="5" t="s">
        <v>269</v>
      </c>
      <c r="C86" s="81"/>
      <c r="D86" s="81"/>
      <c r="E86" s="81"/>
      <c r="F86" s="81"/>
      <c r="G86" s="81"/>
      <c r="H86" s="81"/>
      <c r="I86" s="81"/>
      <c r="J86" s="81">
        <v>3486</v>
      </c>
      <c r="K86" s="81"/>
      <c r="L86" s="81"/>
      <c r="M86" s="81"/>
      <c r="N86" s="81"/>
    </row>
    <row r="87" spans="2:14">
      <c r="B87" s="5" t="s">
        <v>178</v>
      </c>
      <c r="C87" s="81"/>
      <c r="D87" s="81"/>
      <c r="E87" s="81"/>
      <c r="F87" s="81">
        <v>9949</v>
      </c>
      <c r="G87" s="81">
        <v>600</v>
      </c>
      <c r="H87" s="81">
        <v>3600</v>
      </c>
      <c r="I87" s="81"/>
      <c r="J87" s="81">
        <v>7686</v>
      </c>
      <c r="K87" s="81"/>
      <c r="L87" s="81"/>
      <c r="M87" s="81"/>
      <c r="N87" s="81"/>
    </row>
    <row r="88" spans="2:14">
      <c r="B88" s="5" t="s">
        <v>236</v>
      </c>
      <c r="C88" s="81"/>
      <c r="D88" s="81"/>
      <c r="E88" s="81"/>
      <c r="F88" s="81"/>
      <c r="G88" s="81"/>
      <c r="H88" s="81">
        <v>39500</v>
      </c>
      <c r="I88" s="81">
        <v>31600</v>
      </c>
      <c r="J88" s="81"/>
      <c r="K88" s="81"/>
      <c r="L88" s="81"/>
      <c r="M88" s="81"/>
      <c r="N88" s="81"/>
    </row>
    <row r="89" spans="2:14">
      <c r="B89" s="5" t="s">
        <v>134</v>
      </c>
      <c r="C89" s="81">
        <v>1700</v>
      </c>
      <c r="D89" s="81">
        <v>3400</v>
      </c>
      <c r="E89" s="81">
        <v>4100</v>
      </c>
      <c r="F89" s="81"/>
      <c r="G89" s="81"/>
      <c r="H89" s="81"/>
      <c r="I89" s="81"/>
      <c r="J89" s="81"/>
      <c r="K89" s="81"/>
      <c r="L89" s="81"/>
      <c r="M89" s="81"/>
      <c r="N89" s="81"/>
    </row>
    <row r="90" spans="2:14">
      <c r="B90" s="5" t="s">
        <v>203</v>
      </c>
      <c r="C90" s="81"/>
      <c r="D90" s="81"/>
      <c r="E90" s="81"/>
      <c r="F90" s="81"/>
      <c r="G90" s="81">
        <v>2026</v>
      </c>
      <c r="H90" s="81"/>
      <c r="I90" s="81"/>
      <c r="J90" s="81"/>
      <c r="K90" s="81"/>
      <c r="L90" s="81"/>
      <c r="M90" s="81"/>
      <c r="N90" s="81"/>
    </row>
    <row r="91" spans="2:14">
      <c r="B91" s="5" t="s">
        <v>140</v>
      </c>
      <c r="C91" s="81"/>
      <c r="D91" s="81">
        <v>47460</v>
      </c>
      <c r="E91" s="81"/>
      <c r="F91" s="81"/>
      <c r="G91" s="81"/>
      <c r="H91" s="81"/>
      <c r="I91" s="81"/>
      <c r="J91" s="81"/>
      <c r="K91" s="81"/>
      <c r="L91" s="81"/>
      <c r="M91" s="81"/>
      <c r="N91" s="81"/>
    </row>
    <row r="92" spans="2:14">
      <c r="B92" s="5" t="s">
        <v>100</v>
      </c>
      <c r="C92" s="81">
        <v>515</v>
      </c>
      <c r="D92" s="81">
        <v>265</v>
      </c>
      <c r="E92" s="81">
        <v>2921</v>
      </c>
      <c r="F92" s="81">
        <v>1336</v>
      </c>
      <c r="G92" s="81">
        <v>3558</v>
      </c>
      <c r="H92" s="81">
        <v>4880</v>
      </c>
      <c r="I92" s="81">
        <v>12553</v>
      </c>
      <c r="J92" s="81">
        <v>10686</v>
      </c>
      <c r="K92" s="81"/>
      <c r="L92" s="81"/>
      <c r="M92" s="81"/>
      <c r="N92" s="81"/>
    </row>
    <row r="93" spans="2:14">
      <c r="B93" s="5" t="s">
        <v>214</v>
      </c>
      <c r="C93" s="81"/>
      <c r="D93" s="81"/>
      <c r="E93" s="81"/>
      <c r="F93" s="81"/>
      <c r="G93" s="81">
        <v>1685</v>
      </c>
      <c r="H93" s="81"/>
      <c r="I93" s="81"/>
      <c r="J93" s="81"/>
      <c r="K93" s="81"/>
      <c r="L93" s="81"/>
      <c r="M93" s="81"/>
      <c r="N93" s="81"/>
    </row>
    <row r="94" spans="2:14">
      <c r="B94" s="5" t="s">
        <v>252</v>
      </c>
      <c r="C94" s="81"/>
      <c r="D94" s="81"/>
      <c r="E94" s="81"/>
      <c r="F94" s="81"/>
      <c r="G94" s="81"/>
      <c r="H94" s="81"/>
      <c r="I94" s="81">
        <v>470</v>
      </c>
      <c r="J94" s="81"/>
      <c r="K94" s="81"/>
      <c r="L94" s="81"/>
      <c r="M94" s="81"/>
      <c r="N94" s="81"/>
    </row>
    <row r="95" spans="2:14">
      <c r="B95" s="5" t="s">
        <v>194</v>
      </c>
      <c r="C95" s="81"/>
      <c r="D95" s="81"/>
      <c r="E95" s="81"/>
      <c r="F95" s="81">
        <v>1828</v>
      </c>
      <c r="G95" s="81"/>
      <c r="H95" s="81"/>
      <c r="I95" s="81"/>
      <c r="J95" s="81"/>
      <c r="K95" s="81"/>
      <c r="L95" s="81"/>
      <c r="M95" s="81"/>
      <c r="N95" s="81"/>
    </row>
    <row r="96" spans="2:14">
      <c r="B96" s="5" t="s">
        <v>97</v>
      </c>
      <c r="C96" s="81">
        <v>27850</v>
      </c>
      <c r="D96" s="81">
        <v>39250</v>
      </c>
      <c r="E96" s="81">
        <v>31018</v>
      </c>
      <c r="F96" s="81">
        <v>37405</v>
      </c>
      <c r="G96" s="81">
        <v>19479</v>
      </c>
      <c r="H96" s="81">
        <v>28881</v>
      </c>
      <c r="I96" s="81">
        <v>22730</v>
      </c>
      <c r="J96" s="81">
        <v>13664</v>
      </c>
      <c r="K96" s="81"/>
      <c r="L96" s="81"/>
      <c r="M96" s="81"/>
      <c r="N96" s="81"/>
    </row>
    <row r="97" spans="2:14">
      <c r="B97" s="5" t="s">
        <v>164</v>
      </c>
      <c r="C97" s="81"/>
      <c r="D97" s="81"/>
      <c r="E97" s="81">
        <v>1900</v>
      </c>
      <c r="F97" s="81"/>
      <c r="G97" s="81"/>
      <c r="H97" s="81"/>
      <c r="I97" s="81"/>
      <c r="J97" s="81"/>
      <c r="K97" s="81"/>
      <c r="L97" s="81"/>
      <c r="M97" s="81"/>
      <c r="N97" s="81"/>
    </row>
    <row r="98" spans="2:14">
      <c r="B98" s="5" t="s">
        <v>205</v>
      </c>
      <c r="C98" s="81"/>
      <c r="D98" s="81"/>
      <c r="E98" s="81"/>
      <c r="F98" s="81"/>
      <c r="G98" s="81">
        <v>1015</v>
      </c>
      <c r="H98" s="81"/>
      <c r="I98" s="81"/>
      <c r="J98" s="81"/>
      <c r="K98" s="81"/>
      <c r="L98" s="81"/>
      <c r="M98" s="81"/>
      <c r="N98" s="81"/>
    </row>
    <row r="99" spans="2:14">
      <c r="B99" s="5" t="s">
        <v>240</v>
      </c>
      <c r="C99" s="81"/>
      <c r="D99" s="81"/>
      <c r="E99" s="81"/>
      <c r="F99" s="81"/>
      <c r="G99" s="81"/>
      <c r="H99" s="81">
        <v>1696</v>
      </c>
      <c r="I99" s="81"/>
      <c r="J99" s="81"/>
      <c r="K99" s="81"/>
      <c r="L99" s="81"/>
      <c r="M99" s="81"/>
      <c r="N99" s="81"/>
    </row>
    <row r="100" spans="2:14">
      <c r="B100" s="5" t="s">
        <v>266</v>
      </c>
      <c r="C100" s="81"/>
      <c r="D100" s="81"/>
      <c r="E100" s="81"/>
      <c r="F100" s="81"/>
      <c r="G100" s="81"/>
      <c r="H100" s="81"/>
      <c r="I100" s="81"/>
      <c r="J100" s="81">
        <v>200</v>
      </c>
      <c r="K100" s="81"/>
      <c r="L100" s="81"/>
      <c r="M100" s="81"/>
      <c r="N100" s="81"/>
    </row>
    <row r="101" spans="2:14">
      <c r="B101" s="5" t="s">
        <v>146</v>
      </c>
      <c r="C101" s="81"/>
      <c r="D101" s="81">
        <v>500</v>
      </c>
      <c r="E101" s="81"/>
      <c r="F101" s="81"/>
      <c r="G101" s="81"/>
      <c r="H101" s="81"/>
      <c r="I101" s="81"/>
      <c r="J101" s="81"/>
      <c r="K101" s="81"/>
      <c r="L101" s="81"/>
      <c r="M101" s="81"/>
      <c r="N101" s="81"/>
    </row>
    <row r="102" spans="2:14">
      <c r="B102" s="5" t="s">
        <v>493</v>
      </c>
      <c r="C102" s="81"/>
      <c r="D102" s="81"/>
      <c r="E102" s="81">
        <v>405</v>
      </c>
      <c r="F102" s="81"/>
      <c r="G102" s="81"/>
      <c r="H102" s="81"/>
      <c r="I102" s="81"/>
      <c r="J102" s="81"/>
      <c r="K102" s="81"/>
      <c r="L102" s="81"/>
      <c r="M102" s="81"/>
      <c r="N102" s="81"/>
    </row>
    <row r="103" spans="2:14">
      <c r="B103" s="5" t="s">
        <v>258</v>
      </c>
      <c r="C103" s="81"/>
      <c r="D103" s="81"/>
      <c r="E103" s="81"/>
      <c r="F103" s="81"/>
      <c r="G103" s="81"/>
      <c r="H103" s="81"/>
      <c r="I103" s="81">
        <v>800</v>
      </c>
      <c r="J103" s="81"/>
      <c r="K103" s="81"/>
      <c r="L103" s="81"/>
      <c r="M103" s="81"/>
      <c r="N103" s="81"/>
    </row>
    <row r="104" spans="2:14">
      <c r="B104" s="5" t="s">
        <v>275</v>
      </c>
      <c r="C104" s="81"/>
      <c r="D104" s="81"/>
      <c r="E104" s="81"/>
      <c r="F104" s="81"/>
      <c r="G104" s="81"/>
      <c r="H104" s="81"/>
      <c r="I104" s="81"/>
      <c r="J104" s="81">
        <v>3810</v>
      </c>
      <c r="K104" s="81"/>
      <c r="L104" s="81"/>
      <c r="M104" s="81"/>
      <c r="N104" s="81"/>
    </row>
    <row r="105" spans="2:14">
      <c r="B105" s="5" t="s">
        <v>139</v>
      </c>
      <c r="C105" s="81"/>
      <c r="D105" s="81">
        <v>8003</v>
      </c>
      <c r="E105" s="81"/>
      <c r="F105" s="81"/>
      <c r="G105" s="81"/>
      <c r="H105" s="81"/>
      <c r="I105" s="81"/>
      <c r="J105" s="81"/>
      <c r="K105" s="81"/>
      <c r="L105" s="81"/>
      <c r="M105" s="81"/>
      <c r="N105" s="81"/>
    </row>
    <row r="106" spans="2:14">
      <c r="B106" s="5" t="s">
        <v>175</v>
      </c>
      <c r="C106" s="81"/>
      <c r="D106" s="81"/>
      <c r="E106" s="81">
        <v>1800</v>
      </c>
      <c r="F106" s="81">
        <v>2800</v>
      </c>
      <c r="G106" s="81"/>
      <c r="H106" s="81"/>
      <c r="I106" s="81">
        <v>4000</v>
      </c>
      <c r="J106" s="81"/>
      <c r="K106" s="81"/>
      <c r="L106" s="81"/>
      <c r="M106" s="81"/>
      <c r="N106" s="81"/>
    </row>
    <row r="107" spans="2:14">
      <c r="B107" s="5" t="s">
        <v>166</v>
      </c>
      <c r="C107" s="81"/>
      <c r="D107" s="81"/>
      <c r="E107" s="81">
        <v>350</v>
      </c>
      <c r="F107" s="81">
        <v>4840</v>
      </c>
      <c r="G107" s="81">
        <v>125</v>
      </c>
      <c r="H107" s="81"/>
      <c r="I107" s="81"/>
      <c r="J107" s="81"/>
      <c r="K107" s="81"/>
      <c r="L107" s="81"/>
      <c r="M107" s="81"/>
      <c r="N107" s="81"/>
    </row>
    <row r="108" spans="2:14">
      <c r="B108" s="5" t="s">
        <v>93</v>
      </c>
      <c r="C108" s="81">
        <v>5077</v>
      </c>
      <c r="D108" s="81"/>
      <c r="E108" s="81"/>
      <c r="F108" s="81"/>
      <c r="G108" s="81"/>
      <c r="H108" s="81">
        <v>5729</v>
      </c>
      <c r="I108" s="81"/>
      <c r="J108" s="81"/>
      <c r="K108" s="81"/>
      <c r="L108" s="81"/>
      <c r="M108" s="81"/>
      <c r="N108" s="81"/>
    </row>
    <row r="109" spans="2:14">
      <c r="B109" s="5" t="s">
        <v>107</v>
      </c>
      <c r="C109" s="81">
        <v>900</v>
      </c>
      <c r="D109" s="81">
        <v>450</v>
      </c>
      <c r="E109" s="81"/>
      <c r="F109" s="81"/>
      <c r="G109" s="81"/>
      <c r="H109" s="81"/>
      <c r="I109" s="81"/>
      <c r="J109" s="81"/>
      <c r="K109" s="81"/>
      <c r="L109" s="81"/>
      <c r="M109" s="81"/>
      <c r="N109" s="81"/>
    </row>
    <row r="110" spans="2:14">
      <c r="B110" s="5" t="s">
        <v>135</v>
      </c>
      <c r="C110" s="81">
        <v>635</v>
      </c>
      <c r="D110" s="81"/>
      <c r="E110" s="81"/>
      <c r="F110" s="81"/>
      <c r="G110" s="81"/>
      <c r="H110" s="81"/>
      <c r="I110" s="81"/>
      <c r="J110" s="81"/>
      <c r="K110" s="81"/>
      <c r="L110" s="81"/>
      <c r="M110" s="81"/>
      <c r="N110" s="81"/>
    </row>
    <row r="111" spans="2:14">
      <c r="B111" s="5" t="s">
        <v>137</v>
      </c>
      <c r="C111" s="81">
        <v>1000</v>
      </c>
      <c r="D111" s="81"/>
      <c r="E111" s="81"/>
      <c r="F111" s="81"/>
      <c r="G111" s="81"/>
      <c r="H111" s="81"/>
      <c r="I111" s="81">
        <v>850</v>
      </c>
      <c r="J111" s="81"/>
      <c r="K111" s="81"/>
      <c r="L111" s="81"/>
      <c r="M111" s="81"/>
      <c r="N111" s="81"/>
    </row>
    <row r="112" spans="2:14">
      <c r="B112" s="5" t="s">
        <v>147</v>
      </c>
      <c r="C112" s="81"/>
      <c r="D112" s="81">
        <v>550</v>
      </c>
      <c r="E112" s="81"/>
      <c r="F112" s="81"/>
      <c r="G112" s="81"/>
      <c r="H112" s="81"/>
      <c r="I112" s="81"/>
      <c r="J112" s="81"/>
      <c r="K112" s="81"/>
      <c r="L112" s="81"/>
      <c r="M112" s="81"/>
      <c r="N112" s="81"/>
    </row>
    <row r="113" spans="2:14">
      <c r="B113" s="5" t="s">
        <v>102</v>
      </c>
      <c r="C113" s="81">
        <v>43680</v>
      </c>
      <c r="D113" s="81">
        <v>43210</v>
      </c>
      <c r="E113" s="81">
        <v>36295</v>
      </c>
      <c r="F113" s="81">
        <v>41206</v>
      </c>
      <c r="G113" s="81">
        <v>51854</v>
      </c>
      <c r="H113" s="81">
        <v>65965</v>
      </c>
      <c r="I113" s="81">
        <v>70390</v>
      </c>
      <c r="J113" s="81">
        <v>32540</v>
      </c>
      <c r="K113" s="81">
        <v>2200</v>
      </c>
      <c r="L113" s="81"/>
      <c r="M113" s="81"/>
      <c r="N113" s="81"/>
    </row>
    <row r="114" spans="2:14">
      <c r="B114" s="5" t="s">
        <v>153</v>
      </c>
      <c r="C114" s="81"/>
      <c r="D114" s="81">
        <v>14920</v>
      </c>
      <c r="E114" s="81">
        <v>6800</v>
      </c>
      <c r="F114" s="81"/>
      <c r="G114" s="81"/>
      <c r="H114" s="81"/>
      <c r="I114" s="81"/>
      <c r="J114" s="81"/>
      <c r="K114" s="81"/>
      <c r="L114" s="81"/>
      <c r="M114" s="81"/>
      <c r="N114" s="81"/>
    </row>
    <row r="115" spans="2:14">
      <c r="B115" s="5" t="s">
        <v>154</v>
      </c>
      <c r="C115" s="81"/>
      <c r="D115" s="81">
        <v>899</v>
      </c>
      <c r="E115" s="81"/>
      <c r="F115" s="81"/>
      <c r="G115" s="81"/>
      <c r="H115" s="81"/>
      <c r="I115" s="81"/>
      <c r="J115" s="81"/>
      <c r="K115" s="81"/>
      <c r="L115" s="81"/>
      <c r="M115" s="81"/>
      <c r="N115" s="81"/>
    </row>
    <row r="116" spans="2:14">
      <c r="B116" s="5" t="s">
        <v>156</v>
      </c>
      <c r="C116" s="81"/>
      <c r="D116" s="81">
        <v>6300</v>
      </c>
      <c r="E116" s="81">
        <v>2370</v>
      </c>
      <c r="F116" s="81">
        <v>2080</v>
      </c>
      <c r="G116" s="81"/>
      <c r="H116" s="81">
        <v>2300</v>
      </c>
      <c r="I116" s="81">
        <v>1050</v>
      </c>
      <c r="J116" s="81"/>
      <c r="K116" s="81"/>
      <c r="L116" s="81"/>
      <c r="M116" s="81"/>
      <c r="N116" s="81"/>
    </row>
    <row r="117" spans="2:14">
      <c r="B117" s="5" t="s">
        <v>157</v>
      </c>
      <c r="C117" s="81"/>
      <c r="D117" s="81">
        <v>6500</v>
      </c>
      <c r="E117" s="81"/>
      <c r="F117" s="81">
        <v>2500</v>
      </c>
      <c r="G117" s="81"/>
      <c r="H117" s="81"/>
      <c r="I117" s="81"/>
      <c r="J117" s="81"/>
      <c r="K117" s="81"/>
      <c r="L117" s="81"/>
      <c r="M117" s="81"/>
      <c r="N117" s="81"/>
    </row>
    <row r="118" spans="2:14">
      <c r="B118" s="5" t="s">
        <v>159</v>
      </c>
      <c r="C118" s="81"/>
      <c r="D118" s="81"/>
      <c r="E118" s="81">
        <v>2142</v>
      </c>
      <c r="F118" s="81"/>
      <c r="G118" s="81"/>
      <c r="H118" s="81"/>
      <c r="I118" s="81"/>
      <c r="J118" s="81"/>
      <c r="K118" s="81"/>
      <c r="L118" s="81"/>
      <c r="M118" s="81"/>
      <c r="N118" s="81"/>
    </row>
    <row r="119" spans="2:14">
      <c r="B119" s="5" t="s">
        <v>160</v>
      </c>
      <c r="C119" s="81"/>
      <c r="D119" s="81"/>
      <c r="E119" s="81">
        <v>17230</v>
      </c>
      <c r="F119" s="81"/>
      <c r="G119" s="81"/>
      <c r="H119" s="81"/>
      <c r="I119" s="81"/>
      <c r="J119" s="81"/>
      <c r="K119" s="81"/>
      <c r="L119" s="81"/>
      <c r="M119" s="81"/>
      <c r="N119" s="81"/>
    </row>
    <row r="120" spans="2:14">
      <c r="B120" s="5" t="s">
        <v>163</v>
      </c>
      <c r="C120" s="81"/>
      <c r="D120" s="81"/>
      <c r="E120" s="81">
        <v>2678.55</v>
      </c>
      <c r="F120" s="81"/>
      <c r="G120" s="81"/>
      <c r="H120" s="81"/>
      <c r="I120" s="81"/>
      <c r="J120" s="81"/>
      <c r="K120" s="81"/>
      <c r="L120" s="81"/>
      <c r="M120" s="81"/>
      <c r="N120" s="81"/>
    </row>
    <row r="121" spans="2:14">
      <c r="B121" s="5" t="s">
        <v>161</v>
      </c>
      <c r="C121" s="81"/>
      <c r="D121" s="81"/>
      <c r="E121" s="81">
        <v>6134</v>
      </c>
      <c r="F121" s="81"/>
      <c r="G121" s="81"/>
      <c r="H121" s="81"/>
      <c r="I121" s="81"/>
      <c r="J121" s="81"/>
      <c r="K121" s="81"/>
      <c r="L121" s="81"/>
      <c r="M121" s="81"/>
      <c r="N121" s="81"/>
    </row>
    <row r="122" spans="2:14">
      <c r="B122" s="5" t="s">
        <v>167</v>
      </c>
      <c r="C122" s="81"/>
      <c r="D122" s="81"/>
      <c r="E122" s="81">
        <v>2000</v>
      </c>
      <c r="F122" s="81"/>
      <c r="G122" s="81"/>
      <c r="H122" s="81"/>
      <c r="I122" s="81"/>
      <c r="J122" s="81"/>
      <c r="K122" s="81"/>
      <c r="L122" s="81"/>
      <c r="M122" s="81"/>
      <c r="N122" s="81"/>
    </row>
    <row r="123" spans="2:14">
      <c r="B123" s="5" t="s">
        <v>169</v>
      </c>
      <c r="C123" s="81"/>
      <c r="D123" s="81"/>
      <c r="E123" s="81">
        <v>815</v>
      </c>
      <c r="F123" s="81"/>
      <c r="G123" s="81"/>
      <c r="H123" s="81"/>
      <c r="I123" s="81"/>
      <c r="J123" s="81"/>
      <c r="K123" s="81"/>
      <c r="L123" s="81"/>
      <c r="M123" s="81"/>
      <c r="N123" s="81"/>
    </row>
    <row r="124" spans="2:14">
      <c r="B124" s="5" t="s">
        <v>172</v>
      </c>
      <c r="C124" s="81"/>
      <c r="D124" s="81"/>
      <c r="E124" s="81">
        <v>10810</v>
      </c>
      <c r="F124" s="81"/>
      <c r="G124" s="81"/>
      <c r="H124" s="81"/>
      <c r="I124" s="81"/>
      <c r="J124" s="81"/>
      <c r="K124" s="81"/>
      <c r="L124" s="81"/>
      <c r="M124" s="81"/>
      <c r="N124" s="81"/>
    </row>
    <row r="125" spans="2:14">
      <c r="B125" s="5" t="s">
        <v>173</v>
      </c>
      <c r="C125" s="81"/>
      <c r="D125" s="81"/>
      <c r="E125" s="81">
        <v>2700</v>
      </c>
      <c r="F125" s="81"/>
      <c r="G125" s="81"/>
      <c r="H125" s="81"/>
      <c r="I125" s="81"/>
      <c r="J125" s="81"/>
      <c r="K125" s="81"/>
      <c r="L125" s="81"/>
      <c r="M125" s="81"/>
      <c r="N125" s="81"/>
    </row>
    <row r="126" spans="2:14">
      <c r="B126" s="5" t="s">
        <v>177</v>
      </c>
      <c r="C126" s="81"/>
      <c r="D126" s="81"/>
      <c r="E126" s="81"/>
      <c r="F126" s="81">
        <v>2100</v>
      </c>
      <c r="G126" s="81"/>
      <c r="H126" s="81"/>
      <c r="I126" s="81"/>
      <c r="J126" s="81"/>
      <c r="K126" s="81"/>
      <c r="L126" s="81"/>
      <c r="M126" s="81"/>
      <c r="N126" s="81"/>
    </row>
    <row r="127" spans="2:14">
      <c r="B127" s="5" t="s">
        <v>179</v>
      </c>
      <c r="C127" s="81"/>
      <c r="D127" s="81"/>
      <c r="E127" s="81"/>
      <c r="F127" s="81">
        <v>2100</v>
      </c>
      <c r="G127" s="81"/>
      <c r="H127" s="81"/>
      <c r="I127" s="81">
        <v>4830</v>
      </c>
      <c r="J127" s="81"/>
      <c r="K127" s="81"/>
      <c r="L127" s="81"/>
      <c r="M127" s="81"/>
      <c r="N127" s="81"/>
    </row>
    <row r="128" spans="2:14">
      <c r="B128" s="5" t="s">
        <v>158</v>
      </c>
      <c r="C128" s="81"/>
      <c r="D128" s="81"/>
      <c r="E128" s="81">
        <v>2255</v>
      </c>
      <c r="F128" s="81">
        <v>4002</v>
      </c>
      <c r="G128" s="81">
        <v>7480</v>
      </c>
      <c r="H128" s="81"/>
      <c r="I128" s="81"/>
      <c r="J128" s="81"/>
      <c r="K128" s="81"/>
      <c r="L128" s="81"/>
      <c r="M128" s="81"/>
      <c r="N128" s="81"/>
    </row>
    <row r="129" spans="2:14">
      <c r="B129" s="5" t="s">
        <v>180</v>
      </c>
      <c r="C129" s="81"/>
      <c r="D129" s="81"/>
      <c r="E129" s="81"/>
      <c r="F129" s="81">
        <v>2536</v>
      </c>
      <c r="G129" s="81"/>
      <c r="H129" s="81"/>
      <c r="I129" s="81"/>
      <c r="J129" s="81"/>
      <c r="K129" s="81"/>
      <c r="L129" s="81"/>
      <c r="M129" s="81"/>
      <c r="N129" s="81"/>
    </row>
    <row r="130" spans="2:14">
      <c r="B130" s="5" t="s">
        <v>182</v>
      </c>
      <c r="C130" s="81"/>
      <c r="D130" s="81"/>
      <c r="E130" s="81"/>
      <c r="F130" s="81">
        <v>702</v>
      </c>
      <c r="G130" s="81"/>
      <c r="H130" s="81"/>
      <c r="I130" s="81"/>
      <c r="J130" s="81"/>
      <c r="K130" s="81"/>
      <c r="L130" s="81"/>
      <c r="M130" s="81"/>
      <c r="N130" s="81"/>
    </row>
    <row r="131" spans="2:14">
      <c r="B131" s="5" t="s">
        <v>183</v>
      </c>
      <c r="C131" s="81"/>
      <c r="D131" s="81"/>
      <c r="E131" s="81"/>
      <c r="F131" s="81">
        <v>650</v>
      </c>
      <c r="G131" s="81"/>
      <c r="H131" s="81"/>
      <c r="I131" s="81"/>
      <c r="J131" s="81"/>
      <c r="K131" s="81"/>
      <c r="L131" s="81"/>
      <c r="M131" s="81"/>
      <c r="N131" s="81"/>
    </row>
    <row r="132" spans="2:14">
      <c r="B132" s="5" t="s">
        <v>186</v>
      </c>
      <c r="C132" s="81"/>
      <c r="D132" s="81"/>
      <c r="E132" s="81"/>
      <c r="F132" s="81">
        <v>370</v>
      </c>
      <c r="G132" s="81">
        <v>2120</v>
      </c>
      <c r="H132" s="81"/>
      <c r="I132" s="81"/>
      <c r="J132" s="81"/>
      <c r="K132" s="81"/>
      <c r="L132" s="81"/>
      <c r="M132" s="81"/>
      <c r="N132" s="81"/>
    </row>
    <row r="133" spans="2:14">
      <c r="B133" s="5" t="s">
        <v>187</v>
      </c>
      <c r="C133" s="81"/>
      <c r="D133" s="81"/>
      <c r="E133" s="81"/>
      <c r="F133" s="81">
        <v>2500</v>
      </c>
      <c r="G133" s="81"/>
      <c r="H133" s="81"/>
      <c r="I133" s="81"/>
      <c r="J133" s="81"/>
      <c r="K133" s="81"/>
      <c r="L133" s="81"/>
      <c r="M133" s="81"/>
      <c r="N133" s="81"/>
    </row>
    <row r="134" spans="2:14">
      <c r="B134" s="5" t="s">
        <v>190</v>
      </c>
      <c r="C134" s="81"/>
      <c r="D134" s="81"/>
      <c r="E134" s="81"/>
      <c r="F134" s="81">
        <v>2500</v>
      </c>
      <c r="G134" s="81"/>
      <c r="H134" s="81"/>
      <c r="I134" s="81"/>
      <c r="J134" s="81"/>
      <c r="K134" s="81"/>
      <c r="L134" s="81"/>
      <c r="M134" s="81"/>
      <c r="N134" s="81"/>
    </row>
    <row r="135" spans="2:14">
      <c r="B135" s="5" t="s">
        <v>188</v>
      </c>
      <c r="C135" s="81"/>
      <c r="D135" s="81"/>
      <c r="E135" s="81"/>
      <c r="F135" s="81">
        <v>900</v>
      </c>
      <c r="G135" s="81"/>
      <c r="H135" s="81"/>
      <c r="I135" s="81"/>
      <c r="J135" s="81"/>
      <c r="K135" s="81"/>
      <c r="L135" s="81"/>
      <c r="M135" s="81"/>
      <c r="N135" s="81"/>
    </row>
    <row r="136" spans="2:14">
      <c r="B136" s="5" t="s">
        <v>494</v>
      </c>
      <c r="C136" s="81"/>
      <c r="D136" s="81"/>
      <c r="E136" s="81"/>
      <c r="F136" s="81">
        <v>1056</v>
      </c>
      <c r="G136" s="81">
        <v>16544</v>
      </c>
      <c r="H136" s="81">
        <v>2770</v>
      </c>
      <c r="I136" s="81"/>
      <c r="J136" s="81">
        <v>1010</v>
      </c>
      <c r="K136" s="81">
        <v>4920</v>
      </c>
      <c r="L136" s="81"/>
      <c r="M136" s="81"/>
      <c r="N136" s="81"/>
    </row>
    <row r="137" spans="2:14">
      <c r="B137" s="5" t="s">
        <v>193</v>
      </c>
      <c r="C137" s="81"/>
      <c r="D137" s="81"/>
      <c r="E137" s="81"/>
      <c r="F137" s="81">
        <v>975</v>
      </c>
      <c r="G137" s="81"/>
      <c r="H137" s="81">
        <v>3530</v>
      </c>
      <c r="I137" s="81">
        <v>480</v>
      </c>
      <c r="J137" s="81"/>
      <c r="K137" s="81"/>
      <c r="L137" s="81"/>
      <c r="M137" s="81"/>
      <c r="N137" s="81"/>
    </row>
    <row r="138" spans="2:14">
      <c r="B138" s="5" t="s">
        <v>192</v>
      </c>
      <c r="C138" s="81"/>
      <c r="D138" s="81"/>
      <c r="E138" s="81"/>
      <c r="F138" s="81">
        <v>2822</v>
      </c>
      <c r="G138" s="81"/>
      <c r="H138" s="81"/>
      <c r="I138" s="81"/>
      <c r="J138" s="81"/>
      <c r="K138" s="81"/>
      <c r="L138" s="81"/>
      <c r="M138" s="81"/>
      <c r="N138" s="81"/>
    </row>
    <row r="139" spans="2:14">
      <c r="B139" s="5" t="s">
        <v>195</v>
      </c>
      <c r="C139" s="81"/>
      <c r="D139" s="81"/>
      <c r="E139" s="81"/>
      <c r="F139" s="81">
        <v>360</v>
      </c>
      <c r="G139" s="81"/>
      <c r="H139" s="81"/>
      <c r="I139" s="81"/>
      <c r="J139" s="81"/>
      <c r="K139" s="81"/>
      <c r="L139" s="81"/>
      <c r="M139" s="81"/>
      <c r="N139" s="81"/>
    </row>
    <row r="140" spans="2:14">
      <c r="B140" s="5" t="s">
        <v>197</v>
      </c>
      <c r="C140" s="81"/>
      <c r="D140" s="81"/>
      <c r="E140" s="81"/>
      <c r="F140" s="81">
        <v>2818</v>
      </c>
      <c r="G140" s="81">
        <v>2078</v>
      </c>
      <c r="H140" s="81"/>
      <c r="I140" s="81">
        <v>1393</v>
      </c>
      <c r="J140" s="81"/>
      <c r="K140" s="81"/>
      <c r="L140" s="81"/>
      <c r="M140" s="81"/>
      <c r="N140" s="81"/>
    </row>
    <row r="141" spans="2:14">
      <c r="B141" s="5" t="s">
        <v>196</v>
      </c>
      <c r="C141" s="81"/>
      <c r="D141" s="81"/>
      <c r="E141" s="81"/>
      <c r="F141" s="81">
        <v>1070</v>
      </c>
      <c r="G141" s="81">
        <v>11870</v>
      </c>
      <c r="H141" s="81">
        <v>6100</v>
      </c>
      <c r="I141" s="81">
        <v>3350</v>
      </c>
      <c r="J141" s="81">
        <v>1410</v>
      </c>
      <c r="K141" s="81"/>
      <c r="L141" s="81"/>
      <c r="M141" s="81"/>
      <c r="N141" s="81"/>
    </row>
    <row r="142" spans="2:14">
      <c r="B142" s="5" t="s">
        <v>198</v>
      </c>
      <c r="C142" s="81"/>
      <c r="D142" s="81"/>
      <c r="E142" s="81"/>
      <c r="F142" s="81">
        <v>175</v>
      </c>
      <c r="G142" s="81">
        <v>850</v>
      </c>
      <c r="H142" s="81"/>
      <c r="I142" s="81"/>
      <c r="J142" s="81"/>
      <c r="K142" s="81"/>
      <c r="L142" s="81"/>
      <c r="M142" s="81"/>
      <c r="N142" s="81"/>
    </row>
    <row r="143" spans="2:14">
      <c r="B143" s="5" t="s">
        <v>200</v>
      </c>
      <c r="C143" s="81"/>
      <c r="D143" s="81"/>
      <c r="E143" s="81"/>
      <c r="F143" s="81">
        <v>5600</v>
      </c>
      <c r="G143" s="81"/>
      <c r="H143" s="81"/>
      <c r="I143" s="81"/>
      <c r="J143" s="81"/>
      <c r="K143" s="81"/>
      <c r="L143" s="81"/>
      <c r="M143" s="81"/>
      <c r="N143" s="81"/>
    </row>
    <row r="144" spans="2:14">
      <c r="B144" s="5" t="s">
        <v>191</v>
      </c>
      <c r="C144" s="81"/>
      <c r="D144" s="81"/>
      <c r="E144" s="81"/>
      <c r="F144" s="81">
        <v>540</v>
      </c>
      <c r="G144" s="81">
        <v>8663</v>
      </c>
      <c r="H144" s="81"/>
      <c r="I144" s="81"/>
      <c r="J144" s="81"/>
      <c r="K144" s="81"/>
      <c r="L144" s="81"/>
      <c r="M144" s="81"/>
      <c r="N144" s="81"/>
    </row>
    <row r="145" spans="2:14">
      <c r="B145" s="5" t="s">
        <v>204</v>
      </c>
      <c r="C145" s="81"/>
      <c r="D145" s="81"/>
      <c r="E145" s="81"/>
      <c r="F145" s="81"/>
      <c r="G145" s="81">
        <v>4800</v>
      </c>
      <c r="H145" s="81"/>
      <c r="I145" s="81"/>
      <c r="J145" s="81"/>
      <c r="K145" s="81"/>
      <c r="L145" s="81"/>
      <c r="M145" s="81"/>
      <c r="N145" s="81"/>
    </row>
    <row r="146" spans="2:14">
      <c r="B146" s="5" t="s">
        <v>206</v>
      </c>
      <c r="C146" s="81"/>
      <c r="D146" s="81"/>
      <c r="E146" s="81"/>
      <c r="F146" s="81"/>
      <c r="G146" s="81">
        <v>3375</v>
      </c>
      <c r="H146" s="81"/>
      <c r="I146" s="81"/>
      <c r="J146" s="81"/>
      <c r="K146" s="81"/>
      <c r="L146" s="81"/>
      <c r="M146" s="81"/>
      <c r="N146" s="81"/>
    </row>
    <row r="147" spans="2:14">
      <c r="B147" s="5" t="s">
        <v>209</v>
      </c>
      <c r="C147" s="81"/>
      <c r="D147" s="81"/>
      <c r="E147" s="81"/>
      <c r="F147" s="81"/>
      <c r="G147" s="81">
        <v>245</v>
      </c>
      <c r="H147" s="81">
        <v>900</v>
      </c>
      <c r="I147" s="81"/>
      <c r="J147" s="81"/>
      <c r="K147" s="81"/>
      <c r="L147" s="81"/>
      <c r="M147" s="81"/>
      <c r="N147" s="81"/>
    </row>
    <row r="148" spans="2:14">
      <c r="B148" s="5" t="s">
        <v>210</v>
      </c>
      <c r="C148" s="81"/>
      <c r="D148" s="81"/>
      <c r="E148" s="81"/>
      <c r="F148" s="81"/>
      <c r="G148" s="81">
        <v>2055</v>
      </c>
      <c r="H148" s="81"/>
      <c r="I148" s="81"/>
      <c r="J148" s="81"/>
      <c r="K148" s="81"/>
      <c r="L148" s="81"/>
      <c r="M148" s="81"/>
      <c r="N148" s="81"/>
    </row>
    <row r="149" spans="2:14">
      <c r="B149" s="5" t="s">
        <v>211</v>
      </c>
      <c r="C149" s="81"/>
      <c r="D149" s="81"/>
      <c r="E149" s="81"/>
      <c r="F149" s="81"/>
      <c r="G149" s="81">
        <v>380</v>
      </c>
      <c r="H149" s="81"/>
      <c r="I149" s="81"/>
      <c r="J149" s="81"/>
      <c r="K149" s="81"/>
      <c r="L149" s="81"/>
      <c r="M149" s="81"/>
      <c r="N149" s="81"/>
    </row>
    <row r="150" spans="2:14">
      <c r="B150" s="5" t="s">
        <v>212</v>
      </c>
      <c r="C150" s="81"/>
      <c r="D150" s="81"/>
      <c r="E150" s="81"/>
      <c r="F150" s="81"/>
      <c r="G150" s="81">
        <v>6737</v>
      </c>
      <c r="H150" s="81"/>
      <c r="I150" s="81">
        <v>6630</v>
      </c>
      <c r="J150" s="81"/>
      <c r="K150" s="81"/>
      <c r="L150" s="81"/>
      <c r="M150" s="81"/>
      <c r="N150" s="81"/>
    </row>
    <row r="151" spans="2:14">
      <c r="B151" s="5" t="s">
        <v>213</v>
      </c>
      <c r="C151" s="81"/>
      <c r="D151" s="81"/>
      <c r="E151" s="81"/>
      <c r="F151" s="81"/>
      <c r="G151" s="81">
        <v>3000</v>
      </c>
      <c r="H151" s="81"/>
      <c r="I151" s="81"/>
      <c r="J151" s="81"/>
      <c r="K151" s="81"/>
      <c r="L151" s="81"/>
      <c r="M151" s="81"/>
      <c r="N151" s="81"/>
    </row>
    <row r="152" spans="2:14">
      <c r="B152" s="5" t="s">
        <v>217</v>
      </c>
      <c r="C152" s="81"/>
      <c r="D152" s="81"/>
      <c r="E152" s="81"/>
      <c r="F152" s="81"/>
      <c r="G152" s="81">
        <v>3980</v>
      </c>
      <c r="H152" s="81"/>
      <c r="I152" s="81"/>
      <c r="J152" s="81"/>
      <c r="K152" s="81"/>
      <c r="L152" s="81"/>
      <c r="M152" s="81"/>
      <c r="N152" s="81"/>
    </row>
    <row r="153" spans="2:14">
      <c r="B153" s="5" t="s">
        <v>216</v>
      </c>
      <c r="C153" s="81"/>
      <c r="D153" s="81"/>
      <c r="E153" s="81"/>
      <c r="F153" s="81"/>
      <c r="G153" s="81">
        <v>27320</v>
      </c>
      <c r="H153" s="81"/>
      <c r="I153" s="81"/>
      <c r="J153" s="81"/>
      <c r="K153" s="81"/>
      <c r="L153" s="81"/>
      <c r="M153" s="81"/>
      <c r="N153" s="81"/>
    </row>
    <row r="154" spans="2:14">
      <c r="B154" s="5" t="s">
        <v>218</v>
      </c>
      <c r="C154" s="81"/>
      <c r="D154" s="81"/>
      <c r="E154" s="81"/>
      <c r="F154" s="81"/>
      <c r="G154" s="81">
        <v>3000</v>
      </c>
      <c r="H154" s="81"/>
      <c r="I154" s="81"/>
      <c r="J154" s="81"/>
      <c r="K154" s="81"/>
      <c r="L154" s="81"/>
      <c r="M154" s="81"/>
      <c r="N154" s="81"/>
    </row>
    <row r="155" spans="2:14">
      <c r="B155" s="5" t="s">
        <v>219</v>
      </c>
      <c r="C155" s="81"/>
      <c r="D155" s="81"/>
      <c r="E155" s="81"/>
      <c r="F155" s="81"/>
      <c r="G155" s="81"/>
      <c r="H155" s="81">
        <v>1900</v>
      </c>
      <c r="I155" s="81"/>
      <c r="J155" s="81">
        <v>3100</v>
      </c>
      <c r="K155" s="81"/>
      <c r="L155" s="81"/>
      <c r="M155" s="81"/>
      <c r="N155" s="81"/>
    </row>
    <row r="156" spans="2:14">
      <c r="B156" s="5" t="s">
        <v>220</v>
      </c>
      <c r="C156" s="81"/>
      <c r="D156" s="81"/>
      <c r="E156" s="81"/>
      <c r="F156" s="81"/>
      <c r="G156" s="81"/>
      <c r="H156" s="81">
        <v>2160</v>
      </c>
      <c r="I156" s="81"/>
      <c r="J156" s="81"/>
      <c r="K156" s="81"/>
      <c r="L156" s="81"/>
      <c r="M156" s="81"/>
      <c r="N156" s="81"/>
    </row>
    <row r="157" spans="2:14">
      <c r="B157" s="5" t="s">
        <v>222</v>
      </c>
      <c r="C157" s="81"/>
      <c r="D157" s="81"/>
      <c r="E157" s="81"/>
      <c r="F157" s="81"/>
      <c r="G157" s="81"/>
      <c r="H157" s="81">
        <v>3342</v>
      </c>
      <c r="I157" s="81"/>
      <c r="J157" s="81"/>
      <c r="K157" s="81"/>
      <c r="L157" s="81"/>
      <c r="M157" s="81"/>
      <c r="N157" s="81"/>
    </row>
    <row r="158" spans="2:14">
      <c r="B158" s="5" t="s">
        <v>223</v>
      </c>
      <c r="C158" s="81"/>
      <c r="D158" s="81"/>
      <c r="E158" s="81"/>
      <c r="F158" s="81"/>
      <c r="G158" s="81"/>
      <c r="H158" s="81">
        <v>2000</v>
      </c>
      <c r="I158" s="81"/>
      <c r="J158" s="81"/>
      <c r="K158" s="81"/>
      <c r="L158" s="81"/>
      <c r="M158" s="81"/>
      <c r="N158" s="81"/>
    </row>
    <row r="159" spans="2:14">
      <c r="B159" s="5" t="s">
        <v>224</v>
      </c>
      <c r="C159" s="81"/>
      <c r="D159" s="81"/>
      <c r="E159" s="81"/>
      <c r="F159" s="81"/>
      <c r="G159" s="81"/>
      <c r="H159" s="81">
        <v>4295</v>
      </c>
      <c r="I159" s="81">
        <v>780</v>
      </c>
      <c r="J159" s="81"/>
      <c r="K159" s="81"/>
      <c r="L159" s="81"/>
      <c r="M159" s="81"/>
      <c r="N159" s="81"/>
    </row>
    <row r="160" spans="2:14">
      <c r="B160" s="5" t="s">
        <v>226</v>
      </c>
      <c r="C160" s="81"/>
      <c r="D160" s="81"/>
      <c r="E160" s="81"/>
      <c r="F160" s="81"/>
      <c r="G160" s="81"/>
      <c r="H160" s="81">
        <v>120</v>
      </c>
      <c r="I160" s="81"/>
      <c r="J160" s="81"/>
      <c r="K160" s="81"/>
      <c r="L160" s="81"/>
      <c r="M160" s="81"/>
      <c r="N160" s="81"/>
    </row>
    <row r="161" spans="2:14">
      <c r="B161" s="5" t="s">
        <v>225</v>
      </c>
      <c r="C161" s="81"/>
      <c r="D161" s="81"/>
      <c r="E161" s="81"/>
      <c r="F161" s="81"/>
      <c r="G161" s="81"/>
      <c r="H161" s="81">
        <v>1000</v>
      </c>
      <c r="I161" s="81"/>
      <c r="J161" s="81">
        <v>1400</v>
      </c>
      <c r="K161" s="81"/>
      <c r="L161" s="81"/>
      <c r="M161" s="81"/>
      <c r="N161" s="81"/>
    </row>
    <row r="162" spans="2:14">
      <c r="B162" s="5" t="s">
        <v>228</v>
      </c>
      <c r="C162" s="81"/>
      <c r="D162" s="81"/>
      <c r="E162" s="81"/>
      <c r="F162" s="81"/>
      <c r="G162" s="81"/>
      <c r="H162" s="81">
        <v>1480</v>
      </c>
      <c r="I162" s="81"/>
      <c r="J162" s="81"/>
      <c r="K162" s="81"/>
      <c r="L162" s="81"/>
      <c r="M162" s="81"/>
      <c r="N162" s="81"/>
    </row>
    <row r="163" spans="2:14">
      <c r="B163" s="5" t="s">
        <v>227</v>
      </c>
      <c r="C163" s="81"/>
      <c r="D163" s="81"/>
      <c r="E163" s="81"/>
      <c r="F163" s="81"/>
      <c r="G163" s="81"/>
      <c r="H163" s="81">
        <v>3600</v>
      </c>
      <c r="I163" s="81">
        <v>4900</v>
      </c>
      <c r="J163" s="81"/>
      <c r="K163" s="81"/>
      <c r="L163" s="81"/>
      <c r="M163" s="81"/>
      <c r="N163" s="81"/>
    </row>
    <row r="164" spans="2:14">
      <c r="B164" s="5" t="s">
        <v>229</v>
      </c>
      <c r="C164" s="81"/>
      <c r="D164" s="81"/>
      <c r="E164" s="81"/>
      <c r="F164" s="81"/>
      <c r="G164" s="81"/>
      <c r="H164" s="81">
        <v>50</v>
      </c>
      <c r="I164" s="81"/>
      <c r="J164" s="81"/>
      <c r="K164" s="81"/>
      <c r="L164" s="81"/>
      <c r="M164" s="81"/>
      <c r="N164" s="81"/>
    </row>
    <row r="165" spans="2:14">
      <c r="B165" s="5" t="s">
        <v>230</v>
      </c>
      <c r="C165" s="81"/>
      <c r="D165" s="81"/>
      <c r="E165" s="81"/>
      <c r="F165" s="81"/>
      <c r="G165" s="81"/>
      <c r="H165" s="81">
        <v>3218</v>
      </c>
      <c r="I165" s="81">
        <v>2526</v>
      </c>
      <c r="J165" s="81"/>
      <c r="K165" s="81"/>
      <c r="L165" s="81"/>
      <c r="M165" s="81"/>
      <c r="N165" s="81"/>
    </row>
    <row r="166" spans="2:14">
      <c r="B166" s="5" t="s">
        <v>231</v>
      </c>
      <c r="C166" s="81"/>
      <c r="D166" s="81"/>
      <c r="E166" s="81"/>
      <c r="F166" s="81"/>
      <c r="G166" s="81"/>
      <c r="H166" s="81">
        <v>8730</v>
      </c>
      <c r="I166" s="81"/>
      <c r="J166" s="81"/>
      <c r="K166" s="81"/>
      <c r="L166" s="81"/>
      <c r="M166" s="81"/>
      <c r="N166" s="81"/>
    </row>
    <row r="167" spans="2:14">
      <c r="B167" s="5" t="s">
        <v>232</v>
      </c>
      <c r="C167" s="81"/>
      <c r="D167" s="81"/>
      <c r="E167" s="81"/>
      <c r="F167" s="81"/>
      <c r="G167" s="81"/>
      <c r="H167" s="81">
        <v>1220</v>
      </c>
      <c r="I167" s="81"/>
      <c r="J167" s="81"/>
      <c r="K167" s="81"/>
      <c r="L167" s="81"/>
      <c r="M167" s="81"/>
      <c r="N167" s="81"/>
    </row>
    <row r="168" spans="2:14">
      <c r="B168" s="5" t="s">
        <v>235</v>
      </c>
      <c r="C168" s="81"/>
      <c r="D168" s="81"/>
      <c r="E168" s="81"/>
      <c r="F168" s="81"/>
      <c r="G168" s="81"/>
      <c r="H168" s="81">
        <v>415</v>
      </c>
      <c r="I168" s="81"/>
      <c r="J168" s="81"/>
      <c r="K168" s="81"/>
      <c r="L168" s="81"/>
      <c r="M168" s="81"/>
      <c r="N168" s="81"/>
    </row>
    <row r="169" spans="2:14">
      <c r="B169" s="5" t="s">
        <v>237</v>
      </c>
      <c r="C169" s="81"/>
      <c r="D169" s="81"/>
      <c r="E169" s="81"/>
      <c r="F169" s="81"/>
      <c r="G169" s="81"/>
      <c r="H169" s="81">
        <v>375</v>
      </c>
      <c r="I169" s="81"/>
      <c r="J169" s="81"/>
      <c r="K169" s="81"/>
      <c r="L169" s="81"/>
      <c r="M169" s="81"/>
      <c r="N169" s="81"/>
    </row>
    <row r="170" spans="2:14">
      <c r="B170" s="5" t="s">
        <v>238</v>
      </c>
      <c r="C170" s="81"/>
      <c r="D170" s="81"/>
      <c r="E170" s="81"/>
      <c r="F170" s="81"/>
      <c r="G170" s="81"/>
      <c r="H170" s="81">
        <v>600</v>
      </c>
      <c r="I170" s="81"/>
      <c r="J170" s="81"/>
      <c r="K170" s="81"/>
      <c r="L170" s="81"/>
      <c r="M170" s="81"/>
      <c r="N170" s="81"/>
    </row>
    <row r="171" spans="2:14">
      <c r="B171" s="5" t="s">
        <v>242</v>
      </c>
      <c r="C171" s="81"/>
      <c r="D171" s="81"/>
      <c r="E171" s="81"/>
      <c r="F171" s="81"/>
      <c r="G171" s="81"/>
      <c r="H171" s="81">
        <v>1645</v>
      </c>
      <c r="I171" s="81"/>
      <c r="J171" s="81"/>
      <c r="K171" s="81"/>
      <c r="L171" s="81"/>
      <c r="M171" s="81"/>
      <c r="N171" s="81"/>
    </row>
    <row r="172" spans="2:14">
      <c r="B172" s="5" t="s">
        <v>241</v>
      </c>
      <c r="C172" s="81"/>
      <c r="D172" s="81"/>
      <c r="E172" s="81"/>
      <c r="F172" s="81"/>
      <c r="G172" s="81"/>
      <c r="H172" s="81">
        <v>12640</v>
      </c>
      <c r="I172" s="81">
        <v>6230</v>
      </c>
      <c r="J172" s="81">
        <v>2835</v>
      </c>
      <c r="K172" s="81"/>
      <c r="L172" s="81"/>
      <c r="M172" s="81"/>
      <c r="N172" s="81"/>
    </row>
    <row r="173" spans="2:14">
      <c r="B173" s="5" t="s">
        <v>243</v>
      </c>
      <c r="C173" s="81"/>
      <c r="D173" s="81"/>
      <c r="E173" s="81"/>
      <c r="F173" s="81"/>
      <c r="G173" s="81"/>
      <c r="H173" s="81">
        <v>6500</v>
      </c>
      <c r="I173" s="81"/>
      <c r="J173" s="81"/>
      <c r="K173" s="81"/>
      <c r="L173" s="81"/>
      <c r="M173" s="81"/>
      <c r="N173" s="81"/>
    </row>
    <row r="174" spans="2:14">
      <c r="B174" s="5" t="s">
        <v>244</v>
      </c>
      <c r="C174" s="81"/>
      <c r="D174" s="81"/>
      <c r="E174" s="81"/>
      <c r="F174" s="81"/>
      <c r="G174" s="81"/>
      <c r="H174" s="81">
        <v>3303</v>
      </c>
      <c r="I174" s="81">
        <v>1731</v>
      </c>
      <c r="J174" s="81"/>
      <c r="K174" s="81"/>
      <c r="L174" s="81"/>
      <c r="M174" s="81"/>
      <c r="N174" s="81"/>
    </row>
    <row r="175" spans="2:14">
      <c r="B175" s="5" t="s">
        <v>245</v>
      </c>
      <c r="C175" s="81"/>
      <c r="D175" s="81"/>
      <c r="E175" s="81"/>
      <c r="F175" s="81"/>
      <c r="G175" s="81"/>
      <c r="H175" s="81">
        <v>3000</v>
      </c>
      <c r="I175" s="81"/>
      <c r="J175" s="81"/>
      <c r="K175" s="81"/>
      <c r="L175" s="81"/>
      <c r="M175" s="81"/>
      <c r="N175" s="81"/>
    </row>
    <row r="176" spans="2:14">
      <c r="B176" s="5" t="s">
        <v>247</v>
      </c>
      <c r="C176" s="81"/>
      <c r="D176" s="81"/>
      <c r="E176" s="81"/>
      <c r="F176" s="81"/>
      <c r="G176" s="81"/>
      <c r="H176" s="81"/>
      <c r="I176" s="81">
        <v>14001</v>
      </c>
      <c r="J176" s="81">
        <v>26556</v>
      </c>
      <c r="K176" s="81">
        <v>1360</v>
      </c>
      <c r="L176" s="81"/>
      <c r="M176" s="81"/>
      <c r="N176" s="81"/>
    </row>
    <row r="177" spans="2:14">
      <c r="B177" s="5" t="s">
        <v>249</v>
      </c>
      <c r="C177" s="81"/>
      <c r="D177" s="81"/>
      <c r="E177" s="81"/>
      <c r="F177" s="81"/>
      <c r="G177" s="81"/>
      <c r="H177" s="81"/>
      <c r="I177" s="81">
        <v>350</v>
      </c>
      <c r="J177" s="81"/>
      <c r="K177" s="81"/>
      <c r="L177" s="81"/>
      <c r="M177" s="81"/>
      <c r="N177" s="81"/>
    </row>
    <row r="178" spans="2:14">
      <c r="B178" s="5" t="s">
        <v>250</v>
      </c>
      <c r="C178" s="81"/>
      <c r="D178" s="81"/>
      <c r="E178" s="81"/>
      <c r="F178" s="81"/>
      <c r="G178" s="81"/>
      <c r="H178" s="81"/>
      <c r="I178" s="81">
        <v>8800</v>
      </c>
      <c r="J178" s="81"/>
      <c r="K178" s="81"/>
      <c r="L178" s="81"/>
      <c r="M178" s="81"/>
      <c r="N178" s="81"/>
    </row>
    <row r="179" spans="2:14">
      <c r="B179" s="5" t="s">
        <v>251</v>
      </c>
      <c r="C179" s="81"/>
      <c r="D179" s="81"/>
      <c r="E179" s="81"/>
      <c r="F179" s="81"/>
      <c r="G179" s="81"/>
      <c r="H179" s="81"/>
      <c r="I179" s="81">
        <v>1160</v>
      </c>
      <c r="J179" s="81"/>
      <c r="K179" s="81"/>
      <c r="L179" s="81"/>
      <c r="M179" s="81"/>
      <c r="N179" s="81"/>
    </row>
    <row r="180" spans="2:14">
      <c r="B180" s="5" t="s">
        <v>255</v>
      </c>
      <c r="C180" s="81"/>
      <c r="D180" s="81"/>
      <c r="E180" s="81"/>
      <c r="F180" s="81"/>
      <c r="G180" s="81"/>
      <c r="H180" s="81"/>
      <c r="I180" s="81">
        <v>125</v>
      </c>
      <c r="J180" s="81"/>
      <c r="K180" s="81"/>
      <c r="L180" s="81"/>
      <c r="M180" s="81"/>
      <c r="N180" s="81"/>
    </row>
    <row r="181" spans="2:14">
      <c r="B181" s="5" t="s">
        <v>253</v>
      </c>
      <c r="C181" s="81"/>
      <c r="D181" s="81"/>
      <c r="E181" s="81"/>
      <c r="F181" s="81"/>
      <c r="G181" s="81"/>
      <c r="H181" s="81"/>
      <c r="I181" s="81">
        <v>2591</v>
      </c>
      <c r="J181" s="81"/>
      <c r="K181" s="81"/>
      <c r="L181" s="81"/>
      <c r="M181" s="81"/>
      <c r="N181" s="81"/>
    </row>
    <row r="182" spans="2:14">
      <c r="B182" s="5" t="s">
        <v>257</v>
      </c>
      <c r="C182" s="81"/>
      <c r="D182" s="81"/>
      <c r="E182" s="81"/>
      <c r="F182" s="81"/>
      <c r="G182" s="81"/>
      <c r="H182" s="81"/>
      <c r="I182" s="81">
        <v>8800</v>
      </c>
      <c r="J182" s="81">
        <v>10200</v>
      </c>
      <c r="K182" s="81"/>
      <c r="L182" s="81"/>
      <c r="M182" s="81"/>
      <c r="N182" s="81"/>
    </row>
    <row r="183" spans="2:14">
      <c r="B183" s="5" t="s">
        <v>260</v>
      </c>
      <c r="C183" s="81"/>
      <c r="D183" s="81"/>
      <c r="E183" s="81"/>
      <c r="F183" s="81"/>
      <c r="G183" s="81"/>
      <c r="H183" s="81"/>
      <c r="I183" s="81">
        <v>2100</v>
      </c>
      <c r="J183" s="81"/>
      <c r="K183" s="81"/>
      <c r="L183" s="81"/>
      <c r="M183" s="81"/>
      <c r="N183" s="81"/>
    </row>
    <row r="184" spans="2:14">
      <c r="B184" s="5" t="s">
        <v>261</v>
      </c>
      <c r="C184" s="81"/>
      <c r="D184" s="81"/>
      <c r="E184" s="81"/>
      <c r="F184" s="81"/>
      <c r="G184" s="81"/>
      <c r="H184" s="81"/>
      <c r="I184" s="81">
        <v>250</v>
      </c>
      <c r="J184" s="81"/>
      <c r="K184" s="81"/>
      <c r="L184" s="81"/>
      <c r="M184" s="81"/>
      <c r="N184" s="81"/>
    </row>
    <row r="185" spans="2:14">
      <c r="B185" s="5" t="s">
        <v>263</v>
      </c>
      <c r="C185" s="81"/>
      <c r="D185" s="81"/>
      <c r="E185" s="81"/>
      <c r="F185" s="81"/>
      <c r="G185" s="81"/>
      <c r="H185" s="81"/>
      <c r="I185" s="81">
        <v>16210</v>
      </c>
      <c r="J185" s="81"/>
      <c r="K185" s="81"/>
      <c r="L185" s="81"/>
      <c r="M185" s="81"/>
      <c r="N185" s="81"/>
    </row>
    <row r="186" spans="2:14">
      <c r="B186" s="5" t="s">
        <v>264</v>
      </c>
      <c r="C186" s="81"/>
      <c r="D186" s="81"/>
      <c r="E186" s="81"/>
      <c r="F186" s="81"/>
      <c r="G186" s="81"/>
      <c r="H186" s="81"/>
      <c r="I186" s="81">
        <v>2411</v>
      </c>
      <c r="J186" s="81"/>
      <c r="K186" s="81"/>
      <c r="L186" s="81"/>
      <c r="M186" s="81"/>
      <c r="N186" s="81"/>
    </row>
    <row r="187" spans="2:14">
      <c r="B187" s="5" t="s">
        <v>265</v>
      </c>
      <c r="C187" s="81"/>
      <c r="D187" s="81"/>
      <c r="E187" s="81"/>
      <c r="F187" s="81"/>
      <c r="G187" s="81"/>
      <c r="H187" s="81"/>
      <c r="I187" s="81"/>
      <c r="J187" s="81">
        <v>17235</v>
      </c>
      <c r="K187" s="81"/>
      <c r="L187" s="81"/>
      <c r="M187" s="81"/>
      <c r="N187" s="81"/>
    </row>
    <row r="188" spans="2:14">
      <c r="B188" s="5" t="s">
        <v>132</v>
      </c>
      <c r="C188" s="81">
        <v>450</v>
      </c>
      <c r="D188" s="81"/>
      <c r="E188" s="81">
        <v>5660</v>
      </c>
      <c r="F188" s="81"/>
      <c r="G188" s="81"/>
      <c r="H188" s="81"/>
      <c r="I188" s="81"/>
      <c r="J188" s="81"/>
      <c r="K188" s="81"/>
      <c r="L188" s="81"/>
      <c r="M188" s="81"/>
      <c r="N188" s="81"/>
    </row>
    <row r="189" spans="2:14">
      <c r="B189" s="5" t="s">
        <v>267</v>
      </c>
      <c r="C189" s="81"/>
      <c r="D189" s="81"/>
      <c r="E189" s="81"/>
      <c r="F189" s="81"/>
      <c r="G189" s="81"/>
      <c r="H189" s="81"/>
      <c r="I189" s="81"/>
      <c r="J189" s="81">
        <v>2840</v>
      </c>
      <c r="K189" s="81"/>
      <c r="L189" s="81"/>
      <c r="M189" s="81"/>
      <c r="N189" s="81"/>
    </row>
    <row r="190" spans="2:14">
      <c r="B190" s="5" t="s">
        <v>268</v>
      </c>
      <c r="C190" s="81"/>
      <c r="D190" s="81"/>
      <c r="E190" s="81"/>
      <c r="F190" s="81"/>
      <c r="G190" s="81"/>
      <c r="H190" s="81"/>
      <c r="I190" s="81"/>
      <c r="J190" s="81">
        <v>160</v>
      </c>
      <c r="K190" s="81"/>
      <c r="L190" s="81"/>
      <c r="M190" s="81"/>
      <c r="N190" s="81"/>
    </row>
    <row r="191" spans="2:14">
      <c r="B191" s="5" t="s">
        <v>270</v>
      </c>
      <c r="C191" s="81"/>
      <c r="D191" s="81"/>
      <c r="E191" s="81"/>
      <c r="F191" s="81"/>
      <c r="G191" s="81"/>
      <c r="H191" s="81"/>
      <c r="I191" s="81"/>
      <c r="J191" s="81">
        <v>650</v>
      </c>
      <c r="K191" s="81"/>
      <c r="L191" s="81"/>
      <c r="M191" s="81"/>
      <c r="N191" s="81"/>
    </row>
    <row r="192" spans="2:14">
      <c r="B192" s="5" t="s">
        <v>272</v>
      </c>
      <c r="C192" s="81"/>
      <c r="D192" s="81"/>
      <c r="E192" s="81"/>
      <c r="F192" s="81"/>
      <c r="G192" s="81"/>
      <c r="H192" s="81"/>
      <c r="I192" s="81"/>
      <c r="J192" s="81">
        <v>4768</v>
      </c>
      <c r="K192" s="81"/>
      <c r="L192" s="81"/>
      <c r="M192" s="81"/>
      <c r="N192" s="81"/>
    </row>
    <row r="193" spans="2:14">
      <c r="B193" s="5" t="s">
        <v>273</v>
      </c>
      <c r="C193" s="81"/>
      <c r="D193" s="81"/>
      <c r="E193" s="81"/>
      <c r="F193" s="81"/>
      <c r="G193" s="81"/>
      <c r="H193" s="81"/>
      <c r="I193" s="81"/>
      <c r="J193" s="81">
        <v>2336</v>
      </c>
      <c r="K193" s="81"/>
      <c r="L193" s="81"/>
      <c r="M193" s="81"/>
      <c r="N193" s="81"/>
    </row>
    <row r="194" spans="2:14">
      <c r="B194" s="5" t="s">
        <v>274</v>
      </c>
      <c r="C194" s="81"/>
      <c r="D194" s="81"/>
      <c r="E194" s="81"/>
      <c r="F194" s="81"/>
      <c r="G194" s="81"/>
      <c r="H194" s="81"/>
      <c r="I194" s="81"/>
      <c r="J194" s="81">
        <v>750</v>
      </c>
      <c r="K194" s="81"/>
      <c r="L194" s="81"/>
      <c r="M194" s="81"/>
      <c r="N194" s="81"/>
    </row>
    <row r="195" spans="2:14">
      <c r="B195" s="5" t="s">
        <v>276</v>
      </c>
      <c r="C195" s="81"/>
      <c r="D195" s="81"/>
      <c r="E195" s="81"/>
      <c r="F195" s="81"/>
      <c r="G195" s="81"/>
      <c r="H195" s="81"/>
      <c r="I195" s="81"/>
      <c r="J195" s="81">
        <v>2650</v>
      </c>
      <c r="K195" s="81"/>
      <c r="L195" s="81"/>
      <c r="M195" s="81"/>
      <c r="N195" s="81"/>
    </row>
    <row r="196" spans="2:14">
      <c r="B196" s="5" t="s">
        <v>278</v>
      </c>
      <c r="C196" s="81"/>
      <c r="D196" s="81"/>
      <c r="E196" s="81"/>
      <c r="F196" s="81"/>
      <c r="G196" s="81"/>
      <c r="H196" s="81"/>
      <c r="I196" s="81"/>
      <c r="J196" s="81">
        <v>4000</v>
      </c>
      <c r="K196" s="81"/>
      <c r="L196" s="81"/>
      <c r="M196" s="81"/>
      <c r="N196" s="81"/>
    </row>
    <row r="197" spans="2:14">
      <c r="B197" s="5" t="s">
        <v>277</v>
      </c>
      <c r="C197" s="81"/>
      <c r="D197" s="81"/>
      <c r="E197" s="81"/>
      <c r="F197" s="81"/>
      <c r="G197" s="81"/>
      <c r="H197" s="81"/>
      <c r="I197" s="81"/>
      <c r="J197" s="81">
        <v>12855</v>
      </c>
      <c r="K197" s="81"/>
      <c r="L197" s="81"/>
      <c r="M197" s="81"/>
      <c r="N197" s="81"/>
    </row>
    <row r="198" spans="2:14">
      <c r="B198" s="5" t="s">
        <v>279</v>
      </c>
      <c r="C198" s="81"/>
      <c r="D198" s="81"/>
      <c r="E198" s="81"/>
      <c r="F198" s="81"/>
      <c r="G198" s="81"/>
      <c r="H198" s="81"/>
      <c r="I198" s="81"/>
      <c r="J198" s="81">
        <v>2970</v>
      </c>
      <c r="K198" s="81"/>
      <c r="L198" s="81"/>
      <c r="M198" s="81"/>
      <c r="N198" s="81"/>
    </row>
    <row r="199" spans="2:14">
      <c r="B199" s="5" t="s">
        <v>280</v>
      </c>
      <c r="C199" s="81"/>
      <c r="D199" s="81"/>
      <c r="E199" s="81"/>
      <c r="F199" s="81"/>
      <c r="G199" s="81"/>
      <c r="H199" s="81"/>
      <c r="I199" s="81"/>
      <c r="J199" s="81">
        <v>385</v>
      </c>
      <c r="K199" s="81"/>
      <c r="L199" s="81"/>
      <c r="M199" s="81"/>
      <c r="N199" s="81"/>
    </row>
  </sheetData>
  <hyperlinks>
    <hyperlink ref="B1" location="INDEX!A1" display="INDEX" xr:uid="{00000000-0004-0000-0D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
  <dimension ref="A1:I103"/>
  <sheetViews>
    <sheetView topLeftCell="A35" zoomScale="85" zoomScaleNormal="85" workbookViewId="0">
      <selection activeCell="K681" sqref="K681"/>
    </sheetView>
  </sheetViews>
  <sheetFormatPr defaultColWidth="9" defaultRowHeight="14.25"/>
  <cols>
    <col min="1" max="1" width="6.375" customWidth="1"/>
    <col min="2" max="2" width="15" customWidth="1"/>
    <col min="3" max="4" width="33.375" customWidth="1"/>
    <col min="5" max="6" width="25" customWidth="1"/>
    <col min="7" max="7" width="27.5" customWidth="1"/>
    <col min="8" max="8" width="28.375" customWidth="1"/>
  </cols>
  <sheetData>
    <row r="1" spans="1:6" ht="32.1" customHeight="1">
      <c r="A1" s="269" t="s">
        <v>495</v>
      </c>
      <c r="B1" s="269"/>
      <c r="C1" s="269"/>
      <c r="D1" s="269"/>
      <c r="E1" s="269"/>
      <c r="F1" s="269"/>
    </row>
    <row r="2" spans="1:6" ht="24" customHeight="1">
      <c r="A2" s="270" t="s">
        <v>496</v>
      </c>
      <c r="B2" s="270"/>
      <c r="C2" s="270"/>
      <c r="D2" s="270"/>
      <c r="E2" s="270"/>
      <c r="F2" s="270"/>
    </row>
    <row r="3" spans="1:6" ht="24" customHeight="1">
      <c r="A3" s="271" t="s">
        <v>497</v>
      </c>
      <c r="B3" s="271"/>
      <c r="C3" s="271"/>
      <c r="D3" s="271"/>
      <c r="E3" s="271"/>
      <c r="F3" s="271"/>
    </row>
    <row r="4" spans="1:6" ht="15" customHeight="1">
      <c r="A4" s="58"/>
      <c r="B4" s="58"/>
      <c r="C4" s="58"/>
      <c r="D4" s="58"/>
      <c r="E4" s="58"/>
      <c r="F4" s="58"/>
    </row>
    <row r="5" spans="1:6" ht="24" customHeight="1">
      <c r="A5" s="265" t="s">
        <v>498</v>
      </c>
      <c r="B5" s="265"/>
      <c r="C5" s="265"/>
      <c r="D5" s="265"/>
      <c r="E5" s="265"/>
      <c r="F5" s="265"/>
    </row>
    <row r="6" spans="1:6" ht="30" customHeight="1">
      <c r="A6" s="59" t="s">
        <v>499</v>
      </c>
      <c r="B6" s="59" t="s">
        <v>500</v>
      </c>
      <c r="C6" s="59" t="s">
        <v>501</v>
      </c>
      <c r="D6" s="59" t="s">
        <v>502</v>
      </c>
      <c r="E6" s="59" t="s">
        <v>503</v>
      </c>
      <c r="F6" s="59" t="s">
        <v>504</v>
      </c>
    </row>
    <row r="7" spans="1:6" ht="54">
      <c r="A7" s="60">
        <v>1</v>
      </c>
      <c r="B7" s="61" t="s">
        <v>505</v>
      </c>
      <c r="C7" s="61" t="s">
        <v>506</v>
      </c>
      <c r="D7" s="61" t="s">
        <v>507</v>
      </c>
      <c r="E7" s="61" t="s">
        <v>508</v>
      </c>
      <c r="F7" s="61" t="s">
        <v>509</v>
      </c>
    </row>
    <row r="8" spans="1:6" ht="40.5">
      <c r="A8" s="62">
        <v>2</v>
      </c>
      <c r="B8" s="63" t="s">
        <v>510</v>
      </c>
      <c r="C8" s="63" t="s">
        <v>511</v>
      </c>
      <c r="D8" s="63" t="s">
        <v>512</v>
      </c>
      <c r="E8" s="63" t="s">
        <v>513</v>
      </c>
      <c r="F8" s="63" t="s">
        <v>514</v>
      </c>
    </row>
    <row r="9" spans="1:6" ht="67.5">
      <c r="A9" s="62">
        <v>3</v>
      </c>
      <c r="B9" s="63" t="s">
        <v>78</v>
      </c>
      <c r="C9" s="63" t="s">
        <v>515</v>
      </c>
      <c r="D9" s="63" t="s">
        <v>516</v>
      </c>
      <c r="E9" s="63" t="s">
        <v>517</v>
      </c>
      <c r="F9" s="63" t="s">
        <v>518</v>
      </c>
    </row>
    <row r="10" spans="1:6" ht="40.5">
      <c r="A10" s="62">
        <v>4</v>
      </c>
      <c r="B10" s="63" t="s">
        <v>519</v>
      </c>
      <c r="C10" s="63" t="s">
        <v>520</v>
      </c>
      <c r="D10" s="63" t="s">
        <v>521</v>
      </c>
      <c r="E10" s="63" t="s">
        <v>522</v>
      </c>
      <c r="F10" s="63" t="s">
        <v>523</v>
      </c>
    </row>
    <row r="11" spans="1:6" ht="67.5">
      <c r="A11" s="62">
        <v>5</v>
      </c>
      <c r="B11" s="63" t="s">
        <v>524</v>
      </c>
      <c r="C11" s="63" t="s">
        <v>525</v>
      </c>
      <c r="D11" s="63" t="s">
        <v>526</v>
      </c>
      <c r="E11" s="63" t="s">
        <v>527</v>
      </c>
      <c r="F11" s="63" t="s">
        <v>528</v>
      </c>
    </row>
    <row r="12" spans="1:6" ht="40.5">
      <c r="A12" s="62">
        <v>6</v>
      </c>
      <c r="B12" s="63" t="s">
        <v>529</v>
      </c>
      <c r="C12" s="63" t="s">
        <v>530</v>
      </c>
      <c r="D12" s="63" t="s">
        <v>531</v>
      </c>
      <c r="E12" s="63" t="s">
        <v>532</v>
      </c>
      <c r="F12" s="63" t="s">
        <v>533</v>
      </c>
    </row>
    <row r="13" spans="1:6" ht="81">
      <c r="A13" s="62">
        <v>7</v>
      </c>
      <c r="B13" s="63" t="s">
        <v>21</v>
      </c>
      <c r="C13" s="63" t="s">
        <v>534</v>
      </c>
      <c r="D13" s="63" t="s">
        <v>535</v>
      </c>
      <c r="E13" s="63" t="s">
        <v>536</v>
      </c>
      <c r="F13" s="63" t="s">
        <v>537</v>
      </c>
    </row>
    <row r="14" spans="1:6" ht="108">
      <c r="A14" s="62">
        <v>8</v>
      </c>
      <c r="B14" s="63" t="s">
        <v>13</v>
      </c>
      <c r="C14" s="63" t="s">
        <v>538</v>
      </c>
      <c r="D14" s="63" t="s">
        <v>539</v>
      </c>
      <c r="E14" s="63" t="s">
        <v>540</v>
      </c>
      <c r="F14" s="63" t="s">
        <v>541</v>
      </c>
    </row>
    <row r="15" spans="1:6" ht="40.5">
      <c r="A15" s="62">
        <v>9</v>
      </c>
      <c r="B15" s="63" t="s">
        <v>36</v>
      </c>
      <c r="C15" s="63" t="s">
        <v>542</v>
      </c>
      <c r="D15" s="63" t="s">
        <v>543</v>
      </c>
      <c r="E15" s="63" t="s">
        <v>544</v>
      </c>
      <c r="F15" s="63" t="s">
        <v>545</v>
      </c>
    </row>
    <row r="16" spans="1:6" ht="54">
      <c r="A16" s="62">
        <v>10</v>
      </c>
      <c r="B16" s="63" t="s">
        <v>29</v>
      </c>
      <c r="C16" s="63" t="s">
        <v>546</v>
      </c>
      <c r="D16" s="63" t="s">
        <v>547</v>
      </c>
      <c r="E16" s="63" t="s">
        <v>548</v>
      </c>
      <c r="F16" s="63" t="s">
        <v>549</v>
      </c>
    </row>
    <row r="17" spans="1:6" ht="40.5">
      <c r="A17" s="62">
        <v>11</v>
      </c>
      <c r="B17" s="63" t="s">
        <v>550</v>
      </c>
      <c r="C17" s="63" t="s">
        <v>551</v>
      </c>
      <c r="D17" s="63" t="s">
        <v>552</v>
      </c>
      <c r="E17" s="63" t="s">
        <v>553</v>
      </c>
      <c r="F17" s="63" t="s">
        <v>554</v>
      </c>
    </row>
    <row r="18" spans="1:6" ht="54">
      <c r="A18" s="62">
        <v>12</v>
      </c>
      <c r="B18" s="63" t="s">
        <v>86</v>
      </c>
      <c r="C18" s="63" t="s">
        <v>555</v>
      </c>
      <c r="D18" s="63" t="s">
        <v>556</v>
      </c>
      <c r="E18" s="63" t="s">
        <v>557</v>
      </c>
      <c r="F18" s="63" t="s">
        <v>558</v>
      </c>
    </row>
    <row r="19" spans="1:6" ht="40.5">
      <c r="A19" s="62">
        <v>13</v>
      </c>
      <c r="B19" s="63" t="s">
        <v>559</v>
      </c>
      <c r="C19" s="63" t="s">
        <v>511</v>
      </c>
      <c r="D19" s="63" t="s">
        <v>560</v>
      </c>
      <c r="E19" s="63" t="s">
        <v>561</v>
      </c>
      <c r="F19" s="63" t="s">
        <v>562</v>
      </c>
    </row>
    <row r="20" spans="1:6" ht="54">
      <c r="A20" s="62">
        <v>14</v>
      </c>
      <c r="B20" s="63" t="s">
        <v>563</v>
      </c>
      <c r="C20" s="63" t="s">
        <v>564</v>
      </c>
      <c r="D20" s="63" t="s">
        <v>565</v>
      </c>
      <c r="E20" s="63" t="s">
        <v>566</v>
      </c>
      <c r="F20" s="63" t="s">
        <v>567</v>
      </c>
    </row>
    <row r="21" spans="1:6" ht="40.5">
      <c r="A21" s="62">
        <v>15</v>
      </c>
      <c r="B21" s="63" t="s">
        <v>568</v>
      </c>
      <c r="C21" s="63" t="s">
        <v>511</v>
      </c>
      <c r="D21" s="63" t="s">
        <v>569</v>
      </c>
      <c r="E21" s="63" t="s">
        <v>570</v>
      </c>
      <c r="F21" s="63" t="s">
        <v>571</v>
      </c>
    </row>
    <row r="22" spans="1:6" ht="54">
      <c r="A22" s="62">
        <v>16</v>
      </c>
      <c r="B22" s="63" t="s">
        <v>84</v>
      </c>
      <c r="C22" s="63" t="s">
        <v>572</v>
      </c>
      <c r="D22" s="63" t="s">
        <v>573</v>
      </c>
      <c r="E22" s="63" t="s">
        <v>574</v>
      </c>
      <c r="F22" s="63" t="s">
        <v>575</v>
      </c>
    </row>
    <row r="23" spans="1:6" ht="40.5">
      <c r="A23" s="62">
        <v>17</v>
      </c>
      <c r="B23" s="63" t="s">
        <v>576</v>
      </c>
      <c r="C23" s="63" t="s">
        <v>511</v>
      </c>
      <c r="D23" s="63" t="s">
        <v>577</v>
      </c>
      <c r="E23" s="63" t="s">
        <v>578</v>
      </c>
      <c r="F23" s="63" t="s">
        <v>579</v>
      </c>
    </row>
    <row r="24" spans="1:6" ht="54">
      <c r="A24" s="62">
        <v>18</v>
      </c>
      <c r="B24" s="63" t="s">
        <v>293</v>
      </c>
      <c r="C24" s="63" t="s">
        <v>580</v>
      </c>
      <c r="D24" s="63" t="s">
        <v>581</v>
      </c>
      <c r="E24" s="63" t="s">
        <v>582</v>
      </c>
      <c r="F24" s="63" t="s">
        <v>583</v>
      </c>
    </row>
    <row r="25" spans="1:6" ht="54">
      <c r="A25" s="62">
        <v>19</v>
      </c>
      <c r="B25" s="63" t="s">
        <v>292</v>
      </c>
      <c r="C25" s="63" t="s">
        <v>584</v>
      </c>
      <c r="D25" s="63" t="s">
        <v>585</v>
      </c>
      <c r="E25" s="63" t="s">
        <v>586</v>
      </c>
      <c r="F25" s="63" t="s">
        <v>587</v>
      </c>
    </row>
    <row r="26" spans="1:6" ht="40.5">
      <c r="A26" s="64">
        <v>20</v>
      </c>
      <c r="B26" s="65" t="s">
        <v>588</v>
      </c>
      <c r="C26" s="65" t="s">
        <v>589</v>
      </c>
      <c r="D26" s="65" t="s">
        <v>590</v>
      </c>
      <c r="E26" s="65" t="s">
        <v>591</v>
      </c>
      <c r="F26" s="65" t="s">
        <v>592</v>
      </c>
    </row>
    <row r="27" spans="1:6" ht="15" customHeight="1">
      <c r="A27" s="58"/>
      <c r="B27" s="58"/>
      <c r="C27" s="58"/>
      <c r="D27" s="58"/>
      <c r="E27" s="58"/>
      <c r="F27" s="58"/>
    </row>
    <row r="28" spans="1:6" ht="15" customHeight="1">
      <c r="A28" s="58"/>
      <c r="B28" s="58"/>
      <c r="C28" s="58"/>
      <c r="D28" s="58"/>
      <c r="E28" s="58"/>
      <c r="F28" s="58"/>
    </row>
    <row r="29" spans="1:6" ht="24" customHeight="1">
      <c r="A29" s="265" t="s">
        <v>593</v>
      </c>
      <c r="B29" s="265"/>
      <c r="C29" s="265"/>
      <c r="D29" s="265"/>
      <c r="E29" s="265"/>
      <c r="F29" s="265"/>
    </row>
    <row r="30" spans="1:6" ht="30" customHeight="1">
      <c r="A30" s="59" t="s">
        <v>594</v>
      </c>
      <c r="B30" s="59" t="s">
        <v>595</v>
      </c>
      <c r="C30" s="59" t="s">
        <v>596</v>
      </c>
      <c r="D30" s="59" t="s">
        <v>597</v>
      </c>
      <c r="E30" s="59" t="s">
        <v>598</v>
      </c>
      <c r="F30" s="59" t="s">
        <v>599</v>
      </c>
    </row>
    <row r="31" spans="1:6" ht="27">
      <c r="A31" s="61" t="s">
        <v>29</v>
      </c>
      <c r="B31" s="61" t="s">
        <v>13</v>
      </c>
      <c r="C31" s="61" t="s">
        <v>600</v>
      </c>
      <c r="D31" s="61" t="s">
        <v>601</v>
      </c>
      <c r="E31" s="61" t="s">
        <v>602</v>
      </c>
      <c r="F31" s="61" t="s">
        <v>603</v>
      </c>
    </row>
    <row r="32" spans="1:6" ht="27">
      <c r="A32" s="63" t="s">
        <v>21</v>
      </c>
      <c r="B32" s="63" t="s">
        <v>13</v>
      </c>
      <c r="C32" s="63" t="s">
        <v>604</v>
      </c>
      <c r="D32" s="63" t="s">
        <v>605</v>
      </c>
      <c r="E32" s="63" t="s">
        <v>606</v>
      </c>
      <c r="F32" s="63" t="s">
        <v>607</v>
      </c>
    </row>
    <row r="33" spans="1:6" ht="40.5">
      <c r="A33" s="63" t="s">
        <v>608</v>
      </c>
      <c r="B33" s="63" t="s">
        <v>13</v>
      </c>
      <c r="C33" s="63" t="s">
        <v>609</v>
      </c>
      <c r="D33" s="63" t="s">
        <v>610</v>
      </c>
      <c r="E33" s="63" t="s">
        <v>602</v>
      </c>
      <c r="F33" s="63" t="s">
        <v>611</v>
      </c>
    </row>
    <row r="34" spans="1:6" ht="40.5">
      <c r="A34" s="63" t="s">
        <v>13</v>
      </c>
      <c r="B34" s="63" t="s">
        <v>529</v>
      </c>
      <c r="C34" s="63" t="s">
        <v>612</v>
      </c>
      <c r="D34" s="63" t="s">
        <v>613</v>
      </c>
      <c r="E34" s="63" t="s">
        <v>602</v>
      </c>
      <c r="F34" s="63" t="s">
        <v>614</v>
      </c>
    </row>
    <row r="35" spans="1:6" ht="27">
      <c r="A35" s="63" t="s">
        <v>13</v>
      </c>
      <c r="B35" s="63" t="s">
        <v>615</v>
      </c>
      <c r="C35" s="63" t="s">
        <v>616</v>
      </c>
      <c r="D35" s="63" t="s">
        <v>617</v>
      </c>
      <c r="E35" s="63" t="s">
        <v>602</v>
      </c>
      <c r="F35" s="63" t="s">
        <v>618</v>
      </c>
    </row>
    <row r="36" spans="1:6" ht="40.5">
      <c r="A36" s="63" t="s">
        <v>615</v>
      </c>
      <c r="B36" s="63" t="s">
        <v>21</v>
      </c>
      <c r="C36" s="63" t="s">
        <v>619</v>
      </c>
      <c r="D36" s="63" t="s">
        <v>620</v>
      </c>
      <c r="E36" s="63" t="s">
        <v>602</v>
      </c>
      <c r="F36" s="63" t="s">
        <v>621</v>
      </c>
    </row>
    <row r="37" spans="1:6" ht="67.5">
      <c r="A37" s="63" t="s">
        <v>293</v>
      </c>
      <c r="B37" s="63" t="s">
        <v>21</v>
      </c>
      <c r="C37" s="63" t="s">
        <v>622</v>
      </c>
      <c r="D37" s="63" t="s">
        <v>623</v>
      </c>
      <c r="E37" s="63" t="s">
        <v>624</v>
      </c>
      <c r="F37" s="63" t="s">
        <v>625</v>
      </c>
    </row>
    <row r="38" spans="1:6" ht="40.5">
      <c r="A38" s="63" t="s">
        <v>21</v>
      </c>
      <c r="B38" s="63" t="s">
        <v>292</v>
      </c>
      <c r="C38" s="63" t="s">
        <v>626</v>
      </c>
      <c r="D38" s="63" t="s">
        <v>627</v>
      </c>
      <c r="E38" s="63" t="s">
        <v>628</v>
      </c>
      <c r="F38" s="63" t="s">
        <v>629</v>
      </c>
    </row>
    <row r="39" spans="1:6" ht="27">
      <c r="A39" s="63" t="s">
        <v>36</v>
      </c>
      <c r="B39" s="63" t="s">
        <v>524</v>
      </c>
      <c r="C39" s="63" t="s">
        <v>630</v>
      </c>
      <c r="D39" s="63" t="s">
        <v>631</v>
      </c>
      <c r="E39" s="63" t="s">
        <v>602</v>
      </c>
      <c r="F39" s="63" t="s">
        <v>632</v>
      </c>
    </row>
    <row r="40" spans="1:6" ht="40.5">
      <c r="A40" s="63" t="s">
        <v>529</v>
      </c>
      <c r="B40" s="63" t="s">
        <v>524</v>
      </c>
      <c r="C40" s="63" t="s">
        <v>633</v>
      </c>
      <c r="D40" s="63" t="s">
        <v>634</v>
      </c>
      <c r="E40" s="63" t="s">
        <v>635</v>
      </c>
      <c r="F40" s="63" t="s">
        <v>636</v>
      </c>
    </row>
    <row r="41" spans="1:6" ht="27">
      <c r="A41" s="63" t="s">
        <v>524</v>
      </c>
      <c r="B41" s="63" t="s">
        <v>78</v>
      </c>
      <c r="C41" s="63" t="s">
        <v>637</v>
      </c>
      <c r="D41" s="63" t="s">
        <v>638</v>
      </c>
      <c r="E41" s="63" t="s">
        <v>602</v>
      </c>
      <c r="F41" s="63" t="s">
        <v>639</v>
      </c>
    </row>
    <row r="42" spans="1:6" ht="40.5">
      <c r="A42" s="63" t="s">
        <v>78</v>
      </c>
      <c r="B42" s="63" t="s">
        <v>524</v>
      </c>
      <c r="C42" s="63" t="s">
        <v>640</v>
      </c>
      <c r="D42" s="63" t="s">
        <v>641</v>
      </c>
      <c r="E42" s="63" t="s">
        <v>642</v>
      </c>
      <c r="F42" s="63" t="s">
        <v>643</v>
      </c>
    </row>
    <row r="43" spans="1:6" ht="27">
      <c r="A43" s="65" t="s">
        <v>524</v>
      </c>
      <c r="B43" s="65" t="s">
        <v>505</v>
      </c>
      <c r="C43" s="65" t="s">
        <v>644</v>
      </c>
      <c r="D43" s="65" t="s">
        <v>645</v>
      </c>
      <c r="E43" s="65" t="s">
        <v>646</v>
      </c>
      <c r="F43" s="65" t="s">
        <v>647</v>
      </c>
    </row>
    <row r="44" spans="1:6" ht="15" customHeight="1">
      <c r="A44" s="58"/>
      <c r="B44" s="58"/>
      <c r="C44" s="58"/>
      <c r="D44" s="58"/>
      <c r="E44" s="58"/>
      <c r="F44" s="58"/>
    </row>
    <row r="45" spans="1:6" ht="15" customHeight="1">
      <c r="A45" s="58"/>
      <c r="B45" s="58"/>
      <c r="C45" s="58"/>
      <c r="D45" s="58"/>
      <c r="E45" s="58"/>
      <c r="F45" s="58"/>
    </row>
    <row r="46" spans="1:6" ht="24" customHeight="1">
      <c r="A46" s="265" t="s">
        <v>648</v>
      </c>
      <c r="B46" s="265"/>
      <c r="C46" s="265"/>
      <c r="D46" s="265"/>
      <c r="E46" s="265"/>
      <c r="F46" s="265"/>
    </row>
    <row r="47" spans="1:6" ht="30" customHeight="1">
      <c r="A47" s="59" t="s">
        <v>649</v>
      </c>
      <c r="B47" s="59" t="s">
        <v>650</v>
      </c>
      <c r="C47" s="59" t="s">
        <v>651</v>
      </c>
      <c r="D47" s="59" t="s">
        <v>652</v>
      </c>
      <c r="E47" s="59" t="s">
        <v>653</v>
      </c>
      <c r="F47" s="59" t="s">
        <v>654</v>
      </c>
    </row>
    <row r="48" spans="1:6" ht="27">
      <c r="A48" s="60" t="s">
        <v>655</v>
      </c>
      <c r="B48" s="61" t="s">
        <v>86</v>
      </c>
      <c r="C48" s="61" t="s">
        <v>656</v>
      </c>
      <c r="D48" s="61" t="s">
        <v>657</v>
      </c>
      <c r="E48" s="61" t="s">
        <v>658</v>
      </c>
      <c r="F48" s="61" t="s">
        <v>659</v>
      </c>
    </row>
    <row r="49" spans="1:6" ht="27">
      <c r="A49" s="62" t="s">
        <v>660</v>
      </c>
      <c r="B49" s="63" t="s">
        <v>661</v>
      </c>
      <c r="C49" s="63" t="s">
        <v>662</v>
      </c>
      <c r="D49" s="63" t="s">
        <v>663</v>
      </c>
      <c r="E49" s="63" t="s">
        <v>664</v>
      </c>
      <c r="F49" s="63" t="s">
        <v>665</v>
      </c>
    </row>
    <row r="50" spans="1:6" ht="27">
      <c r="A50" s="62" t="s">
        <v>666</v>
      </c>
      <c r="B50" s="63" t="s">
        <v>667</v>
      </c>
      <c r="C50" s="63" t="s">
        <v>668</v>
      </c>
      <c r="D50" s="63" t="s">
        <v>669</v>
      </c>
      <c r="E50" s="63" t="s">
        <v>670</v>
      </c>
      <c r="F50" s="63" t="s">
        <v>671</v>
      </c>
    </row>
    <row r="51" spans="1:6" ht="40.5">
      <c r="A51" s="62" t="s">
        <v>672</v>
      </c>
      <c r="B51" s="63" t="s">
        <v>673</v>
      </c>
      <c r="C51" s="63" t="s">
        <v>674</v>
      </c>
      <c r="D51" s="63" t="s">
        <v>675</v>
      </c>
      <c r="E51" s="63" t="s">
        <v>676</v>
      </c>
      <c r="F51" s="63" t="s">
        <v>677</v>
      </c>
    </row>
    <row r="52" spans="1:6" ht="40.5">
      <c r="A52" s="62" t="s">
        <v>678</v>
      </c>
      <c r="B52" s="63" t="s">
        <v>679</v>
      </c>
      <c r="C52" s="63" t="s">
        <v>680</v>
      </c>
      <c r="D52" s="63" t="s">
        <v>681</v>
      </c>
      <c r="E52" s="63" t="s">
        <v>682</v>
      </c>
      <c r="F52" s="63" t="s">
        <v>683</v>
      </c>
    </row>
    <row r="53" spans="1:6" ht="27">
      <c r="A53" s="62" t="s">
        <v>684</v>
      </c>
      <c r="B53" s="63" t="s">
        <v>685</v>
      </c>
      <c r="C53" s="63" t="s">
        <v>686</v>
      </c>
      <c r="D53" s="63" t="s">
        <v>687</v>
      </c>
      <c r="E53" s="63" t="s">
        <v>688</v>
      </c>
      <c r="F53" s="63" t="s">
        <v>689</v>
      </c>
    </row>
    <row r="54" spans="1:6" ht="27">
      <c r="A54" s="62" t="s">
        <v>690</v>
      </c>
      <c r="B54" s="63" t="s">
        <v>691</v>
      </c>
      <c r="C54" s="63" t="s">
        <v>692</v>
      </c>
      <c r="D54" s="63" t="s">
        <v>693</v>
      </c>
      <c r="E54" s="63" t="s">
        <v>694</v>
      </c>
      <c r="F54" s="63" t="s">
        <v>695</v>
      </c>
    </row>
    <row r="55" spans="1:6" ht="40.5">
      <c r="A55" s="62" t="s">
        <v>696</v>
      </c>
      <c r="B55" s="63" t="s">
        <v>697</v>
      </c>
      <c r="C55" s="63" t="s">
        <v>698</v>
      </c>
      <c r="D55" s="63" t="s">
        <v>699</v>
      </c>
      <c r="E55" s="63" t="s">
        <v>700</v>
      </c>
      <c r="F55" s="63" t="s">
        <v>701</v>
      </c>
    </row>
    <row r="56" spans="1:6" ht="40.5">
      <c r="A56" s="62" t="s">
        <v>702</v>
      </c>
      <c r="B56" s="63" t="s">
        <v>703</v>
      </c>
      <c r="C56" s="63" t="s">
        <v>704</v>
      </c>
      <c r="D56" s="63" t="s">
        <v>705</v>
      </c>
      <c r="E56" s="63" t="s">
        <v>706</v>
      </c>
      <c r="F56" s="63" t="s">
        <v>707</v>
      </c>
    </row>
    <row r="57" spans="1:6" ht="40.5">
      <c r="A57" s="62" t="s">
        <v>708</v>
      </c>
      <c r="B57" s="63" t="s">
        <v>709</v>
      </c>
      <c r="C57" s="63" t="s">
        <v>710</v>
      </c>
      <c r="D57" s="63" t="s">
        <v>711</v>
      </c>
      <c r="E57" s="63" t="s">
        <v>712</v>
      </c>
      <c r="F57" s="63" t="s">
        <v>713</v>
      </c>
    </row>
    <row r="58" spans="1:6" ht="40.5">
      <c r="A58" s="62" t="s">
        <v>714</v>
      </c>
      <c r="B58" s="63" t="s">
        <v>715</v>
      </c>
      <c r="C58" s="63" t="s">
        <v>716</v>
      </c>
      <c r="D58" s="63" t="s">
        <v>717</v>
      </c>
      <c r="E58" s="63" t="s">
        <v>718</v>
      </c>
      <c r="F58" s="63" t="s">
        <v>719</v>
      </c>
    </row>
    <row r="59" spans="1:6" ht="40.5">
      <c r="A59" s="62" t="s">
        <v>720</v>
      </c>
      <c r="B59" s="63" t="s">
        <v>721</v>
      </c>
      <c r="C59" s="63" t="s">
        <v>722</v>
      </c>
      <c r="D59" s="63" t="s">
        <v>723</v>
      </c>
      <c r="E59" s="63" t="s">
        <v>724</v>
      </c>
      <c r="F59" s="63" t="s">
        <v>725</v>
      </c>
    </row>
    <row r="60" spans="1:6" ht="40.5">
      <c r="A60" s="62" t="s">
        <v>726</v>
      </c>
      <c r="B60" s="63" t="s">
        <v>727</v>
      </c>
      <c r="C60" s="63" t="s">
        <v>728</v>
      </c>
      <c r="D60" s="63" t="s">
        <v>729</v>
      </c>
      <c r="E60" s="63" t="s">
        <v>730</v>
      </c>
      <c r="F60" s="63" t="s">
        <v>731</v>
      </c>
    </row>
    <row r="61" spans="1:6" ht="40.5">
      <c r="A61" s="62" t="s">
        <v>732</v>
      </c>
      <c r="B61" s="63" t="s">
        <v>414</v>
      </c>
      <c r="C61" s="63" t="s">
        <v>733</v>
      </c>
      <c r="D61" s="63" t="s">
        <v>734</v>
      </c>
      <c r="E61" s="63" t="s">
        <v>735</v>
      </c>
      <c r="F61" s="63" t="s">
        <v>736</v>
      </c>
    </row>
    <row r="62" spans="1:6" ht="27">
      <c r="A62" s="62" t="s">
        <v>737</v>
      </c>
      <c r="B62" s="63" t="s">
        <v>738</v>
      </c>
      <c r="C62" s="63" t="s">
        <v>739</v>
      </c>
      <c r="D62" s="63" t="s">
        <v>740</v>
      </c>
      <c r="E62" s="63" t="s">
        <v>741</v>
      </c>
      <c r="F62" s="63" t="s">
        <v>742</v>
      </c>
    </row>
    <row r="63" spans="1:6" ht="27">
      <c r="A63" s="62" t="s">
        <v>743</v>
      </c>
      <c r="B63" s="63" t="s">
        <v>744</v>
      </c>
      <c r="C63" s="63" t="s">
        <v>745</v>
      </c>
      <c r="D63" s="63" t="s">
        <v>746</v>
      </c>
      <c r="E63" s="63" t="s">
        <v>747</v>
      </c>
      <c r="F63" s="63" t="s">
        <v>748</v>
      </c>
    </row>
    <row r="64" spans="1:6" ht="40.5">
      <c r="A64" s="62" t="s">
        <v>749</v>
      </c>
      <c r="B64" s="63" t="s">
        <v>750</v>
      </c>
      <c r="C64" s="63" t="s">
        <v>751</v>
      </c>
      <c r="D64" s="63" t="s">
        <v>752</v>
      </c>
      <c r="E64" s="63" t="s">
        <v>753</v>
      </c>
      <c r="F64" s="63" t="s">
        <v>754</v>
      </c>
    </row>
    <row r="65" spans="1:6" ht="27">
      <c r="A65" s="62" t="s">
        <v>755</v>
      </c>
      <c r="B65" s="63" t="s">
        <v>756</v>
      </c>
      <c r="C65" s="63" t="s">
        <v>757</v>
      </c>
      <c r="D65" s="63" t="s">
        <v>758</v>
      </c>
      <c r="E65" s="63" t="s">
        <v>759</v>
      </c>
      <c r="F65" s="63" t="s">
        <v>760</v>
      </c>
    </row>
    <row r="66" spans="1:6" ht="40.5">
      <c r="A66" s="62" t="s">
        <v>761</v>
      </c>
      <c r="B66" s="63" t="s">
        <v>762</v>
      </c>
      <c r="C66" s="63" t="s">
        <v>763</v>
      </c>
      <c r="D66" s="63" t="s">
        <v>764</v>
      </c>
      <c r="E66" s="63" t="s">
        <v>765</v>
      </c>
      <c r="F66" s="63" t="s">
        <v>766</v>
      </c>
    </row>
    <row r="67" spans="1:6" ht="27">
      <c r="A67" s="62" t="s">
        <v>767</v>
      </c>
      <c r="B67" s="63" t="s">
        <v>768</v>
      </c>
      <c r="C67" s="63" t="s">
        <v>769</v>
      </c>
      <c r="D67" s="63" t="s">
        <v>770</v>
      </c>
      <c r="E67" s="63" t="s">
        <v>771</v>
      </c>
      <c r="F67" s="63" t="s">
        <v>772</v>
      </c>
    </row>
    <row r="68" spans="1:6" ht="40.5">
      <c r="A68" s="62" t="s">
        <v>773</v>
      </c>
      <c r="B68" s="63" t="s">
        <v>774</v>
      </c>
      <c r="C68" s="63" t="s">
        <v>775</v>
      </c>
      <c r="D68" s="63" t="s">
        <v>776</v>
      </c>
      <c r="E68" s="63" t="s">
        <v>777</v>
      </c>
      <c r="F68" s="63" t="s">
        <v>778</v>
      </c>
    </row>
    <row r="69" spans="1:6" ht="40.5">
      <c r="A69" s="64" t="s">
        <v>779</v>
      </c>
      <c r="B69" s="65" t="s">
        <v>780</v>
      </c>
      <c r="C69" s="65" t="s">
        <v>781</v>
      </c>
      <c r="D69" s="65" t="s">
        <v>782</v>
      </c>
      <c r="E69" s="65" t="s">
        <v>783</v>
      </c>
      <c r="F69" s="65" t="s">
        <v>784</v>
      </c>
    </row>
    <row r="70" spans="1:6" ht="15" customHeight="1">
      <c r="A70" s="58"/>
      <c r="B70" s="58"/>
      <c r="C70" s="58"/>
      <c r="D70" s="58"/>
      <c r="E70" s="58"/>
      <c r="F70" s="58"/>
    </row>
    <row r="71" spans="1:6" ht="15" customHeight="1">
      <c r="A71" s="58"/>
      <c r="B71" s="58"/>
      <c r="C71" s="58"/>
      <c r="D71" s="58"/>
      <c r="E71" s="58"/>
      <c r="F71" s="58"/>
    </row>
    <row r="72" spans="1:6" ht="24" customHeight="1">
      <c r="A72" s="265" t="s">
        <v>785</v>
      </c>
      <c r="B72" s="265"/>
      <c r="C72" s="265"/>
      <c r="D72" s="265"/>
      <c r="E72" s="265"/>
      <c r="F72" s="265"/>
    </row>
    <row r="73" spans="1:6" ht="30" customHeight="1">
      <c r="A73" s="59" t="s">
        <v>649</v>
      </c>
      <c r="B73" s="59" t="s">
        <v>786</v>
      </c>
      <c r="C73" s="59" t="s">
        <v>787</v>
      </c>
      <c r="D73" s="59" t="s">
        <v>788</v>
      </c>
      <c r="E73" s="59" t="s">
        <v>789</v>
      </c>
      <c r="F73" s="59" t="s">
        <v>790</v>
      </c>
    </row>
    <row r="74" spans="1:6" ht="27">
      <c r="A74" s="66" t="s">
        <v>791</v>
      </c>
      <c r="B74" s="67" t="s">
        <v>792</v>
      </c>
      <c r="C74" s="68" t="s">
        <v>793</v>
      </c>
      <c r="D74" s="69" t="s">
        <v>794</v>
      </c>
      <c r="E74" s="68" t="s">
        <v>795</v>
      </c>
      <c r="F74" s="70" t="s">
        <v>796</v>
      </c>
    </row>
    <row r="75" spans="1:6" ht="40.5">
      <c r="A75" s="66" t="s">
        <v>797</v>
      </c>
      <c r="B75" s="67" t="s">
        <v>798</v>
      </c>
      <c r="C75" s="68" t="s">
        <v>799</v>
      </c>
      <c r="D75" s="69" t="s">
        <v>800</v>
      </c>
      <c r="E75" s="68" t="s">
        <v>801</v>
      </c>
      <c r="F75" s="70" t="s">
        <v>802</v>
      </c>
    </row>
    <row r="76" spans="1:6" ht="40.5">
      <c r="A76" s="66" t="s">
        <v>803</v>
      </c>
      <c r="B76" s="67" t="s">
        <v>691</v>
      </c>
      <c r="C76" s="68" t="s">
        <v>804</v>
      </c>
      <c r="D76" s="69" t="s">
        <v>805</v>
      </c>
      <c r="E76" s="68" t="s">
        <v>806</v>
      </c>
      <c r="F76" s="70" t="s">
        <v>807</v>
      </c>
    </row>
    <row r="77" spans="1:6" ht="54">
      <c r="A77" s="66" t="s">
        <v>808</v>
      </c>
      <c r="B77" s="67" t="s">
        <v>809</v>
      </c>
      <c r="C77" s="68" t="s">
        <v>810</v>
      </c>
      <c r="D77" s="69" t="s">
        <v>811</v>
      </c>
      <c r="E77" s="68" t="s">
        <v>812</v>
      </c>
      <c r="F77" s="70" t="s">
        <v>813</v>
      </c>
    </row>
    <row r="78" spans="1:6" ht="40.5">
      <c r="A78" s="66" t="s">
        <v>814</v>
      </c>
      <c r="B78" s="67" t="s">
        <v>815</v>
      </c>
      <c r="C78" s="68" t="s">
        <v>816</v>
      </c>
      <c r="D78" s="69" t="s">
        <v>817</v>
      </c>
      <c r="E78" s="68" t="s">
        <v>818</v>
      </c>
      <c r="F78" s="70" t="s">
        <v>819</v>
      </c>
    </row>
    <row r="79" spans="1:6" ht="27">
      <c r="A79" s="66" t="s">
        <v>820</v>
      </c>
      <c r="B79" s="67" t="s">
        <v>821</v>
      </c>
      <c r="C79" s="68" t="s">
        <v>822</v>
      </c>
      <c r="D79" s="69" t="s">
        <v>823</v>
      </c>
      <c r="E79" s="68" t="s">
        <v>824</v>
      </c>
      <c r="F79" s="70" t="s">
        <v>825</v>
      </c>
    </row>
    <row r="80" spans="1:6" ht="40.5">
      <c r="A80" s="71" t="s">
        <v>826</v>
      </c>
      <c r="B80" s="72" t="s">
        <v>750</v>
      </c>
      <c r="C80" s="73" t="s">
        <v>827</v>
      </c>
      <c r="D80" s="74" t="s">
        <v>828</v>
      </c>
      <c r="E80" s="73" t="s">
        <v>829</v>
      </c>
      <c r="F80" s="75" t="s">
        <v>830</v>
      </c>
    </row>
    <row r="81" spans="1:9" ht="108">
      <c r="A81" s="76" t="s">
        <v>831</v>
      </c>
      <c r="B81" s="77" t="s">
        <v>370</v>
      </c>
      <c r="C81" s="77" t="s">
        <v>832</v>
      </c>
      <c r="D81" s="76" t="s">
        <v>833</v>
      </c>
      <c r="E81" s="77" t="s">
        <v>834</v>
      </c>
      <c r="F81" s="77" t="s">
        <v>835</v>
      </c>
    </row>
    <row r="82" spans="1:9" ht="27">
      <c r="A82" s="62" t="s">
        <v>836</v>
      </c>
      <c r="B82" s="63" t="s">
        <v>837</v>
      </c>
      <c r="C82" s="63" t="s">
        <v>838</v>
      </c>
      <c r="D82" s="62" t="s">
        <v>839</v>
      </c>
      <c r="E82" s="63" t="s">
        <v>840</v>
      </c>
      <c r="F82" s="63" t="s">
        <v>841</v>
      </c>
    </row>
    <row r="83" spans="1:9" ht="27">
      <c r="A83" s="62" t="s">
        <v>842</v>
      </c>
      <c r="B83" s="63" t="s">
        <v>843</v>
      </c>
      <c r="C83" s="63" t="s">
        <v>844</v>
      </c>
      <c r="D83" s="62" t="s">
        <v>845</v>
      </c>
      <c r="E83" s="63" t="s">
        <v>846</v>
      </c>
      <c r="F83" s="63" t="s">
        <v>841</v>
      </c>
    </row>
    <row r="84" spans="1:9" ht="27">
      <c r="A84" s="62" t="s">
        <v>847</v>
      </c>
      <c r="B84" s="63" t="s">
        <v>848</v>
      </c>
      <c r="C84" s="63" t="s">
        <v>849</v>
      </c>
      <c r="D84" s="62" t="s">
        <v>850</v>
      </c>
      <c r="E84" s="63" t="s">
        <v>851</v>
      </c>
      <c r="F84" s="63" t="s">
        <v>841</v>
      </c>
    </row>
    <row r="85" spans="1:9" ht="27">
      <c r="A85" s="64" t="s">
        <v>852</v>
      </c>
      <c r="B85" s="65" t="s">
        <v>853</v>
      </c>
      <c r="C85" s="65" t="s">
        <v>854</v>
      </c>
      <c r="D85" s="64" t="s">
        <v>855</v>
      </c>
      <c r="E85" s="65" t="s">
        <v>856</v>
      </c>
      <c r="F85" s="65" t="s">
        <v>857</v>
      </c>
    </row>
    <row r="86" spans="1:9" ht="15" customHeight="1">
      <c r="A86" s="58"/>
      <c r="B86" s="58"/>
      <c r="C86" s="58"/>
      <c r="D86" s="58"/>
      <c r="E86" s="58"/>
      <c r="F86" s="58"/>
    </row>
    <row r="87" spans="1:9" ht="15" customHeight="1">
      <c r="A87" s="58"/>
      <c r="B87" s="58"/>
      <c r="C87" s="58"/>
      <c r="D87" s="58"/>
      <c r="E87" s="58"/>
      <c r="F87" s="58"/>
    </row>
    <row r="88" spans="1:9" ht="32.1" customHeight="1">
      <c r="A88" s="266" t="s">
        <v>858</v>
      </c>
      <c r="B88" s="266"/>
      <c r="C88" s="266"/>
      <c r="D88" s="266"/>
      <c r="E88" s="266"/>
      <c r="F88" s="266"/>
    </row>
    <row r="90" spans="1:9" ht="24" customHeight="1">
      <c r="A90" s="267" t="s">
        <v>859</v>
      </c>
      <c r="B90" s="267"/>
      <c r="C90" s="267"/>
      <c r="D90" s="267"/>
      <c r="E90" s="267"/>
      <c r="F90" s="267"/>
      <c r="G90" t="s">
        <v>860</v>
      </c>
      <c r="H90" t="s">
        <v>861</v>
      </c>
      <c r="I90" t="s">
        <v>862</v>
      </c>
    </row>
    <row r="91" spans="1:9" ht="30" customHeight="1">
      <c r="A91" s="56" t="s">
        <v>863</v>
      </c>
      <c r="B91" s="56" t="s">
        <v>864</v>
      </c>
      <c r="C91" s="56" t="s">
        <v>865</v>
      </c>
      <c r="D91" s="56" t="s">
        <v>866</v>
      </c>
      <c r="E91" s="56" t="s">
        <v>867</v>
      </c>
      <c r="F91" s="56" t="s">
        <v>61</v>
      </c>
      <c r="G91" t="s">
        <v>294</v>
      </c>
      <c r="H91" t="s">
        <v>168</v>
      </c>
      <c r="I91" t="s">
        <v>868</v>
      </c>
    </row>
    <row r="92" spans="1:9" ht="57">
      <c r="A92" s="78" t="s">
        <v>869</v>
      </c>
      <c r="B92" s="78" t="s">
        <v>870</v>
      </c>
      <c r="C92" s="78" t="s">
        <v>871</v>
      </c>
      <c r="D92" s="78" t="s">
        <v>872</v>
      </c>
      <c r="E92" s="78" t="s">
        <v>873</v>
      </c>
      <c r="F92" s="78" t="s">
        <v>874</v>
      </c>
      <c r="G92" t="s">
        <v>295</v>
      </c>
      <c r="H92" t="s">
        <v>360</v>
      </c>
      <c r="I92" t="s">
        <v>875</v>
      </c>
    </row>
    <row r="93" spans="1:9" ht="57">
      <c r="A93" s="79" t="s">
        <v>869</v>
      </c>
      <c r="B93" s="79" t="s">
        <v>876</v>
      </c>
      <c r="C93" s="79" t="s">
        <v>877</v>
      </c>
      <c r="D93" s="79" t="s">
        <v>872</v>
      </c>
      <c r="E93" s="79" t="s">
        <v>878</v>
      </c>
      <c r="F93" s="79" t="s">
        <v>874</v>
      </c>
      <c r="G93" t="s">
        <v>297</v>
      </c>
      <c r="H93" t="s">
        <v>361</v>
      </c>
      <c r="I93" t="s">
        <v>879</v>
      </c>
    </row>
    <row r="94" spans="1:9" ht="71.25">
      <c r="A94" s="79" t="s">
        <v>880</v>
      </c>
      <c r="B94" s="79" t="s">
        <v>881</v>
      </c>
      <c r="C94" s="79" t="s">
        <v>882</v>
      </c>
      <c r="D94" s="79" t="s">
        <v>883</v>
      </c>
      <c r="E94" s="79" t="s">
        <v>375</v>
      </c>
      <c r="F94" s="79" t="s">
        <v>874</v>
      </c>
      <c r="G94" t="s">
        <v>296</v>
      </c>
      <c r="H94" t="s">
        <v>356</v>
      </c>
    </row>
    <row r="95" spans="1:9" ht="28.5">
      <c r="A95" s="79" t="s">
        <v>884</v>
      </c>
      <c r="B95" s="79" t="s">
        <v>885</v>
      </c>
      <c r="C95" s="79" t="s">
        <v>886</v>
      </c>
      <c r="D95" s="79" t="s">
        <v>887</v>
      </c>
      <c r="E95" s="79" t="s">
        <v>888</v>
      </c>
      <c r="F95" s="79" t="s">
        <v>874</v>
      </c>
      <c r="H95" t="s">
        <v>350</v>
      </c>
    </row>
    <row r="96" spans="1:9" ht="57">
      <c r="A96" s="79" t="s">
        <v>889</v>
      </c>
      <c r="B96" s="79" t="s">
        <v>890</v>
      </c>
      <c r="C96" s="79" t="s">
        <v>891</v>
      </c>
      <c r="D96" s="79" t="s">
        <v>892</v>
      </c>
      <c r="E96" s="79" t="s">
        <v>893</v>
      </c>
      <c r="F96" s="79" t="s">
        <v>894</v>
      </c>
      <c r="H96" t="s">
        <v>351</v>
      </c>
    </row>
    <row r="97" spans="1:8" ht="85.5">
      <c r="A97" s="79" t="s">
        <v>895</v>
      </c>
      <c r="B97" s="79" t="s">
        <v>896</v>
      </c>
      <c r="C97" s="79" t="s">
        <v>897</v>
      </c>
      <c r="D97" s="79" t="s">
        <v>892</v>
      </c>
      <c r="E97" s="79" t="s">
        <v>898</v>
      </c>
      <c r="F97" s="79" t="s">
        <v>899</v>
      </c>
      <c r="H97" t="s">
        <v>348</v>
      </c>
    </row>
    <row r="98" spans="1:8" ht="57">
      <c r="A98" s="80" t="s">
        <v>900</v>
      </c>
      <c r="B98" s="80" t="s">
        <v>901</v>
      </c>
      <c r="C98" s="80" t="s">
        <v>902</v>
      </c>
      <c r="D98" s="80" t="s">
        <v>903</v>
      </c>
      <c r="E98" s="80" t="s">
        <v>904</v>
      </c>
      <c r="F98" s="80" t="s">
        <v>874</v>
      </c>
      <c r="H98" t="s">
        <v>352</v>
      </c>
    </row>
    <row r="99" spans="1:8" ht="71.25">
      <c r="A99" s="2" t="s">
        <v>905</v>
      </c>
      <c r="B99" s="2" t="s">
        <v>906</v>
      </c>
      <c r="C99" s="2" t="s">
        <v>907</v>
      </c>
      <c r="D99" s="2" t="s">
        <v>908</v>
      </c>
      <c r="E99" s="2" t="s">
        <v>909</v>
      </c>
      <c r="F99" s="2" t="s">
        <v>874</v>
      </c>
      <c r="H99" t="s">
        <v>359</v>
      </c>
    </row>
    <row r="100" spans="1:8" ht="32.1" customHeight="1">
      <c r="A100" s="268" t="s">
        <v>910</v>
      </c>
      <c r="B100" s="268"/>
      <c r="C100" s="268"/>
      <c r="D100" s="268"/>
      <c r="E100" s="268"/>
      <c r="F100" s="268"/>
      <c r="H100" t="s">
        <v>358</v>
      </c>
    </row>
    <row r="101" spans="1:8">
      <c r="H101" t="s">
        <v>353</v>
      </c>
    </row>
    <row r="102" spans="1:8">
      <c r="H102" t="s">
        <v>354</v>
      </c>
    </row>
    <row r="103" spans="1:8">
      <c r="H103" t="s">
        <v>355</v>
      </c>
    </row>
  </sheetData>
  <mergeCells count="10">
    <mergeCell ref="A1:F1"/>
    <mergeCell ref="A2:F2"/>
    <mergeCell ref="A3:F3"/>
    <mergeCell ref="A5:F5"/>
    <mergeCell ref="A29:F29"/>
    <mergeCell ref="A46:F46"/>
    <mergeCell ref="A72:F72"/>
    <mergeCell ref="A88:F88"/>
    <mergeCell ref="A90:F90"/>
    <mergeCell ref="A100:F10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34"/>
  <sheetViews>
    <sheetView topLeftCell="B2028" workbookViewId="0">
      <selection activeCell="K681" sqref="K681"/>
    </sheetView>
  </sheetViews>
  <sheetFormatPr defaultColWidth="9" defaultRowHeight="14.25"/>
  <cols>
    <col min="1" max="1" width="17.5" customWidth="1"/>
    <col min="2" max="2" width="19.125" customWidth="1"/>
    <col min="3" max="3" width="15.875" customWidth="1"/>
    <col min="4" max="4" width="13.375" customWidth="1"/>
    <col min="5" max="5" width="15.875" customWidth="1"/>
    <col min="6" max="6" width="33.375" customWidth="1"/>
    <col min="7" max="7" width="15.875" customWidth="1"/>
    <col min="8" max="8" width="20" customWidth="1"/>
  </cols>
  <sheetData>
    <row r="1" spans="1:8" ht="24">
      <c r="A1" s="279" t="s">
        <v>911</v>
      </c>
      <c r="B1" s="279"/>
      <c r="C1" s="279"/>
      <c r="D1" s="279"/>
      <c r="E1" s="279"/>
      <c r="F1" s="279"/>
      <c r="G1" s="279"/>
      <c r="H1" s="279"/>
    </row>
    <row r="2" spans="1:8" ht="15">
      <c r="A2" s="280" t="s">
        <v>912</v>
      </c>
      <c r="B2" s="280"/>
      <c r="C2" s="280"/>
      <c r="D2" s="280"/>
      <c r="E2" s="280"/>
      <c r="F2" s="280"/>
      <c r="G2" s="280"/>
      <c r="H2" s="280"/>
    </row>
    <row r="3" spans="1:8" ht="15">
      <c r="A3" s="12"/>
      <c r="B3" s="12"/>
      <c r="C3" s="12"/>
      <c r="D3" s="12"/>
      <c r="E3" s="12"/>
      <c r="F3" s="12"/>
      <c r="G3" s="12"/>
      <c r="H3" s="12"/>
    </row>
    <row r="4" spans="1:8" ht="15">
      <c r="A4" s="276" t="s">
        <v>913</v>
      </c>
      <c r="B4" s="276"/>
      <c r="C4" s="276"/>
      <c r="D4" s="276"/>
      <c r="E4" s="276"/>
      <c r="F4" s="276"/>
      <c r="G4" s="276"/>
      <c r="H4" s="276"/>
    </row>
    <row r="5" spans="1:8" ht="15">
      <c r="A5" s="281" t="s">
        <v>914</v>
      </c>
      <c r="B5" s="281"/>
      <c r="C5" s="281"/>
      <c r="D5" s="281"/>
      <c r="E5" s="281"/>
      <c r="F5" s="281"/>
      <c r="G5" s="281"/>
      <c r="H5" s="281"/>
    </row>
    <row r="6" spans="1:8" ht="15">
      <c r="A6" s="12"/>
      <c r="B6" s="12"/>
      <c r="C6" s="12"/>
      <c r="D6" s="12"/>
      <c r="E6" s="12"/>
      <c r="F6" s="12"/>
      <c r="G6" s="12"/>
      <c r="H6" s="12"/>
    </row>
    <row r="7" spans="1:8" ht="15">
      <c r="A7" s="15" t="s">
        <v>915</v>
      </c>
      <c r="B7" s="15" t="s">
        <v>916</v>
      </c>
      <c r="C7" s="15" t="s">
        <v>917</v>
      </c>
      <c r="D7" s="15" t="s">
        <v>61</v>
      </c>
      <c r="E7" s="16"/>
      <c r="F7" s="16"/>
      <c r="G7" s="16"/>
      <c r="H7" s="16"/>
    </row>
    <row r="8" spans="1:8" ht="15">
      <c r="A8" s="17" t="s">
        <v>918</v>
      </c>
      <c r="B8" s="18">
        <v>20</v>
      </c>
      <c r="C8" s="17" t="s">
        <v>919</v>
      </c>
      <c r="D8" s="19" t="s">
        <v>920</v>
      </c>
      <c r="E8" s="20"/>
      <c r="F8" s="20"/>
      <c r="G8" s="20"/>
      <c r="H8" s="20"/>
    </row>
    <row r="9" spans="1:8" ht="15">
      <c r="A9" s="17" t="s">
        <v>921</v>
      </c>
      <c r="B9" s="18">
        <v>4742</v>
      </c>
      <c r="C9" s="17" t="s">
        <v>922</v>
      </c>
      <c r="D9" s="19" t="s">
        <v>57</v>
      </c>
      <c r="E9" s="20"/>
      <c r="F9" s="20"/>
      <c r="G9" s="20"/>
      <c r="H9" s="20"/>
    </row>
    <row r="10" spans="1:8" ht="15">
      <c r="A10" s="17" t="s">
        <v>923</v>
      </c>
      <c r="B10" s="21">
        <v>5682935.0499999998</v>
      </c>
      <c r="C10" s="17" t="s">
        <v>924</v>
      </c>
      <c r="D10" s="19" t="s">
        <v>925</v>
      </c>
      <c r="E10" s="20"/>
      <c r="F10" s="20"/>
      <c r="G10" s="20"/>
      <c r="H10" s="20"/>
    </row>
    <row r="11" spans="1:8" ht="15">
      <c r="A11" s="17" t="s">
        <v>926</v>
      </c>
      <c r="B11" s="21">
        <v>2952627.44</v>
      </c>
      <c r="C11" s="17" t="s">
        <v>927</v>
      </c>
      <c r="D11" s="19" t="s">
        <v>925</v>
      </c>
      <c r="E11" s="20"/>
      <c r="F11" s="20"/>
      <c r="G11" s="20"/>
      <c r="H11" s="20"/>
    </row>
    <row r="12" spans="1:8" ht="15">
      <c r="A12" s="17" t="s">
        <v>928</v>
      </c>
      <c r="B12" s="21">
        <v>256529.58533999999</v>
      </c>
      <c r="C12" s="17" t="s">
        <v>929</v>
      </c>
      <c r="D12" s="19" t="s">
        <v>925</v>
      </c>
      <c r="E12" s="20"/>
      <c r="F12" s="20"/>
      <c r="G12" s="20"/>
      <c r="H12" s="20"/>
    </row>
    <row r="13" spans="1:8" ht="15">
      <c r="A13" s="17" t="s">
        <v>930</v>
      </c>
      <c r="B13" s="18">
        <v>2209</v>
      </c>
      <c r="C13" s="17" t="s">
        <v>931</v>
      </c>
      <c r="D13" s="19" t="s">
        <v>920</v>
      </c>
      <c r="E13" s="20"/>
      <c r="F13" s="20"/>
      <c r="G13" s="20"/>
      <c r="H13" s="20"/>
    </row>
    <row r="14" spans="1:8" ht="15">
      <c r="A14" s="17" t="s">
        <v>932</v>
      </c>
      <c r="B14" s="18">
        <v>21156</v>
      </c>
      <c r="C14" s="17" t="s">
        <v>933</v>
      </c>
      <c r="D14" s="19" t="s">
        <v>934</v>
      </c>
      <c r="E14" s="20"/>
      <c r="F14" s="20"/>
      <c r="G14" s="20"/>
      <c r="H14" s="20"/>
    </row>
    <row r="15" spans="1:8" ht="15">
      <c r="A15" s="20"/>
      <c r="B15" s="20"/>
      <c r="C15" s="20"/>
      <c r="D15" s="20"/>
      <c r="E15" s="20"/>
      <c r="F15" s="20"/>
      <c r="G15" s="20"/>
      <c r="H15" s="20"/>
    </row>
    <row r="16" spans="1:8" ht="15">
      <c r="A16" s="22" t="s">
        <v>935</v>
      </c>
      <c r="B16" s="22" t="s">
        <v>936</v>
      </c>
      <c r="C16" s="22" t="s">
        <v>937</v>
      </c>
      <c r="D16" s="22" t="s">
        <v>938</v>
      </c>
      <c r="E16" s="22" t="s">
        <v>61</v>
      </c>
      <c r="F16" s="22" t="s">
        <v>939</v>
      </c>
      <c r="G16" s="22" t="s">
        <v>940</v>
      </c>
      <c r="H16" s="22" t="s">
        <v>941</v>
      </c>
    </row>
    <row r="17" spans="1:8" ht="15">
      <c r="A17" s="20" t="s">
        <v>942</v>
      </c>
      <c r="B17" s="23" t="e">
        <f>SUM(#REF!)</f>
        <v>#REF!</v>
      </c>
      <c r="C17" s="23" t="e">
        <f>#REF!</f>
        <v>#REF!</v>
      </c>
      <c r="D17" s="24" t="e">
        <f>B17-C17</f>
        <v>#REF!</v>
      </c>
      <c r="E17" s="25" t="e">
        <f>IF(ABS(D17)&lt;0.01,"PASS","FAIL")</f>
        <v>#REF!</v>
      </c>
      <c r="F17" s="20" t="s">
        <v>943</v>
      </c>
      <c r="G17" s="20">
        <v>6</v>
      </c>
      <c r="H17" s="20" t="s">
        <v>298</v>
      </c>
    </row>
    <row r="18" spans="1:8" ht="15">
      <c r="A18" s="20" t="s">
        <v>944</v>
      </c>
      <c r="B18" s="23" t="e">
        <f>_xlfn.AGGREGATE(9,6,#REF!)</f>
        <v>#REF!</v>
      </c>
      <c r="C18" s="23" t="e">
        <f>#REF!</f>
        <v>#REF!</v>
      </c>
      <c r="D18" s="24" t="e">
        <f>B18-C18</f>
        <v>#REF!</v>
      </c>
      <c r="E18" s="25" t="e">
        <f>IF(ABS(D18)&lt;0.01,"PASS","FAIL")</f>
        <v>#REF!</v>
      </c>
      <c r="F18" s="20" t="s">
        <v>943</v>
      </c>
      <c r="G18" s="20">
        <v>6</v>
      </c>
      <c r="H18" s="20" t="s">
        <v>298</v>
      </c>
    </row>
    <row r="19" spans="1:8" ht="15">
      <c r="A19" s="20" t="s">
        <v>945</v>
      </c>
      <c r="B19" s="23" t="e">
        <f>_xlfn.AGGREGATE(9,6,#REF!)</f>
        <v>#REF!</v>
      </c>
      <c r="C19" s="23" t="e">
        <f>#REF!</f>
        <v>#REF!</v>
      </c>
      <c r="D19" s="24" t="e">
        <f>B19-C19</f>
        <v>#REF!</v>
      </c>
      <c r="E19" s="25" t="e">
        <f>IF(ABS(D19)&lt;0.01,"PASS","FAIL")</f>
        <v>#REF!</v>
      </c>
      <c r="F19" s="20" t="s">
        <v>943</v>
      </c>
      <c r="G19" s="20">
        <v>6</v>
      </c>
      <c r="H19" s="20" t="s">
        <v>298</v>
      </c>
    </row>
    <row r="20" spans="1:8" ht="15">
      <c r="A20" s="20" t="s">
        <v>946</v>
      </c>
      <c r="B20" s="26" t="e" cm="1">
        <f t="array" ref="B20">SUMPRODUCT(--(ABS(#REF!-(#REF!+#REF!+#REF!-#REF!))&gt;0.0001))</f>
        <v>#REF!</v>
      </c>
      <c r="C20" s="26"/>
      <c r="D20" s="26" t="e">
        <f>B20</f>
        <v>#REF!</v>
      </c>
      <c r="E20" s="25" t="e">
        <f>IF(B20=0,"PASS","FAIL")</f>
        <v>#REF!</v>
      </c>
      <c r="F20" s="20" t="s">
        <v>947</v>
      </c>
      <c r="G20" s="20">
        <v>4</v>
      </c>
      <c r="H20" s="20" t="s">
        <v>298</v>
      </c>
    </row>
    <row r="21" spans="1:8" ht="15">
      <c r="A21" s="20" t="s">
        <v>948</v>
      </c>
      <c r="B21" s="26" t="e" cm="1">
        <f t="array" ref="B21">SUMPRODUCT((#REF!&lt;&gt;"")*(COUNTIF(#REF!,#REF!)&gt;1))</f>
        <v>#REF!</v>
      </c>
      <c r="C21" s="26"/>
      <c r="D21" s="26" t="e">
        <f t="shared" ref="D21:D26" si="0">B21</f>
        <v>#REF!</v>
      </c>
      <c r="E21" s="25" t="e">
        <f t="shared" ref="E21:E25" si="1">IF(D21=0,"PASS","FAIL")</f>
        <v>#REF!</v>
      </c>
      <c r="F21" s="20" t="s">
        <v>949</v>
      </c>
      <c r="G21" s="20">
        <v>2</v>
      </c>
      <c r="H21" s="20" t="s">
        <v>298</v>
      </c>
    </row>
    <row r="22" spans="1:8" ht="15">
      <c r="A22" s="20" t="s">
        <v>950</v>
      </c>
      <c r="B22" s="26" t="e">
        <f>COUNTIFS(#REF!,"&gt;0",#REF!,"")</f>
        <v>#REF!</v>
      </c>
      <c r="C22" s="26"/>
      <c r="D22" s="26" t="e">
        <f t="shared" si="0"/>
        <v>#REF!</v>
      </c>
      <c r="E22" s="25" t="e">
        <f t="shared" si="1"/>
        <v>#REF!</v>
      </c>
      <c r="F22" s="20" t="s">
        <v>951</v>
      </c>
      <c r="G22" s="20">
        <v>3</v>
      </c>
      <c r="H22" s="20" t="s">
        <v>298</v>
      </c>
    </row>
    <row r="23" spans="1:8" ht="15">
      <c r="A23" s="20" t="s">
        <v>952</v>
      </c>
      <c r="B23" s="26" t="e">
        <f>COUNTIFS(#REF!,"&gt;0",#REF!,"")</f>
        <v>#REF!</v>
      </c>
      <c r="C23" s="26"/>
      <c r="D23" s="26" t="e">
        <f t="shared" si="0"/>
        <v>#REF!</v>
      </c>
      <c r="E23" s="25" t="e">
        <f t="shared" si="1"/>
        <v>#REF!</v>
      </c>
      <c r="F23" s="20" t="s">
        <v>953</v>
      </c>
      <c r="G23" s="20">
        <v>3</v>
      </c>
      <c r="H23" s="20" t="s">
        <v>298</v>
      </c>
    </row>
    <row r="24" spans="1:8" ht="15">
      <c r="A24" s="20" t="s">
        <v>71</v>
      </c>
      <c r="B24" s="27" t="e">
        <f>COUNTIF(#REF!,"&lt;0")</f>
        <v>#REF!</v>
      </c>
      <c r="C24" s="26"/>
      <c r="D24" s="26" t="e">
        <f t="shared" si="0"/>
        <v>#REF!</v>
      </c>
      <c r="E24" s="25" t="e">
        <f>IF(B24=0,"PASS","FAIL")</f>
        <v>#REF!</v>
      </c>
      <c r="F24" s="20" t="s">
        <v>954</v>
      </c>
      <c r="G24" s="20">
        <v>4</v>
      </c>
      <c r="H24" s="20" t="s">
        <v>298</v>
      </c>
    </row>
    <row r="25" spans="1:8" ht="15">
      <c r="A25" s="20" t="s">
        <v>73</v>
      </c>
      <c r="B25" s="27" t="e">
        <f>COUNTIFS(#REF!,"&lt;&gt;",#REF!,0)</f>
        <v>#REF!</v>
      </c>
      <c r="C25" s="26"/>
      <c r="D25" s="26" t="e">
        <f t="shared" si="0"/>
        <v>#REF!</v>
      </c>
      <c r="E25" s="25" t="e">
        <f t="shared" si="1"/>
        <v>#REF!</v>
      </c>
      <c r="F25" s="20" t="s">
        <v>955</v>
      </c>
      <c r="G25" s="20">
        <v>2</v>
      </c>
      <c r="H25" s="20" t="s">
        <v>298</v>
      </c>
    </row>
    <row r="26" spans="1:8" ht="15">
      <c r="A26" s="20" t="s">
        <v>956</v>
      </c>
      <c r="B26" s="26" t="e" cm="1">
        <f t="array" ref="B26">SUMPRODUCT(--(#REF!&gt;(#REF!+#REF!+#REF!)))</f>
        <v>#REF!</v>
      </c>
      <c r="C26" s="26"/>
      <c r="D26" s="26" t="e">
        <f t="shared" si="0"/>
        <v>#REF!</v>
      </c>
      <c r="E26" s="25" t="e">
        <f>IF(B26=0,"PASS","FAIL")</f>
        <v>#REF!</v>
      </c>
      <c r="F26" s="20" t="s">
        <v>957</v>
      </c>
      <c r="G26" s="20">
        <v>4</v>
      </c>
      <c r="H26" s="20" t="s">
        <v>298</v>
      </c>
    </row>
    <row r="27" spans="1:8" ht="15">
      <c r="A27" s="20"/>
      <c r="B27" s="20"/>
      <c r="C27" s="20"/>
      <c r="D27" s="20"/>
      <c r="E27" s="20"/>
      <c r="F27" s="20"/>
      <c r="G27" s="20"/>
      <c r="H27" s="20"/>
    </row>
    <row r="28" spans="1:8" ht="15">
      <c r="A28" s="22" t="s">
        <v>958</v>
      </c>
      <c r="B28" s="22" t="s">
        <v>5</v>
      </c>
      <c r="C28" s="22" t="s">
        <v>959</v>
      </c>
      <c r="D28" s="22" t="s">
        <v>960</v>
      </c>
      <c r="E28" s="22" t="s">
        <v>376</v>
      </c>
      <c r="F28" s="22" t="s">
        <v>961</v>
      </c>
      <c r="G28" s="22" t="s">
        <v>962</v>
      </c>
      <c r="H28" s="22" t="s">
        <v>61</v>
      </c>
    </row>
    <row r="29" spans="1:8" ht="45">
      <c r="A29" s="28">
        <v>1</v>
      </c>
      <c r="B29" s="28" t="s">
        <v>292</v>
      </c>
      <c r="C29" s="28" t="s">
        <v>963</v>
      </c>
      <c r="D29" s="28" t="s">
        <v>964</v>
      </c>
      <c r="E29" s="28" t="s">
        <v>965</v>
      </c>
      <c r="F29" s="28" t="s">
        <v>966</v>
      </c>
      <c r="G29" s="28">
        <v>5</v>
      </c>
      <c r="H29" s="28" t="s">
        <v>967</v>
      </c>
    </row>
    <row r="30" spans="1:8" ht="30">
      <c r="A30" s="28">
        <v>2</v>
      </c>
      <c r="B30" s="28" t="s">
        <v>13</v>
      </c>
      <c r="C30" s="28" t="s">
        <v>968</v>
      </c>
      <c r="D30" s="28" t="s">
        <v>964</v>
      </c>
      <c r="E30" s="28" t="s">
        <v>965</v>
      </c>
      <c r="F30" s="28" t="s">
        <v>969</v>
      </c>
      <c r="G30" s="28">
        <v>3</v>
      </c>
      <c r="H30" s="28" t="s">
        <v>841</v>
      </c>
    </row>
    <row r="31" spans="1:8" ht="30">
      <c r="A31" s="28">
        <v>3</v>
      </c>
      <c r="B31" s="28" t="s">
        <v>21</v>
      </c>
      <c r="C31" s="28" t="s">
        <v>970</v>
      </c>
      <c r="D31" s="28" t="s">
        <v>964</v>
      </c>
      <c r="E31" s="28" t="s">
        <v>971</v>
      </c>
      <c r="F31" s="28" t="s">
        <v>972</v>
      </c>
      <c r="G31" s="28">
        <v>4</v>
      </c>
      <c r="H31" s="28" t="s">
        <v>841</v>
      </c>
    </row>
    <row r="32" spans="1:8" ht="30">
      <c r="A32" s="28">
        <v>4</v>
      </c>
      <c r="B32" s="28" t="s">
        <v>524</v>
      </c>
      <c r="C32" s="28" t="s">
        <v>973</v>
      </c>
      <c r="D32" s="28" t="s">
        <v>974</v>
      </c>
      <c r="E32" s="28" t="s">
        <v>975</v>
      </c>
      <c r="F32" s="28" t="s">
        <v>976</v>
      </c>
      <c r="G32" s="28">
        <v>6</v>
      </c>
      <c r="H32" s="28" t="s">
        <v>841</v>
      </c>
    </row>
    <row r="33" spans="1:8" ht="30">
      <c r="A33" s="28">
        <v>5</v>
      </c>
      <c r="B33" s="28" t="s">
        <v>529</v>
      </c>
      <c r="C33" s="28" t="s">
        <v>977</v>
      </c>
      <c r="D33" s="28" t="s">
        <v>974</v>
      </c>
      <c r="E33" s="28" t="s">
        <v>978</v>
      </c>
      <c r="F33" s="28" t="s">
        <v>979</v>
      </c>
      <c r="G33" s="28">
        <v>7</v>
      </c>
      <c r="H33" s="28" t="s">
        <v>841</v>
      </c>
    </row>
    <row r="34" spans="1:8" ht="30">
      <c r="A34" s="28">
        <v>6</v>
      </c>
      <c r="B34" s="28" t="s">
        <v>78</v>
      </c>
      <c r="C34" s="28" t="s">
        <v>980</v>
      </c>
      <c r="D34" s="28" t="s">
        <v>974</v>
      </c>
      <c r="E34" s="28" t="s">
        <v>505</v>
      </c>
      <c r="F34" s="28" t="s">
        <v>981</v>
      </c>
      <c r="G34" s="28">
        <v>8</v>
      </c>
      <c r="H34" s="28" t="s">
        <v>841</v>
      </c>
    </row>
    <row r="35" spans="1:8" ht="15">
      <c r="A35" s="28">
        <v>7</v>
      </c>
      <c r="B35" s="28" t="s">
        <v>982</v>
      </c>
      <c r="C35" s="28" t="s">
        <v>983</v>
      </c>
      <c r="D35" s="28" t="s">
        <v>974</v>
      </c>
      <c r="E35" s="28" t="s">
        <v>984</v>
      </c>
      <c r="F35" s="28" t="s">
        <v>985</v>
      </c>
      <c r="G35" s="29">
        <v>46028</v>
      </c>
      <c r="H35" s="28" t="s">
        <v>986</v>
      </c>
    </row>
    <row r="36" spans="1:8" ht="45">
      <c r="A36" s="28">
        <v>8</v>
      </c>
      <c r="B36" s="28" t="s">
        <v>987</v>
      </c>
      <c r="C36" s="28" t="s">
        <v>988</v>
      </c>
      <c r="D36" s="28" t="s">
        <v>989</v>
      </c>
      <c r="E36" s="28" t="s">
        <v>990</v>
      </c>
      <c r="F36" s="28" t="s">
        <v>991</v>
      </c>
      <c r="G36" s="28">
        <v>0</v>
      </c>
      <c r="H36" s="28" t="s">
        <v>992</v>
      </c>
    </row>
    <row r="37" spans="1:8" ht="15">
      <c r="A37" s="20"/>
      <c r="B37" s="20"/>
      <c r="C37" s="20"/>
      <c r="D37" s="20"/>
      <c r="E37" s="20"/>
      <c r="F37" s="20"/>
      <c r="G37" s="20"/>
      <c r="H37" s="20"/>
    </row>
    <row r="38" spans="1:8" ht="15">
      <c r="A38" s="22" t="s">
        <v>993</v>
      </c>
      <c r="B38" s="22" t="s">
        <v>994</v>
      </c>
      <c r="C38" s="22" t="s">
        <v>995</v>
      </c>
      <c r="D38" s="22" t="s">
        <v>996</v>
      </c>
      <c r="E38" s="22" t="s">
        <v>997</v>
      </c>
      <c r="F38" s="22" t="s">
        <v>998</v>
      </c>
      <c r="G38" s="22" t="s">
        <v>999</v>
      </c>
      <c r="H38" s="22" t="s">
        <v>940</v>
      </c>
    </row>
    <row r="39" spans="1:8">
      <c r="A39" s="30" t="s">
        <v>505</v>
      </c>
      <c r="B39" s="30" t="s">
        <v>1000</v>
      </c>
      <c r="C39" s="30" t="s">
        <v>1001</v>
      </c>
      <c r="D39" s="30">
        <v>114</v>
      </c>
      <c r="E39" s="30">
        <v>28</v>
      </c>
      <c r="F39" s="30">
        <v>0</v>
      </c>
      <c r="G39" s="30">
        <v>28</v>
      </c>
      <c r="H39" s="30">
        <v>7</v>
      </c>
    </row>
    <row r="40" spans="1:8">
      <c r="A40" s="30" t="s">
        <v>510</v>
      </c>
      <c r="B40" s="30" t="s">
        <v>1000</v>
      </c>
      <c r="C40" s="30" t="s">
        <v>1002</v>
      </c>
      <c r="D40" s="30">
        <v>0</v>
      </c>
      <c r="E40" s="30">
        <v>1</v>
      </c>
      <c r="F40" s="30">
        <v>0</v>
      </c>
      <c r="G40" s="30">
        <v>1</v>
      </c>
      <c r="H40" s="30">
        <v>7</v>
      </c>
    </row>
    <row r="41" spans="1:8">
      <c r="A41" s="30" t="s">
        <v>982</v>
      </c>
      <c r="B41" s="30" t="s">
        <v>1003</v>
      </c>
      <c r="C41" s="30" t="s">
        <v>1004</v>
      </c>
      <c r="D41" s="30">
        <v>0</v>
      </c>
      <c r="E41" s="30">
        <v>0</v>
      </c>
      <c r="F41" s="30">
        <v>0</v>
      </c>
      <c r="G41" s="30">
        <v>0</v>
      </c>
      <c r="H41" s="30">
        <v>0</v>
      </c>
    </row>
    <row r="42" spans="1:8">
      <c r="A42" s="30" t="s">
        <v>78</v>
      </c>
      <c r="B42" s="30" t="s">
        <v>1003</v>
      </c>
      <c r="C42" s="30" t="s">
        <v>1005</v>
      </c>
      <c r="D42" s="30">
        <v>227</v>
      </c>
      <c r="E42" s="30">
        <v>7</v>
      </c>
      <c r="F42" s="30">
        <v>0</v>
      </c>
      <c r="G42" s="30">
        <v>7</v>
      </c>
      <c r="H42" s="30">
        <v>8</v>
      </c>
    </row>
    <row r="43" spans="1:8">
      <c r="A43" s="30" t="s">
        <v>524</v>
      </c>
      <c r="B43" s="30" t="s">
        <v>1003</v>
      </c>
      <c r="C43" s="30" t="s">
        <v>1006</v>
      </c>
      <c r="D43" s="30">
        <v>1414</v>
      </c>
      <c r="E43" s="30">
        <v>8</v>
      </c>
      <c r="F43" s="30">
        <v>12</v>
      </c>
      <c r="G43" s="30">
        <v>20</v>
      </c>
      <c r="H43" s="30">
        <v>6</v>
      </c>
    </row>
    <row r="44" spans="1:8">
      <c r="A44" s="30" t="s">
        <v>529</v>
      </c>
      <c r="B44" s="30" t="s">
        <v>1003</v>
      </c>
      <c r="C44" s="30" t="s">
        <v>1007</v>
      </c>
      <c r="D44" s="30">
        <v>4</v>
      </c>
      <c r="E44" s="30">
        <v>16</v>
      </c>
      <c r="F44" s="30">
        <v>1</v>
      </c>
      <c r="G44" s="30">
        <v>17</v>
      </c>
      <c r="H44" s="30">
        <v>7</v>
      </c>
    </row>
    <row r="45" spans="1:8">
      <c r="A45" s="30" t="s">
        <v>21</v>
      </c>
      <c r="B45" s="30" t="s">
        <v>1003</v>
      </c>
      <c r="C45" s="30" t="s">
        <v>1008</v>
      </c>
      <c r="D45" s="30">
        <v>34334</v>
      </c>
      <c r="E45" s="30">
        <v>2299</v>
      </c>
      <c r="F45" s="30">
        <v>1</v>
      </c>
      <c r="G45" s="30">
        <v>2300</v>
      </c>
      <c r="H45" s="30">
        <v>4</v>
      </c>
    </row>
    <row r="46" spans="1:8">
      <c r="A46" s="30" t="s">
        <v>13</v>
      </c>
      <c r="B46" s="30" t="s">
        <v>1003</v>
      </c>
      <c r="C46" s="30" t="s">
        <v>1009</v>
      </c>
      <c r="D46" s="30">
        <v>74561</v>
      </c>
      <c r="E46" s="30">
        <v>6493</v>
      </c>
      <c r="F46" s="30">
        <v>0</v>
      </c>
      <c r="G46" s="30">
        <v>6493</v>
      </c>
      <c r="H46" s="30">
        <v>3</v>
      </c>
    </row>
    <row r="47" spans="1:8">
      <c r="A47" s="30" t="s">
        <v>36</v>
      </c>
      <c r="B47" s="30" t="s">
        <v>1003</v>
      </c>
      <c r="C47" s="30" t="s">
        <v>1010</v>
      </c>
      <c r="D47" s="30">
        <v>36</v>
      </c>
      <c r="E47" s="30">
        <v>0</v>
      </c>
      <c r="F47" s="30">
        <v>0</v>
      </c>
      <c r="G47" s="30">
        <v>0</v>
      </c>
      <c r="H47" s="30">
        <v>6</v>
      </c>
    </row>
    <row r="48" spans="1:8">
      <c r="A48" s="30" t="s">
        <v>29</v>
      </c>
      <c r="B48" s="30" t="s">
        <v>1003</v>
      </c>
      <c r="C48" s="30" t="s">
        <v>1011</v>
      </c>
      <c r="D48" s="30">
        <v>382</v>
      </c>
      <c r="E48" s="30">
        <v>0</v>
      </c>
      <c r="F48" s="30">
        <v>0</v>
      </c>
      <c r="G48" s="30">
        <v>0</v>
      </c>
      <c r="H48" s="30">
        <v>2</v>
      </c>
    </row>
    <row r="49" spans="1:8">
      <c r="A49" s="30" t="s">
        <v>550</v>
      </c>
      <c r="B49" s="30" t="s">
        <v>1003</v>
      </c>
      <c r="C49" s="30" t="s">
        <v>1012</v>
      </c>
      <c r="D49" s="30">
        <v>0</v>
      </c>
      <c r="E49" s="30">
        <v>0</v>
      </c>
      <c r="F49" s="30">
        <v>0</v>
      </c>
      <c r="G49" s="30">
        <v>0</v>
      </c>
      <c r="H49" s="30">
        <v>10</v>
      </c>
    </row>
    <row r="50" spans="1:8">
      <c r="A50" s="30" t="s">
        <v>86</v>
      </c>
      <c r="B50" s="30" t="s">
        <v>1003</v>
      </c>
      <c r="C50" s="30" t="s">
        <v>1013</v>
      </c>
      <c r="D50" s="30">
        <v>16</v>
      </c>
      <c r="E50" s="30">
        <v>11</v>
      </c>
      <c r="F50" s="30">
        <v>0</v>
      </c>
      <c r="G50" s="30">
        <v>11</v>
      </c>
      <c r="H50" s="31">
        <v>46213</v>
      </c>
    </row>
    <row r="51" spans="1:8">
      <c r="A51" s="30" t="s">
        <v>559</v>
      </c>
      <c r="B51" s="30" t="s">
        <v>1003</v>
      </c>
      <c r="C51" s="30" t="s">
        <v>1014</v>
      </c>
      <c r="D51" s="30">
        <v>0</v>
      </c>
      <c r="E51" s="30">
        <v>1</v>
      </c>
      <c r="F51" s="30">
        <v>0</v>
      </c>
      <c r="G51" s="30">
        <v>1</v>
      </c>
      <c r="H51" s="30">
        <v>7</v>
      </c>
    </row>
    <row r="52" spans="1:8">
      <c r="A52" s="30" t="s">
        <v>615</v>
      </c>
      <c r="B52" s="30" t="s">
        <v>1003</v>
      </c>
      <c r="C52" s="30" t="s">
        <v>1015</v>
      </c>
      <c r="D52" s="30">
        <v>303</v>
      </c>
      <c r="E52" s="30">
        <v>0</v>
      </c>
      <c r="F52" s="30">
        <v>0</v>
      </c>
      <c r="G52" s="30">
        <v>0</v>
      </c>
      <c r="H52" s="30">
        <v>4</v>
      </c>
    </row>
    <row r="53" spans="1:8">
      <c r="A53" s="30" t="s">
        <v>568</v>
      </c>
      <c r="B53" s="30" t="s">
        <v>1003</v>
      </c>
      <c r="C53" s="30" t="s">
        <v>1016</v>
      </c>
      <c r="D53" s="30">
        <v>0</v>
      </c>
      <c r="E53" s="30">
        <v>0</v>
      </c>
      <c r="F53" s="30">
        <v>0</v>
      </c>
      <c r="G53" s="30">
        <v>0</v>
      </c>
      <c r="H53" s="31">
        <v>46149</v>
      </c>
    </row>
    <row r="54" spans="1:8">
      <c r="A54" s="30" t="s">
        <v>84</v>
      </c>
      <c r="B54" s="30" t="s">
        <v>1003</v>
      </c>
      <c r="C54" s="30" t="s">
        <v>1017</v>
      </c>
      <c r="D54" s="30">
        <v>4996</v>
      </c>
      <c r="E54" s="30">
        <v>0</v>
      </c>
      <c r="F54" s="30">
        <v>0</v>
      </c>
      <c r="G54" s="30">
        <v>0</v>
      </c>
      <c r="H54" s="30">
        <v>2</v>
      </c>
    </row>
    <row r="55" spans="1:8">
      <c r="A55" s="30" t="s">
        <v>576</v>
      </c>
      <c r="B55" s="30" t="s">
        <v>1003</v>
      </c>
      <c r="C55" s="30" t="s">
        <v>1018</v>
      </c>
      <c r="D55" s="30">
        <v>0</v>
      </c>
      <c r="E55" s="30">
        <v>5</v>
      </c>
      <c r="F55" s="30">
        <v>0</v>
      </c>
      <c r="G55" s="30">
        <v>5</v>
      </c>
      <c r="H55" s="30">
        <v>7</v>
      </c>
    </row>
    <row r="56" spans="1:8">
      <c r="A56" s="30" t="s">
        <v>293</v>
      </c>
      <c r="B56" s="30" t="s">
        <v>1003</v>
      </c>
      <c r="C56" s="30" t="s">
        <v>1019</v>
      </c>
      <c r="D56" s="30">
        <v>0</v>
      </c>
      <c r="E56" s="30">
        <v>0</v>
      </c>
      <c r="F56" s="30">
        <v>0</v>
      </c>
      <c r="G56" s="30">
        <v>0</v>
      </c>
      <c r="H56" s="30">
        <v>4</v>
      </c>
    </row>
    <row r="57" spans="1:8">
      <c r="A57" s="30" t="s">
        <v>292</v>
      </c>
      <c r="B57" s="30" t="s">
        <v>1003</v>
      </c>
      <c r="C57" s="30" t="s">
        <v>1020</v>
      </c>
      <c r="D57" s="30">
        <v>49015</v>
      </c>
      <c r="E57" s="30">
        <v>10872</v>
      </c>
      <c r="F57" s="30">
        <v>1401</v>
      </c>
      <c r="G57" s="30">
        <v>12273</v>
      </c>
      <c r="H57" s="30">
        <v>5</v>
      </c>
    </row>
    <row r="58" spans="1:8">
      <c r="A58" s="30" t="s">
        <v>588</v>
      </c>
      <c r="B58" s="30" t="s">
        <v>1003</v>
      </c>
      <c r="C58" s="30" t="s">
        <v>1021</v>
      </c>
      <c r="D58" s="30">
        <v>2</v>
      </c>
      <c r="E58" s="30">
        <v>0</v>
      </c>
      <c r="F58" s="30">
        <v>0</v>
      </c>
      <c r="G58" s="30">
        <v>0</v>
      </c>
      <c r="H58" s="30">
        <v>10</v>
      </c>
    </row>
    <row r="59" spans="1:8" ht="15">
      <c r="A59" s="282" t="s">
        <v>1022</v>
      </c>
      <c r="B59" s="282"/>
      <c r="C59" s="282"/>
      <c r="D59" s="282"/>
      <c r="E59" s="282"/>
      <c r="F59" s="282"/>
      <c r="G59" s="32">
        <f>SUM(G39:G58)</f>
        <v>21156</v>
      </c>
      <c r="H59" s="33">
        <v>21156</v>
      </c>
    </row>
    <row r="61" spans="1:8" ht="21">
      <c r="A61" s="274" t="s">
        <v>1023</v>
      </c>
      <c r="B61" s="274"/>
      <c r="C61" s="274"/>
      <c r="D61" s="274"/>
      <c r="E61" s="274"/>
      <c r="F61" s="274"/>
      <c r="G61" s="274"/>
      <c r="H61" s="274"/>
    </row>
    <row r="62" spans="1:8" ht="15">
      <c r="A62" s="275" t="s">
        <v>1024</v>
      </c>
      <c r="B62" s="275"/>
      <c r="C62" s="275"/>
      <c r="D62" s="275"/>
      <c r="E62" s="275"/>
      <c r="F62" s="275"/>
      <c r="G62" s="275"/>
      <c r="H62" s="275"/>
    </row>
    <row r="63" spans="1:8" ht="15">
      <c r="A63" s="12"/>
      <c r="B63" s="12"/>
      <c r="C63" s="12"/>
      <c r="D63" s="12"/>
      <c r="E63" s="12"/>
      <c r="F63" s="12"/>
      <c r="G63" s="12"/>
      <c r="H63" s="12"/>
    </row>
    <row r="64" spans="1:8" ht="15">
      <c r="A64" s="13" t="s">
        <v>1025</v>
      </c>
      <c r="B64" s="13" t="s">
        <v>1026</v>
      </c>
      <c r="C64" s="13" t="s">
        <v>1027</v>
      </c>
      <c r="D64" s="13" t="s">
        <v>1028</v>
      </c>
      <c r="E64" s="13" t="s">
        <v>1029</v>
      </c>
      <c r="F64" s="13" t="s">
        <v>1030</v>
      </c>
      <c r="G64" s="13" t="s">
        <v>1031</v>
      </c>
      <c r="H64" s="13" t="s">
        <v>61</v>
      </c>
    </row>
    <row r="65" spans="1:8" ht="45">
      <c r="A65" s="34" t="s">
        <v>1032</v>
      </c>
      <c r="B65" s="34" t="s">
        <v>1033</v>
      </c>
      <c r="C65" s="34" t="s">
        <v>1034</v>
      </c>
      <c r="D65" s="34" t="s">
        <v>1035</v>
      </c>
      <c r="E65" s="34" t="s">
        <v>1036</v>
      </c>
      <c r="F65" s="34" t="s">
        <v>1037</v>
      </c>
      <c r="G65" s="34" t="s">
        <v>1038</v>
      </c>
      <c r="H65" s="34" t="s">
        <v>874</v>
      </c>
    </row>
    <row r="66" spans="1:8" ht="45">
      <c r="A66" s="28" t="s">
        <v>1039</v>
      </c>
      <c r="B66" s="28" t="s">
        <v>1040</v>
      </c>
      <c r="C66" s="28" t="s">
        <v>1041</v>
      </c>
      <c r="D66" s="28" t="s">
        <v>1042</v>
      </c>
      <c r="E66" s="28" t="s">
        <v>1043</v>
      </c>
      <c r="F66" s="28" t="s">
        <v>1044</v>
      </c>
      <c r="G66" s="28" t="s">
        <v>1045</v>
      </c>
      <c r="H66" s="28" t="s">
        <v>874</v>
      </c>
    </row>
    <row r="67" spans="1:8" ht="45">
      <c r="A67" s="28" t="s">
        <v>1046</v>
      </c>
      <c r="B67" s="28" t="s">
        <v>1047</v>
      </c>
      <c r="C67" s="28" t="s">
        <v>1048</v>
      </c>
      <c r="D67" s="28" t="s">
        <v>1049</v>
      </c>
      <c r="E67" s="28" t="s">
        <v>1050</v>
      </c>
      <c r="F67" s="28" t="s">
        <v>1051</v>
      </c>
      <c r="G67" s="28" t="s">
        <v>1052</v>
      </c>
      <c r="H67" s="28" t="s">
        <v>874</v>
      </c>
    </row>
    <row r="68" spans="1:8" ht="90">
      <c r="A68" s="28" t="s">
        <v>1053</v>
      </c>
      <c r="B68" s="28" t="s">
        <v>1054</v>
      </c>
      <c r="C68" s="28" t="s">
        <v>1055</v>
      </c>
      <c r="D68" s="28" t="s">
        <v>1056</v>
      </c>
      <c r="E68" s="28" t="s">
        <v>1057</v>
      </c>
      <c r="F68" s="28" t="s">
        <v>1058</v>
      </c>
      <c r="G68" s="28" t="s">
        <v>1059</v>
      </c>
      <c r="H68" s="28" t="s">
        <v>874</v>
      </c>
    </row>
    <row r="69" spans="1:8" ht="105">
      <c r="A69" s="28" t="s">
        <v>1060</v>
      </c>
      <c r="B69" s="28" t="s">
        <v>1061</v>
      </c>
      <c r="C69" s="28" t="s">
        <v>1062</v>
      </c>
      <c r="D69" s="28" t="s">
        <v>1063</v>
      </c>
      <c r="E69" s="28" t="s">
        <v>1057</v>
      </c>
      <c r="F69" s="28" t="s">
        <v>1064</v>
      </c>
      <c r="G69" s="28" t="s">
        <v>1065</v>
      </c>
      <c r="H69" s="28" t="s">
        <v>874</v>
      </c>
    </row>
    <row r="70" spans="1:8" ht="150">
      <c r="A70" s="28" t="s">
        <v>1066</v>
      </c>
      <c r="B70" s="28" t="s">
        <v>1067</v>
      </c>
      <c r="C70" s="28" t="s">
        <v>1068</v>
      </c>
      <c r="D70" s="28" t="s">
        <v>1069</v>
      </c>
      <c r="E70" s="28" t="s">
        <v>1070</v>
      </c>
      <c r="F70" s="28" t="s">
        <v>1071</v>
      </c>
      <c r="G70" s="28" t="s">
        <v>1072</v>
      </c>
      <c r="H70" s="28" t="s">
        <v>874</v>
      </c>
    </row>
    <row r="71" spans="1:8" ht="150">
      <c r="A71" s="28" t="s">
        <v>1073</v>
      </c>
      <c r="B71" s="28" t="s">
        <v>1074</v>
      </c>
      <c r="C71" s="28" t="s">
        <v>1075</v>
      </c>
      <c r="D71" s="28" t="s">
        <v>1076</v>
      </c>
      <c r="E71" s="28" t="s">
        <v>1077</v>
      </c>
      <c r="F71" s="28" t="s">
        <v>1078</v>
      </c>
      <c r="G71" s="28" t="s">
        <v>1079</v>
      </c>
      <c r="H71" s="28" t="s">
        <v>874</v>
      </c>
    </row>
    <row r="72" spans="1:8" ht="105">
      <c r="A72" s="28" t="s">
        <v>1080</v>
      </c>
      <c r="B72" s="28" t="s">
        <v>1081</v>
      </c>
      <c r="C72" s="28" t="s">
        <v>1082</v>
      </c>
      <c r="D72" s="28" t="s">
        <v>1083</v>
      </c>
      <c r="E72" s="28" t="s">
        <v>1084</v>
      </c>
      <c r="F72" s="28" t="s">
        <v>1085</v>
      </c>
      <c r="G72" s="28" t="s">
        <v>1086</v>
      </c>
      <c r="H72" s="28" t="s">
        <v>874</v>
      </c>
    </row>
    <row r="73" spans="1:8" ht="120">
      <c r="A73" s="28" t="s">
        <v>1087</v>
      </c>
      <c r="B73" s="28" t="s">
        <v>1088</v>
      </c>
      <c r="C73" s="28" t="s">
        <v>1089</v>
      </c>
      <c r="D73" s="28" t="s">
        <v>1076</v>
      </c>
      <c r="E73" s="28" t="s">
        <v>1090</v>
      </c>
      <c r="F73" s="28" t="s">
        <v>1091</v>
      </c>
      <c r="G73" s="28" t="s">
        <v>1092</v>
      </c>
      <c r="H73" s="28" t="s">
        <v>874</v>
      </c>
    </row>
    <row r="74" spans="1:8" ht="105">
      <c r="A74" s="28" t="s">
        <v>1093</v>
      </c>
      <c r="B74" s="28" t="s">
        <v>1094</v>
      </c>
      <c r="C74" s="28" t="s">
        <v>1095</v>
      </c>
      <c r="D74" s="28" t="s">
        <v>1096</v>
      </c>
      <c r="E74" s="28" t="s">
        <v>1097</v>
      </c>
      <c r="F74" s="28" t="s">
        <v>1098</v>
      </c>
      <c r="G74" s="28" t="s">
        <v>1099</v>
      </c>
      <c r="H74" s="28" t="s">
        <v>874</v>
      </c>
    </row>
    <row r="75" spans="1:8" ht="135">
      <c r="A75" s="28" t="s">
        <v>1100</v>
      </c>
      <c r="B75" s="28" t="s">
        <v>1101</v>
      </c>
      <c r="C75" s="28" t="s">
        <v>1102</v>
      </c>
      <c r="D75" s="28" t="s">
        <v>1103</v>
      </c>
      <c r="E75" s="28" t="s">
        <v>1104</v>
      </c>
      <c r="F75" s="28" t="s">
        <v>1105</v>
      </c>
      <c r="G75" s="28" t="s">
        <v>1106</v>
      </c>
      <c r="H75" s="28" t="s">
        <v>874</v>
      </c>
    </row>
    <row r="76" spans="1:8" ht="120">
      <c r="A76" s="28" t="s">
        <v>1107</v>
      </c>
      <c r="B76" s="28" t="s">
        <v>1108</v>
      </c>
      <c r="C76" s="28" t="s">
        <v>1109</v>
      </c>
      <c r="D76" s="28" t="s">
        <v>1076</v>
      </c>
      <c r="E76" s="28" t="s">
        <v>1110</v>
      </c>
      <c r="F76" s="28" t="s">
        <v>1111</v>
      </c>
      <c r="G76" s="28" t="s">
        <v>1112</v>
      </c>
      <c r="H76" s="28" t="s">
        <v>874</v>
      </c>
    </row>
    <row r="77" spans="1:8" ht="150">
      <c r="A77" s="28" t="s">
        <v>1113</v>
      </c>
      <c r="B77" s="28" t="s">
        <v>1114</v>
      </c>
      <c r="C77" s="28" t="s">
        <v>1115</v>
      </c>
      <c r="D77" s="28" t="s">
        <v>1116</v>
      </c>
      <c r="E77" s="28" t="s">
        <v>1117</v>
      </c>
      <c r="F77" s="28" t="s">
        <v>1118</v>
      </c>
      <c r="G77" s="28" t="s">
        <v>1119</v>
      </c>
      <c r="H77" s="28" t="s">
        <v>1120</v>
      </c>
    </row>
    <row r="78" spans="1:8" ht="180">
      <c r="A78" s="28" t="s">
        <v>1121</v>
      </c>
      <c r="B78" s="28" t="s">
        <v>1122</v>
      </c>
      <c r="C78" s="28" t="s">
        <v>1123</v>
      </c>
      <c r="D78" s="28" t="s">
        <v>1124</v>
      </c>
      <c r="E78" s="28" t="s">
        <v>1125</v>
      </c>
      <c r="F78" s="28" t="s">
        <v>1126</v>
      </c>
      <c r="G78" s="28" t="s">
        <v>1127</v>
      </c>
      <c r="H78" s="28" t="s">
        <v>1128</v>
      </c>
    </row>
    <row r="79" spans="1:8" ht="135">
      <c r="A79" s="28" t="s">
        <v>1129</v>
      </c>
      <c r="B79" s="28" t="s">
        <v>1130</v>
      </c>
      <c r="C79" s="28" t="s">
        <v>1131</v>
      </c>
      <c r="D79" s="28" t="s">
        <v>1132</v>
      </c>
      <c r="E79" s="28" t="s">
        <v>1133</v>
      </c>
      <c r="F79" s="28" t="s">
        <v>1134</v>
      </c>
      <c r="G79" s="28" t="s">
        <v>1135</v>
      </c>
      <c r="H79" s="28" t="s">
        <v>1128</v>
      </c>
    </row>
    <row r="80" spans="1:8" ht="135">
      <c r="A80" s="28" t="s">
        <v>1136</v>
      </c>
      <c r="B80" s="28" t="s">
        <v>1137</v>
      </c>
      <c r="C80" s="28" t="s">
        <v>1138</v>
      </c>
      <c r="D80" s="28" t="s">
        <v>1139</v>
      </c>
      <c r="E80" s="28" t="s">
        <v>1140</v>
      </c>
      <c r="F80" s="28" t="s">
        <v>1141</v>
      </c>
      <c r="G80" s="28" t="s">
        <v>1142</v>
      </c>
      <c r="H80" s="28" t="s">
        <v>874</v>
      </c>
    </row>
    <row r="81" spans="1:8" ht="150">
      <c r="A81" s="28" t="s">
        <v>1143</v>
      </c>
      <c r="B81" s="28" t="s">
        <v>1144</v>
      </c>
      <c r="C81" s="28" t="s">
        <v>1145</v>
      </c>
      <c r="D81" s="28" t="s">
        <v>1146</v>
      </c>
      <c r="E81" s="28" t="s">
        <v>1147</v>
      </c>
      <c r="F81" s="28" t="s">
        <v>1148</v>
      </c>
      <c r="G81" s="28" t="s">
        <v>1149</v>
      </c>
      <c r="H81" s="28" t="s">
        <v>1128</v>
      </c>
    </row>
    <row r="82" spans="1:8" ht="150">
      <c r="A82" s="28" t="s">
        <v>1150</v>
      </c>
      <c r="B82" s="28" t="s">
        <v>1151</v>
      </c>
      <c r="C82" s="28" t="s">
        <v>1152</v>
      </c>
      <c r="D82" s="28" t="s">
        <v>1153</v>
      </c>
      <c r="E82" s="28" t="s">
        <v>1147</v>
      </c>
      <c r="F82" s="28" t="s">
        <v>1154</v>
      </c>
      <c r="G82" s="28" t="s">
        <v>1155</v>
      </c>
      <c r="H82" s="28" t="s">
        <v>1128</v>
      </c>
    </row>
    <row r="83" spans="1:8" ht="150">
      <c r="A83" s="28" t="s">
        <v>1156</v>
      </c>
      <c r="B83" s="28" t="s">
        <v>1157</v>
      </c>
      <c r="C83" s="28" t="s">
        <v>1158</v>
      </c>
      <c r="D83" s="28" t="s">
        <v>1159</v>
      </c>
      <c r="E83" s="28" t="s">
        <v>1160</v>
      </c>
      <c r="F83" s="28" t="s">
        <v>1161</v>
      </c>
      <c r="G83" s="28" t="s">
        <v>1162</v>
      </c>
      <c r="H83" s="28" t="s">
        <v>1128</v>
      </c>
    </row>
    <row r="84" spans="1:8" ht="135">
      <c r="A84" s="35" t="s">
        <v>1163</v>
      </c>
      <c r="B84" s="35" t="s">
        <v>1164</v>
      </c>
      <c r="C84" s="35" t="s">
        <v>1165</v>
      </c>
      <c r="D84" s="35" t="s">
        <v>1166</v>
      </c>
      <c r="E84" s="35" t="s">
        <v>1167</v>
      </c>
      <c r="F84" s="35" t="s">
        <v>1168</v>
      </c>
      <c r="G84" s="35" t="s">
        <v>1169</v>
      </c>
      <c r="H84" s="35" t="s">
        <v>1120</v>
      </c>
    </row>
    <row r="85" spans="1:8" ht="15">
      <c r="A85" s="12"/>
      <c r="B85" s="12"/>
      <c r="C85" s="12"/>
      <c r="D85" s="12"/>
      <c r="E85" s="12"/>
      <c r="F85" s="12"/>
      <c r="G85" s="12"/>
      <c r="H85" s="12"/>
    </row>
    <row r="86" spans="1:8" ht="15">
      <c r="A86" s="276" t="s">
        <v>1170</v>
      </c>
      <c r="B86" s="276"/>
      <c r="C86" s="276"/>
      <c r="D86" s="276"/>
      <c r="E86" s="276"/>
      <c r="F86" s="276"/>
      <c r="G86" s="276"/>
      <c r="H86" s="276"/>
    </row>
    <row r="87" spans="1:8" ht="45">
      <c r="A87" s="14" t="s">
        <v>1171</v>
      </c>
      <c r="B87" s="14" t="s">
        <v>1172</v>
      </c>
      <c r="C87" s="12"/>
      <c r="D87" s="12"/>
      <c r="E87" s="12"/>
      <c r="F87" s="12"/>
      <c r="G87" s="12"/>
      <c r="H87" s="12"/>
    </row>
    <row r="88" spans="1:8" ht="60">
      <c r="A88" s="14" t="s">
        <v>1173</v>
      </c>
      <c r="B88" s="14" t="s">
        <v>1174</v>
      </c>
      <c r="C88" s="12"/>
      <c r="D88" s="12"/>
      <c r="E88" s="12"/>
      <c r="F88" s="12"/>
      <c r="G88" s="12"/>
      <c r="H88" s="12"/>
    </row>
    <row r="89" spans="1:8" ht="45">
      <c r="A89" s="14" t="s">
        <v>1175</v>
      </c>
      <c r="B89" s="14" t="s">
        <v>1176</v>
      </c>
      <c r="C89" s="12"/>
      <c r="D89" s="12"/>
      <c r="E89" s="12"/>
      <c r="F89" s="12"/>
      <c r="G89" s="12"/>
      <c r="H89" s="12"/>
    </row>
    <row r="90" spans="1:8" ht="75">
      <c r="A90" s="14" t="s">
        <v>1177</v>
      </c>
      <c r="B90" s="14" t="s">
        <v>1178</v>
      </c>
      <c r="C90" s="12"/>
      <c r="D90" s="12"/>
      <c r="E90" s="12"/>
      <c r="F90" s="12"/>
      <c r="G90" s="12"/>
      <c r="H90" s="12"/>
    </row>
    <row r="91" spans="1:8" ht="60">
      <c r="A91" s="14" t="s">
        <v>1179</v>
      </c>
      <c r="B91" s="14" t="s">
        <v>1180</v>
      </c>
      <c r="C91" s="12"/>
      <c r="D91" s="12"/>
      <c r="E91" s="12"/>
      <c r="F91" s="12"/>
      <c r="G91" s="12"/>
      <c r="H91" s="12"/>
    </row>
    <row r="92" spans="1:8" ht="75">
      <c r="A92" s="14" t="s">
        <v>1181</v>
      </c>
      <c r="B92" s="14" t="s">
        <v>1182</v>
      </c>
      <c r="C92" s="12"/>
      <c r="D92" s="12"/>
      <c r="E92" s="12"/>
      <c r="F92" s="12"/>
      <c r="G92" s="12"/>
      <c r="H92" s="12"/>
    </row>
    <row r="94" spans="1:8" ht="15">
      <c r="A94" s="36" t="s">
        <v>1183</v>
      </c>
      <c r="B94" s="36" t="s">
        <v>1184</v>
      </c>
      <c r="C94" s="36" t="s">
        <v>1185</v>
      </c>
      <c r="D94" s="36" t="s">
        <v>64</v>
      </c>
      <c r="E94" s="36" t="s">
        <v>67</v>
      </c>
      <c r="F94" s="36" t="s">
        <v>68</v>
      </c>
      <c r="G94" s="36" t="s">
        <v>1186</v>
      </c>
      <c r="H94" s="36" t="s">
        <v>1187</v>
      </c>
    </row>
    <row r="95" spans="1:8">
      <c r="A95" t="s">
        <v>1039</v>
      </c>
      <c r="B95" t="s">
        <v>1188</v>
      </c>
      <c r="C95" t="s">
        <v>1189</v>
      </c>
      <c r="D95" s="8">
        <v>0</v>
      </c>
      <c r="E95" s="8">
        <v>1.02445483207703E-8</v>
      </c>
      <c r="F95" s="8">
        <v>2.6193447411060302E-10</v>
      </c>
      <c r="G95" t="s">
        <v>925</v>
      </c>
      <c r="H95" t="s">
        <v>1046</v>
      </c>
    </row>
    <row r="96" spans="1:8" ht="15">
      <c r="A96" s="36" t="s">
        <v>1190</v>
      </c>
      <c r="B96" s="36" t="s">
        <v>1191</v>
      </c>
      <c r="C96" s="36" t="s">
        <v>1192</v>
      </c>
      <c r="D96" s="36" t="s">
        <v>1193</v>
      </c>
      <c r="E96" s="36" t="s">
        <v>1194</v>
      </c>
      <c r="F96" s="36" t="s">
        <v>1195</v>
      </c>
      <c r="G96" s="36" t="s">
        <v>1196</v>
      </c>
      <c r="H96" s="36" t="s">
        <v>61</v>
      </c>
    </row>
    <row r="97" spans="1:8" ht="71.25">
      <c r="A97" s="2" t="s">
        <v>1197</v>
      </c>
      <c r="B97" s="2" t="s">
        <v>1188</v>
      </c>
      <c r="C97" s="2" t="s">
        <v>1198</v>
      </c>
      <c r="D97" s="2" t="s">
        <v>1199</v>
      </c>
      <c r="E97" s="2" t="s">
        <v>1200</v>
      </c>
      <c r="F97" s="2" t="s">
        <v>1201</v>
      </c>
      <c r="G97" s="2" t="s">
        <v>1046</v>
      </c>
      <c r="H97" s="2" t="s">
        <v>874</v>
      </c>
    </row>
    <row r="98" spans="1:8" ht="57">
      <c r="A98" s="2" t="s">
        <v>1202</v>
      </c>
      <c r="B98" s="2" t="s">
        <v>1188</v>
      </c>
      <c r="C98" s="2" t="s">
        <v>1203</v>
      </c>
      <c r="D98" s="2" t="s">
        <v>1204</v>
      </c>
      <c r="E98" s="2" t="s">
        <v>1205</v>
      </c>
      <c r="F98" s="2" t="s">
        <v>1206</v>
      </c>
      <c r="G98" s="2" t="s">
        <v>925</v>
      </c>
      <c r="H98" s="2" t="s">
        <v>1207</v>
      </c>
    </row>
    <row r="99" spans="1:8" ht="57">
      <c r="A99" s="2" t="s">
        <v>1060</v>
      </c>
      <c r="B99" s="2" t="s">
        <v>1188</v>
      </c>
      <c r="C99" s="2" t="s">
        <v>1062</v>
      </c>
      <c r="D99" s="2" t="s">
        <v>1208</v>
      </c>
      <c r="E99" s="2" t="s">
        <v>1209</v>
      </c>
      <c r="F99" s="2" t="s">
        <v>1210</v>
      </c>
      <c r="G99" s="2" t="s">
        <v>925</v>
      </c>
      <c r="H99" s="2" t="s">
        <v>1211</v>
      </c>
    </row>
    <row r="101" spans="1:8" ht="15">
      <c r="A101" s="36" t="s">
        <v>1212</v>
      </c>
      <c r="B101" s="36" t="s">
        <v>1213</v>
      </c>
      <c r="C101" s="36" t="s">
        <v>1214</v>
      </c>
      <c r="D101" s="36" t="s">
        <v>1215</v>
      </c>
      <c r="E101" s="36" t="s">
        <v>1216</v>
      </c>
      <c r="F101" s="36" t="s">
        <v>1217</v>
      </c>
      <c r="G101" s="36" t="s">
        <v>1218</v>
      </c>
      <c r="H101" s="36" t="s">
        <v>1219</v>
      </c>
    </row>
    <row r="102" spans="1:8" ht="71.25">
      <c r="A102" s="2" t="s">
        <v>1220</v>
      </c>
      <c r="B102" s="2" t="s">
        <v>1221</v>
      </c>
      <c r="C102" s="2" t="s">
        <v>1222</v>
      </c>
      <c r="D102" s="2" t="s">
        <v>1223</v>
      </c>
      <c r="E102" s="2" t="s">
        <v>1224</v>
      </c>
      <c r="F102" s="2" t="s">
        <v>1225</v>
      </c>
      <c r="G102" s="2" t="s">
        <v>1226</v>
      </c>
      <c r="H102" s="2" t="s">
        <v>1227</v>
      </c>
    </row>
    <row r="103" spans="1:8" ht="57">
      <c r="A103" s="2" t="s">
        <v>1207</v>
      </c>
      <c r="B103" s="2" t="s">
        <v>1188</v>
      </c>
      <c r="C103" s="2" t="s">
        <v>1228</v>
      </c>
      <c r="D103" s="2" t="s">
        <v>1204</v>
      </c>
      <c r="E103" s="2" t="s">
        <v>1229</v>
      </c>
      <c r="F103" s="2" t="s">
        <v>1230</v>
      </c>
      <c r="G103" s="2" t="s">
        <v>925</v>
      </c>
      <c r="H103" s="2" t="s">
        <v>1231</v>
      </c>
    </row>
    <row r="104" spans="1:8" ht="28.5">
      <c r="A104" s="2" t="s">
        <v>1231</v>
      </c>
      <c r="B104" s="2" t="s">
        <v>1188</v>
      </c>
      <c r="C104" s="2" t="s">
        <v>1232</v>
      </c>
      <c r="D104" s="2" t="s">
        <v>1204</v>
      </c>
      <c r="E104" s="2" t="s">
        <v>1233</v>
      </c>
      <c r="F104" s="2" t="s">
        <v>1234</v>
      </c>
      <c r="G104" s="2" t="s">
        <v>925</v>
      </c>
      <c r="H104" s="2" t="s">
        <v>1235</v>
      </c>
    </row>
    <row r="105" spans="1:8" ht="28.5">
      <c r="A105" s="2" t="s">
        <v>1235</v>
      </c>
      <c r="B105" s="2" t="s">
        <v>1188</v>
      </c>
      <c r="C105" s="2" t="s">
        <v>1236</v>
      </c>
      <c r="D105" s="2" t="s">
        <v>1204</v>
      </c>
      <c r="E105" s="2" t="s">
        <v>1233</v>
      </c>
      <c r="F105" s="2" t="s">
        <v>1234</v>
      </c>
      <c r="G105" s="2" t="s">
        <v>925</v>
      </c>
      <c r="H105" s="2" t="s">
        <v>1237</v>
      </c>
    </row>
    <row r="106" spans="1:8" ht="42.75">
      <c r="A106" s="2" t="s">
        <v>1237</v>
      </c>
      <c r="B106" s="2" t="s">
        <v>1188</v>
      </c>
      <c r="C106" s="2" t="s">
        <v>1238</v>
      </c>
      <c r="D106" s="2" t="s">
        <v>1239</v>
      </c>
      <c r="E106" s="2" t="s">
        <v>1240</v>
      </c>
      <c r="F106" s="2" t="s">
        <v>1234</v>
      </c>
      <c r="G106" s="2" t="s">
        <v>925</v>
      </c>
      <c r="H106" s="2" t="s">
        <v>1241</v>
      </c>
    </row>
    <row r="107" spans="1:8" ht="30">
      <c r="A107" s="37" t="s">
        <v>1242</v>
      </c>
      <c r="B107" s="37" t="s">
        <v>1243</v>
      </c>
      <c r="C107" s="37" t="s">
        <v>1244</v>
      </c>
      <c r="D107" s="37" t="s">
        <v>1245</v>
      </c>
      <c r="E107" s="37" t="s">
        <v>1246</v>
      </c>
      <c r="F107" s="37" t="s">
        <v>1247</v>
      </c>
      <c r="G107" s="37" t="s">
        <v>1248</v>
      </c>
      <c r="H107" s="37" t="s">
        <v>61</v>
      </c>
    </row>
    <row r="108" spans="1:8" ht="42.75">
      <c r="A108" s="2" t="s">
        <v>1249</v>
      </c>
      <c r="B108" s="2" t="s">
        <v>1250</v>
      </c>
      <c r="C108" s="2" t="s">
        <v>1251</v>
      </c>
      <c r="D108" s="2" t="s">
        <v>1252</v>
      </c>
      <c r="E108" s="2" t="s">
        <v>1253</v>
      </c>
      <c r="F108" s="2" t="s">
        <v>1254</v>
      </c>
      <c r="G108" s="2" t="s">
        <v>1255</v>
      </c>
      <c r="H108" s="2" t="s">
        <v>874</v>
      </c>
    </row>
    <row r="109" spans="1:8" ht="30">
      <c r="A109" s="38" t="s">
        <v>1256</v>
      </c>
      <c r="B109" s="38" t="s">
        <v>1073</v>
      </c>
      <c r="C109" s="38" t="s">
        <v>1080</v>
      </c>
      <c r="D109" s="38" t="s">
        <v>1257</v>
      </c>
      <c r="E109" s="38" t="s">
        <v>1258</v>
      </c>
      <c r="F109" s="38" t="s">
        <v>1259</v>
      </c>
      <c r="G109" s="38" t="s">
        <v>1260</v>
      </c>
      <c r="H109" s="38" t="s">
        <v>1186</v>
      </c>
    </row>
    <row r="110" spans="1:8" ht="142.5">
      <c r="A110" s="2" t="s">
        <v>1261</v>
      </c>
      <c r="B110" s="2" t="s">
        <v>1262</v>
      </c>
      <c r="C110" s="2" t="s">
        <v>1263</v>
      </c>
      <c r="D110" s="2" t="s">
        <v>1264</v>
      </c>
      <c r="E110" s="2" t="s">
        <v>1265</v>
      </c>
      <c r="F110" s="2" t="s">
        <v>1226</v>
      </c>
      <c r="G110" s="2" t="s">
        <v>1266</v>
      </c>
      <c r="H110" s="2" t="s">
        <v>925</v>
      </c>
    </row>
    <row r="111" spans="1:8" ht="30">
      <c r="A111" s="37" t="s">
        <v>1267</v>
      </c>
      <c r="B111" s="37" t="s">
        <v>1185</v>
      </c>
      <c r="C111" s="37" t="s">
        <v>1268</v>
      </c>
      <c r="D111" s="37" t="s">
        <v>1269</v>
      </c>
      <c r="E111" s="37" t="s">
        <v>1270</v>
      </c>
      <c r="F111" s="37" t="s">
        <v>1271</v>
      </c>
      <c r="G111" s="37" t="s">
        <v>1272</v>
      </c>
      <c r="H111" s="37" t="s">
        <v>1186</v>
      </c>
    </row>
    <row r="112" spans="1:8" ht="28.5">
      <c r="A112" s="2" t="s">
        <v>1273</v>
      </c>
      <c r="B112" s="2" t="s">
        <v>1274</v>
      </c>
      <c r="C112" s="2">
        <v>219</v>
      </c>
      <c r="D112" s="2" t="s">
        <v>1275</v>
      </c>
      <c r="E112" s="2" t="s">
        <v>1255</v>
      </c>
      <c r="F112" s="2" t="s">
        <v>1255</v>
      </c>
      <c r="G112" s="2" t="s">
        <v>1276</v>
      </c>
      <c r="H112" s="2" t="s">
        <v>925</v>
      </c>
    </row>
    <row r="113" spans="1:8" ht="57">
      <c r="A113" s="2" t="s">
        <v>1277</v>
      </c>
      <c r="B113" s="2" t="s">
        <v>1278</v>
      </c>
      <c r="C113" s="2">
        <v>164</v>
      </c>
      <c r="D113" s="2" t="s">
        <v>1279</v>
      </c>
      <c r="E113" s="2" t="s">
        <v>1255</v>
      </c>
      <c r="F113" s="2" t="s">
        <v>1255</v>
      </c>
      <c r="G113" s="2" t="s">
        <v>1276</v>
      </c>
      <c r="H113" s="2" t="s">
        <v>925</v>
      </c>
    </row>
    <row r="114" spans="1:8" ht="28.5">
      <c r="A114" s="2" t="s">
        <v>1280</v>
      </c>
      <c r="B114" s="2" t="s">
        <v>1281</v>
      </c>
      <c r="C114" s="2">
        <v>29</v>
      </c>
      <c r="D114" s="2">
        <v>0</v>
      </c>
      <c r="E114" s="2" t="s">
        <v>1282</v>
      </c>
      <c r="F114" s="2" t="s">
        <v>1283</v>
      </c>
      <c r="G114" s="2" t="s">
        <v>1276</v>
      </c>
      <c r="H114" s="2" t="s">
        <v>925</v>
      </c>
    </row>
    <row r="115" spans="1:8" ht="42.75">
      <c r="A115" s="2" t="s">
        <v>1284</v>
      </c>
      <c r="B115" s="2" t="s">
        <v>1285</v>
      </c>
      <c r="C115" s="2">
        <v>0</v>
      </c>
      <c r="D115" s="2">
        <v>0</v>
      </c>
      <c r="E115" s="2" t="s">
        <v>1286</v>
      </c>
      <c r="F115" s="2" t="s">
        <v>1287</v>
      </c>
      <c r="G115" s="2" t="s">
        <v>1276</v>
      </c>
      <c r="H115" s="2" t="s">
        <v>874</v>
      </c>
    </row>
    <row r="119" spans="1:8" ht="30">
      <c r="A119" s="37" t="s">
        <v>1288</v>
      </c>
      <c r="B119" s="37" t="s">
        <v>1289</v>
      </c>
      <c r="C119" s="37" t="s">
        <v>1290</v>
      </c>
      <c r="D119" s="37" t="s">
        <v>1291</v>
      </c>
      <c r="E119" s="37" t="s">
        <v>1292</v>
      </c>
      <c r="F119" s="37" t="s">
        <v>1293</v>
      </c>
      <c r="G119" s="37" t="s">
        <v>1294</v>
      </c>
      <c r="H119" s="37" t="s">
        <v>61</v>
      </c>
    </row>
    <row r="120" spans="1:8" ht="28.5">
      <c r="A120" s="2" t="s">
        <v>1295</v>
      </c>
      <c r="B120" s="2">
        <v>5</v>
      </c>
      <c r="C120" s="2">
        <v>4742</v>
      </c>
      <c r="D120" s="2">
        <v>0</v>
      </c>
      <c r="E120" s="2">
        <v>0</v>
      </c>
      <c r="F120" s="39">
        <v>201692.54814</v>
      </c>
      <c r="G120" s="39">
        <v>201327.66894</v>
      </c>
      <c r="H120" s="2" t="s">
        <v>874</v>
      </c>
    </row>
    <row r="121" spans="1:8" ht="30">
      <c r="A121" s="37" t="s">
        <v>1296</v>
      </c>
      <c r="B121" s="37" t="s">
        <v>1297</v>
      </c>
      <c r="C121" s="37" t="s">
        <v>1290</v>
      </c>
      <c r="D121" s="37" t="s">
        <v>86</v>
      </c>
      <c r="E121" s="37" t="s">
        <v>89</v>
      </c>
      <c r="F121" s="37" t="s">
        <v>413</v>
      </c>
      <c r="G121" s="37" t="s">
        <v>1261</v>
      </c>
      <c r="H121" s="37" t="s">
        <v>61</v>
      </c>
    </row>
    <row r="122" spans="1:8" ht="71.25">
      <c r="A122" s="2" t="s">
        <v>1298</v>
      </c>
      <c r="B122" s="2" t="s">
        <v>1299</v>
      </c>
      <c r="C122" s="2">
        <v>4742</v>
      </c>
      <c r="D122" s="39">
        <v>5682935.0499999998</v>
      </c>
      <c r="E122" s="39">
        <v>4012118.8400000301</v>
      </c>
      <c r="F122" s="39">
        <v>150211.23293999999</v>
      </c>
      <c r="G122" s="2" t="s">
        <v>1300</v>
      </c>
      <c r="H122" s="2" t="s">
        <v>874</v>
      </c>
    </row>
    <row r="123" spans="1:8" ht="42.75">
      <c r="A123" s="2" t="s">
        <v>1301</v>
      </c>
      <c r="B123" s="2" t="s">
        <v>1302</v>
      </c>
      <c r="C123" s="2">
        <v>4742</v>
      </c>
      <c r="D123" s="40">
        <v>0</v>
      </c>
      <c r="E123" s="40">
        <v>0</v>
      </c>
      <c r="F123" s="40">
        <v>0</v>
      </c>
      <c r="G123" s="2" t="s">
        <v>1303</v>
      </c>
      <c r="H123" s="2" t="s">
        <v>925</v>
      </c>
    </row>
    <row r="124" spans="1:8" ht="57">
      <c r="A124" s="2" t="s">
        <v>1304</v>
      </c>
      <c r="B124" s="2" t="s">
        <v>1305</v>
      </c>
      <c r="C124" s="2"/>
      <c r="D124" s="39">
        <v>0</v>
      </c>
      <c r="E124" s="39">
        <v>1059491.4000000299</v>
      </c>
      <c r="F124" s="39">
        <v>-106318.3524</v>
      </c>
      <c r="G124" s="2" t="s">
        <v>1306</v>
      </c>
      <c r="H124" s="2" t="s">
        <v>1307</v>
      </c>
    </row>
    <row r="125" spans="1:8" ht="171">
      <c r="A125" s="2" t="s">
        <v>1187</v>
      </c>
      <c r="B125" s="2" t="s">
        <v>1308</v>
      </c>
      <c r="C125" s="2" t="s">
        <v>1309</v>
      </c>
      <c r="D125" s="2"/>
      <c r="E125" s="2"/>
      <c r="F125" s="2"/>
      <c r="G125" s="2" t="s">
        <v>1310</v>
      </c>
      <c r="H125" s="2" t="s">
        <v>19</v>
      </c>
    </row>
    <row r="127" spans="1:8" ht="18">
      <c r="A127" s="277" t="s">
        <v>1311</v>
      </c>
      <c r="B127" s="277"/>
      <c r="C127" s="277"/>
      <c r="D127" s="277"/>
      <c r="E127" s="277"/>
      <c r="F127" s="277"/>
      <c r="G127" s="277"/>
      <c r="H127" s="277"/>
    </row>
    <row r="128" spans="1:8">
      <c r="A128" s="278" t="s">
        <v>1312</v>
      </c>
      <c r="B128" s="278"/>
      <c r="C128" s="278"/>
      <c r="D128" s="278"/>
      <c r="E128" s="278"/>
      <c r="F128" s="278"/>
      <c r="G128" s="278"/>
      <c r="H128" s="278"/>
    </row>
    <row r="130" spans="1:8" ht="15">
      <c r="A130" s="41" t="s">
        <v>59</v>
      </c>
      <c r="B130" s="41" t="s">
        <v>916</v>
      </c>
      <c r="C130" s="41" t="s">
        <v>59</v>
      </c>
      <c r="D130" s="41" t="s">
        <v>916</v>
      </c>
      <c r="E130" s="41" t="s">
        <v>59</v>
      </c>
      <c r="F130" s="41" t="s">
        <v>916</v>
      </c>
      <c r="G130" s="41" t="s">
        <v>59</v>
      </c>
      <c r="H130" s="41" t="s">
        <v>916</v>
      </c>
    </row>
    <row r="131" spans="1:8" ht="15">
      <c r="A131" s="42" t="s">
        <v>1313</v>
      </c>
      <c r="B131" s="6" t="e">
        <f>ROWS(#REF!)</f>
        <v>#REF!</v>
      </c>
      <c r="C131" s="43" t="s">
        <v>1290</v>
      </c>
      <c r="D131" s="6" t="e">
        <f>COUNTIF(#REF!,"&gt;0")</f>
        <v>#REF!</v>
      </c>
      <c r="E131" s="42" t="s">
        <v>1314</v>
      </c>
      <c r="F131" s="44" t="e">
        <f>SUM(#REF!)</f>
        <v>#REF!</v>
      </c>
      <c r="G131" s="45" t="s">
        <v>1315</v>
      </c>
      <c r="H131" s="44" t="e">
        <f>SUM(#REF!)</f>
        <v>#REF!</v>
      </c>
    </row>
    <row r="132" spans="1:8" ht="15">
      <c r="A132" s="42" t="s">
        <v>1316</v>
      </c>
      <c r="B132" s="7" t="e">
        <f>SUM(#REF!)</f>
        <v>#REF!</v>
      </c>
      <c r="C132" s="43" t="s">
        <v>1317</v>
      </c>
      <c r="D132" s="6">
        <f>ROWS(A138:A162)</f>
        <v>25</v>
      </c>
      <c r="E132" s="42" t="s">
        <v>1318</v>
      </c>
      <c r="F132" s="46">
        <f>COUNTA(_xlfn.UNIQUE(B138:B162))</f>
        <v>1</v>
      </c>
      <c r="G132" s="42" t="s">
        <v>1319</v>
      </c>
      <c r="H132" s="46">
        <f>COUNTA(_xlfn.UNIQUE(D138:D162))</f>
        <v>1</v>
      </c>
    </row>
    <row r="133" spans="1:8" ht="15">
      <c r="A133" s="42" t="s">
        <v>1320</v>
      </c>
      <c r="B133" s="6">
        <f>COUNTA(_xlfn.UNIQUE(C138:C162))</f>
        <v>1</v>
      </c>
      <c r="C133" s="43" t="s">
        <v>1321</v>
      </c>
      <c r="D133" s="6">
        <f>COUNTIF(H138:H162,"PASS*")</f>
        <v>0</v>
      </c>
      <c r="E133" s="42" t="s">
        <v>1322</v>
      </c>
      <c r="F133" s="46">
        <f>COUNTIF(H138:H162,"*OVERRIDE*")</f>
        <v>0</v>
      </c>
      <c r="G133" s="42" t="s">
        <v>1323</v>
      </c>
      <c r="H133" s="46" t="e">
        <f>IF(AND(D131=4742,ROUND(F131,2)=5682935.05,ROUND(H131,2)=4012118.84,ROUND(B132,2)=150211.23,D133=25,F133=3),"PASS","FAIL")</f>
        <v>#REF!</v>
      </c>
    </row>
    <row r="135" spans="1:8" ht="15">
      <c r="A135" s="216" t="s">
        <v>1324</v>
      </c>
      <c r="B135" s="216"/>
      <c r="C135" s="216"/>
      <c r="D135" s="216"/>
      <c r="E135" s="216"/>
      <c r="F135" s="216"/>
      <c r="G135" s="216"/>
      <c r="H135" s="216"/>
    </row>
    <row r="137" spans="1:8" ht="15">
      <c r="A137" s="41" t="s">
        <v>1325</v>
      </c>
      <c r="B137" s="41" t="s">
        <v>80</v>
      </c>
      <c r="C137" s="41" t="s">
        <v>82</v>
      </c>
      <c r="D137" s="41" t="s">
        <v>376</v>
      </c>
      <c r="E137" s="41" t="s">
        <v>86</v>
      </c>
      <c r="F137" s="41" t="s">
        <v>89</v>
      </c>
      <c r="G137" s="41" t="s">
        <v>413</v>
      </c>
      <c r="H137" s="41" t="s">
        <v>1326</v>
      </c>
    </row>
    <row r="138" spans="1:8">
      <c r="A138" s="47">
        <v>227</v>
      </c>
      <c r="B138" s="47" t="e">
        <f>#REF!</f>
        <v>#REF!</v>
      </c>
      <c r="C138" s="48" t="e">
        <f>#REF!</f>
        <v>#REF!</v>
      </c>
      <c r="D138" s="49" t="e">
        <f>#REF!</f>
        <v>#REF!</v>
      </c>
      <c r="E138" s="50" t="e">
        <f>#REF!</f>
        <v>#REF!</v>
      </c>
      <c r="F138" s="50" t="e">
        <f>#REF!</f>
        <v>#REF!</v>
      </c>
      <c r="G138" s="50" t="e">
        <f>#REF!</f>
        <v>#REF!</v>
      </c>
      <c r="H138" s="49" t="e">
        <f>IF(AND(IF(OR(A138=227,A138=394,A138=434),TRUE,ABS(#REF!-(N(#REF!)*N(#REF!)+N(#REF!)))&lt;0.01),ABS(#REF!-(N(#REF!)*N(#REF!)))&lt;0.01,ABS(#REF!-IF(#REF!="Store",0,N(#REF!)*30%))&lt;0.01),"PASS"&amp;IF(OR(A138=227,A138=394,A138=434)," — OVERRIDE",""),"FAIL")</f>
        <v>#REF!</v>
      </c>
    </row>
    <row r="139" spans="1:8">
      <c r="A139" s="51">
        <v>394</v>
      </c>
      <c r="B139" s="51" t="e">
        <f>#REF!</f>
        <v>#REF!</v>
      </c>
      <c r="C139" s="52" t="e">
        <f>#REF!</f>
        <v>#REF!</v>
      </c>
      <c r="D139" s="53" t="e">
        <f>#REF!</f>
        <v>#REF!</v>
      </c>
      <c r="E139" s="54" t="e">
        <f>#REF!</f>
        <v>#REF!</v>
      </c>
      <c r="F139" s="54" t="e">
        <f>#REF!</f>
        <v>#REF!</v>
      </c>
      <c r="G139" s="54" t="e">
        <f>#REF!</f>
        <v>#REF!</v>
      </c>
      <c r="H139" s="53" t="e">
        <f>IF(AND(IF(OR(A139=227,A139=394,A139=434),TRUE,ABS(#REF!-(N(#REF!)*N(#REF!)+N(#REF!)))&lt;0.01),ABS(#REF!-(N(#REF!)*N(#REF!)))&lt;0.01,ABS(#REF!-IF(#REF!="Store",0,N(#REF!)*30%))&lt;0.01),"PASS"&amp;IF(OR(A139=227,A139=394,A139=434)," — OVERRIDE",""),"FAIL")</f>
        <v>#REF!</v>
      </c>
    </row>
    <row r="140" spans="1:8" ht="28.5">
      <c r="A140" s="51">
        <v>434</v>
      </c>
      <c r="B140" s="51" t="e">
        <f>#REF!</f>
        <v>#REF!</v>
      </c>
      <c r="C140" s="52" t="e">
        <f>#REF!</f>
        <v>#REF!</v>
      </c>
      <c r="D140" s="53" t="e">
        <f>#REF!</f>
        <v>#REF!</v>
      </c>
      <c r="E140" s="54" t="e">
        <f>#REF!</f>
        <v>#REF!</v>
      </c>
      <c r="F140" s="54" t="e">
        <f>#REF!</f>
        <v>#REF!</v>
      </c>
      <c r="G140" s="54" t="e">
        <f>#REF!</f>
        <v>#REF!</v>
      </c>
      <c r="H140" s="53" t="e">
        <f>IF(AND(IF(OR(A140=227,A140=394,A140=434),TRUE,ABS(#REF!-(N(#REF!)*N(#REF!)+N(#REF!)))&lt;0.01),ABS(#REF!-(N(#REF!)*N(#REF!)))&lt;0.01,ABS(#REF!-IF(#REF!="Store",0,N(#REF!)*30%))&lt;0.01),"PASS"&amp;IF(OR(A140=227,A140=394,A140=434)," — OVERRIDE",""),"FAIL")</f>
        <v>#REF!</v>
      </c>
    </row>
    <row r="141" spans="1:8">
      <c r="A141" s="51">
        <v>7</v>
      </c>
      <c r="B141" s="51" t="e">
        <f>#REF!</f>
        <v>#REF!</v>
      </c>
      <c r="C141" s="52" t="e">
        <f>#REF!</f>
        <v>#REF!</v>
      </c>
      <c r="D141" s="53" t="e">
        <f>#REF!</f>
        <v>#REF!</v>
      </c>
      <c r="E141" s="54" t="e">
        <f>#REF!</f>
        <v>#REF!</v>
      </c>
      <c r="F141" s="54" t="e">
        <f>#REF!</f>
        <v>#REF!</v>
      </c>
      <c r="G141" s="54" t="e">
        <f>#REF!</f>
        <v>#REF!</v>
      </c>
      <c r="H141" s="53" t="e">
        <f>IF(AND(IF(OR(A141=227,A141=394,A141=434),TRUE,ABS(#REF!-(N(#REF!)*N(#REF!)+N(#REF!)))&lt;0.01),ABS(#REF!-(N(#REF!)*N(#REF!)))&lt;0.01,ABS(#REF!-IF(#REF!="Store",0,N(#REF!)*30%))&lt;0.01),"PASS"&amp;IF(OR(A141=227,A141=394,A141=434)," — OVERRIDE",""),"FAIL")</f>
        <v>#REF!</v>
      </c>
    </row>
    <row r="142" spans="1:8">
      <c r="A142" s="51">
        <v>40</v>
      </c>
      <c r="B142" s="51" t="e">
        <f>#REF!</f>
        <v>#REF!</v>
      </c>
      <c r="C142" s="52" t="e">
        <f>#REF!</f>
        <v>#REF!</v>
      </c>
      <c r="D142" s="53" t="e">
        <f>#REF!</f>
        <v>#REF!</v>
      </c>
      <c r="E142" s="54" t="e">
        <f>#REF!</f>
        <v>#REF!</v>
      </c>
      <c r="F142" s="54" t="e">
        <f>#REF!</f>
        <v>#REF!</v>
      </c>
      <c r="G142" s="54" t="e">
        <f>#REF!</f>
        <v>#REF!</v>
      </c>
      <c r="H142" s="53" t="e">
        <f>IF(AND(IF(OR(A142=227,A142=394,A142=434),TRUE,ABS(#REF!-(N(#REF!)*N(#REF!)+N(#REF!)))&lt;0.01),ABS(#REF!-(N(#REF!)*N(#REF!)))&lt;0.01,ABS(#REF!-IF(#REF!="Store",0,N(#REF!)*30%))&lt;0.01),"PASS"&amp;IF(OR(A142=227,A142=394,A142=434)," — OVERRIDE",""),"FAIL")</f>
        <v>#REF!</v>
      </c>
    </row>
    <row r="143" spans="1:8">
      <c r="A143" s="51">
        <v>105</v>
      </c>
      <c r="B143" s="51" t="e">
        <f>#REF!</f>
        <v>#REF!</v>
      </c>
      <c r="C143" s="52" t="e">
        <f>#REF!</f>
        <v>#REF!</v>
      </c>
      <c r="D143" s="53" t="e">
        <f>#REF!</f>
        <v>#REF!</v>
      </c>
      <c r="E143" s="54" t="e">
        <f>#REF!</f>
        <v>#REF!</v>
      </c>
      <c r="F143" s="54" t="e">
        <f>#REF!</f>
        <v>#REF!</v>
      </c>
      <c r="G143" s="54" t="e">
        <f>#REF!</f>
        <v>#REF!</v>
      </c>
      <c r="H143" s="53" t="e">
        <f>IF(AND(IF(OR(A143=227,A143=394,A143=434),TRUE,ABS(#REF!-(N(#REF!)*N(#REF!)+N(#REF!)))&lt;0.01),ABS(#REF!-(N(#REF!)*N(#REF!)))&lt;0.01,ABS(#REF!-IF(#REF!="Store",0,N(#REF!)*30%))&lt;0.01),"PASS"&amp;IF(OR(A143=227,A143=394,A143=434)," — OVERRIDE",""),"FAIL")</f>
        <v>#REF!</v>
      </c>
    </row>
    <row r="144" spans="1:8">
      <c r="A144" s="51">
        <v>165</v>
      </c>
      <c r="B144" s="51" t="e">
        <f>#REF!</f>
        <v>#REF!</v>
      </c>
      <c r="C144" s="52" t="e">
        <f>#REF!</f>
        <v>#REF!</v>
      </c>
      <c r="D144" s="53" t="e">
        <f>#REF!</f>
        <v>#REF!</v>
      </c>
      <c r="E144" s="54" t="e">
        <f>#REF!</f>
        <v>#REF!</v>
      </c>
      <c r="F144" s="54" t="e">
        <f>#REF!</f>
        <v>#REF!</v>
      </c>
      <c r="G144" s="54" t="e">
        <f>#REF!</f>
        <v>#REF!</v>
      </c>
      <c r="H144" s="53" t="e">
        <f>IF(AND(IF(OR(A144=227,A144=394,A144=434),TRUE,ABS(#REF!-(N(#REF!)*N(#REF!)+N(#REF!)))&lt;0.01),ABS(#REF!-(N(#REF!)*N(#REF!)))&lt;0.01,ABS(#REF!-IF(#REF!="Store",0,N(#REF!)*30%))&lt;0.01),"PASS"&amp;IF(OR(A144=227,A144=394,A144=434)," — OVERRIDE",""),"FAIL")</f>
        <v>#REF!</v>
      </c>
    </row>
    <row r="145" spans="1:8">
      <c r="A145" s="51">
        <v>214</v>
      </c>
      <c r="B145" s="51" t="e">
        <f>#REF!</f>
        <v>#REF!</v>
      </c>
      <c r="C145" s="52" t="e">
        <f>#REF!</f>
        <v>#REF!</v>
      </c>
      <c r="D145" s="53" t="e">
        <f>#REF!</f>
        <v>#REF!</v>
      </c>
      <c r="E145" s="54" t="e">
        <f>#REF!</f>
        <v>#REF!</v>
      </c>
      <c r="F145" s="54" t="e">
        <f>#REF!</f>
        <v>#REF!</v>
      </c>
      <c r="G145" s="54" t="e">
        <f>#REF!</f>
        <v>#REF!</v>
      </c>
      <c r="H145" s="53" t="e">
        <f>IF(AND(IF(OR(A145=227,A145=394,A145=434),TRUE,ABS(#REF!-(N(#REF!)*N(#REF!)+N(#REF!)))&lt;0.01),ABS(#REF!-(N(#REF!)*N(#REF!)))&lt;0.01,ABS(#REF!-IF(#REF!="Store",0,N(#REF!)*30%))&lt;0.01),"PASS"&amp;IF(OR(A145=227,A145=394,A145=434)," — OVERRIDE",""),"FAIL")</f>
        <v>#REF!</v>
      </c>
    </row>
    <row r="146" spans="1:8">
      <c r="A146" s="51">
        <v>229</v>
      </c>
      <c r="B146" s="51" t="e">
        <f>#REF!</f>
        <v>#REF!</v>
      </c>
      <c r="C146" s="52" t="e">
        <f>#REF!</f>
        <v>#REF!</v>
      </c>
      <c r="D146" s="53" t="e">
        <f>#REF!</f>
        <v>#REF!</v>
      </c>
      <c r="E146" s="54" t="e">
        <f>#REF!</f>
        <v>#REF!</v>
      </c>
      <c r="F146" s="54" t="e">
        <f>#REF!</f>
        <v>#REF!</v>
      </c>
      <c r="G146" s="54" t="e">
        <f>#REF!</f>
        <v>#REF!</v>
      </c>
      <c r="H146" s="53" t="e">
        <f>IF(AND(IF(OR(A146=227,A146=394,A146=434),TRUE,ABS(#REF!-(N(#REF!)*N(#REF!)+N(#REF!)))&lt;0.01),ABS(#REF!-(N(#REF!)*N(#REF!)))&lt;0.01,ABS(#REF!-IF(#REF!="Store",0,N(#REF!)*30%))&lt;0.01),"PASS"&amp;IF(OR(A146=227,A146=394,A146=434)," — OVERRIDE",""),"FAIL")</f>
        <v>#REF!</v>
      </c>
    </row>
    <row r="147" spans="1:8">
      <c r="A147" s="51">
        <v>3999</v>
      </c>
      <c r="B147" s="51" t="e">
        <f>#REF!</f>
        <v>#REF!</v>
      </c>
      <c r="C147" s="52" t="e">
        <f>#REF!</f>
        <v>#REF!</v>
      </c>
      <c r="D147" s="53" t="e">
        <f>#REF!</f>
        <v>#REF!</v>
      </c>
      <c r="E147" s="54" t="e">
        <f>#REF!</f>
        <v>#REF!</v>
      </c>
      <c r="F147" s="54" t="e">
        <f>#REF!</f>
        <v>#REF!</v>
      </c>
      <c r="G147" s="54" t="e">
        <f>#REF!</f>
        <v>#REF!</v>
      </c>
      <c r="H147" s="53" t="e">
        <f>IF(AND(IF(OR(A147=227,A147=394,A147=434),TRUE,ABS(#REF!-(N(#REF!)*N(#REF!)+N(#REF!)))&lt;0.01),ABS(#REF!-(N(#REF!)*N(#REF!)))&lt;0.01,ABS(#REF!-IF(#REF!="Store",0,N(#REF!)*30%))&lt;0.01),"PASS"&amp;IF(OR(A147=227,A147=394,A147=434)," — OVERRIDE",""),"FAIL")</f>
        <v>#REF!</v>
      </c>
    </row>
    <row r="148" spans="1:8">
      <c r="A148" s="51">
        <v>4759</v>
      </c>
      <c r="B148" s="51" t="e">
        <f>#REF!</f>
        <v>#REF!</v>
      </c>
      <c r="C148" s="52" t="e">
        <f>#REF!</f>
        <v>#REF!</v>
      </c>
      <c r="D148" s="53" t="e">
        <f>#REF!</f>
        <v>#REF!</v>
      </c>
      <c r="E148" s="54" t="e">
        <f>#REF!</f>
        <v>#REF!</v>
      </c>
      <c r="F148" s="54" t="e">
        <f>#REF!</f>
        <v>#REF!</v>
      </c>
      <c r="G148" s="54" t="e">
        <f>#REF!</f>
        <v>#REF!</v>
      </c>
      <c r="H148" s="53" t="e">
        <f>IF(AND(IF(OR(A148=227,A148=394,A148=434),TRUE,ABS(#REF!-(N(#REF!)*N(#REF!)+N(#REF!)))&lt;0.01),ABS(#REF!-(N(#REF!)*N(#REF!)))&lt;0.01,ABS(#REF!-IF(#REF!="Store",0,N(#REF!)*30%))&lt;0.01),"PASS"&amp;IF(OR(A148=227,A148=394,A148=434)," — OVERRIDE",""),"FAIL")</f>
        <v>#REF!</v>
      </c>
    </row>
    <row r="149" spans="1:8">
      <c r="A149" s="51">
        <v>22</v>
      </c>
      <c r="B149" s="51" t="e">
        <f>#REF!</f>
        <v>#REF!</v>
      </c>
      <c r="C149" s="52" t="e">
        <f>#REF!</f>
        <v>#REF!</v>
      </c>
      <c r="D149" s="53" t="e">
        <f>#REF!</f>
        <v>#REF!</v>
      </c>
      <c r="E149" s="54" t="e">
        <f>#REF!</f>
        <v>#REF!</v>
      </c>
      <c r="F149" s="54" t="e">
        <f>#REF!</f>
        <v>#REF!</v>
      </c>
      <c r="G149" s="54" t="e">
        <f>#REF!</f>
        <v>#REF!</v>
      </c>
      <c r="H149" s="53" t="e">
        <f>IF(AND(IF(OR(A149=227,A149=394,A149=434),TRUE,ABS(#REF!-(N(#REF!)*N(#REF!)+N(#REF!)))&lt;0.01),ABS(#REF!-(N(#REF!)*N(#REF!)))&lt;0.01,ABS(#REF!-IF(#REF!="Store",0,N(#REF!)*30%))&lt;0.01),"PASS"&amp;IF(OR(A149=227,A149=394,A149=434)," — OVERRIDE",""),"FAIL")</f>
        <v>#REF!</v>
      </c>
    </row>
    <row r="150" spans="1:8" ht="28.5">
      <c r="A150" s="51">
        <v>11</v>
      </c>
      <c r="B150" s="51" t="e">
        <f>#REF!</f>
        <v>#REF!</v>
      </c>
      <c r="C150" s="52" t="e">
        <f>#REF!</f>
        <v>#REF!</v>
      </c>
      <c r="D150" s="53" t="e">
        <f>#REF!</f>
        <v>#REF!</v>
      </c>
      <c r="E150" s="54" t="e">
        <f>#REF!</f>
        <v>#REF!</v>
      </c>
      <c r="F150" s="54" t="e">
        <f>#REF!</f>
        <v>#REF!</v>
      </c>
      <c r="G150" s="54" t="e">
        <f>#REF!</f>
        <v>#REF!</v>
      </c>
      <c r="H150" s="53" t="e">
        <f>IF(AND(IF(OR(A150=227,A150=394,A150=434),TRUE,ABS(#REF!-(N(#REF!)*N(#REF!)+N(#REF!)))&lt;0.01),ABS(#REF!-(N(#REF!)*N(#REF!)))&lt;0.01,ABS(#REF!-IF(#REF!="Store",0,N(#REF!)*30%))&lt;0.01),"PASS"&amp;IF(OR(A150=227,A150=394,A150=434)," — OVERRIDE",""),"FAIL")</f>
        <v>#REF!</v>
      </c>
    </row>
    <row r="151" spans="1:8">
      <c r="A151" s="51">
        <v>295</v>
      </c>
      <c r="B151" s="51" t="e">
        <f>#REF!</f>
        <v>#REF!</v>
      </c>
      <c r="C151" s="52" t="e">
        <f>#REF!</f>
        <v>#REF!</v>
      </c>
      <c r="D151" s="53" t="e">
        <f>#REF!</f>
        <v>#REF!</v>
      </c>
      <c r="E151" s="54" t="e">
        <f>#REF!</f>
        <v>#REF!</v>
      </c>
      <c r="F151" s="54" t="e">
        <f>#REF!</f>
        <v>#REF!</v>
      </c>
      <c r="G151" s="54" t="e">
        <f>#REF!</f>
        <v>#REF!</v>
      </c>
      <c r="H151" s="53" t="e">
        <f>IF(AND(IF(OR(A151=227,A151=394,A151=434),TRUE,ABS(#REF!-(N(#REF!)*N(#REF!)+N(#REF!)))&lt;0.01),ABS(#REF!-(N(#REF!)*N(#REF!)))&lt;0.01,ABS(#REF!-IF(#REF!="Store",0,N(#REF!)*30%))&lt;0.01),"PASS"&amp;IF(OR(A151=227,A151=394,A151=434)," — OVERRIDE",""),"FAIL")</f>
        <v>#REF!</v>
      </c>
    </row>
    <row r="152" spans="1:8">
      <c r="A152" s="51">
        <v>211</v>
      </c>
      <c r="B152" s="51" t="e">
        <f>#REF!</f>
        <v>#REF!</v>
      </c>
      <c r="C152" s="52" t="e">
        <f>#REF!</f>
        <v>#REF!</v>
      </c>
      <c r="D152" s="53" t="e">
        <f>#REF!</f>
        <v>#REF!</v>
      </c>
      <c r="E152" s="54" t="e">
        <f>#REF!</f>
        <v>#REF!</v>
      </c>
      <c r="F152" s="54" t="e">
        <f>#REF!</f>
        <v>#REF!</v>
      </c>
      <c r="G152" s="54" t="e">
        <f>#REF!</f>
        <v>#REF!</v>
      </c>
      <c r="H152" s="53" t="e">
        <f>IF(AND(IF(OR(A152=227,A152=394,A152=434),TRUE,ABS(#REF!-(N(#REF!)*N(#REF!)+N(#REF!)))&lt;0.01),ABS(#REF!-(N(#REF!)*N(#REF!)))&lt;0.01,ABS(#REF!-IF(#REF!="Store",0,N(#REF!)*30%))&lt;0.01),"PASS"&amp;IF(OR(A152=227,A152=394,A152=434)," — OVERRIDE",""),"FAIL")</f>
        <v>#REF!</v>
      </c>
    </row>
    <row r="153" spans="1:8">
      <c r="A153" s="51">
        <v>565</v>
      </c>
      <c r="B153" s="51" t="e">
        <f>#REF!</f>
        <v>#REF!</v>
      </c>
      <c r="C153" s="52" t="e">
        <f>#REF!</f>
        <v>#REF!</v>
      </c>
      <c r="D153" s="53" t="e">
        <f>#REF!</f>
        <v>#REF!</v>
      </c>
      <c r="E153" s="54" t="e">
        <f>#REF!</f>
        <v>#REF!</v>
      </c>
      <c r="F153" s="54" t="e">
        <f>#REF!</f>
        <v>#REF!</v>
      </c>
      <c r="G153" s="54" t="e">
        <f>#REF!</f>
        <v>#REF!</v>
      </c>
      <c r="H153" s="53" t="e">
        <f>IF(AND(IF(OR(A153=227,A153=394,A153=434),TRUE,ABS(#REF!-(N(#REF!)*N(#REF!)+N(#REF!)))&lt;0.01),ABS(#REF!-(N(#REF!)*N(#REF!)))&lt;0.01,ABS(#REF!-IF(#REF!="Store",0,N(#REF!)*30%))&lt;0.01),"PASS"&amp;IF(OR(A153=227,A153=394,A153=434)," — OVERRIDE",""),"FAIL")</f>
        <v>#REF!</v>
      </c>
    </row>
    <row r="154" spans="1:8">
      <c r="A154" s="51">
        <v>178</v>
      </c>
      <c r="B154" s="51" t="e">
        <f>#REF!</f>
        <v>#REF!</v>
      </c>
      <c r="C154" s="52" t="e">
        <f>#REF!</f>
        <v>#REF!</v>
      </c>
      <c r="D154" s="53" t="e">
        <f>#REF!</f>
        <v>#REF!</v>
      </c>
      <c r="E154" s="54" t="e">
        <f>#REF!</f>
        <v>#REF!</v>
      </c>
      <c r="F154" s="54" t="e">
        <f>#REF!</f>
        <v>#REF!</v>
      </c>
      <c r="G154" s="54" t="e">
        <f>#REF!</f>
        <v>#REF!</v>
      </c>
      <c r="H154" s="53" t="e">
        <f>IF(AND(IF(OR(A154=227,A154=394,A154=434),TRUE,ABS(#REF!-(N(#REF!)*N(#REF!)+N(#REF!)))&lt;0.01),ABS(#REF!-(N(#REF!)*N(#REF!)))&lt;0.01,ABS(#REF!-IF(#REF!="Store",0,N(#REF!)*30%))&lt;0.01),"PASS"&amp;IF(OR(A154=227,A154=394,A154=434)," — OVERRIDE",""),"FAIL")</f>
        <v>#REF!</v>
      </c>
    </row>
    <row r="155" spans="1:8">
      <c r="A155" s="51">
        <v>293</v>
      </c>
      <c r="B155" s="51" t="e">
        <f>#REF!</f>
        <v>#REF!</v>
      </c>
      <c r="C155" s="52" t="e">
        <f>#REF!</f>
        <v>#REF!</v>
      </c>
      <c r="D155" s="53" t="e">
        <f>#REF!</f>
        <v>#REF!</v>
      </c>
      <c r="E155" s="54" t="e">
        <f>#REF!</f>
        <v>#REF!</v>
      </c>
      <c r="F155" s="54" t="e">
        <f>#REF!</f>
        <v>#REF!</v>
      </c>
      <c r="G155" s="54" t="e">
        <f>#REF!</f>
        <v>#REF!</v>
      </c>
      <c r="H155" s="53" t="e">
        <f>IF(AND(IF(OR(A155=227,A155=394,A155=434),TRUE,ABS(#REF!-(N(#REF!)*N(#REF!)+N(#REF!)))&lt;0.01),ABS(#REF!-(N(#REF!)*N(#REF!)))&lt;0.01,ABS(#REF!-IF(#REF!="Store",0,N(#REF!)*30%))&lt;0.01),"PASS"&amp;IF(OR(A155=227,A155=394,A155=434)," — OVERRIDE",""),"FAIL")</f>
        <v>#REF!</v>
      </c>
    </row>
    <row r="156" spans="1:8">
      <c r="A156" s="51">
        <v>42</v>
      </c>
      <c r="B156" s="51" t="e">
        <f>#REF!</f>
        <v>#REF!</v>
      </c>
      <c r="C156" s="52" t="e">
        <f>#REF!</f>
        <v>#REF!</v>
      </c>
      <c r="D156" s="53" t="e">
        <f>#REF!</f>
        <v>#REF!</v>
      </c>
      <c r="E156" s="54" t="e">
        <f>#REF!</f>
        <v>#REF!</v>
      </c>
      <c r="F156" s="54" t="e">
        <f>#REF!</f>
        <v>#REF!</v>
      </c>
      <c r="G156" s="54" t="e">
        <f>#REF!</f>
        <v>#REF!</v>
      </c>
      <c r="H156" s="53" t="e">
        <f>IF(AND(IF(OR(A156=227,A156=394,A156=434),TRUE,ABS(#REF!-(N(#REF!)*N(#REF!)+N(#REF!)))&lt;0.01),ABS(#REF!-(N(#REF!)*N(#REF!)))&lt;0.01,ABS(#REF!-IF(#REF!="Store",0,N(#REF!)*30%))&lt;0.01),"PASS"&amp;IF(OR(A156=227,A156=394,A156=434)," — OVERRIDE",""),"FAIL")</f>
        <v>#REF!</v>
      </c>
    </row>
    <row r="157" spans="1:8">
      <c r="A157" s="51">
        <v>33</v>
      </c>
      <c r="B157" s="51" t="e">
        <f>#REF!</f>
        <v>#REF!</v>
      </c>
      <c r="C157" s="52" t="e">
        <f>#REF!</f>
        <v>#REF!</v>
      </c>
      <c r="D157" s="53" t="e">
        <f>#REF!</f>
        <v>#REF!</v>
      </c>
      <c r="E157" s="54" t="e">
        <f>#REF!</f>
        <v>#REF!</v>
      </c>
      <c r="F157" s="54" t="e">
        <f>#REF!</f>
        <v>#REF!</v>
      </c>
      <c r="G157" s="54" t="e">
        <f>#REF!</f>
        <v>#REF!</v>
      </c>
      <c r="H157" s="53" t="e">
        <f>IF(AND(IF(OR(A157=227,A157=394,A157=434),TRUE,ABS(#REF!-(N(#REF!)*N(#REF!)+N(#REF!)))&lt;0.01),ABS(#REF!-(N(#REF!)*N(#REF!)))&lt;0.01,ABS(#REF!-IF(#REF!="Store",0,N(#REF!)*30%))&lt;0.01),"PASS"&amp;IF(OR(A157=227,A157=394,A157=434)," — OVERRIDE",""),"FAIL")</f>
        <v>#REF!</v>
      </c>
    </row>
    <row r="158" spans="1:8" ht="28.5">
      <c r="A158" s="51">
        <v>92</v>
      </c>
      <c r="B158" s="51" t="e">
        <f>#REF!</f>
        <v>#REF!</v>
      </c>
      <c r="C158" s="52" t="e">
        <f>#REF!</f>
        <v>#REF!</v>
      </c>
      <c r="D158" s="53" t="e">
        <f>#REF!</f>
        <v>#REF!</v>
      </c>
      <c r="E158" s="54" t="e">
        <f>#REF!</f>
        <v>#REF!</v>
      </c>
      <c r="F158" s="54" t="e">
        <f>#REF!</f>
        <v>#REF!</v>
      </c>
      <c r="G158" s="54" t="e">
        <f>#REF!</f>
        <v>#REF!</v>
      </c>
      <c r="H158" s="53" t="e">
        <f>IF(AND(IF(OR(A158=227,A158=394,A158=434),TRUE,ABS(#REF!-(N(#REF!)*N(#REF!)+N(#REF!)))&lt;0.01),ABS(#REF!-(N(#REF!)*N(#REF!)))&lt;0.01,ABS(#REF!-IF(#REF!="Store",0,N(#REF!)*30%))&lt;0.01),"PASS"&amp;IF(OR(A158=227,A158=394,A158=434)," — OVERRIDE",""),"FAIL")</f>
        <v>#REF!</v>
      </c>
    </row>
    <row r="159" spans="1:8">
      <c r="A159" s="51">
        <v>1192</v>
      </c>
      <c r="B159" s="51" t="e">
        <f>#REF!</f>
        <v>#REF!</v>
      </c>
      <c r="C159" s="52" t="e">
        <f>#REF!</f>
        <v>#REF!</v>
      </c>
      <c r="D159" s="53" t="e">
        <f>#REF!</f>
        <v>#REF!</v>
      </c>
      <c r="E159" s="54" t="e">
        <f>#REF!</f>
        <v>#REF!</v>
      </c>
      <c r="F159" s="54" t="e">
        <f>#REF!</f>
        <v>#REF!</v>
      </c>
      <c r="G159" s="54" t="e">
        <f>#REF!</f>
        <v>#REF!</v>
      </c>
      <c r="H159" s="53" t="e">
        <f>IF(AND(IF(OR(A159=227,A159=394,A159=434),TRUE,ABS(#REF!-(N(#REF!)*N(#REF!)+N(#REF!)))&lt;0.01),ABS(#REF!-(N(#REF!)*N(#REF!)))&lt;0.01,ABS(#REF!-IF(#REF!="Store",0,N(#REF!)*30%))&lt;0.01),"PASS"&amp;IF(OR(A159=227,A159=394,A159=434)," — OVERRIDE",""),"FAIL")</f>
        <v>#REF!</v>
      </c>
    </row>
    <row r="160" spans="1:8">
      <c r="A160" s="51">
        <v>2377</v>
      </c>
      <c r="B160" s="51" t="e">
        <f>#REF!</f>
        <v>#REF!</v>
      </c>
      <c r="C160" s="52" t="e">
        <f>#REF!</f>
        <v>#REF!</v>
      </c>
      <c r="D160" s="53" t="e">
        <f>#REF!</f>
        <v>#REF!</v>
      </c>
      <c r="E160" s="54" t="e">
        <f>#REF!</f>
        <v>#REF!</v>
      </c>
      <c r="F160" s="54" t="e">
        <f>#REF!</f>
        <v>#REF!</v>
      </c>
      <c r="G160" s="54" t="e">
        <f>#REF!</f>
        <v>#REF!</v>
      </c>
      <c r="H160" s="53" t="e">
        <f>IF(AND(IF(OR(A160=227,A160=394,A160=434),TRUE,ABS(#REF!-(N(#REF!)*N(#REF!)+N(#REF!)))&lt;0.01),ABS(#REF!-(N(#REF!)*N(#REF!)))&lt;0.01,ABS(#REF!-IF(#REF!="Store",0,N(#REF!)*30%))&lt;0.01),"PASS"&amp;IF(OR(A160=227,A160=394,A160=434)," — OVERRIDE",""),"FAIL")</f>
        <v>#REF!</v>
      </c>
    </row>
    <row r="161" spans="1:8">
      <c r="A161" s="51">
        <v>3589</v>
      </c>
      <c r="B161" s="51" t="e">
        <f>#REF!</f>
        <v>#REF!</v>
      </c>
      <c r="C161" s="52" t="e">
        <f>#REF!</f>
        <v>#REF!</v>
      </c>
      <c r="D161" s="53" t="e">
        <f>#REF!</f>
        <v>#REF!</v>
      </c>
      <c r="E161" s="54" t="e">
        <f>#REF!</f>
        <v>#REF!</v>
      </c>
      <c r="F161" s="54" t="e">
        <f>#REF!</f>
        <v>#REF!</v>
      </c>
      <c r="G161" s="54" t="e">
        <f>#REF!</f>
        <v>#REF!</v>
      </c>
      <c r="H161" s="53" t="e">
        <f>IF(AND(IF(OR(A161=227,A161=394,A161=434),TRUE,ABS(#REF!-(N(#REF!)*N(#REF!)+N(#REF!)))&lt;0.01),ABS(#REF!-(N(#REF!)*N(#REF!)))&lt;0.01,ABS(#REF!-IF(#REF!="Store",0,N(#REF!)*30%))&lt;0.01),"PASS"&amp;IF(OR(A161=227,A161=394,A161=434)," — OVERRIDE",""),"FAIL")</f>
        <v>#REF!</v>
      </c>
    </row>
    <row r="162" spans="1:8">
      <c r="A162" s="51">
        <v>4781</v>
      </c>
      <c r="B162" s="51" t="e">
        <f>#REF!</f>
        <v>#REF!</v>
      </c>
      <c r="C162" s="52" t="e">
        <f>#REF!</f>
        <v>#REF!</v>
      </c>
      <c r="D162" s="53" t="e">
        <f>#REF!</f>
        <v>#REF!</v>
      </c>
      <c r="E162" s="54" t="e">
        <f>#REF!</f>
        <v>#REF!</v>
      </c>
      <c r="F162" s="54" t="e">
        <f>#REF!</f>
        <v>#REF!</v>
      </c>
      <c r="G162" s="54" t="e">
        <f>#REF!</f>
        <v>#REF!</v>
      </c>
      <c r="H162" s="53" t="e">
        <f>IF(AND(IF(OR(A162=227,A162=394,A162=434),TRUE,ABS(#REF!-(N(#REF!)*N(#REF!)+N(#REF!)))&lt;0.01),ABS(#REF!-(N(#REF!)*N(#REF!)))&lt;0.01,ABS(#REF!-IF(#REF!="Store",0,N(#REF!)*30%))&lt;0.01),"PASS"&amp;IF(OR(A162=227,A162=394,A162=434)," — OVERRIDE",""),"FAIL")</f>
        <v>#REF!</v>
      </c>
    </row>
    <row r="164" spans="1:8">
      <c r="A164" s="48" t="s">
        <v>1100</v>
      </c>
      <c r="B164" s="48" t="s">
        <v>1327</v>
      </c>
      <c r="C164" s="48" t="s">
        <v>1328</v>
      </c>
      <c r="D164" s="48" t="s">
        <v>1329</v>
      </c>
      <c r="E164" s="48" t="s">
        <v>1330</v>
      </c>
      <c r="F164" s="48" t="s">
        <v>1201</v>
      </c>
      <c r="G164" s="48" t="s">
        <v>925</v>
      </c>
      <c r="H164" s="48" t="s">
        <v>1107</v>
      </c>
    </row>
    <row r="165" spans="1:8">
      <c r="A165" s="52" t="s">
        <v>1331</v>
      </c>
      <c r="B165" s="52" t="s">
        <v>1327</v>
      </c>
      <c r="C165" s="52" t="s">
        <v>1332</v>
      </c>
      <c r="D165" s="52" t="s">
        <v>1333</v>
      </c>
      <c r="E165" s="52" t="s">
        <v>1334</v>
      </c>
      <c r="F165" s="52" t="s">
        <v>1201</v>
      </c>
      <c r="G165" s="52" t="s">
        <v>925</v>
      </c>
      <c r="H165" s="52" t="s">
        <v>1335</v>
      </c>
    </row>
    <row r="166" spans="1:8">
      <c r="A166" s="52" t="s">
        <v>1335</v>
      </c>
      <c r="B166" s="52" t="s">
        <v>1327</v>
      </c>
      <c r="C166" s="52" t="s">
        <v>1336</v>
      </c>
      <c r="D166" s="52" t="s">
        <v>1333</v>
      </c>
      <c r="E166" s="52" t="s">
        <v>1337</v>
      </c>
      <c r="F166" s="52" t="s">
        <v>1201</v>
      </c>
      <c r="G166" s="52" t="s">
        <v>925</v>
      </c>
      <c r="H166" s="52" t="s">
        <v>1338</v>
      </c>
    </row>
    <row r="167" spans="1:8">
      <c r="A167" s="52" t="s">
        <v>1338</v>
      </c>
      <c r="B167" s="52" t="s">
        <v>1327</v>
      </c>
      <c r="C167" s="52" t="s">
        <v>1339</v>
      </c>
      <c r="D167" s="52" t="s">
        <v>1333</v>
      </c>
      <c r="E167" s="52" t="s">
        <v>1340</v>
      </c>
      <c r="F167" s="52" t="s">
        <v>1201</v>
      </c>
      <c r="G167" s="52" t="s">
        <v>925</v>
      </c>
      <c r="H167" s="52" t="s">
        <v>1341</v>
      </c>
    </row>
    <row r="168" spans="1:8">
      <c r="A168" s="52" t="s">
        <v>1341</v>
      </c>
      <c r="B168" s="52" t="s">
        <v>1327</v>
      </c>
      <c r="C168" s="52" t="s">
        <v>1342</v>
      </c>
      <c r="D168" s="52" t="s">
        <v>1333</v>
      </c>
      <c r="E168" s="52" t="s">
        <v>1343</v>
      </c>
      <c r="F168" s="52" t="s">
        <v>1201</v>
      </c>
      <c r="G168" s="52" t="s">
        <v>925</v>
      </c>
      <c r="H168" s="52" t="s">
        <v>1344</v>
      </c>
    </row>
    <row r="169" spans="1:8">
      <c r="A169" s="52" t="s">
        <v>1344</v>
      </c>
      <c r="B169" s="52" t="s">
        <v>1327</v>
      </c>
      <c r="C169" s="52" t="s">
        <v>1345</v>
      </c>
      <c r="D169" s="52" t="s">
        <v>1346</v>
      </c>
      <c r="E169" s="52" t="s">
        <v>1347</v>
      </c>
      <c r="F169" s="52" t="s">
        <v>1201</v>
      </c>
      <c r="G169" s="52" t="s">
        <v>925</v>
      </c>
      <c r="H169" s="52" t="s">
        <v>1113</v>
      </c>
    </row>
    <row r="170" spans="1:8">
      <c r="A170" t="s">
        <v>1348</v>
      </c>
      <c r="B170" t="s">
        <v>1327</v>
      </c>
      <c r="C170" t="s">
        <v>1349</v>
      </c>
      <c r="D170" t="s">
        <v>1350</v>
      </c>
      <c r="E170" t="s">
        <v>1351</v>
      </c>
      <c r="F170" t="s">
        <v>1352</v>
      </c>
      <c r="G170" t="s">
        <v>1353</v>
      </c>
      <c r="H170" t="s">
        <v>1354</v>
      </c>
    </row>
    <row r="171" spans="1:8">
      <c r="A171" s="48" t="s">
        <v>1354</v>
      </c>
      <c r="B171" s="48" t="s">
        <v>1327</v>
      </c>
      <c r="C171" s="48" t="s">
        <v>1355</v>
      </c>
      <c r="D171" s="48" t="s">
        <v>1350</v>
      </c>
      <c r="E171" s="48" t="s">
        <v>1356</v>
      </c>
      <c r="F171" s="48" t="s">
        <v>1352</v>
      </c>
      <c r="G171" s="48" t="s">
        <v>1353</v>
      </c>
      <c r="H171" s="48" t="s">
        <v>1357</v>
      </c>
    </row>
    <row r="172" spans="1:8">
      <c r="A172" s="52" t="s">
        <v>1357</v>
      </c>
      <c r="B172" s="52" t="s">
        <v>1327</v>
      </c>
      <c r="C172" s="52" t="s">
        <v>1358</v>
      </c>
      <c r="D172" s="52" t="s">
        <v>1350</v>
      </c>
      <c r="E172" s="52" t="s">
        <v>1359</v>
      </c>
      <c r="F172" s="52" t="s">
        <v>1352</v>
      </c>
      <c r="G172" s="52" t="s">
        <v>1353</v>
      </c>
      <c r="H172" s="52" t="s">
        <v>1360</v>
      </c>
    </row>
    <row r="173" spans="1:8">
      <c r="A173" s="52" t="s">
        <v>1360</v>
      </c>
      <c r="B173" s="52" t="s">
        <v>1327</v>
      </c>
      <c r="C173" s="52" t="s">
        <v>1361</v>
      </c>
      <c r="D173" s="52" t="s">
        <v>1350</v>
      </c>
      <c r="E173" s="52" t="s">
        <v>1362</v>
      </c>
      <c r="F173" s="52" t="s">
        <v>1352</v>
      </c>
      <c r="G173" s="52" t="s">
        <v>1353</v>
      </c>
      <c r="H173" s="52" t="s">
        <v>1363</v>
      </c>
    </row>
    <row r="174" spans="1:8">
      <c r="A174" t="s">
        <v>1363</v>
      </c>
      <c r="B174" t="s">
        <v>1364</v>
      </c>
      <c r="C174" t="s">
        <v>1365</v>
      </c>
      <c r="D174" t="s">
        <v>1350</v>
      </c>
      <c r="E174" t="s">
        <v>1366</v>
      </c>
      <c r="F174" t="s">
        <v>1352</v>
      </c>
      <c r="G174" t="s">
        <v>1353</v>
      </c>
      <c r="H174" t="s">
        <v>1367</v>
      </c>
    </row>
    <row r="175" spans="1:8">
      <c r="A175" s="48" t="s">
        <v>1367</v>
      </c>
      <c r="B175" s="48" t="s">
        <v>1364</v>
      </c>
      <c r="C175" s="48" t="s">
        <v>1368</v>
      </c>
      <c r="D175" s="48" t="s">
        <v>1350</v>
      </c>
      <c r="E175" s="48" t="s">
        <v>1369</v>
      </c>
      <c r="F175" s="48" t="s">
        <v>1352</v>
      </c>
      <c r="G175" s="48" t="s">
        <v>1353</v>
      </c>
      <c r="H175" s="48" t="s">
        <v>1370</v>
      </c>
    </row>
    <row r="176" spans="1:8">
      <c r="A176" t="s">
        <v>1370</v>
      </c>
      <c r="B176" t="s">
        <v>1364</v>
      </c>
      <c r="C176" t="s">
        <v>1371</v>
      </c>
      <c r="D176" t="s">
        <v>1350</v>
      </c>
      <c r="E176" t="s">
        <v>1372</v>
      </c>
      <c r="F176" t="s">
        <v>1352</v>
      </c>
      <c r="G176" t="s">
        <v>1353</v>
      </c>
      <c r="H176" t="s">
        <v>1373</v>
      </c>
    </row>
    <row r="177" spans="1:8">
      <c r="A177" s="48" t="s">
        <v>1373</v>
      </c>
      <c r="B177" s="48" t="s">
        <v>1364</v>
      </c>
      <c r="C177" s="48" t="s">
        <v>1374</v>
      </c>
      <c r="D177" s="48" t="s">
        <v>1375</v>
      </c>
      <c r="E177" s="48" t="s">
        <v>1376</v>
      </c>
      <c r="F177" s="48" t="s">
        <v>1352</v>
      </c>
      <c r="G177" s="48" t="s">
        <v>1377</v>
      </c>
      <c r="H177" s="48" t="s">
        <v>1378</v>
      </c>
    </row>
    <row r="178" spans="1:8">
      <c r="A178" s="55" t="s">
        <v>1379</v>
      </c>
      <c r="B178" s="55" t="s">
        <v>1364</v>
      </c>
      <c r="C178" s="55" t="s">
        <v>1380</v>
      </c>
      <c r="D178" s="55" t="s">
        <v>1381</v>
      </c>
      <c r="E178" s="55" t="s">
        <v>1382</v>
      </c>
      <c r="F178" s="55" t="s">
        <v>1383</v>
      </c>
      <c r="G178" s="55" t="s">
        <v>1384</v>
      </c>
      <c r="H178" s="55" t="s">
        <v>1385</v>
      </c>
    </row>
    <row r="179" spans="1:8">
      <c r="A179" s="52" t="s">
        <v>1385</v>
      </c>
      <c r="B179" s="52" t="s">
        <v>1364</v>
      </c>
      <c r="C179" s="52" t="s">
        <v>1386</v>
      </c>
      <c r="D179" s="52" t="s">
        <v>1387</v>
      </c>
      <c r="E179" s="52" t="s">
        <v>1388</v>
      </c>
      <c r="F179" s="52" t="s">
        <v>1389</v>
      </c>
      <c r="G179" s="52" t="s">
        <v>1390</v>
      </c>
      <c r="H179" s="52" t="s">
        <v>1391</v>
      </c>
    </row>
    <row r="180" spans="1:8">
      <c r="A180" s="52" t="s">
        <v>1392</v>
      </c>
      <c r="B180" s="52" t="s">
        <v>1364</v>
      </c>
      <c r="C180" s="52" t="s">
        <v>1393</v>
      </c>
      <c r="D180" s="52" t="s">
        <v>1394</v>
      </c>
      <c r="E180" s="52" t="s">
        <v>1395</v>
      </c>
      <c r="F180" s="52" t="s">
        <v>1396</v>
      </c>
      <c r="G180" s="52" t="s">
        <v>1397</v>
      </c>
      <c r="H180" s="52" t="s">
        <v>1398</v>
      </c>
    </row>
    <row r="181" spans="1:8">
      <c r="A181" s="52" t="s">
        <v>1398</v>
      </c>
      <c r="B181" s="52" t="s">
        <v>1364</v>
      </c>
      <c r="C181" s="52" t="s">
        <v>1399</v>
      </c>
      <c r="D181" s="52" t="s">
        <v>1400</v>
      </c>
      <c r="E181" s="52" t="s">
        <v>1401</v>
      </c>
      <c r="F181" s="52" t="s">
        <v>1396</v>
      </c>
      <c r="G181" s="52" t="s">
        <v>1397</v>
      </c>
      <c r="H181" s="52" t="s">
        <v>1402</v>
      </c>
    </row>
    <row r="182" spans="1:8">
      <c r="A182" s="52" t="s">
        <v>1402</v>
      </c>
      <c r="B182" s="52" t="s">
        <v>1364</v>
      </c>
      <c r="C182" s="52" t="s">
        <v>1403</v>
      </c>
      <c r="D182" s="52" t="s">
        <v>1404</v>
      </c>
      <c r="E182" s="52" t="s">
        <v>1405</v>
      </c>
      <c r="F182" s="52" t="s">
        <v>1396</v>
      </c>
      <c r="G182" s="52" t="s">
        <v>1397</v>
      </c>
      <c r="H182" s="52" t="s">
        <v>1406</v>
      </c>
    </row>
    <row r="183" spans="1:8">
      <c r="A183" s="52" t="s">
        <v>1406</v>
      </c>
      <c r="B183" s="52" t="s">
        <v>1364</v>
      </c>
      <c r="C183" s="52" t="s">
        <v>1407</v>
      </c>
      <c r="D183" s="52" t="s">
        <v>1408</v>
      </c>
      <c r="E183" s="52" t="s">
        <v>1409</v>
      </c>
      <c r="F183" s="52" t="s">
        <v>1410</v>
      </c>
      <c r="G183" s="52" t="s">
        <v>1397</v>
      </c>
      <c r="H183" s="52" t="s">
        <v>1411</v>
      </c>
    </row>
    <row r="184" spans="1:8">
      <c r="A184" s="52" t="s">
        <v>1411</v>
      </c>
      <c r="B184" s="52" t="s">
        <v>1364</v>
      </c>
      <c r="C184" s="52" t="s">
        <v>1412</v>
      </c>
      <c r="D184" s="52" t="s">
        <v>1413</v>
      </c>
      <c r="E184" s="52" t="s">
        <v>1414</v>
      </c>
      <c r="F184" s="52" t="s">
        <v>1396</v>
      </c>
      <c r="G184" s="52" t="s">
        <v>1397</v>
      </c>
      <c r="H184" s="52" t="s">
        <v>1415</v>
      </c>
    </row>
    <row r="185" spans="1:8">
      <c r="A185" s="52" t="s">
        <v>1415</v>
      </c>
      <c r="B185" s="52" t="s">
        <v>1364</v>
      </c>
      <c r="C185" s="52" t="s">
        <v>1416</v>
      </c>
      <c r="D185" s="52" t="s">
        <v>1417</v>
      </c>
      <c r="E185" s="52" t="s">
        <v>1418</v>
      </c>
      <c r="F185" s="52" t="s">
        <v>1419</v>
      </c>
      <c r="G185" s="52" t="s">
        <v>1397</v>
      </c>
      <c r="H185" s="52" t="s">
        <v>1420</v>
      </c>
    </row>
    <row r="186" spans="1:8">
      <c r="A186" s="52" t="s">
        <v>1420</v>
      </c>
      <c r="B186" s="52" t="s">
        <v>1364</v>
      </c>
      <c r="C186" s="52" t="s">
        <v>1421</v>
      </c>
      <c r="D186" s="52" t="s">
        <v>1422</v>
      </c>
      <c r="E186" s="52" t="s">
        <v>1423</v>
      </c>
      <c r="F186" s="52" t="s">
        <v>1419</v>
      </c>
      <c r="G186" s="52" t="s">
        <v>1397</v>
      </c>
      <c r="H186" s="52" t="s">
        <v>1424</v>
      </c>
    </row>
    <row r="187" spans="1:8">
      <c r="A187" s="52" t="s">
        <v>1424</v>
      </c>
      <c r="B187" s="52" t="s">
        <v>1364</v>
      </c>
      <c r="C187" s="52" t="s">
        <v>1425</v>
      </c>
      <c r="D187" s="52" t="s">
        <v>1426</v>
      </c>
      <c r="E187" s="52" t="s">
        <v>1427</v>
      </c>
      <c r="F187" s="52" t="s">
        <v>1419</v>
      </c>
      <c r="G187" s="52" t="s">
        <v>1397</v>
      </c>
      <c r="H187" s="52" t="s">
        <v>1428</v>
      </c>
    </row>
    <row r="188" spans="1:8">
      <c r="A188" s="52" t="s">
        <v>1428</v>
      </c>
      <c r="B188" s="52" t="s">
        <v>1364</v>
      </c>
      <c r="C188" s="52" t="s">
        <v>1429</v>
      </c>
      <c r="D188" s="52" t="s">
        <v>1430</v>
      </c>
      <c r="E188" s="52" t="s">
        <v>1431</v>
      </c>
      <c r="F188" s="52" t="s">
        <v>1432</v>
      </c>
      <c r="G188" s="52" t="s">
        <v>1433</v>
      </c>
      <c r="H188" s="52" t="s">
        <v>1434</v>
      </c>
    </row>
    <row r="189" spans="1:8">
      <c r="A189" s="52" t="s">
        <v>1435</v>
      </c>
      <c r="B189" s="52" t="s">
        <v>1364</v>
      </c>
      <c r="C189" s="52" t="s">
        <v>1436</v>
      </c>
      <c r="D189" s="52" t="s">
        <v>1437</v>
      </c>
      <c r="E189" s="52" t="s">
        <v>1438</v>
      </c>
      <c r="F189" s="52" t="s">
        <v>1439</v>
      </c>
      <c r="G189" s="52" t="s">
        <v>925</v>
      </c>
      <c r="H189" s="52" t="s">
        <v>1440</v>
      </c>
    </row>
    <row r="190" spans="1:8">
      <c r="A190" s="52" t="s">
        <v>1440</v>
      </c>
      <c r="B190" s="52" t="s">
        <v>1364</v>
      </c>
      <c r="C190" s="52" t="s">
        <v>1441</v>
      </c>
      <c r="D190" s="52" t="s">
        <v>416</v>
      </c>
      <c r="E190" s="52" t="s">
        <v>1442</v>
      </c>
      <c r="F190" s="52" t="s">
        <v>1443</v>
      </c>
      <c r="G190" s="52" t="s">
        <v>925</v>
      </c>
      <c r="H190" s="52" t="s">
        <v>1444</v>
      </c>
    </row>
    <row r="191" spans="1:8">
      <c r="A191" s="52" t="s">
        <v>1444</v>
      </c>
      <c r="B191" s="52" t="s">
        <v>1364</v>
      </c>
      <c r="C191" s="52" t="s">
        <v>1445</v>
      </c>
      <c r="D191" s="52" t="s">
        <v>1446</v>
      </c>
      <c r="E191" s="52" t="s">
        <v>1447</v>
      </c>
      <c r="F191" s="52" t="s">
        <v>1448</v>
      </c>
      <c r="G191" s="52" t="s">
        <v>1449</v>
      </c>
      <c r="H191" s="52" t="s">
        <v>1391</v>
      </c>
    </row>
    <row r="192" spans="1:8">
      <c r="A192" s="52" t="s">
        <v>1450</v>
      </c>
      <c r="B192" s="52" t="s">
        <v>1364</v>
      </c>
      <c r="C192" s="52" t="s">
        <v>1451</v>
      </c>
      <c r="D192" s="52" t="s">
        <v>1452</v>
      </c>
      <c r="E192" s="52" t="s">
        <v>1453</v>
      </c>
      <c r="F192" s="52" t="s">
        <v>1454</v>
      </c>
      <c r="G192" s="52" t="s">
        <v>1455</v>
      </c>
      <c r="H192" s="52" t="s">
        <v>1456</v>
      </c>
    </row>
    <row r="193" spans="1:8">
      <c r="A193" s="55" t="s">
        <v>1457</v>
      </c>
      <c r="B193" s="55" t="s">
        <v>1364</v>
      </c>
      <c r="C193" s="55" t="s">
        <v>1458</v>
      </c>
      <c r="D193" s="55" t="s">
        <v>1459</v>
      </c>
      <c r="E193" s="55" t="s">
        <v>1460</v>
      </c>
      <c r="F193" s="55" t="s">
        <v>1461</v>
      </c>
      <c r="G193" s="55" t="s">
        <v>1455</v>
      </c>
      <c r="H193" s="55" t="s">
        <v>1462</v>
      </c>
    </row>
    <row r="194" spans="1:8">
      <c r="A194" s="52" t="s">
        <v>1463</v>
      </c>
      <c r="B194" s="52" t="s">
        <v>1364</v>
      </c>
      <c r="C194" s="52" t="s">
        <v>1464</v>
      </c>
      <c r="D194" s="52" t="s">
        <v>1465</v>
      </c>
      <c r="E194" s="52" t="s">
        <v>1466</v>
      </c>
      <c r="F194" s="52" t="s">
        <v>1467</v>
      </c>
      <c r="G194" s="52" t="s">
        <v>1468</v>
      </c>
      <c r="H194" s="52" t="s">
        <v>1391</v>
      </c>
    </row>
    <row r="195" spans="1:8">
      <c r="A195" s="52" t="s">
        <v>1469</v>
      </c>
      <c r="B195" s="52" t="s">
        <v>1364</v>
      </c>
      <c r="C195" s="52" t="s">
        <v>1470</v>
      </c>
      <c r="D195" s="52" t="s">
        <v>1471</v>
      </c>
      <c r="E195" s="52" t="s">
        <v>1472</v>
      </c>
      <c r="F195" s="52" t="s">
        <v>1473</v>
      </c>
      <c r="G195" s="52" t="s">
        <v>1474</v>
      </c>
      <c r="H195" s="52" t="s">
        <v>1475</v>
      </c>
    </row>
    <row r="196" spans="1:8">
      <c r="A196" s="52" t="s">
        <v>1476</v>
      </c>
      <c r="B196" s="52" t="s">
        <v>1364</v>
      </c>
      <c r="C196" s="52" t="s">
        <v>1477</v>
      </c>
      <c r="D196" s="52" t="s">
        <v>1478</v>
      </c>
      <c r="E196" s="52" t="s">
        <v>1479</v>
      </c>
      <c r="F196" s="52" t="s">
        <v>1473</v>
      </c>
      <c r="G196" s="52" t="s">
        <v>1474</v>
      </c>
      <c r="H196" s="52" t="s">
        <v>1480</v>
      </c>
    </row>
    <row r="197" spans="1:8">
      <c r="A197" s="52" t="s">
        <v>1481</v>
      </c>
      <c r="B197" s="52" t="s">
        <v>1364</v>
      </c>
      <c r="C197" s="52" t="s">
        <v>1482</v>
      </c>
      <c r="D197" s="52" t="s">
        <v>1483</v>
      </c>
      <c r="E197" s="52" t="s">
        <v>1484</v>
      </c>
      <c r="F197" s="52" t="s">
        <v>1473</v>
      </c>
      <c r="G197" s="52" t="s">
        <v>1474</v>
      </c>
      <c r="H197" s="52" t="s">
        <v>1485</v>
      </c>
    </row>
    <row r="198" spans="1:8">
      <c r="A198" s="52" t="s">
        <v>1486</v>
      </c>
      <c r="B198" s="52" t="s">
        <v>1364</v>
      </c>
      <c r="C198" s="52" t="s">
        <v>1487</v>
      </c>
      <c r="D198" s="52" t="s">
        <v>1488</v>
      </c>
      <c r="E198" s="52" t="s">
        <v>1489</v>
      </c>
      <c r="F198" s="52" t="s">
        <v>1490</v>
      </c>
      <c r="G198" s="52" t="s">
        <v>1474</v>
      </c>
      <c r="H198" s="52" t="s">
        <v>1491</v>
      </c>
    </row>
    <row r="199" spans="1:8">
      <c r="A199" s="55" t="s">
        <v>1492</v>
      </c>
      <c r="B199" s="55" t="s">
        <v>1364</v>
      </c>
      <c r="C199" s="55" t="s">
        <v>1493</v>
      </c>
      <c r="D199" s="55" t="s">
        <v>1494</v>
      </c>
      <c r="E199" s="55" t="s">
        <v>1495</v>
      </c>
      <c r="F199" s="55" t="s">
        <v>1496</v>
      </c>
      <c r="G199" s="55" t="s">
        <v>1474</v>
      </c>
      <c r="H199" s="55" t="s">
        <v>1497</v>
      </c>
    </row>
    <row r="200" spans="1:8">
      <c r="A200" s="55" t="s">
        <v>1498</v>
      </c>
      <c r="B200" s="55" t="s">
        <v>1499</v>
      </c>
      <c r="C200" s="55" t="s">
        <v>1500</v>
      </c>
      <c r="D200" s="55" t="s">
        <v>1501</v>
      </c>
      <c r="E200" s="55" t="s">
        <v>1502</v>
      </c>
      <c r="F200" s="55" t="s">
        <v>1503</v>
      </c>
      <c r="G200" s="55" t="s">
        <v>1474</v>
      </c>
      <c r="H200" s="55" t="s">
        <v>1504</v>
      </c>
    </row>
    <row r="201" spans="1:8">
      <c r="A201" s="55" t="s">
        <v>1505</v>
      </c>
      <c r="B201" s="55" t="s">
        <v>1499</v>
      </c>
      <c r="C201" s="55" t="s">
        <v>1506</v>
      </c>
      <c r="D201" s="55" t="s">
        <v>1507</v>
      </c>
      <c r="E201" s="55" t="s">
        <v>1508</v>
      </c>
      <c r="F201" s="55" t="s">
        <v>1503</v>
      </c>
      <c r="G201" s="55" t="s">
        <v>1474</v>
      </c>
      <c r="H201" s="55" t="s">
        <v>1509</v>
      </c>
    </row>
    <row r="202" spans="1:8">
      <c r="A202" s="55" t="s">
        <v>1510</v>
      </c>
      <c r="B202" s="55" t="s">
        <v>1499</v>
      </c>
      <c r="C202" s="55" t="s">
        <v>1511</v>
      </c>
      <c r="D202" s="55" t="s">
        <v>1512</v>
      </c>
      <c r="E202" s="55" t="s">
        <v>1513</v>
      </c>
      <c r="F202" s="55" t="s">
        <v>1503</v>
      </c>
      <c r="G202" s="55" t="s">
        <v>1474</v>
      </c>
      <c r="H202" s="55" t="s">
        <v>1514</v>
      </c>
    </row>
    <row r="203" spans="1:8">
      <c r="A203" s="55" t="s">
        <v>1515</v>
      </c>
      <c r="B203" s="55" t="s">
        <v>1499</v>
      </c>
      <c r="C203" s="55" t="s">
        <v>1516</v>
      </c>
      <c r="D203" s="55" t="s">
        <v>1517</v>
      </c>
      <c r="E203" s="55" t="s">
        <v>1518</v>
      </c>
      <c r="F203" s="55" t="s">
        <v>1503</v>
      </c>
      <c r="G203" s="55" t="s">
        <v>1474</v>
      </c>
      <c r="H203" s="55" t="s">
        <v>1519</v>
      </c>
    </row>
    <row r="204" spans="1:8">
      <c r="A204" s="52" t="s">
        <v>1520</v>
      </c>
      <c r="B204" s="52" t="s">
        <v>1499</v>
      </c>
      <c r="C204" s="52" t="s">
        <v>1521</v>
      </c>
      <c r="D204" s="52" t="s">
        <v>1522</v>
      </c>
      <c r="E204" s="52" t="s">
        <v>1523</v>
      </c>
      <c r="F204" s="52" t="s">
        <v>1503</v>
      </c>
      <c r="G204" s="52" t="s">
        <v>1474</v>
      </c>
      <c r="H204" s="52" t="s">
        <v>1524</v>
      </c>
    </row>
    <row r="205" spans="1:8">
      <c r="A205" s="55" t="s">
        <v>1525</v>
      </c>
      <c r="B205" s="55" t="s">
        <v>1499</v>
      </c>
      <c r="C205" s="55" t="s">
        <v>1526</v>
      </c>
      <c r="D205" s="55" t="s">
        <v>1527</v>
      </c>
      <c r="E205" s="55" t="s">
        <v>1528</v>
      </c>
      <c r="F205" s="55" t="s">
        <v>1529</v>
      </c>
      <c r="G205" s="55" t="s">
        <v>1474</v>
      </c>
      <c r="H205" s="55" t="s">
        <v>1530</v>
      </c>
    </row>
    <row r="206" spans="1:8">
      <c r="A206" s="55" t="s">
        <v>1531</v>
      </c>
      <c r="B206" s="55" t="s">
        <v>1499</v>
      </c>
      <c r="C206" s="55" t="s">
        <v>1532</v>
      </c>
      <c r="D206" s="55" t="s">
        <v>1533</v>
      </c>
      <c r="E206" s="55" t="s">
        <v>1534</v>
      </c>
      <c r="F206" s="55" t="s">
        <v>1454</v>
      </c>
      <c r="G206" s="55" t="s">
        <v>1535</v>
      </c>
      <c r="H206" s="55" t="s">
        <v>1391</v>
      </c>
    </row>
    <row r="207" spans="1:8">
      <c r="A207" s="52" t="s">
        <v>1536</v>
      </c>
      <c r="B207" s="52" t="s">
        <v>1499</v>
      </c>
      <c r="C207" s="52" t="s">
        <v>1537</v>
      </c>
      <c r="D207" s="52" t="s">
        <v>1538</v>
      </c>
      <c r="E207" s="52" t="s">
        <v>1539</v>
      </c>
      <c r="F207" s="52" t="s">
        <v>1540</v>
      </c>
      <c r="G207" s="52" t="s">
        <v>1541</v>
      </c>
      <c r="H207" s="52" t="s">
        <v>1542</v>
      </c>
    </row>
    <row r="208" spans="1:8">
      <c r="A208" s="52" t="s">
        <v>1543</v>
      </c>
      <c r="B208" s="52" t="s">
        <v>1499</v>
      </c>
      <c r="C208" s="52" t="s">
        <v>1544</v>
      </c>
      <c r="D208" s="52" t="s">
        <v>1545</v>
      </c>
      <c r="E208" s="52" t="s">
        <v>1546</v>
      </c>
      <c r="F208" s="52" t="s">
        <v>1547</v>
      </c>
      <c r="G208" s="52" t="s">
        <v>1548</v>
      </c>
      <c r="H208" s="52" t="s">
        <v>1391</v>
      </c>
    </row>
    <row r="209" spans="1:8">
      <c r="A209" s="52" t="s">
        <v>1549</v>
      </c>
      <c r="B209" s="52" t="s">
        <v>1499</v>
      </c>
      <c r="C209" s="52" t="s">
        <v>1550</v>
      </c>
      <c r="D209" s="52" t="s">
        <v>1551</v>
      </c>
      <c r="E209" s="52" t="s">
        <v>1552</v>
      </c>
      <c r="F209" s="52" t="s">
        <v>1553</v>
      </c>
      <c r="G209" s="52" t="s">
        <v>1554</v>
      </c>
      <c r="H209" s="52" t="s">
        <v>1555</v>
      </c>
    </row>
    <row r="210" spans="1:8">
      <c r="A210" s="52" t="s">
        <v>1556</v>
      </c>
      <c r="B210" s="52" t="s">
        <v>1499</v>
      </c>
      <c r="C210" s="52" t="s">
        <v>1557</v>
      </c>
      <c r="D210" s="52" t="s">
        <v>1558</v>
      </c>
      <c r="E210" s="52" t="s">
        <v>1559</v>
      </c>
      <c r="F210" s="52" t="s">
        <v>1560</v>
      </c>
      <c r="G210" s="52" t="s">
        <v>925</v>
      </c>
      <c r="H210" s="52" t="s">
        <v>1561</v>
      </c>
    </row>
    <row r="211" spans="1:8" ht="18">
      <c r="A211" s="272" t="s">
        <v>1556</v>
      </c>
      <c r="B211" s="272"/>
      <c r="C211" s="272"/>
      <c r="D211" s="272"/>
      <c r="E211" s="272"/>
      <c r="F211" s="272"/>
      <c r="G211" s="272"/>
      <c r="H211" s="272"/>
    </row>
    <row r="212" spans="1:8">
      <c r="A212" s="273" t="s">
        <v>1562</v>
      </c>
      <c r="B212" s="273"/>
      <c r="C212" s="273"/>
      <c r="D212" s="273"/>
      <c r="E212" s="273"/>
      <c r="F212" s="273"/>
      <c r="G212" s="273"/>
      <c r="H212" s="273"/>
    </row>
    <row r="213" spans="1:8">
      <c r="A213" s="52" t="s">
        <v>1563</v>
      </c>
      <c r="B213" s="52" t="s">
        <v>1564</v>
      </c>
      <c r="C213" s="52" t="s">
        <v>1565</v>
      </c>
      <c r="D213" s="52" t="s">
        <v>1566</v>
      </c>
      <c r="E213" s="52" t="s">
        <v>1567</v>
      </c>
      <c r="F213" s="52" t="s">
        <v>1568</v>
      </c>
      <c r="G213" s="52" t="s">
        <v>925</v>
      </c>
      <c r="H213" s="52" t="s">
        <v>1569</v>
      </c>
    </row>
    <row r="214" spans="1:8" ht="15">
      <c r="A214" s="56" t="s">
        <v>5</v>
      </c>
      <c r="B214" s="56" t="s">
        <v>995</v>
      </c>
      <c r="C214" s="56" t="s">
        <v>996</v>
      </c>
      <c r="D214" s="56" t="s">
        <v>1570</v>
      </c>
      <c r="E214" s="56" t="s">
        <v>1571</v>
      </c>
      <c r="F214" s="56" t="s">
        <v>1572</v>
      </c>
      <c r="G214" s="56" t="s">
        <v>61</v>
      </c>
      <c r="H214" s="56" t="s">
        <v>1573</v>
      </c>
    </row>
    <row r="215" spans="1:8">
      <c r="A215" s="48" t="s">
        <v>563</v>
      </c>
      <c r="B215" s="48" t="s">
        <v>1574</v>
      </c>
      <c r="C215" s="48">
        <v>14</v>
      </c>
      <c r="D215" s="48">
        <v>0</v>
      </c>
      <c r="E215" s="48">
        <v>0</v>
      </c>
      <c r="F215" s="48">
        <v>0</v>
      </c>
      <c r="G215" s="48" t="s">
        <v>925</v>
      </c>
      <c r="H215" s="49" t="s">
        <v>1575</v>
      </c>
    </row>
    <row r="216" spans="1:8">
      <c r="A216" s="52" t="s">
        <v>505</v>
      </c>
      <c r="B216" s="52" t="s">
        <v>1001</v>
      </c>
      <c r="C216" s="52">
        <v>122</v>
      </c>
      <c r="D216" s="52">
        <v>0</v>
      </c>
      <c r="E216" s="52">
        <v>0</v>
      </c>
      <c r="F216" s="52">
        <v>0</v>
      </c>
      <c r="G216" s="52" t="s">
        <v>925</v>
      </c>
      <c r="H216" s="53" t="s">
        <v>1575</v>
      </c>
    </row>
    <row r="217" spans="1:8">
      <c r="A217" s="52" t="s">
        <v>510</v>
      </c>
      <c r="B217" s="52" t="s">
        <v>1002</v>
      </c>
      <c r="C217" s="52">
        <v>0</v>
      </c>
      <c r="D217" s="52">
        <v>0</v>
      </c>
      <c r="E217" s="52">
        <v>0</v>
      </c>
      <c r="F217" s="52">
        <v>0</v>
      </c>
      <c r="G217" s="52" t="s">
        <v>925</v>
      </c>
      <c r="H217" s="53" t="s">
        <v>1575</v>
      </c>
    </row>
    <row r="218" spans="1:8" ht="28.5">
      <c r="A218" s="52" t="s">
        <v>982</v>
      </c>
      <c r="B218" s="52" t="s">
        <v>1004</v>
      </c>
      <c r="C218" s="52">
        <v>0</v>
      </c>
      <c r="D218" s="52">
        <v>0</v>
      </c>
      <c r="E218" s="52">
        <v>0</v>
      </c>
      <c r="F218" s="52">
        <v>0</v>
      </c>
      <c r="G218" s="52" t="s">
        <v>925</v>
      </c>
      <c r="H218" s="53" t="s">
        <v>1576</v>
      </c>
    </row>
    <row r="219" spans="1:8" ht="28.5">
      <c r="A219" s="52" t="s">
        <v>1577</v>
      </c>
      <c r="B219" s="52" t="s">
        <v>1578</v>
      </c>
      <c r="C219" s="52">
        <v>221</v>
      </c>
      <c r="D219" s="52">
        <v>0</v>
      </c>
      <c r="E219" s="52">
        <v>0</v>
      </c>
      <c r="F219" s="52">
        <v>0</v>
      </c>
      <c r="G219" s="52" t="s">
        <v>925</v>
      </c>
      <c r="H219" s="53" t="s">
        <v>1576</v>
      </c>
    </row>
    <row r="220" spans="1:8">
      <c r="A220" s="52" t="s">
        <v>78</v>
      </c>
      <c r="B220" s="52" t="s">
        <v>1005</v>
      </c>
      <c r="C220" s="52">
        <v>228</v>
      </c>
      <c r="D220" s="52">
        <v>0</v>
      </c>
      <c r="E220" s="52">
        <v>0</v>
      </c>
      <c r="F220" s="52">
        <v>0</v>
      </c>
      <c r="G220" s="52" t="s">
        <v>925</v>
      </c>
      <c r="H220" s="53" t="s">
        <v>1575</v>
      </c>
    </row>
    <row r="221" spans="1:8" ht="28.5">
      <c r="A221" s="52" t="s">
        <v>524</v>
      </c>
      <c r="B221" s="52" t="s">
        <v>1579</v>
      </c>
      <c r="C221" s="52">
        <v>1477</v>
      </c>
      <c r="D221" s="52">
        <v>8</v>
      </c>
      <c r="E221" s="52">
        <v>8</v>
      </c>
      <c r="F221" s="52">
        <v>8</v>
      </c>
      <c r="G221" s="52" t="s">
        <v>934</v>
      </c>
      <c r="H221" s="53" t="s">
        <v>1580</v>
      </c>
    </row>
    <row r="222" spans="1:8" ht="28.5">
      <c r="A222" s="52" t="s">
        <v>529</v>
      </c>
      <c r="B222" s="52" t="s">
        <v>1581</v>
      </c>
      <c r="C222" s="52">
        <v>1</v>
      </c>
      <c r="D222" s="52">
        <v>1</v>
      </c>
      <c r="E222" s="52">
        <v>0</v>
      </c>
      <c r="F222" s="52">
        <v>1</v>
      </c>
      <c r="G222" s="52" t="s">
        <v>934</v>
      </c>
      <c r="H222" s="53" t="s">
        <v>1582</v>
      </c>
    </row>
    <row r="223" spans="1:8" ht="42.75">
      <c r="A223" s="52" t="s">
        <v>21</v>
      </c>
      <c r="B223" s="52" t="s">
        <v>1583</v>
      </c>
      <c r="C223" s="52">
        <v>35068</v>
      </c>
      <c r="D223" s="52">
        <v>2076</v>
      </c>
      <c r="E223" s="52">
        <v>2195</v>
      </c>
      <c r="F223" s="52">
        <v>4208</v>
      </c>
      <c r="G223" s="52" t="s">
        <v>934</v>
      </c>
      <c r="H223" s="53" t="s">
        <v>1584</v>
      </c>
    </row>
    <row r="224" spans="1:8" ht="42.75">
      <c r="A224" s="52" t="s">
        <v>1585</v>
      </c>
      <c r="B224" s="52" t="s">
        <v>1586</v>
      </c>
      <c r="C224" s="52">
        <v>0</v>
      </c>
      <c r="D224" s="52">
        <v>0</v>
      </c>
      <c r="E224" s="52">
        <v>0</v>
      </c>
      <c r="F224" s="52">
        <v>0</v>
      </c>
      <c r="G224" s="52" t="s">
        <v>925</v>
      </c>
      <c r="H224" s="53" t="s">
        <v>1587</v>
      </c>
    </row>
    <row r="225" spans="1:8" ht="28.5">
      <c r="A225" s="52" t="s">
        <v>43</v>
      </c>
      <c r="B225" s="52" t="s">
        <v>1588</v>
      </c>
      <c r="C225" s="52">
        <v>10</v>
      </c>
      <c r="D225" s="52">
        <v>0</v>
      </c>
      <c r="E225" s="52">
        <v>0</v>
      </c>
      <c r="F225" s="52">
        <v>0</v>
      </c>
      <c r="G225" s="52" t="s">
        <v>925</v>
      </c>
      <c r="H225" s="53" t="s">
        <v>1589</v>
      </c>
    </row>
    <row r="226" spans="1:8" ht="42.75">
      <c r="A226" s="52" t="s">
        <v>13</v>
      </c>
      <c r="B226" s="52" t="s">
        <v>1009</v>
      </c>
      <c r="C226" s="52">
        <v>99528</v>
      </c>
      <c r="D226" s="52">
        <v>6451</v>
      </c>
      <c r="E226" s="52">
        <v>7055</v>
      </c>
      <c r="F226" s="52">
        <v>7055</v>
      </c>
      <c r="G226" s="52" t="s">
        <v>934</v>
      </c>
      <c r="H226" s="53" t="s">
        <v>1590</v>
      </c>
    </row>
    <row r="227" spans="1:8">
      <c r="A227" s="52" t="s">
        <v>36</v>
      </c>
      <c r="B227" s="52" t="s">
        <v>1591</v>
      </c>
      <c r="C227" s="52">
        <v>36</v>
      </c>
      <c r="D227" s="52">
        <v>0</v>
      </c>
      <c r="E227" s="52">
        <v>0</v>
      </c>
      <c r="F227" s="52">
        <v>0</v>
      </c>
      <c r="G227" s="52" t="s">
        <v>925</v>
      </c>
      <c r="H227" s="53" t="s">
        <v>1575</v>
      </c>
    </row>
    <row r="228" spans="1:8">
      <c r="A228" s="52" t="s">
        <v>29</v>
      </c>
      <c r="B228" s="52" t="s">
        <v>1592</v>
      </c>
      <c r="C228" s="52">
        <v>384</v>
      </c>
      <c r="D228" s="52">
        <v>0</v>
      </c>
      <c r="E228" s="52">
        <v>0</v>
      </c>
      <c r="F228" s="52">
        <v>0</v>
      </c>
      <c r="G228" s="52" t="s">
        <v>925</v>
      </c>
      <c r="H228" s="53" t="s">
        <v>1575</v>
      </c>
    </row>
    <row r="229" spans="1:8">
      <c r="A229" s="52" t="s">
        <v>550</v>
      </c>
      <c r="B229" s="52" t="s">
        <v>1012</v>
      </c>
      <c r="C229" s="52">
        <v>0</v>
      </c>
      <c r="D229" s="52">
        <v>0</v>
      </c>
      <c r="E229" s="52">
        <v>0</v>
      </c>
      <c r="F229" s="52">
        <v>0</v>
      </c>
      <c r="G229" s="52" t="s">
        <v>925</v>
      </c>
      <c r="H229" s="53" t="s">
        <v>1575</v>
      </c>
    </row>
    <row r="230" spans="1:8" ht="28.5">
      <c r="A230" s="52" t="s">
        <v>86</v>
      </c>
      <c r="B230" s="52" t="s">
        <v>1593</v>
      </c>
      <c r="C230" s="52">
        <v>0</v>
      </c>
      <c r="D230" s="52">
        <v>0</v>
      </c>
      <c r="E230" s="52">
        <v>0</v>
      </c>
      <c r="F230" s="52">
        <v>0</v>
      </c>
      <c r="G230" s="52" t="s">
        <v>925</v>
      </c>
      <c r="H230" s="53" t="s">
        <v>1594</v>
      </c>
    </row>
    <row r="231" spans="1:8">
      <c r="A231" s="52" t="s">
        <v>84</v>
      </c>
      <c r="B231" s="52" t="s">
        <v>1017</v>
      </c>
      <c r="C231" s="52">
        <v>4998</v>
      </c>
      <c r="D231" s="52">
        <v>0</v>
      </c>
      <c r="E231" s="52">
        <v>0</v>
      </c>
      <c r="F231" s="52">
        <v>0</v>
      </c>
      <c r="G231" s="52" t="s">
        <v>925</v>
      </c>
      <c r="H231" s="53" t="s">
        <v>1575</v>
      </c>
    </row>
    <row r="233" spans="1:8" ht="15">
      <c r="A233" s="56" t="s">
        <v>1595</v>
      </c>
      <c r="B233" s="56" t="s">
        <v>916</v>
      </c>
      <c r="C233" s="56" t="s">
        <v>61</v>
      </c>
      <c r="D233" s="56" t="s">
        <v>1596</v>
      </c>
      <c r="E233" s="56"/>
      <c r="F233" s="56"/>
      <c r="G233" s="56"/>
      <c r="H233" s="56"/>
    </row>
    <row r="234" spans="1:8" ht="15">
      <c r="A234" s="57" t="s">
        <v>1597</v>
      </c>
      <c r="B234" s="57">
        <v>11272</v>
      </c>
      <c r="C234" s="57" t="s">
        <v>934</v>
      </c>
      <c r="D234" s="57" t="s">
        <v>1598</v>
      </c>
    </row>
  </sheetData>
  <mergeCells count="13">
    <mergeCell ref="A1:H1"/>
    <mergeCell ref="A2:H2"/>
    <mergeCell ref="A4:H4"/>
    <mergeCell ref="A5:H5"/>
    <mergeCell ref="A59:F59"/>
    <mergeCell ref="A135:H135"/>
    <mergeCell ref="A211:H211"/>
    <mergeCell ref="A212:H212"/>
    <mergeCell ref="A61:H61"/>
    <mergeCell ref="A62:H62"/>
    <mergeCell ref="A86:H86"/>
    <mergeCell ref="A127:H127"/>
    <mergeCell ref="A128:H128"/>
  </mergeCells>
  <conditionalFormatting sqref="D8:D14">
    <cfRule type="expression" dxfId="14" priority="1">
      <formula>OR(D8="PASS",D8="BASELINE")</formula>
    </cfRule>
    <cfRule type="expression" dxfId="13" priority="2">
      <formula>OR(D8="FAIL",D8="OPEN")</formula>
    </cfRule>
    <cfRule type="expression" dxfId="12" priority="3">
      <formula>OR(D8="REVIEW",D8="CONFIRM",D8="MANUAL COPY")</formula>
    </cfRule>
  </conditionalFormatting>
  <conditionalFormatting sqref="E17:E26">
    <cfRule type="expression" dxfId="11" priority="4">
      <formula>OR(E17="PASS",E17="BASELINE")</formula>
    </cfRule>
    <cfRule type="expression" dxfId="10" priority="5">
      <formula>OR(E17="FAIL",E17="OPEN")</formula>
    </cfRule>
    <cfRule type="expression" dxfId="9" priority="6">
      <formula>OR(E17="REVIEW",E17="CONFIRM",E17="MANUAL COPY")</formula>
    </cfRule>
  </conditionalFormatting>
  <conditionalFormatting sqref="G215:G231">
    <cfRule type="expression" dxfId="8" priority="14">
      <formula>$G215="PASS"</formula>
    </cfRule>
    <cfRule type="expression" dxfId="7" priority="15">
      <formula>$G215="FAIL"</formula>
    </cfRule>
  </conditionalFormatting>
  <conditionalFormatting sqref="H29:H36">
    <cfRule type="expression" dxfId="6" priority="7">
      <formula>OR(H29="PASS",H29="BASELINE")</formula>
    </cfRule>
    <cfRule type="expression" dxfId="5" priority="8">
      <formula>OR(H29="FAIL",H29="OPEN")</formula>
    </cfRule>
    <cfRule type="expression" dxfId="4" priority="9">
      <formula>OR(H29="REVIEW",H29="CONFIRM",H29="MANUAL COPY")</formula>
    </cfRule>
  </conditionalFormatting>
  <conditionalFormatting sqref="H65:H84">
    <cfRule type="expression" dxfId="3" priority="10">
      <formula>H65="READY"</formula>
    </cfRule>
    <cfRule type="expression" dxfId="2" priority="11">
      <formula>OR(H65="CONFIRM",H65="MANUAL")</formula>
    </cfRule>
    <cfRule type="expression" dxfId="1" priority="12">
      <formula>H65="BLOCKED"</formula>
    </cfRule>
    <cfRule type="expression" dxfId="0" priority="13">
      <formula>H65="WAIT"</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6BAF8-4B9A-4FA2-B870-A4CD3FFA5BFA}">
  <dimension ref="A1:M201"/>
  <sheetViews>
    <sheetView tabSelected="1" topLeftCell="A173" workbookViewId="0">
      <selection activeCell="F22" sqref="F22"/>
    </sheetView>
  </sheetViews>
  <sheetFormatPr defaultRowHeight="14.25"/>
  <cols>
    <col min="1" max="1" width="14.875" bestFit="1" customWidth="1"/>
    <col min="2" max="2" width="35" customWidth="1"/>
    <col min="3" max="3" width="8.375" bestFit="1" customWidth="1"/>
    <col min="4" max="4" width="12.875" bestFit="1" customWidth="1"/>
    <col min="5" max="5" width="10.625" bestFit="1" customWidth="1"/>
    <col min="6" max="6" width="16.625" customWidth="1"/>
    <col min="7" max="7" width="16.125" bestFit="1" customWidth="1"/>
    <col min="8" max="8" width="24.125" customWidth="1"/>
    <col min="9" max="9" width="30" customWidth="1"/>
    <col min="10" max="10" width="11.25" bestFit="1" customWidth="1"/>
    <col min="11" max="12" width="12.125" bestFit="1" customWidth="1"/>
    <col min="13" max="13" width="19.375" bestFit="1" customWidth="1"/>
  </cols>
  <sheetData>
    <row r="1" spans="1:13" ht="32.1" customHeight="1">
      <c r="A1" s="299" t="s">
        <v>3782</v>
      </c>
      <c r="B1" s="299"/>
      <c r="C1" s="299"/>
      <c r="D1" s="299"/>
      <c r="E1" s="299"/>
      <c r="F1" s="299"/>
      <c r="G1" s="299"/>
      <c r="H1" s="299"/>
      <c r="I1" s="299"/>
      <c r="J1" s="299"/>
      <c r="K1" s="299"/>
      <c r="L1" s="299"/>
      <c r="M1" s="299"/>
    </row>
    <row r="2" spans="1:13" ht="15" customHeight="1">
      <c r="A2" s="283" t="s">
        <v>3783</v>
      </c>
      <c r="B2" s="283"/>
      <c r="C2" s="283"/>
      <c r="D2" s="283"/>
      <c r="E2" s="283"/>
      <c r="F2" s="283"/>
      <c r="G2" s="283"/>
      <c r="H2" s="283"/>
      <c r="I2" s="283"/>
      <c r="J2" s="283"/>
      <c r="K2" s="283"/>
      <c r="L2" s="283"/>
      <c r="M2" s="283"/>
    </row>
    <row r="3" spans="1:13" ht="15">
      <c r="A3" s="285"/>
      <c r="B3" s="285"/>
      <c r="C3" s="285"/>
      <c r="D3" s="285"/>
      <c r="E3" s="285"/>
      <c r="F3" s="285"/>
      <c r="G3" s="285"/>
      <c r="H3" s="285"/>
      <c r="I3" s="284"/>
      <c r="J3" s="284"/>
      <c r="K3" s="284"/>
      <c r="L3" s="284"/>
      <c r="M3" s="284"/>
    </row>
    <row r="4" spans="1:13" ht="15.75">
      <c r="A4" s="300" t="s">
        <v>3784</v>
      </c>
      <c r="B4" s="301">
        <v>195</v>
      </c>
      <c r="C4" s="300" t="s">
        <v>3785</v>
      </c>
      <c r="D4" s="301">
        <v>193</v>
      </c>
      <c r="E4" s="300" t="s">
        <v>3786</v>
      </c>
      <c r="F4" s="301">
        <v>2</v>
      </c>
      <c r="G4" s="300" t="s">
        <v>602</v>
      </c>
      <c r="H4" s="301">
        <v>195</v>
      </c>
      <c r="I4" s="284"/>
      <c r="J4" s="284"/>
      <c r="K4" s="284"/>
      <c r="L4" s="284"/>
      <c r="M4" s="284"/>
    </row>
    <row r="5" spans="1:13" ht="15">
      <c r="A5" s="285"/>
      <c r="B5" s="285"/>
      <c r="C5" s="285"/>
      <c r="D5" s="285"/>
      <c r="E5" s="285"/>
      <c r="F5" s="285"/>
      <c r="G5" s="285"/>
      <c r="H5" s="285"/>
      <c r="I5" s="284"/>
      <c r="J5" s="284"/>
      <c r="K5" s="284"/>
      <c r="L5" s="284"/>
      <c r="M5" s="284"/>
    </row>
    <row r="6" spans="1:13" ht="15">
      <c r="A6" s="284" t="s">
        <v>84</v>
      </c>
      <c r="B6" s="284" t="s">
        <v>3787</v>
      </c>
      <c r="C6" s="284" t="s">
        <v>3788</v>
      </c>
      <c r="D6" s="284" t="s">
        <v>3789</v>
      </c>
      <c r="E6" s="284" t="s">
        <v>61</v>
      </c>
      <c r="F6" s="284" t="s">
        <v>3790</v>
      </c>
      <c r="G6" s="284" t="s">
        <v>3775</v>
      </c>
      <c r="H6" s="284" t="s">
        <v>3776</v>
      </c>
      <c r="I6" s="284" t="s">
        <v>3777</v>
      </c>
      <c r="J6" s="284" t="s">
        <v>3778</v>
      </c>
      <c r="K6" s="284" t="s">
        <v>3779</v>
      </c>
      <c r="L6" s="284" t="s">
        <v>363</v>
      </c>
      <c r="M6" s="284" t="s">
        <v>413</v>
      </c>
    </row>
    <row r="7" spans="1:13" ht="15">
      <c r="A7" s="284" t="s">
        <v>3791</v>
      </c>
      <c r="B7" s="284" t="s">
        <v>187</v>
      </c>
      <c r="C7" s="284" t="s">
        <v>3792</v>
      </c>
      <c r="D7" s="302">
        <v>0</v>
      </c>
      <c r="E7" s="284" t="s">
        <v>3793</v>
      </c>
      <c r="F7" s="284" t="s">
        <v>3794</v>
      </c>
      <c r="G7" s="284" t="s">
        <v>168</v>
      </c>
      <c r="H7" s="284" t="s">
        <v>3774</v>
      </c>
      <c r="I7" s="284" t="s">
        <v>168</v>
      </c>
      <c r="J7" s="284">
        <v>1</v>
      </c>
      <c r="K7" s="303">
        <v>46126</v>
      </c>
      <c r="L7" s="302">
        <v>2500</v>
      </c>
      <c r="M7" s="302">
        <v>0</v>
      </c>
    </row>
    <row r="8" spans="1:13" ht="15">
      <c r="A8" s="284" t="s">
        <v>3795</v>
      </c>
      <c r="B8" s="284" t="s">
        <v>252</v>
      </c>
      <c r="C8" s="284" t="s">
        <v>3792</v>
      </c>
      <c r="D8" s="302">
        <v>0</v>
      </c>
      <c r="E8" s="284" t="s">
        <v>3793</v>
      </c>
      <c r="F8" s="284" t="s">
        <v>3794</v>
      </c>
      <c r="G8" s="284" t="s">
        <v>168</v>
      </c>
      <c r="H8" s="284" t="s">
        <v>3774</v>
      </c>
      <c r="I8" s="284" t="s">
        <v>168</v>
      </c>
      <c r="J8" s="284">
        <v>1</v>
      </c>
      <c r="K8" s="303">
        <v>46213</v>
      </c>
      <c r="L8" s="302">
        <v>470</v>
      </c>
      <c r="M8" s="302">
        <v>0</v>
      </c>
    </row>
    <row r="9" spans="1:13" ht="15">
      <c r="A9" s="284" t="s">
        <v>3796</v>
      </c>
      <c r="B9" s="284" t="s">
        <v>188</v>
      </c>
      <c r="C9" s="284" t="s">
        <v>3792</v>
      </c>
      <c r="D9" s="302">
        <v>0</v>
      </c>
      <c r="E9" s="284" t="s">
        <v>3793</v>
      </c>
      <c r="F9" s="284" t="s">
        <v>3794</v>
      </c>
      <c r="G9" s="284" t="s">
        <v>168</v>
      </c>
      <c r="H9" s="284" t="s">
        <v>3774</v>
      </c>
      <c r="I9" s="284" t="s">
        <v>168</v>
      </c>
      <c r="J9" s="284">
        <v>1</v>
      </c>
      <c r="K9" s="303">
        <v>46127</v>
      </c>
      <c r="L9" s="302">
        <v>900</v>
      </c>
      <c r="M9" s="302">
        <v>0</v>
      </c>
    </row>
    <row r="10" spans="1:13" ht="15">
      <c r="A10" s="284" t="s">
        <v>3797</v>
      </c>
      <c r="B10" s="284" t="s">
        <v>244</v>
      </c>
      <c r="C10" s="284" t="s">
        <v>3792</v>
      </c>
      <c r="D10" s="302">
        <v>0</v>
      </c>
      <c r="E10" s="284" t="s">
        <v>3793</v>
      </c>
      <c r="F10" s="284" t="s">
        <v>3794</v>
      </c>
      <c r="G10" s="284" t="s">
        <v>168</v>
      </c>
      <c r="H10" s="284" t="s">
        <v>3774</v>
      </c>
      <c r="I10" s="284" t="s">
        <v>168</v>
      </c>
      <c r="J10" s="284">
        <v>2</v>
      </c>
      <c r="K10" s="303">
        <v>46218</v>
      </c>
      <c r="L10" s="302">
        <v>5034</v>
      </c>
      <c r="M10" s="302">
        <v>0</v>
      </c>
    </row>
    <row r="11" spans="1:13" ht="15">
      <c r="A11" s="284" t="s">
        <v>3798</v>
      </c>
      <c r="B11" s="284" t="s">
        <v>277</v>
      </c>
      <c r="C11" s="284" t="s">
        <v>3792</v>
      </c>
      <c r="D11" s="302">
        <v>0</v>
      </c>
      <c r="E11" s="284" t="s">
        <v>3793</v>
      </c>
      <c r="F11" s="284" t="s">
        <v>3794</v>
      </c>
      <c r="G11" s="284" t="s">
        <v>168</v>
      </c>
      <c r="H11" s="284" t="s">
        <v>3774</v>
      </c>
      <c r="I11" s="284" t="s">
        <v>168</v>
      </c>
      <c r="J11" s="284">
        <v>3</v>
      </c>
      <c r="K11" s="303">
        <v>46265</v>
      </c>
      <c r="L11" s="302">
        <v>12855</v>
      </c>
      <c r="M11" s="302">
        <v>0</v>
      </c>
    </row>
    <row r="12" spans="1:13" ht="15">
      <c r="A12" s="284" t="s">
        <v>3799</v>
      </c>
      <c r="B12" s="284" t="s">
        <v>219</v>
      </c>
      <c r="C12" s="284" t="s">
        <v>3792</v>
      </c>
      <c r="D12" s="302">
        <v>0</v>
      </c>
      <c r="E12" s="284" t="s">
        <v>3793</v>
      </c>
      <c r="F12" s="284" t="s">
        <v>3794</v>
      </c>
      <c r="G12" s="284" t="s">
        <v>168</v>
      </c>
      <c r="H12" s="284" t="s">
        <v>3774</v>
      </c>
      <c r="I12" s="284" t="s">
        <v>168</v>
      </c>
      <c r="J12" s="284">
        <v>3</v>
      </c>
      <c r="K12" s="303">
        <v>46240</v>
      </c>
      <c r="L12" s="302">
        <v>5000</v>
      </c>
      <c r="M12" s="302">
        <v>532.95000000000005</v>
      </c>
    </row>
    <row r="13" spans="1:13" ht="15">
      <c r="A13" s="284" t="s">
        <v>3800</v>
      </c>
      <c r="B13" s="284" t="s">
        <v>173</v>
      </c>
      <c r="C13" s="284" t="s">
        <v>3792</v>
      </c>
      <c r="D13" s="302">
        <v>0</v>
      </c>
      <c r="E13" s="284" t="s">
        <v>3793</v>
      </c>
      <c r="F13" s="284" t="s">
        <v>3794</v>
      </c>
      <c r="G13" s="284" t="s">
        <v>168</v>
      </c>
      <c r="H13" s="284" t="s">
        <v>3774</v>
      </c>
      <c r="I13" s="284" t="s">
        <v>168</v>
      </c>
      <c r="J13" s="284">
        <v>1</v>
      </c>
      <c r="K13" s="303">
        <v>46108</v>
      </c>
      <c r="L13" s="302">
        <v>2700</v>
      </c>
      <c r="M13" s="302">
        <v>0</v>
      </c>
    </row>
    <row r="14" spans="1:13" ht="15">
      <c r="A14" s="284" t="s">
        <v>3801</v>
      </c>
      <c r="B14" s="284" t="s">
        <v>196</v>
      </c>
      <c r="C14" s="284" t="s">
        <v>3792</v>
      </c>
      <c r="D14" s="302">
        <v>0</v>
      </c>
      <c r="E14" s="284" t="s">
        <v>3793</v>
      </c>
      <c r="F14" s="284" t="s">
        <v>3794</v>
      </c>
      <c r="G14" s="284" t="s">
        <v>168</v>
      </c>
      <c r="H14" s="284" t="s">
        <v>3774</v>
      </c>
      <c r="I14" s="284" t="s">
        <v>168</v>
      </c>
      <c r="J14" s="284">
        <v>17</v>
      </c>
      <c r="K14" s="303">
        <v>46265</v>
      </c>
      <c r="L14" s="302">
        <v>23800</v>
      </c>
      <c r="M14" s="302">
        <v>0</v>
      </c>
    </row>
    <row r="15" spans="1:13" ht="15">
      <c r="A15" s="284" t="s">
        <v>3802</v>
      </c>
      <c r="B15" s="284" t="s">
        <v>151</v>
      </c>
      <c r="C15" s="284" t="s">
        <v>3792</v>
      </c>
      <c r="D15" s="302">
        <v>0</v>
      </c>
      <c r="E15" s="284" t="s">
        <v>3793</v>
      </c>
      <c r="F15" s="284" t="s">
        <v>3794</v>
      </c>
      <c r="G15" s="284" t="s">
        <v>356</v>
      </c>
      <c r="H15" s="284" t="s">
        <v>3774</v>
      </c>
      <c r="I15" s="284" t="s">
        <v>356</v>
      </c>
      <c r="J15" s="284">
        <v>1</v>
      </c>
      <c r="K15" s="303">
        <v>46076</v>
      </c>
      <c r="L15" s="302">
        <v>900</v>
      </c>
      <c r="M15" s="302">
        <v>115.5</v>
      </c>
    </row>
    <row r="16" spans="1:13" ht="15">
      <c r="A16" s="284" t="s">
        <v>3803</v>
      </c>
      <c r="B16" s="284" t="s">
        <v>275</v>
      </c>
      <c r="C16" s="284" t="s">
        <v>3792</v>
      </c>
      <c r="D16" s="302">
        <v>0</v>
      </c>
      <c r="E16" s="284" t="s">
        <v>3793</v>
      </c>
      <c r="F16" s="284" t="s">
        <v>3794</v>
      </c>
      <c r="G16" s="284" t="s">
        <v>168</v>
      </c>
      <c r="H16" s="284" t="s">
        <v>3774</v>
      </c>
      <c r="I16" s="284" t="s">
        <v>168</v>
      </c>
      <c r="J16" s="284">
        <v>1</v>
      </c>
      <c r="K16" s="303">
        <v>46259</v>
      </c>
      <c r="L16" s="302">
        <v>3810</v>
      </c>
      <c r="M16" s="302">
        <v>0</v>
      </c>
    </row>
    <row r="17" spans="1:13" ht="15">
      <c r="A17" s="284" t="s">
        <v>3804</v>
      </c>
      <c r="B17" s="284" t="s">
        <v>154</v>
      </c>
      <c r="C17" s="284" t="s">
        <v>3792</v>
      </c>
      <c r="D17" s="302">
        <v>0</v>
      </c>
      <c r="E17" s="284" t="s">
        <v>3793</v>
      </c>
      <c r="F17" s="284" t="s">
        <v>3794</v>
      </c>
      <c r="G17" s="284" t="s">
        <v>168</v>
      </c>
      <c r="H17" s="284" t="s">
        <v>3774</v>
      </c>
      <c r="I17" s="284" t="s">
        <v>168</v>
      </c>
      <c r="J17" s="284">
        <v>2</v>
      </c>
      <c r="K17" s="303">
        <v>46079</v>
      </c>
      <c r="L17" s="302">
        <v>899</v>
      </c>
      <c r="M17" s="302">
        <v>0</v>
      </c>
    </row>
    <row r="18" spans="1:13" ht="15">
      <c r="A18" s="284" t="s">
        <v>3805</v>
      </c>
      <c r="B18" s="284" t="s">
        <v>1603</v>
      </c>
      <c r="C18" s="284" t="s">
        <v>3792</v>
      </c>
      <c r="D18" s="302">
        <v>0</v>
      </c>
      <c r="E18" s="284" t="s">
        <v>3793</v>
      </c>
      <c r="F18" s="284" t="s">
        <v>3794</v>
      </c>
      <c r="G18" s="284" t="s">
        <v>168</v>
      </c>
      <c r="H18" s="284" t="s">
        <v>3774</v>
      </c>
      <c r="I18" s="284" t="s">
        <v>168</v>
      </c>
      <c r="J18" s="284">
        <v>23</v>
      </c>
      <c r="K18" s="303">
        <v>46291</v>
      </c>
      <c r="L18" s="302">
        <v>38442</v>
      </c>
      <c r="M18" s="302">
        <v>3370.2533100000001</v>
      </c>
    </row>
    <row r="19" spans="1:13" ht="15">
      <c r="A19" s="284" t="s">
        <v>3806</v>
      </c>
      <c r="B19" s="284" t="s">
        <v>189</v>
      </c>
      <c r="C19" s="284" t="s">
        <v>3792</v>
      </c>
      <c r="D19" s="302">
        <v>0</v>
      </c>
      <c r="E19" s="284" t="s">
        <v>3793</v>
      </c>
      <c r="F19" s="284" t="s">
        <v>3794</v>
      </c>
      <c r="G19" s="284" t="s">
        <v>358</v>
      </c>
      <c r="H19" s="284" t="s">
        <v>3774</v>
      </c>
      <c r="I19" s="284" t="s">
        <v>358</v>
      </c>
      <c r="J19" s="284">
        <v>1</v>
      </c>
      <c r="K19" s="303">
        <v>46127</v>
      </c>
      <c r="L19" s="302">
        <v>83899</v>
      </c>
      <c r="M19" s="302">
        <v>5438.82</v>
      </c>
    </row>
    <row r="20" spans="1:13" ht="15">
      <c r="A20" s="284" t="s">
        <v>3807</v>
      </c>
      <c r="B20" s="284" t="s">
        <v>261</v>
      </c>
      <c r="C20" s="284" t="s">
        <v>3792</v>
      </c>
      <c r="D20" s="302">
        <v>0</v>
      </c>
      <c r="E20" s="284" t="s">
        <v>3793</v>
      </c>
      <c r="F20" s="284" t="s">
        <v>3794</v>
      </c>
      <c r="G20" s="284" t="s">
        <v>168</v>
      </c>
      <c r="H20" s="284" t="s">
        <v>3774</v>
      </c>
      <c r="I20" s="284" t="s">
        <v>168</v>
      </c>
      <c r="J20" s="284">
        <v>1</v>
      </c>
      <c r="K20" s="303">
        <v>46226</v>
      </c>
      <c r="L20" s="302">
        <v>250</v>
      </c>
      <c r="M20" s="302">
        <v>52.32</v>
      </c>
    </row>
    <row r="21" spans="1:13" ht="15">
      <c r="A21" s="284" t="s">
        <v>3808</v>
      </c>
      <c r="B21" s="284" t="s">
        <v>139</v>
      </c>
      <c r="C21" s="284" t="s">
        <v>3792</v>
      </c>
      <c r="D21" s="302">
        <v>0</v>
      </c>
      <c r="E21" s="284" t="s">
        <v>3793</v>
      </c>
      <c r="F21" s="284" t="s">
        <v>3794</v>
      </c>
      <c r="G21" s="284" t="s">
        <v>168</v>
      </c>
      <c r="H21" s="284" t="s">
        <v>3774</v>
      </c>
      <c r="I21" s="284" t="s">
        <v>168</v>
      </c>
      <c r="J21" s="284">
        <v>1</v>
      </c>
      <c r="K21" s="303">
        <v>46056</v>
      </c>
      <c r="L21" s="302">
        <v>8003</v>
      </c>
      <c r="M21" s="302">
        <v>0</v>
      </c>
    </row>
    <row r="22" spans="1:13" ht="15">
      <c r="A22" s="284" t="s">
        <v>3809</v>
      </c>
      <c r="B22" s="284" t="s">
        <v>225</v>
      </c>
      <c r="C22" s="284" t="s">
        <v>3792</v>
      </c>
      <c r="D22" s="302">
        <v>0</v>
      </c>
      <c r="E22" s="284" t="s">
        <v>3793</v>
      </c>
      <c r="F22" s="284" t="s">
        <v>3794</v>
      </c>
      <c r="G22" s="284" t="s">
        <v>358</v>
      </c>
      <c r="H22" s="284" t="s">
        <v>3774</v>
      </c>
      <c r="I22" s="284" t="s">
        <v>358</v>
      </c>
      <c r="J22" s="284">
        <v>2</v>
      </c>
      <c r="K22" s="303">
        <v>46247</v>
      </c>
      <c r="L22" s="302">
        <v>2400</v>
      </c>
      <c r="M22" s="302">
        <v>386.37</v>
      </c>
    </row>
    <row r="23" spans="1:13" ht="15">
      <c r="A23" s="284" t="s">
        <v>3810</v>
      </c>
      <c r="B23" s="284" t="s">
        <v>288</v>
      </c>
      <c r="C23" s="284" t="s">
        <v>3792</v>
      </c>
      <c r="D23" s="302">
        <v>0</v>
      </c>
      <c r="E23" s="284" t="s">
        <v>3793</v>
      </c>
      <c r="F23" s="284" t="s">
        <v>3794</v>
      </c>
      <c r="G23" s="284" t="s">
        <v>168</v>
      </c>
      <c r="H23" s="284" t="s">
        <v>3774</v>
      </c>
      <c r="I23" s="284" t="s">
        <v>168</v>
      </c>
      <c r="J23" s="284">
        <v>1</v>
      </c>
      <c r="K23" s="303">
        <v>46289</v>
      </c>
      <c r="L23" s="302">
        <v>2575</v>
      </c>
      <c r="M23" s="302">
        <v>159.5985</v>
      </c>
    </row>
    <row r="24" spans="1:13" ht="15">
      <c r="A24" s="284" t="s">
        <v>3811</v>
      </c>
      <c r="B24" s="284" t="s">
        <v>141</v>
      </c>
      <c r="C24" s="284" t="s">
        <v>3792</v>
      </c>
      <c r="D24" s="302">
        <v>0</v>
      </c>
      <c r="E24" s="284" t="s">
        <v>3793</v>
      </c>
      <c r="F24" s="284" t="s">
        <v>3794</v>
      </c>
      <c r="G24" s="284" t="s">
        <v>168</v>
      </c>
      <c r="H24" s="284" t="s">
        <v>3774</v>
      </c>
      <c r="I24" s="284" t="s">
        <v>168</v>
      </c>
      <c r="J24" s="284">
        <v>5</v>
      </c>
      <c r="K24" s="303">
        <v>46160</v>
      </c>
      <c r="L24" s="302">
        <v>33350</v>
      </c>
      <c r="M24" s="302">
        <v>0</v>
      </c>
    </row>
    <row r="25" spans="1:13" ht="15">
      <c r="A25" s="284" t="s">
        <v>3812</v>
      </c>
      <c r="B25" s="284" t="s">
        <v>183</v>
      </c>
      <c r="C25" s="284" t="s">
        <v>3792</v>
      </c>
      <c r="D25" s="302">
        <v>0</v>
      </c>
      <c r="E25" s="284" t="s">
        <v>3793</v>
      </c>
      <c r="F25" s="284" t="s">
        <v>3794</v>
      </c>
      <c r="G25" s="284" t="s">
        <v>358</v>
      </c>
      <c r="H25" s="284" t="s">
        <v>3774</v>
      </c>
      <c r="I25" s="284" t="s">
        <v>358</v>
      </c>
      <c r="J25" s="284">
        <v>1</v>
      </c>
      <c r="K25" s="303">
        <v>46121</v>
      </c>
      <c r="L25" s="302">
        <v>650</v>
      </c>
      <c r="M25" s="302">
        <v>43.8</v>
      </c>
    </row>
    <row r="26" spans="1:13" ht="15">
      <c r="A26" s="284" t="s">
        <v>3813</v>
      </c>
      <c r="B26" s="284" t="s">
        <v>285</v>
      </c>
      <c r="C26" s="284" t="s">
        <v>3792</v>
      </c>
      <c r="D26" s="302">
        <v>0</v>
      </c>
      <c r="E26" s="284" t="s">
        <v>3793</v>
      </c>
      <c r="F26" s="284" t="s">
        <v>3794</v>
      </c>
      <c r="G26" s="284" t="s">
        <v>168</v>
      </c>
      <c r="H26" s="284" t="s">
        <v>3774</v>
      </c>
      <c r="I26" s="284" t="s">
        <v>168</v>
      </c>
      <c r="J26" s="284">
        <v>1</v>
      </c>
      <c r="K26" s="303">
        <v>46275</v>
      </c>
      <c r="L26" s="302">
        <v>8600</v>
      </c>
      <c r="M26" s="302">
        <v>0</v>
      </c>
    </row>
    <row r="27" spans="1:13" ht="15">
      <c r="A27" s="284" t="s">
        <v>3814</v>
      </c>
      <c r="B27" s="284" t="s">
        <v>190</v>
      </c>
      <c r="C27" s="284" t="s">
        <v>3792</v>
      </c>
      <c r="D27" s="302">
        <v>0</v>
      </c>
      <c r="E27" s="284" t="s">
        <v>3793</v>
      </c>
      <c r="F27" s="284" t="s">
        <v>3794</v>
      </c>
      <c r="G27" s="284" t="s">
        <v>352</v>
      </c>
      <c r="H27" s="284" t="s">
        <v>3774</v>
      </c>
      <c r="I27" s="284" t="s">
        <v>352</v>
      </c>
      <c r="J27" s="284">
        <v>1</v>
      </c>
      <c r="K27" s="303">
        <v>46127</v>
      </c>
      <c r="L27" s="302">
        <v>2500</v>
      </c>
      <c r="M27" s="302">
        <v>277.5</v>
      </c>
    </row>
    <row r="28" spans="1:13" ht="15">
      <c r="A28" s="284" t="s">
        <v>3815</v>
      </c>
      <c r="B28" s="284" t="s">
        <v>181</v>
      </c>
      <c r="C28" s="284" t="s">
        <v>3792</v>
      </c>
      <c r="D28" s="302">
        <v>0</v>
      </c>
      <c r="E28" s="284" t="s">
        <v>3793</v>
      </c>
      <c r="F28" s="284" t="s">
        <v>3794</v>
      </c>
      <c r="G28" s="284" t="s">
        <v>168</v>
      </c>
      <c r="H28" s="284" t="s">
        <v>3774</v>
      </c>
      <c r="I28" s="284" t="s">
        <v>168</v>
      </c>
      <c r="J28" s="284">
        <v>7</v>
      </c>
      <c r="K28" s="303">
        <v>46290</v>
      </c>
      <c r="L28" s="302">
        <v>3181</v>
      </c>
      <c r="M28" s="302">
        <v>0</v>
      </c>
    </row>
    <row r="29" spans="1:13" ht="15">
      <c r="A29" s="284" t="s">
        <v>3816</v>
      </c>
      <c r="B29" s="284" t="s">
        <v>286</v>
      </c>
      <c r="C29" s="284" t="s">
        <v>3792</v>
      </c>
      <c r="D29" s="302">
        <v>0</v>
      </c>
      <c r="E29" s="284" t="s">
        <v>3793</v>
      </c>
      <c r="F29" s="284" t="s">
        <v>3794</v>
      </c>
      <c r="G29" s="284" t="s">
        <v>168</v>
      </c>
      <c r="H29" s="284" t="s">
        <v>3774</v>
      </c>
      <c r="I29" s="284" t="s">
        <v>168</v>
      </c>
      <c r="J29" s="284">
        <v>1</v>
      </c>
      <c r="K29" s="303">
        <v>46282</v>
      </c>
      <c r="L29" s="302">
        <v>4815</v>
      </c>
      <c r="M29" s="302">
        <v>0</v>
      </c>
    </row>
    <row r="30" spans="1:13" ht="15">
      <c r="A30" s="284" t="s">
        <v>3817</v>
      </c>
      <c r="B30" s="284" t="s">
        <v>215</v>
      </c>
      <c r="C30" s="284" t="s">
        <v>3792</v>
      </c>
      <c r="D30" s="302">
        <v>0</v>
      </c>
      <c r="E30" s="284" t="s">
        <v>3793</v>
      </c>
      <c r="F30" s="284" t="s">
        <v>3794</v>
      </c>
      <c r="G30" s="284" t="s">
        <v>168</v>
      </c>
      <c r="H30" s="284" t="s">
        <v>3774</v>
      </c>
      <c r="I30" s="284" t="s">
        <v>168</v>
      </c>
      <c r="J30" s="284">
        <v>3</v>
      </c>
      <c r="K30" s="303">
        <v>46272</v>
      </c>
      <c r="L30" s="302">
        <v>4032</v>
      </c>
      <c r="M30" s="302">
        <v>0</v>
      </c>
    </row>
    <row r="31" spans="1:13" ht="15">
      <c r="A31" s="284" t="s">
        <v>3818</v>
      </c>
      <c r="B31" s="284" t="s">
        <v>125</v>
      </c>
      <c r="C31" s="284" t="s">
        <v>3792</v>
      </c>
      <c r="D31" s="302">
        <v>0</v>
      </c>
      <c r="E31" s="284" t="s">
        <v>3793</v>
      </c>
      <c r="F31" s="284" t="s">
        <v>3794</v>
      </c>
      <c r="G31" s="284" t="s">
        <v>168</v>
      </c>
      <c r="H31" s="284" t="s">
        <v>3774</v>
      </c>
      <c r="I31" s="284" t="s">
        <v>168</v>
      </c>
      <c r="J31" s="284">
        <v>6</v>
      </c>
      <c r="K31" s="303">
        <v>46220</v>
      </c>
      <c r="L31" s="302">
        <v>6150</v>
      </c>
      <c r="M31" s="302">
        <v>0</v>
      </c>
    </row>
    <row r="32" spans="1:13" ht="15">
      <c r="A32" s="284" t="s">
        <v>3819</v>
      </c>
      <c r="B32" s="284" t="s">
        <v>172</v>
      </c>
      <c r="C32" s="284" t="s">
        <v>3792</v>
      </c>
      <c r="D32" s="302">
        <v>0</v>
      </c>
      <c r="E32" s="284" t="s">
        <v>3793</v>
      </c>
      <c r="F32" s="284" t="s">
        <v>3794</v>
      </c>
      <c r="G32" s="284" t="s">
        <v>354</v>
      </c>
      <c r="H32" s="284" t="s">
        <v>3774</v>
      </c>
      <c r="I32" s="284" t="s">
        <v>354</v>
      </c>
      <c r="J32" s="284">
        <v>1</v>
      </c>
      <c r="K32" s="303">
        <v>46107</v>
      </c>
      <c r="L32" s="302">
        <v>10810</v>
      </c>
      <c r="M32" s="302">
        <v>1030.056</v>
      </c>
    </row>
    <row r="33" spans="1:13" ht="15">
      <c r="A33" s="284" t="s">
        <v>3820</v>
      </c>
      <c r="B33" s="284" t="s">
        <v>164</v>
      </c>
      <c r="C33" s="284" t="s">
        <v>3792</v>
      </c>
      <c r="D33" s="302">
        <v>0</v>
      </c>
      <c r="E33" s="284" t="s">
        <v>3793</v>
      </c>
      <c r="F33" s="284" t="s">
        <v>3794</v>
      </c>
      <c r="G33" s="284" t="s">
        <v>168</v>
      </c>
      <c r="H33" s="284" t="s">
        <v>3774</v>
      </c>
      <c r="I33" s="284" t="s">
        <v>168</v>
      </c>
      <c r="J33" s="284">
        <v>1</v>
      </c>
      <c r="K33" s="303">
        <v>46088</v>
      </c>
      <c r="L33" s="302">
        <v>1900</v>
      </c>
      <c r="M33" s="302">
        <v>0</v>
      </c>
    </row>
    <row r="34" spans="1:13" ht="15">
      <c r="A34" s="284" t="s">
        <v>3821</v>
      </c>
      <c r="B34" s="284" t="s">
        <v>207</v>
      </c>
      <c r="C34" s="284" t="s">
        <v>3792</v>
      </c>
      <c r="D34" s="302">
        <v>0</v>
      </c>
      <c r="E34" s="284" t="s">
        <v>3793</v>
      </c>
      <c r="F34" s="284" t="s">
        <v>3794</v>
      </c>
      <c r="G34" s="284" t="s">
        <v>168</v>
      </c>
      <c r="H34" s="284" t="s">
        <v>3774</v>
      </c>
      <c r="I34" s="284" t="s">
        <v>168</v>
      </c>
      <c r="J34" s="284">
        <v>12</v>
      </c>
      <c r="K34" s="303">
        <v>46283</v>
      </c>
      <c r="L34" s="302">
        <v>18855</v>
      </c>
      <c r="M34" s="302">
        <v>0</v>
      </c>
    </row>
    <row r="35" spans="1:13" ht="15">
      <c r="A35" s="284" t="s">
        <v>3822</v>
      </c>
      <c r="B35" s="284" t="s">
        <v>101</v>
      </c>
      <c r="C35" s="284" t="s">
        <v>3792</v>
      </c>
      <c r="D35" s="302">
        <v>0</v>
      </c>
      <c r="E35" s="284" t="s">
        <v>3793</v>
      </c>
      <c r="F35" s="284" t="s">
        <v>3794</v>
      </c>
      <c r="G35" s="284" t="s">
        <v>348</v>
      </c>
      <c r="H35" s="284" t="s">
        <v>3774</v>
      </c>
      <c r="I35" s="284" t="s">
        <v>348</v>
      </c>
      <c r="J35" s="284">
        <v>9</v>
      </c>
      <c r="K35" s="303">
        <v>46270</v>
      </c>
      <c r="L35" s="302">
        <v>24198</v>
      </c>
      <c r="M35" s="302">
        <v>1768.0650000000001</v>
      </c>
    </row>
    <row r="36" spans="1:13" ht="15">
      <c r="A36" s="284" t="s">
        <v>3823</v>
      </c>
      <c r="B36" s="284" t="s">
        <v>247</v>
      </c>
      <c r="C36" s="284" t="s">
        <v>3792</v>
      </c>
      <c r="D36" s="302">
        <v>0</v>
      </c>
      <c r="E36" s="284" t="s">
        <v>3793</v>
      </c>
      <c r="F36" s="284" t="s">
        <v>3794</v>
      </c>
      <c r="G36" s="284" t="s">
        <v>348</v>
      </c>
      <c r="H36" s="284" t="s">
        <v>3774</v>
      </c>
      <c r="I36" s="284" t="s">
        <v>348</v>
      </c>
      <c r="J36" s="284">
        <v>19</v>
      </c>
      <c r="K36" s="303">
        <v>46288</v>
      </c>
      <c r="L36" s="302">
        <v>48865</v>
      </c>
      <c r="M36" s="302">
        <v>5604.8249999999998</v>
      </c>
    </row>
    <row r="37" spans="1:13" ht="15">
      <c r="A37" s="284" t="s">
        <v>3824</v>
      </c>
      <c r="B37" s="284" t="s">
        <v>1601</v>
      </c>
      <c r="C37" s="284" t="s">
        <v>3792</v>
      </c>
      <c r="D37" s="302">
        <v>0</v>
      </c>
      <c r="E37" s="284" t="s">
        <v>3793</v>
      </c>
      <c r="F37" s="284" t="s">
        <v>3794</v>
      </c>
      <c r="G37" s="284" t="s">
        <v>168</v>
      </c>
      <c r="H37" s="284" t="s">
        <v>3774</v>
      </c>
      <c r="I37" s="284" t="s">
        <v>168</v>
      </c>
      <c r="J37" s="284">
        <v>154</v>
      </c>
      <c r="K37" s="303">
        <v>46295</v>
      </c>
      <c r="L37" s="302">
        <v>435846</v>
      </c>
      <c r="M37" s="302">
        <v>52754.201999999997</v>
      </c>
    </row>
    <row r="38" spans="1:13" ht="15">
      <c r="A38" s="284" t="s">
        <v>3825</v>
      </c>
      <c r="B38" s="284" t="s">
        <v>135</v>
      </c>
      <c r="C38" s="284" t="s">
        <v>3792</v>
      </c>
      <c r="D38" s="302">
        <v>0</v>
      </c>
      <c r="E38" s="284" t="s">
        <v>3793</v>
      </c>
      <c r="F38" s="284" t="s">
        <v>3794</v>
      </c>
      <c r="G38" s="284" t="s">
        <v>168</v>
      </c>
      <c r="H38" s="284" t="s">
        <v>3774</v>
      </c>
      <c r="I38" s="284" t="s">
        <v>168</v>
      </c>
      <c r="J38" s="284">
        <v>1</v>
      </c>
      <c r="K38" s="303">
        <v>46046</v>
      </c>
      <c r="L38" s="302">
        <v>635</v>
      </c>
      <c r="M38" s="302">
        <v>0</v>
      </c>
    </row>
    <row r="39" spans="1:13" ht="15">
      <c r="A39" s="284"/>
      <c r="B39" s="284" t="s">
        <v>236</v>
      </c>
      <c r="C39" s="284" t="s">
        <v>3792</v>
      </c>
      <c r="D39" s="302">
        <v>0</v>
      </c>
      <c r="E39" s="284" t="s">
        <v>3793</v>
      </c>
      <c r="F39" s="284" t="s">
        <v>3794</v>
      </c>
      <c r="G39" s="284" t="s">
        <v>168</v>
      </c>
      <c r="H39" s="284" t="s">
        <v>3774</v>
      </c>
      <c r="I39" s="284" t="s">
        <v>168</v>
      </c>
      <c r="J39" s="284">
        <v>2</v>
      </c>
      <c r="K39" s="303">
        <v>46226</v>
      </c>
      <c r="L39" s="302">
        <v>71100</v>
      </c>
      <c r="M39" s="302">
        <v>2871</v>
      </c>
    </row>
    <row r="40" spans="1:13" ht="15">
      <c r="A40" s="284" t="s">
        <v>3826</v>
      </c>
      <c r="B40" s="284" t="s">
        <v>155</v>
      </c>
      <c r="C40" s="284" t="s">
        <v>3792</v>
      </c>
      <c r="D40" s="302">
        <v>0</v>
      </c>
      <c r="E40" s="284" t="s">
        <v>3793</v>
      </c>
      <c r="F40" s="284" t="s">
        <v>3794</v>
      </c>
      <c r="G40" s="284" t="s">
        <v>168</v>
      </c>
      <c r="H40" s="284" t="s">
        <v>3774</v>
      </c>
      <c r="I40" s="284" t="s">
        <v>168</v>
      </c>
      <c r="J40" s="284">
        <v>16</v>
      </c>
      <c r="K40" s="303">
        <v>46238</v>
      </c>
      <c r="L40" s="302">
        <v>230594</v>
      </c>
      <c r="M40" s="302">
        <v>0</v>
      </c>
    </row>
    <row r="41" spans="1:13" ht="15">
      <c r="A41" s="284" t="s">
        <v>3827</v>
      </c>
      <c r="B41" s="284" t="s">
        <v>229</v>
      </c>
      <c r="C41" s="284" t="s">
        <v>3792</v>
      </c>
      <c r="D41" s="302">
        <v>0</v>
      </c>
      <c r="E41" s="284" t="s">
        <v>3793</v>
      </c>
      <c r="F41" s="284" t="s">
        <v>3794</v>
      </c>
      <c r="G41" s="284" t="s">
        <v>168</v>
      </c>
      <c r="H41" s="284" t="s">
        <v>3774</v>
      </c>
      <c r="I41" s="284" t="s">
        <v>168</v>
      </c>
      <c r="J41" s="284">
        <v>1</v>
      </c>
      <c r="K41" s="303">
        <v>46183</v>
      </c>
      <c r="L41" s="302">
        <v>50</v>
      </c>
      <c r="M41" s="302">
        <v>0</v>
      </c>
    </row>
    <row r="42" spans="1:13" ht="15">
      <c r="A42" s="284" t="s">
        <v>3828</v>
      </c>
      <c r="B42" s="284" t="s">
        <v>176</v>
      </c>
      <c r="C42" s="284" t="s">
        <v>3792</v>
      </c>
      <c r="D42" s="302">
        <v>0</v>
      </c>
      <c r="E42" s="284" t="s">
        <v>3793</v>
      </c>
      <c r="F42" s="284" t="s">
        <v>3794</v>
      </c>
      <c r="G42" s="284" t="s">
        <v>168</v>
      </c>
      <c r="H42" s="284" t="s">
        <v>3774</v>
      </c>
      <c r="I42" s="284" t="s">
        <v>168</v>
      </c>
      <c r="J42" s="284">
        <v>3</v>
      </c>
      <c r="K42" s="303">
        <v>46209</v>
      </c>
      <c r="L42" s="302">
        <v>17292</v>
      </c>
      <c r="M42" s="302">
        <v>0</v>
      </c>
    </row>
    <row r="43" spans="1:13" ht="15">
      <c r="A43" s="284" t="s">
        <v>3829</v>
      </c>
      <c r="B43" s="284" t="s">
        <v>136</v>
      </c>
      <c r="C43" s="284" t="s">
        <v>3792</v>
      </c>
      <c r="D43" s="302">
        <v>0</v>
      </c>
      <c r="E43" s="284" t="s">
        <v>3793</v>
      </c>
      <c r="F43" s="284" t="s">
        <v>3794</v>
      </c>
      <c r="G43" s="284" t="s">
        <v>168</v>
      </c>
      <c r="H43" s="284" t="s">
        <v>3774</v>
      </c>
      <c r="I43" s="284" t="s">
        <v>168</v>
      </c>
      <c r="J43" s="284">
        <v>13</v>
      </c>
      <c r="K43" s="303">
        <v>46269</v>
      </c>
      <c r="L43" s="302">
        <v>102995</v>
      </c>
      <c r="M43" s="302">
        <v>0</v>
      </c>
    </row>
    <row r="44" spans="1:13" ht="15">
      <c r="A44" s="284" t="s">
        <v>3830</v>
      </c>
      <c r="B44" s="284" t="s">
        <v>218</v>
      </c>
      <c r="C44" s="284" t="s">
        <v>3792</v>
      </c>
      <c r="D44" s="302">
        <v>0</v>
      </c>
      <c r="E44" s="284" t="s">
        <v>3793</v>
      </c>
      <c r="F44" s="284" t="s">
        <v>3794</v>
      </c>
      <c r="G44" s="284" t="s">
        <v>168</v>
      </c>
      <c r="H44" s="284" t="s">
        <v>3774</v>
      </c>
      <c r="I44" s="284" t="s">
        <v>168</v>
      </c>
      <c r="J44" s="284">
        <v>1</v>
      </c>
      <c r="K44" s="303">
        <v>46172</v>
      </c>
      <c r="L44" s="302">
        <v>3000</v>
      </c>
      <c r="M44" s="302">
        <v>0</v>
      </c>
    </row>
    <row r="45" spans="1:13" ht="15">
      <c r="A45" s="284" t="s">
        <v>3831</v>
      </c>
      <c r="B45" s="284" t="s">
        <v>133</v>
      </c>
      <c r="C45" s="284" t="s">
        <v>3792</v>
      </c>
      <c r="D45" s="302">
        <v>0</v>
      </c>
      <c r="E45" s="284" t="s">
        <v>3793</v>
      </c>
      <c r="F45" s="284" t="s">
        <v>3794</v>
      </c>
      <c r="G45" s="284" t="s">
        <v>353</v>
      </c>
      <c r="H45" s="284" t="s">
        <v>3774</v>
      </c>
      <c r="I45" s="284" t="s">
        <v>353</v>
      </c>
      <c r="J45" s="284">
        <v>7</v>
      </c>
      <c r="K45" s="303">
        <v>46211</v>
      </c>
      <c r="L45" s="302">
        <v>15530</v>
      </c>
      <c r="M45" s="302">
        <v>1515.3</v>
      </c>
    </row>
    <row r="46" spans="1:13" ht="15">
      <c r="A46" s="284" t="s">
        <v>3832</v>
      </c>
      <c r="B46" s="284" t="s">
        <v>232</v>
      </c>
      <c r="C46" s="284" t="s">
        <v>3792</v>
      </c>
      <c r="D46" s="302">
        <v>0</v>
      </c>
      <c r="E46" s="284" t="s">
        <v>3793</v>
      </c>
      <c r="F46" s="284" t="s">
        <v>3794</v>
      </c>
      <c r="G46" s="284" t="s">
        <v>168</v>
      </c>
      <c r="H46" s="284" t="s">
        <v>3774</v>
      </c>
      <c r="I46" s="284" t="s">
        <v>168</v>
      </c>
      <c r="J46" s="284">
        <v>1</v>
      </c>
      <c r="K46" s="303">
        <v>46185</v>
      </c>
      <c r="L46" s="302">
        <v>1220</v>
      </c>
      <c r="M46" s="302">
        <v>0</v>
      </c>
    </row>
    <row r="47" spans="1:13" ht="15">
      <c r="A47" s="284" t="s">
        <v>3833</v>
      </c>
      <c r="B47" s="284" t="s">
        <v>107</v>
      </c>
      <c r="C47" s="284" t="s">
        <v>3792</v>
      </c>
      <c r="D47" s="302">
        <v>0</v>
      </c>
      <c r="E47" s="284" t="s">
        <v>3793</v>
      </c>
      <c r="F47" s="284" t="s">
        <v>3794</v>
      </c>
      <c r="G47" s="284" t="s">
        <v>168</v>
      </c>
      <c r="H47" s="284" t="s">
        <v>3774</v>
      </c>
      <c r="I47" s="284" t="s">
        <v>168</v>
      </c>
      <c r="J47" s="284">
        <v>2</v>
      </c>
      <c r="K47" s="303">
        <v>46062</v>
      </c>
      <c r="L47" s="302">
        <v>1350</v>
      </c>
      <c r="M47" s="302">
        <v>0</v>
      </c>
    </row>
    <row r="48" spans="1:13" ht="15">
      <c r="A48" s="284" t="s">
        <v>3834</v>
      </c>
      <c r="B48" s="284" t="s">
        <v>273</v>
      </c>
      <c r="C48" s="284" t="s">
        <v>3792</v>
      </c>
      <c r="D48" s="302">
        <v>0</v>
      </c>
      <c r="E48" s="284" t="s">
        <v>3793</v>
      </c>
      <c r="F48" s="284" t="s">
        <v>3794</v>
      </c>
      <c r="G48" s="284" t="s">
        <v>168</v>
      </c>
      <c r="H48" s="284" t="s">
        <v>3774</v>
      </c>
      <c r="I48" s="284" t="s">
        <v>168</v>
      </c>
      <c r="J48" s="284">
        <v>1</v>
      </c>
      <c r="K48" s="303">
        <v>46258</v>
      </c>
      <c r="L48" s="302">
        <v>2336</v>
      </c>
      <c r="M48" s="302">
        <v>0</v>
      </c>
    </row>
    <row r="49" spans="1:13" ht="15">
      <c r="A49" s="284" t="s">
        <v>3835</v>
      </c>
      <c r="B49" s="284" t="s">
        <v>184</v>
      </c>
      <c r="C49" s="284" t="s">
        <v>3792</v>
      </c>
      <c r="D49" s="302">
        <v>0</v>
      </c>
      <c r="E49" s="284" t="s">
        <v>3793</v>
      </c>
      <c r="F49" s="284" t="s">
        <v>3794</v>
      </c>
      <c r="G49" s="284" t="s">
        <v>168</v>
      </c>
      <c r="H49" s="284" t="s">
        <v>3774</v>
      </c>
      <c r="I49" s="284" t="s">
        <v>168</v>
      </c>
      <c r="J49" s="284">
        <v>5</v>
      </c>
      <c r="K49" s="303">
        <v>46288</v>
      </c>
      <c r="L49" s="302">
        <v>19950</v>
      </c>
      <c r="M49" s="302">
        <v>0</v>
      </c>
    </row>
    <row r="50" spans="1:13" ht="15">
      <c r="A50" s="284" t="s">
        <v>3836</v>
      </c>
      <c r="B50" s="284" t="s">
        <v>238</v>
      </c>
      <c r="C50" s="284" t="s">
        <v>3792</v>
      </c>
      <c r="D50" s="302">
        <v>0</v>
      </c>
      <c r="E50" s="284" t="s">
        <v>3793</v>
      </c>
      <c r="F50" s="284" t="s">
        <v>3794</v>
      </c>
      <c r="G50" s="284" t="s">
        <v>168</v>
      </c>
      <c r="H50" s="284" t="s">
        <v>3774</v>
      </c>
      <c r="I50" s="284" t="s">
        <v>168</v>
      </c>
      <c r="J50" s="284">
        <v>1</v>
      </c>
      <c r="K50" s="303">
        <v>46193</v>
      </c>
      <c r="L50" s="302">
        <v>600</v>
      </c>
      <c r="M50" s="302">
        <v>0</v>
      </c>
    </row>
    <row r="51" spans="1:13" ht="15">
      <c r="A51" s="284" t="s">
        <v>3837</v>
      </c>
      <c r="B51" s="284" t="s">
        <v>120</v>
      </c>
      <c r="C51" s="284" t="s">
        <v>3792</v>
      </c>
      <c r="D51" s="302">
        <v>0</v>
      </c>
      <c r="E51" s="284" t="s">
        <v>3793</v>
      </c>
      <c r="F51" s="284" t="s">
        <v>3794</v>
      </c>
      <c r="G51" s="284" t="s">
        <v>168</v>
      </c>
      <c r="H51" s="284" t="s">
        <v>3774</v>
      </c>
      <c r="I51" s="284" t="s">
        <v>168</v>
      </c>
      <c r="J51" s="284">
        <v>33</v>
      </c>
      <c r="K51" s="303">
        <v>46295</v>
      </c>
      <c r="L51" s="302">
        <v>81601</v>
      </c>
      <c r="M51" s="302">
        <v>0</v>
      </c>
    </row>
    <row r="52" spans="1:13" ht="15">
      <c r="A52" s="284" t="s">
        <v>3838</v>
      </c>
      <c r="B52" s="284" t="s">
        <v>112</v>
      </c>
      <c r="C52" s="284" t="s">
        <v>3792</v>
      </c>
      <c r="D52" s="302">
        <v>0</v>
      </c>
      <c r="E52" s="284" t="s">
        <v>3793</v>
      </c>
      <c r="F52" s="284" t="s">
        <v>3794</v>
      </c>
      <c r="G52" s="284" t="s">
        <v>168</v>
      </c>
      <c r="H52" s="284" t="s">
        <v>3774</v>
      </c>
      <c r="I52" s="284" t="s">
        <v>168</v>
      </c>
      <c r="J52" s="284">
        <v>40</v>
      </c>
      <c r="K52" s="303">
        <v>46296</v>
      </c>
      <c r="L52" s="302">
        <v>85017</v>
      </c>
      <c r="M52" s="302">
        <v>0</v>
      </c>
    </row>
    <row r="53" spans="1:13" ht="15">
      <c r="A53" s="284" t="s">
        <v>3839</v>
      </c>
      <c r="B53" s="284" t="s">
        <v>192</v>
      </c>
      <c r="C53" s="284" t="s">
        <v>3792</v>
      </c>
      <c r="D53" s="302">
        <v>0</v>
      </c>
      <c r="E53" s="284" t="s">
        <v>3793</v>
      </c>
      <c r="F53" s="284" t="s">
        <v>3794</v>
      </c>
      <c r="G53" s="284" t="s">
        <v>168</v>
      </c>
      <c r="H53" s="284" t="s">
        <v>3774</v>
      </c>
      <c r="I53" s="284" t="s">
        <v>168</v>
      </c>
      <c r="J53" s="284">
        <v>1</v>
      </c>
      <c r="K53" s="303">
        <v>46133</v>
      </c>
      <c r="L53" s="302">
        <v>2822</v>
      </c>
      <c r="M53" s="302">
        <v>0</v>
      </c>
    </row>
    <row r="54" spans="1:13" ht="15">
      <c r="A54" s="284" t="s">
        <v>3840</v>
      </c>
      <c r="B54" s="284" t="s">
        <v>274</v>
      </c>
      <c r="C54" s="284" t="s">
        <v>3792</v>
      </c>
      <c r="D54" s="302">
        <v>0</v>
      </c>
      <c r="E54" s="284" t="s">
        <v>3793</v>
      </c>
      <c r="F54" s="284" t="s">
        <v>3794</v>
      </c>
      <c r="G54" s="284" t="s">
        <v>168</v>
      </c>
      <c r="H54" s="284" t="s">
        <v>3774</v>
      </c>
      <c r="I54" s="284" t="s">
        <v>168</v>
      </c>
      <c r="J54" s="284">
        <v>1</v>
      </c>
      <c r="K54" s="303">
        <v>46258</v>
      </c>
      <c r="L54" s="302">
        <v>750</v>
      </c>
      <c r="M54" s="302">
        <v>0</v>
      </c>
    </row>
    <row r="55" spans="1:13" ht="15">
      <c r="A55" s="284" t="s">
        <v>3841</v>
      </c>
      <c r="B55" s="284" t="s">
        <v>258</v>
      </c>
      <c r="C55" s="284" t="s">
        <v>3792</v>
      </c>
      <c r="D55" s="302">
        <v>0</v>
      </c>
      <c r="E55" s="284" t="s">
        <v>3793</v>
      </c>
      <c r="F55" s="284" t="s">
        <v>3794</v>
      </c>
      <c r="G55" s="284" t="s">
        <v>168</v>
      </c>
      <c r="H55" s="284" t="s">
        <v>3774</v>
      </c>
      <c r="I55" s="284" t="s">
        <v>168</v>
      </c>
      <c r="J55" s="284">
        <v>3</v>
      </c>
      <c r="K55" s="303">
        <v>46296</v>
      </c>
      <c r="L55" s="302">
        <v>9160</v>
      </c>
      <c r="M55" s="302">
        <v>0</v>
      </c>
    </row>
    <row r="56" spans="1:13" ht="15">
      <c r="A56" s="284" t="s">
        <v>3842</v>
      </c>
      <c r="B56" s="284" t="s">
        <v>241</v>
      </c>
      <c r="C56" s="284" t="s">
        <v>3792</v>
      </c>
      <c r="D56" s="302">
        <v>0</v>
      </c>
      <c r="E56" s="284" t="s">
        <v>3793</v>
      </c>
      <c r="F56" s="284" t="s">
        <v>3794</v>
      </c>
      <c r="G56" s="284" t="s">
        <v>168</v>
      </c>
      <c r="H56" s="284" t="s">
        <v>3774</v>
      </c>
      <c r="I56" s="284" t="s">
        <v>168</v>
      </c>
      <c r="J56" s="284">
        <v>5</v>
      </c>
      <c r="K56" s="303">
        <v>46269</v>
      </c>
      <c r="L56" s="302">
        <v>21905</v>
      </c>
      <c r="M56" s="302">
        <v>0</v>
      </c>
    </row>
    <row r="57" spans="1:13" ht="15">
      <c r="A57" s="284" t="s">
        <v>3843</v>
      </c>
      <c r="B57" s="284" t="s">
        <v>165</v>
      </c>
      <c r="C57" s="284" t="s">
        <v>3792</v>
      </c>
      <c r="D57" s="302">
        <v>0</v>
      </c>
      <c r="E57" s="284" t="s">
        <v>3793</v>
      </c>
      <c r="F57" s="284" t="s">
        <v>3794</v>
      </c>
      <c r="G57" s="284" t="s">
        <v>168</v>
      </c>
      <c r="H57" s="284" t="s">
        <v>3774</v>
      </c>
      <c r="I57" s="284" t="s">
        <v>168</v>
      </c>
      <c r="J57" s="284">
        <v>5</v>
      </c>
      <c r="K57" s="303">
        <v>46226</v>
      </c>
      <c r="L57" s="302">
        <v>15429</v>
      </c>
      <c r="M57" s="302">
        <v>0</v>
      </c>
    </row>
    <row r="58" spans="1:13" ht="15">
      <c r="A58" s="284" t="s">
        <v>3844</v>
      </c>
      <c r="B58" s="284" t="s">
        <v>1604</v>
      </c>
      <c r="C58" s="284" t="s">
        <v>3792</v>
      </c>
      <c r="D58" s="302">
        <v>0</v>
      </c>
      <c r="E58" s="284" t="s">
        <v>3793</v>
      </c>
      <c r="F58" s="284" t="s">
        <v>3794</v>
      </c>
      <c r="G58" s="284" t="s">
        <v>168</v>
      </c>
      <c r="H58" s="284" t="s">
        <v>3774</v>
      </c>
      <c r="I58" s="284" t="s">
        <v>168</v>
      </c>
      <c r="J58" s="284">
        <v>24</v>
      </c>
      <c r="K58" s="303">
        <v>46295</v>
      </c>
      <c r="L58" s="302">
        <v>54760</v>
      </c>
      <c r="M58" s="302">
        <v>6588.9750000000004</v>
      </c>
    </row>
    <row r="59" spans="1:13" ht="15">
      <c r="A59" s="284" t="s">
        <v>3845</v>
      </c>
      <c r="B59" s="284" t="s">
        <v>270</v>
      </c>
      <c r="C59" s="284" t="s">
        <v>3792</v>
      </c>
      <c r="D59" s="302">
        <v>0</v>
      </c>
      <c r="E59" s="284" t="s">
        <v>3793</v>
      </c>
      <c r="F59" s="284" t="s">
        <v>3794</v>
      </c>
      <c r="G59" s="284" t="s">
        <v>168</v>
      </c>
      <c r="H59" s="284" t="s">
        <v>3774</v>
      </c>
      <c r="I59" s="284" t="s">
        <v>168</v>
      </c>
      <c r="J59" s="284">
        <v>1</v>
      </c>
      <c r="K59" s="303">
        <v>46252</v>
      </c>
      <c r="L59" s="302">
        <v>650</v>
      </c>
      <c r="M59" s="302">
        <v>0</v>
      </c>
    </row>
    <row r="60" spans="1:13" ht="15">
      <c r="A60" s="284" t="s">
        <v>3846</v>
      </c>
      <c r="B60" s="284" t="s">
        <v>108</v>
      </c>
      <c r="C60" s="284" t="s">
        <v>3792</v>
      </c>
      <c r="D60" s="302">
        <v>0</v>
      </c>
      <c r="E60" s="284" t="s">
        <v>3793</v>
      </c>
      <c r="F60" s="284" t="s">
        <v>3794</v>
      </c>
      <c r="G60" s="284" t="s">
        <v>353</v>
      </c>
      <c r="H60" s="284" t="s">
        <v>3774</v>
      </c>
      <c r="I60" s="284" t="s">
        <v>353</v>
      </c>
      <c r="J60" s="284">
        <v>92</v>
      </c>
      <c r="K60" s="303">
        <v>46294</v>
      </c>
      <c r="L60" s="302">
        <v>350498</v>
      </c>
      <c r="M60" s="302">
        <v>37900.364999999998</v>
      </c>
    </row>
    <row r="61" spans="1:13" ht="15">
      <c r="A61" s="284" t="s">
        <v>3847</v>
      </c>
      <c r="B61" s="284" t="s">
        <v>257</v>
      </c>
      <c r="C61" s="284" t="s">
        <v>3792</v>
      </c>
      <c r="D61" s="302">
        <v>0</v>
      </c>
      <c r="E61" s="284" t="s">
        <v>3793</v>
      </c>
      <c r="F61" s="284" t="s">
        <v>3794</v>
      </c>
      <c r="G61" s="284" t="s">
        <v>168</v>
      </c>
      <c r="H61" s="284" t="s">
        <v>3774</v>
      </c>
      <c r="I61" s="284" t="s">
        <v>168</v>
      </c>
      <c r="J61" s="284">
        <v>3</v>
      </c>
      <c r="K61" s="303">
        <v>46275</v>
      </c>
      <c r="L61" s="302">
        <v>20200</v>
      </c>
      <c r="M61" s="302">
        <v>0</v>
      </c>
    </row>
    <row r="62" spans="1:13" ht="15">
      <c r="A62" s="284" t="s">
        <v>3848</v>
      </c>
      <c r="B62" s="284" t="s">
        <v>204</v>
      </c>
      <c r="C62" s="284" t="s">
        <v>3792</v>
      </c>
      <c r="D62" s="302">
        <v>0</v>
      </c>
      <c r="E62" s="284" t="s">
        <v>3793</v>
      </c>
      <c r="F62" s="284" t="s">
        <v>3794</v>
      </c>
      <c r="G62" s="284" t="s">
        <v>168</v>
      </c>
      <c r="H62" s="284" t="s">
        <v>3774</v>
      </c>
      <c r="I62" s="284" t="s">
        <v>168</v>
      </c>
      <c r="J62" s="284">
        <v>1</v>
      </c>
      <c r="K62" s="303">
        <v>46149</v>
      </c>
      <c r="L62" s="302">
        <v>4800</v>
      </c>
      <c r="M62" s="302">
        <v>0</v>
      </c>
    </row>
    <row r="63" spans="1:13" ht="15">
      <c r="A63" s="284" t="s">
        <v>3849</v>
      </c>
      <c r="B63" s="284" t="s">
        <v>278</v>
      </c>
      <c r="C63" s="284" t="s">
        <v>3792</v>
      </c>
      <c r="D63" s="302">
        <v>0</v>
      </c>
      <c r="E63" s="284" t="s">
        <v>3793</v>
      </c>
      <c r="F63" s="284" t="s">
        <v>3794</v>
      </c>
      <c r="G63" s="284" t="s">
        <v>168</v>
      </c>
      <c r="H63" s="284" t="s">
        <v>3774</v>
      </c>
      <c r="I63" s="284" t="s">
        <v>168</v>
      </c>
      <c r="J63" s="284">
        <v>1</v>
      </c>
      <c r="K63" s="303">
        <v>46260</v>
      </c>
      <c r="L63" s="302">
        <v>4000</v>
      </c>
      <c r="M63" s="302">
        <v>0</v>
      </c>
    </row>
    <row r="64" spans="1:13" ht="15">
      <c r="A64" s="284" t="s">
        <v>3850</v>
      </c>
      <c r="B64" s="284" t="s">
        <v>220</v>
      </c>
      <c r="C64" s="284" t="s">
        <v>3792</v>
      </c>
      <c r="D64" s="302">
        <v>0</v>
      </c>
      <c r="E64" s="284" t="s">
        <v>3793</v>
      </c>
      <c r="F64" s="284" t="s">
        <v>3794</v>
      </c>
      <c r="G64" s="284" t="s">
        <v>168</v>
      </c>
      <c r="H64" s="284" t="s">
        <v>3774</v>
      </c>
      <c r="I64" s="284" t="s">
        <v>168</v>
      </c>
      <c r="J64" s="284">
        <v>1</v>
      </c>
      <c r="K64" s="303">
        <v>46175</v>
      </c>
      <c r="L64" s="302">
        <v>2160</v>
      </c>
      <c r="M64" s="302">
        <v>0</v>
      </c>
    </row>
    <row r="65" spans="1:13" ht="15">
      <c r="A65" s="284" t="s">
        <v>3851</v>
      </c>
      <c r="B65" s="284" t="s">
        <v>113</v>
      </c>
      <c r="C65" s="284" t="s">
        <v>3792</v>
      </c>
      <c r="D65" s="302">
        <v>0</v>
      </c>
      <c r="E65" s="284" t="s">
        <v>3793</v>
      </c>
      <c r="F65" s="284" t="s">
        <v>3794</v>
      </c>
      <c r="G65" s="284" t="s">
        <v>168</v>
      </c>
      <c r="H65" s="284" t="s">
        <v>3774</v>
      </c>
      <c r="I65" s="284" t="s">
        <v>168</v>
      </c>
      <c r="J65" s="284">
        <v>13</v>
      </c>
      <c r="K65" s="303">
        <v>46294</v>
      </c>
      <c r="L65" s="302">
        <v>32967</v>
      </c>
      <c r="M65" s="302">
        <v>0</v>
      </c>
    </row>
    <row r="66" spans="1:13" ht="15">
      <c r="A66" s="284" t="s">
        <v>3852</v>
      </c>
      <c r="B66" s="284" t="s">
        <v>224</v>
      </c>
      <c r="C66" s="284" t="s">
        <v>3792</v>
      </c>
      <c r="D66" s="302">
        <v>0</v>
      </c>
      <c r="E66" s="284" t="s">
        <v>3793</v>
      </c>
      <c r="F66" s="284" t="s">
        <v>3794</v>
      </c>
      <c r="G66" s="284" t="s">
        <v>168</v>
      </c>
      <c r="H66" s="284" t="s">
        <v>3774</v>
      </c>
      <c r="I66" s="284" t="s">
        <v>168</v>
      </c>
      <c r="J66" s="284">
        <v>3</v>
      </c>
      <c r="K66" s="303">
        <v>46230</v>
      </c>
      <c r="L66" s="302">
        <v>5075</v>
      </c>
      <c r="M66" s="302">
        <v>0</v>
      </c>
    </row>
    <row r="67" spans="1:13" ht="15">
      <c r="A67" s="284" t="s">
        <v>3853</v>
      </c>
      <c r="B67" s="284" t="s">
        <v>265</v>
      </c>
      <c r="C67" s="284" t="s">
        <v>3792</v>
      </c>
      <c r="D67" s="302">
        <v>0</v>
      </c>
      <c r="E67" s="284" t="s">
        <v>3793</v>
      </c>
      <c r="F67" s="284" t="s">
        <v>3794</v>
      </c>
      <c r="G67" s="284" t="s">
        <v>168</v>
      </c>
      <c r="H67" s="284" t="s">
        <v>3774</v>
      </c>
      <c r="I67" s="284" t="s">
        <v>168</v>
      </c>
      <c r="J67" s="284">
        <v>1</v>
      </c>
      <c r="K67" s="303">
        <v>46235</v>
      </c>
      <c r="L67" s="302">
        <v>17235</v>
      </c>
      <c r="M67" s="302">
        <v>0</v>
      </c>
    </row>
    <row r="68" spans="1:13" ht="15">
      <c r="A68" s="284" t="s">
        <v>3854</v>
      </c>
      <c r="B68" s="284" t="s">
        <v>156</v>
      </c>
      <c r="C68" s="284" t="s">
        <v>3792</v>
      </c>
      <c r="D68" s="302">
        <v>0</v>
      </c>
      <c r="E68" s="284" t="s">
        <v>3793</v>
      </c>
      <c r="F68" s="284" t="s">
        <v>3794</v>
      </c>
      <c r="G68" s="284" t="s">
        <v>168</v>
      </c>
      <c r="H68" s="284" t="s">
        <v>3774</v>
      </c>
      <c r="I68" s="284" t="s">
        <v>168</v>
      </c>
      <c r="J68" s="284">
        <v>12</v>
      </c>
      <c r="K68" s="303">
        <v>46280</v>
      </c>
      <c r="L68" s="302">
        <v>17980</v>
      </c>
      <c r="M68" s="302">
        <v>0</v>
      </c>
    </row>
    <row r="69" spans="1:13" ht="15">
      <c r="A69" s="284" t="s">
        <v>3855</v>
      </c>
      <c r="B69" s="284" t="s">
        <v>92</v>
      </c>
      <c r="C69" s="284" t="s">
        <v>3792</v>
      </c>
      <c r="D69" s="302">
        <v>0</v>
      </c>
      <c r="E69" s="284" t="s">
        <v>3793</v>
      </c>
      <c r="F69" s="284" t="s">
        <v>3794</v>
      </c>
      <c r="G69" s="284" t="s">
        <v>168</v>
      </c>
      <c r="H69" s="284" t="s">
        <v>3774</v>
      </c>
      <c r="I69" s="284" t="s">
        <v>168</v>
      </c>
      <c r="J69" s="284">
        <v>69</v>
      </c>
      <c r="K69" s="303">
        <v>46295</v>
      </c>
      <c r="L69" s="302">
        <v>258457</v>
      </c>
      <c r="M69" s="302">
        <v>0</v>
      </c>
    </row>
    <row r="70" spans="1:13" ht="15">
      <c r="A70" s="284" t="s">
        <v>3856</v>
      </c>
      <c r="B70" s="284" t="s">
        <v>109</v>
      </c>
      <c r="C70" s="284" t="s">
        <v>3792</v>
      </c>
      <c r="D70" s="302">
        <v>0</v>
      </c>
      <c r="E70" s="284" t="s">
        <v>3793</v>
      </c>
      <c r="F70" s="284" t="s">
        <v>3794</v>
      </c>
      <c r="G70" s="284" t="s">
        <v>354</v>
      </c>
      <c r="H70" s="284" t="s">
        <v>3774</v>
      </c>
      <c r="I70" s="284" t="s">
        <v>354</v>
      </c>
      <c r="J70" s="284">
        <v>72</v>
      </c>
      <c r="K70" s="303">
        <v>46293</v>
      </c>
      <c r="L70" s="302">
        <v>165022</v>
      </c>
      <c r="M70" s="302">
        <v>14779.897499999999</v>
      </c>
    </row>
    <row r="71" spans="1:13" ht="15">
      <c r="A71" s="284" t="s">
        <v>3857</v>
      </c>
      <c r="B71" s="284" t="s">
        <v>197</v>
      </c>
      <c r="C71" s="284" t="s">
        <v>3792</v>
      </c>
      <c r="D71" s="302">
        <v>0</v>
      </c>
      <c r="E71" s="284" t="s">
        <v>3793</v>
      </c>
      <c r="F71" s="284" t="s">
        <v>3794</v>
      </c>
      <c r="G71" s="284" t="s">
        <v>168</v>
      </c>
      <c r="H71" s="284" t="s">
        <v>3774</v>
      </c>
      <c r="I71" s="284" t="s">
        <v>168</v>
      </c>
      <c r="J71" s="284">
        <v>4</v>
      </c>
      <c r="K71" s="303">
        <v>46220</v>
      </c>
      <c r="L71" s="302">
        <v>6289</v>
      </c>
      <c r="M71" s="302">
        <v>0</v>
      </c>
    </row>
    <row r="72" spans="1:13" ht="15">
      <c r="A72" s="284" t="s">
        <v>3858</v>
      </c>
      <c r="B72" s="284" t="s">
        <v>227</v>
      </c>
      <c r="C72" s="284" t="s">
        <v>3792</v>
      </c>
      <c r="D72" s="302">
        <v>0</v>
      </c>
      <c r="E72" s="284" t="s">
        <v>3793</v>
      </c>
      <c r="F72" s="284" t="s">
        <v>3794</v>
      </c>
      <c r="G72" s="284" t="s">
        <v>168</v>
      </c>
      <c r="H72" s="284" t="s">
        <v>3774</v>
      </c>
      <c r="I72" s="284" t="s">
        <v>168</v>
      </c>
      <c r="J72" s="284">
        <v>3</v>
      </c>
      <c r="K72" s="303">
        <v>46212</v>
      </c>
      <c r="L72" s="302">
        <v>8500</v>
      </c>
      <c r="M72" s="302">
        <v>0</v>
      </c>
    </row>
    <row r="73" spans="1:13" ht="15">
      <c r="A73" s="284" t="s">
        <v>3859</v>
      </c>
      <c r="B73" s="284" t="s">
        <v>103</v>
      </c>
      <c r="C73" s="284" t="s">
        <v>3792</v>
      </c>
      <c r="D73" s="302">
        <v>0</v>
      </c>
      <c r="E73" s="284" t="s">
        <v>3793</v>
      </c>
      <c r="F73" s="284" t="s">
        <v>3794</v>
      </c>
      <c r="G73" s="284" t="s">
        <v>353</v>
      </c>
      <c r="H73" s="284" t="s">
        <v>3774</v>
      </c>
      <c r="I73" s="284" t="s">
        <v>353</v>
      </c>
      <c r="J73" s="284">
        <v>49</v>
      </c>
      <c r="K73" s="303">
        <v>46295</v>
      </c>
      <c r="L73" s="302">
        <v>172299</v>
      </c>
      <c r="M73" s="302">
        <v>18667.424999999999</v>
      </c>
    </row>
    <row r="74" spans="1:13" ht="15">
      <c r="A74" s="284" t="s">
        <v>3860</v>
      </c>
      <c r="B74" s="284" t="s">
        <v>93</v>
      </c>
      <c r="C74" s="284" t="s">
        <v>3792</v>
      </c>
      <c r="D74" s="302">
        <v>0</v>
      </c>
      <c r="E74" s="284" t="s">
        <v>3793</v>
      </c>
      <c r="F74" s="284" t="s">
        <v>3794</v>
      </c>
      <c r="G74" s="284" t="s">
        <v>168</v>
      </c>
      <c r="H74" s="284" t="s">
        <v>3774</v>
      </c>
      <c r="I74" s="284" t="s">
        <v>168</v>
      </c>
      <c r="J74" s="284">
        <v>3</v>
      </c>
      <c r="K74" s="303">
        <v>46202</v>
      </c>
      <c r="L74" s="302">
        <v>10806</v>
      </c>
      <c r="M74" s="302">
        <v>0</v>
      </c>
    </row>
    <row r="75" spans="1:13" ht="15">
      <c r="A75" s="284" t="s">
        <v>3861</v>
      </c>
      <c r="B75" s="284" t="s">
        <v>253</v>
      </c>
      <c r="C75" s="284" t="s">
        <v>3792</v>
      </c>
      <c r="D75" s="302">
        <v>0</v>
      </c>
      <c r="E75" s="284" t="s">
        <v>3793</v>
      </c>
      <c r="F75" s="284" t="s">
        <v>3794</v>
      </c>
      <c r="G75" s="284" t="s">
        <v>358</v>
      </c>
      <c r="H75" s="284" t="s">
        <v>3774</v>
      </c>
      <c r="I75" s="284" t="s">
        <v>358</v>
      </c>
      <c r="J75" s="284">
        <v>2</v>
      </c>
      <c r="K75" s="303">
        <v>46232</v>
      </c>
      <c r="L75" s="302">
        <v>2591</v>
      </c>
      <c r="M75" s="302">
        <v>256.56972000000002</v>
      </c>
    </row>
    <row r="76" spans="1:13" ht="15">
      <c r="A76" s="284" t="s">
        <v>3862</v>
      </c>
      <c r="B76" s="284" t="s">
        <v>146</v>
      </c>
      <c r="C76" s="284" t="s">
        <v>3792</v>
      </c>
      <c r="D76" s="302">
        <v>0</v>
      </c>
      <c r="E76" s="284" t="s">
        <v>3793</v>
      </c>
      <c r="F76" s="284" t="s">
        <v>3794</v>
      </c>
      <c r="G76" s="284" t="s">
        <v>168</v>
      </c>
      <c r="H76" s="284" t="s">
        <v>3774</v>
      </c>
      <c r="I76" s="284" t="s">
        <v>168</v>
      </c>
      <c r="J76" s="284">
        <v>1</v>
      </c>
      <c r="K76" s="303">
        <v>46072</v>
      </c>
      <c r="L76" s="302">
        <v>500</v>
      </c>
      <c r="M76" s="302">
        <v>0</v>
      </c>
    </row>
    <row r="77" spans="1:13" ht="15">
      <c r="A77" s="284" t="s">
        <v>3863</v>
      </c>
      <c r="B77" s="284" t="s">
        <v>160</v>
      </c>
      <c r="C77" s="284" t="s">
        <v>3792</v>
      </c>
      <c r="D77" s="302">
        <v>0</v>
      </c>
      <c r="E77" s="284" t="s">
        <v>3793</v>
      </c>
      <c r="F77" s="284" t="s">
        <v>3794</v>
      </c>
      <c r="G77" s="284" t="s">
        <v>168</v>
      </c>
      <c r="H77" s="284" t="s">
        <v>3774</v>
      </c>
      <c r="I77" s="284" t="s">
        <v>168</v>
      </c>
      <c r="J77" s="284">
        <v>1</v>
      </c>
      <c r="K77" s="303">
        <v>46085</v>
      </c>
      <c r="L77" s="302">
        <v>17230</v>
      </c>
      <c r="M77" s="302">
        <v>0</v>
      </c>
    </row>
    <row r="78" spans="1:13" ht="15">
      <c r="A78" s="284" t="s">
        <v>3864</v>
      </c>
      <c r="B78" s="284" t="s">
        <v>177</v>
      </c>
      <c r="C78" s="284" t="s">
        <v>3792</v>
      </c>
      <c r="D78" s="302">
        <v>0</v>
      </c>
      <c r="E78" s="284" t="s">
        <v>3793</v>
      </c>
      <c r="F78" s="284" t="s">
        <v>3794</v>
      </c>
      <c r="G78" s="284" t="s">
        <v>168</v>
      </c>
      <c r="H78" s="284" t="s">
        <v>3774</v>
      </c>
      <c r="I78" s="284" t="s">
        <v>168</v>
      </c>
      <c r="J78" s="284">
        <v>1</v>
      </c>
      <c r="K78" s="303">
        <v>46113</v>
      </c>
      <c r="L78" s="302">
        <v>2100</v>
      </c>
      <c r="M78" s="302">
        <v>0</v>
      </c>
    </row>
    <row r="79" spans="1:13" ht="15">
      <c r="A79" s="284" t="s">
        <v>3865</v>
      </c>
      <c r="B79" s="284" t="s">
        <v>161</v>
      </c>
      <c r="C79" s="284" t="s">
        <v>3792</v>
      </c>
      <c r="D79" s="302">
        <v>0</v>
      </c>
      <c r="E79" s="284" t="s">
        <v>3793</v>
      </c>
      <c r="F79" s="284" t="s">
        <v>3794</v>
      </c>
      <c r="G79" s="284" t="s">
        <v>168</v>
      </c>
      <c r="H79" s="284" t="s">
        <v>3774</v>
      </c>
      <c r="I79" s="284" t="s">
        <v>168</v>
      </c>
      <c r="J79" s="284">
        <v>1</v>
      </c>
      <c r="K79" s="303">
        <v>46087</v>
      </c>
      <c r="L79" s="302">
        <v>6134</v>
      </c>
      <c r="M79" s="302">
        <v>0</v>
      </c>
    </row>
    <row r="80" spans="1:13" ht="15">
      <c r="A80" s="284" t="s">
        <v>3866</v>
      </c>
      <c r="B80" s="284" t="s">
        <v>169</v>
      </c>
      <c r="C80" s="284" t="s">
        <v>3792</v>
      </c>
      <c r="D80" s="302">
        <v>0</v>
      </c>
      <c r="E80" s="284" t="s">
        <v>3793</v>
      </c>
      <c r="F80" s="284" t="s">
        <v>3794</v>
      </c>
      <c r="G80" s="284" t="s">
        <v>168</v>
      </c>
      <c r="H80" s="284" t="s">
        <v>3774</v>
      </c>
      <c r="I80" s="284" t="s">
        <v>168</v>
      </c>
      <c r="J80" s="284">
        <v>1</v>
      </c>
      <c r="K80" s="303">
        <v>46098</v>
      </c>
      <c r="L80" s="302">
        <v>815</v>
      </c>
      <c r="M80" s="302">
        <v>0</v>
      </c>
    </row>
    <row r="81" spans="1:13" ht="15">
      <c r="A81" s="284" t="s">
        <v>3867</v>
      </c>
      <c r="B81" s="284" t="s">
        <v>114</v>
      </c>
      <c r="C81" s="284" t="s">
        <v>3792</v>
      </c>
      <c r="D81" s="302">
        <v>0</v>
      </c>
      <c r="E81" s="284" t="s">
        <v>3793</v>
      </c>
      <c r="F81" s="284" t="s">
        <v>3794</v>
      </c>
      <c r="G81" s="284" t="s">
        <v>359</v>
      </c>
      <c r="H81" s="284" t="s">
        <v>3774</v>
      </c>
      <c r="I81" s="284" t="s">
        <v>359</v>
      </c>
      <c r="J81" s="284">
        <v>40</v>
      </c>
      <c r="K81" s="303">
        <v>46295</v>
      </c>
      <c r="L81" s="302">
        <v>111120</v>
      </c>
      <c r="M81" s="302">
        <v>12419.832</v>
      </c>
    </row>
    <row r="82" spans="1:13" ht="15">
      <c r="A82" s="284" t="s">
        <v>3868</v>
      </c>
      <c r="B82" s="284" t="s">
        <v>211</v>
      </c>
      <c r="C82" s="284" t="s">
        <v>3792</v>
      </c>
      <c r="D82" s="302">
        <v>0</v>
      </c>
      <c r="E82" s="284" t="s">
        <v>3793</v>
      </c>
      <c r="F82" s="284" t="s">
        <v>3794</v>
      </c>
      <c r="G82" s="284" t="s">
        <v>168</v>
      </c>
      <c r="H82" s="284" t="s">
        <v>3774</v>
      </c>
      <c r="I82" s="284" t="s">
        <v>168</v>
      </c>
      <c r="J82" s="284">
        <v>1</v>
      </c>
      <c r="K82" s="303">
        <v>46160</v>
      </c>
      <c r="L82" s="302">
        <v>380</v>
      </c>
      <c r="M82" s="302">
        <v>0</v>
      </c>
    </row>
    <row r="83" spans="1:13" ht="15">
      <c r="A83" s="284" t="s">
        <v>3869</v>
      </c>
      <c r="B83" s="284" t="s">
        <v>121</v>
      </c>
      <c r="C83" s="284" t="s">
        <v>3792</v>
      </c>
      <c r="D83" s="302">
        <v>0</v>
      </c>
      <c r="E83" s="284" t="s">
        <v>3793</v>
      </c>
      <c r="F83" s="284" t="s">
        <v>3794</v>
      </c>
      <c r="G83" s="284" t="s">
        <v>168</v>
      </c>
      <c r="H83" s="284" t="s">
        <v>3774</v>
      </c>
      <c r="I83" s="284" t="s">
        <v>168</v>
      </c>
      <c r="J83" s="284">
        <v>64</v>
      </c>
      <c r="K83" s="303">
        <v>46295</v>
      </c>
      <c r="L83" s="302">
        <v>297416</v>
      </c>
      <c r="M83" s="302">
        <v>0</v>
      </c>
    </row>
    <row r="84" spans="1:13" ht="15">
      <c r="A84" s="284" t="s">
        <v>3870</v>
      </c>
      <c r="B84" s="284" t="s">
        <v>149</v>
      </c>
      <c r="C84" s="284" t="s">
        <v>3792</v>
      </c>
      <c r="D84" s="302">
        <v>0</v>
      </c>
      <c r="E84" s="284" t="s">
        <v>3793</v>
      </c>
      <c r="F84" s="284" t="s">
        <v>3794</v>
      </c>
      <c r="G84" s="284" t="s">
        <v>168</v>
      </c>
      <c r="H84" s="284" t="s">
        <v>3774</v>
      </c>
      <c r="I84" s="284" t="s">
        <v>168</v>
      </c>
      <c r="J84" s="284">
        <v>9</v>
      </c>
      <c r="K84" s="303">
        <v>46291</v>
      </c>
      <c r="L84" s="302">
        <v>44699</v>
      </c>
      <c r="M84" s="302">
        <v>0</v>
      </c>
    </row>
    <row r="85" spans="1:13" ht="15">
      <c r="A85" s="284" t="s">
        <v>3871</v>
      </c>
      <c r="B85" s="284" t="s">
        <v>271</v>
      </c>
      <c r="C85" s="284" t="s">
        <v>3792</v>
      </c>
      <c r="D85" s="302">
        <v>0</v>
      </c>
      <c r="E85" s="284" t="s">
        <v>3793</v>
      </c>
      <c r="F85" s="284" t="s">
        <v>3794</v>
      </c>
      <c r="G85" s="284" t="s">
        <v>168</v>
      </c>
      <c r="H85" s="284" t="s">
        <v>3774</v>
      </c>
      <c r="I85" s="284" t="s">
        <v>168</v>
      </c>
      <c r="J85" s="284">
        <v>1</v>
      </c>
      <c r="K85" s="303">
        <v>46252</v>
      </c>
      <c r="L85" s="302">
        <v>700</v>
      </c>
      <c r="M85" s="302">
        <v>0</v>
      </c>
    </row>
    <row r="86" spans="1:13" ht="15">
      <c r="A86" s="284" t="s">
        <v>3872</v>
      </c>
      <c r="B86" s="284" t="s">
        <v>222</v>
      </c>
      <c r="C86" s="284" t="s">
        <v>3792</v>
      </c>
      <c r="D86" s="302">
        <v>0</v>
      </c>
      <c r="E86" s="284" t="s">
        <v>3793</v>
      </c>
      <c r="F86" s="284" t="s">
        <v>3794</v>
      </c>
      <c r="G86" s="284" t="s">
        <v>168</v>
      </c>
      <c r="H86" s="284" t="s">
        <v>3774</v>
      </c>
      <c r="I86" s="284" t="s">
        <v>168</v>
      </c>
      <c r="J86" s="284">
        <v>1</v>
      </c>
      <c r="K86" s="303">
        <v>46176</v>
      </c>
      <c r="L86" s="302">
        <v>3342</v>
      </c>
      <c r="M86" s="302">
        <v>0</v>
      </c>
    </row>
    <row r="87" spans="1:13" ht="15">
      <c r="A87" s="284" t="s">
        <v>3873</v>
      </c>
      <c r="B87" s="284" t="s">
        <v>221</v>
      </c>
      <c r="C87" s="284" t="s">
        <v>3792</v>
      </c>
      <c r="D87" s="302">
        <v>0</v>
      </c>
      <c r="E87" s="284" t="s">
        <v>3793</v>
      </c>
      <c r="F87" s="284" t="s">
        <v>3794</v>
      </c>
      <c r="G87" s="284" t="s">
        <v>168</v>
      </c>
      <c r="H87" s="284" t="s">
        <v>3774</v>
      </c>
      <c r="I87" s="284" t="s">
        <v>168</v>
      </c>
      <c r="J87" s="284">
        <v>3</v>
      </c>
      <c r="K87" s="303">
        <v>46212</v>
      </c>
      <c r="L87" s="302">
        <v>5510</v>
      </c>
      <c r="M87" s="302">
        <v>0</v>
      </c>
    </row>
    <row r="88" spans="1:13" ht="15">
      <c r="A88" s="284" t="s">
        <v>3874</v>
      </c>
      <c r="B88" s="284" t="s">
        <v>198</v>
      </c>
      <c r="C88" s="284" t="s">
        <v>3792</v>
      </c>
      <c r="D88" s="302">
        <v>0</v>
      </c>
      <c r="E88" s="284" t="s">
        <v>3793</v>
      </c>
      <c r="F88" s="284" t="s">
        <v>3794</v>
      </c>
      <c r="G88" s="284" t="s">
        <v>168</v>
      </c>
      <c r="H88" s="284" t="s">
        <v>3774</v>
      </c>
      <c r="I88" s="284" t="s">
        <v>168</v>
      </c>
      <c r="J88" s="284">
        <v>2</v>
      </c>
      <c r="K88" s="303">
        <v>46153</v>
      </c>
      <c r="L88" s="302">
        <v>1025</v>
      </c>
      <c r="M88" s="302">
        <v>0</v>
      </c>
    </row>
    <row r="89" spans="1:13" ht="15">
      <c r="A89" s="284" t="s">
        <v>3875</v>
      </c>
      <c r="B89" s="284" t="s">
        <v>268</v>
      </c>
      <c r="C89" s="284" t="s">
        <v>3792</v>
      </c>
      <c r="D89" s="302">
        <v>0</v>
      </c>
      <c r="E89" s="284" t="s">
        <v>3793</v>
      </c>
      <c r="F89" s="284" t="s">
        <v>3794</v>
      </c>
      <c r="G89" s="284" t="s">
        <v>168</v>
      </c>
      <c r="H89" s="284" t="s">
        <v>3774</v>
      </c>
      <c r="I89" s="284" t="s">
        <v>168</v>
      </c>
      <c r="J89" s="284">
        <v>1</v>
      </c>
      <c r="K89" s="303">
        <v>46241</v>
      </c>
      <c r="L89" s="302">
        <v>160</v>
      </c>
      <c r="M89" s="302">
        <v>0</v>
      </c>
    </row>
    <row r="90" spans="1:13" ht="15">
      <c r="A90" s="284" t="s">
        <v>3876</v>
      </c>
      <c r="B90" s="284" t="s">
        <v>175</v>
      </c>
      <c r="C90" s="284" t="s">
        <v>3792</v>
      </c>
      <c r="D90" s="302">
        <v>0</v>
      </c>
      <c r="E90" s="284" t="s">
        <v>3793</v>
      </c>
      <c r="F90" s="284" t="s">
        <v>3794</v>
      </c>
      <c r="G90" s="284" t="s">
        <v>168</v>
      </c>
      <c r="H90" s="284" t="s">
        <v>3774</v>
      </c>
      <c r="I90" s="284" t="s">
        <v>168</v>
      </c>
      <c r="J90" s="284">
        <v>5</v>
      </c>
      <c r="K90" s="303">
        <v>46293</v>
      </c>
      <c r="L90" s="302">
        <v>12130</v>
      </c>
      <c r="M90" s="302">
        <v>0</v>
      </c>
    </row>
    <row r="91" spans="1:13" ht="15">
      <c r="A91" s="284" t="s">
        <v>3877</v>
      </c>
      <c r="B91" s="284" t="s">
        <v>216</v>
      </c>
      <c r="C91" s="284" t="s">
        <v>3792</v>
      </c>
      <c r="D91" s="302">
        <v>0</v>
      </c>
      <c r="E91" s="284" t="s">
        <v>3793</v>
      </c>
      <c r="F91" s="284" t="s">
        <v>3794</v>
      </c>
      <c r="G91" s="284" t="s">
        <v>168</v>
      </c>
      <c r="H91" s="284" t="s">
        <v>3774</v>
      </c>
      <c r="I91" s="284" t="s">
        <v>168</v>
      </c>
      <c r="J91" s="284">
        <v>1</v>
      </c>
      <c r="K91" s="303">
        <v>46170</v>
      </c>
      <c r="L91" s="302">
        <v>27320</v>
      </c>
      <c r="M91" s="302">
        <v>0</v>
      </c>
    </row>
    <row r="92" spans="1:13" ht="15">
      <c r="A92" s="284" t="s">
        <v>3878</v>
      </c>
      <c r="B92" s="284" t="s">
        <v>150</v>
      </c>
      <c r="C92" s="284" t="s">
        <v>3792</v>
      </c>
      <c r="D92" s="302">
        <v>0</v>
      </c>
      <c r="E92" s="284" t="s">
        <v>3793</v>
      </c>
      <c r="F92" s="284" t="s">
        <v>3794</v>
      </c>
      <c r="G92" s="284" t="s">
        <v>168</v>
      </c>
      <c r="H92" s="284" t="s">
        <v>3774</v>
      </c>
      <c r="I92" s="284" t="s">
        <v>168</v>
      </c>
      <c r="J92" s="284">
        <v>3</v>
      </c>
      <c r="K92" s="303">
        <v>46255</v>
      </c>
      <c r="L92" s="302">
        <v>26000</v>
      </c>
      <c r="M92" s="302">
        <v>0</v>
      </c>
    </row>
    <row r="93" spans="1:13" ht="15">
      <c r="A93" s="284" t="s">
        <v>3879</v>
      </c>
      <c r="B93" s="284" t="s">
        <v>182</v>
      </c>
      <c r="C93" s="284" t="s">
        <v>3792</v>
      </c>
      <c r="D93" s="302">
        <v>0</v>
      </c>
      <c r="E93" s="284" t="s">
        <v>3793</v>
      </c>
      <c r="F93" s="284" t="s">
        <v>3794</v>
      </c>
      <c r="G93" s="284" t="s">
        <v>168</v>
      </c>
      <c r="H93" s="284" t="s">
        <v>3774</v>
      </c>
      <c r="I93" s="284" t="s">
        <v>168</v>
      </c>
      <c r="J93" s="284">
        <v>1</v>
      </c>
      <c r="K93" s="303">
        <v>46120</v>
      </c>
      <c r="L93" s="302">
        <v>702</v>
      </c>
      <c r="M93" s="302">
        <v>0</v>
      </c>
    </row>
    <row r="94" spans="1:13" ht="15">
      <c r="A94" s="284" t="s">
        <v>3880</v>
      </c>
      <c r="B94" s="284" t="s">
        <v>94</v>
      </c>
      <c r="C94" s="284" t="s">
        <v>3792</v>
      </c>
      <c r="D94" s="302">
        <v>0</v>
      </c>
      <c r="E94" s="284" t="s">
        <v>3793</v>
      </c>
      <c r="F94" s="284" t="s">
        <v>3794</v>
      </c>
      <c r="G94" s="284" t="s">
        <v>353</v>
      </c>
      <c r="H94" s="284" t="s">
        <v>3774</v>
      </c>
      <c r="I94" s="284" t="s">
        <v>353</v>
      </c>
      <c r="J94" s="284">
        <v>95</v>
      </c>
      <c r="K94" s="303">
        <v>46296</v>
      </c>
      <c r="L94" s="302">
        <v>326617</v>
      </c>
      <c r="M94" s="302">
        <v>32245.695</v>
      </c>
    </row>
    <row r="95" spans="1:13" ht="15">
      <c r="A95" s="284" t="s">
        <v>3881</v>
      </c>
      <c r="B95" s="284" t="s">
        <v>1600</v>
      </c>
      <c r="C95" s="284" t="s">
        <v>3792</v>
      </c>
      <c r="D95" s="302">
        <v>0</v>
      </c>
      <c r="E95" s="284" t="s">
        <v>3793</v>
      </c>
      <c r="F95" s="284" t="s">
        <v>3794</v>
      </c>
      <c r="G95" s="284" t="s">
        <v>168</v>
      </c>
      <c r="H95" s="284" t="s">
        <v>3774</v>
      </c>
      <c r="I95" s="284" t="s">
        <v>168</v>
      </c>
      <c r="J95" s="284">
        <v>1</v>
      </c>
      <c r="K95" s="303">
        <v>46136</v>
      </c>
      <c r="L95" s="302">
        <v>1828</v>
      </c>
      <c r="M95" s="302">
        <v>226.4325</v>
      </c>
    </row>
    <row r="96" spans="1:13" ht="15">
      <c r="A96" s="284" t="s">
        <v>3882</v>
      </c>
      <c r="B96" s="284" t="s">
        <v>266</v>
      </c>
      <c r="C96" s="284" t="s">
        <v>3792</v>
      </c>
      <c r="D96" s="302">
        <v>0</v>
      </c>
      <c r="E96" s="284" t="s">
        <v>3793</v>
      </c>
      <c r="F96" s="284" t="s">
        <v>3794</v>
      </c>
      <c r="G96" s="284" t="s">
        <v>168</v>
      </c>
      <c r="H96" s="284" t="s">
        <v>3774</v>
      </c>
      <c r="I96" s="284" t="s">
        <v>168</v>
      </c>
      <c r="J96" s="284">
        <v>1</v>
      </c>
      <c r="K96" s="303">
        <v>46240</v>
      </c>
      <c r="L96" s="302">
        <v>200</v>
      </c>
      <c r="M96" s="302">
        <v>0</v>
      </c>
    </row>
    <row r="97" spans="1:13" ht="15">
      <c r="A97" s="284" t="s">
        <v>3883</v>
      </c>
      <c r="B97" s="284" t="s">
        <v>287</v>
      </c>
      <c r="C97" s="284" t="s">
        <v>3792</v>
      </c>
      <c r="D97" s="302">
        <v>0</v>
      </c>
      <c r="E97" s="284" t="s">
        <v>3793</v>
      </c>
      <c r="F97" s="284" t="s">
        <v>3794</v>
      </c>
      <c r="G97" s="284" t="s">
        <v>168</v>
      </c>
      <c r="H97" s="284" t="s">
        <v>3774</v>
      </c>
      <c r="I97" s="284" t="s">
        <v>168</v>
      </c>
      <c r="J97" s="284">
        <v>1</v>
      </c>
      <c r="K97" s="303">
        <v>46288</v>
      </c>
      <c r="L97" s="302">
        <v>550</v>
      </c>
      <c r="M97" s="302">
        <v>0</v>
      </c>
    </row>
    <row r="98" spans="1:13" ht="15">
      <c r="A98" s="284" t="s">
        <v>3884</v>
      </c>
      <c r="B98" s="284" t="s">
        <v>226</v>
      </c>
      <c r="C98" s="284" t="s">
        <v>3792</v>
      </c>
      <c r="D98" s="302">
        <v>0</v>
      </c>
      <c r="E98" s="284" t="s">
        <v>3793</v>
      </c>
      <c r="F98" s="284" t="s">
        <v>3794</v>
      </c>
      <c r="G98" s="284" t="s">
        <v>168</v>
      </c>
      <c r="H98" s="284" t="s">
        <v>3774</v>
      </c>
      <c r="I98" s="284" t="s">
        <v>168</v>
      </c>
      <c r="J98" s="284">
        <v>1</v>
      </c>
      <c r="K98" s="303">
        <v>46181</v>
      </c>
      <c r="L98" s="302">
        <v>120</v>
      </c>
      <c r="M98" s="302">
        <v>0</v>
      </c>
    </row>
    <row r="99" spans="1:13" ht="15">
      <c r="A99" s="284" t="s">
        <v>3885</v>
      </c>
      <c r="B99" s="284" t="s">
        <v>147</v>
      </c>
      <c r="C99" s="284" t="s">
        <v>3792</v>
      </c>
      <c r="D99" s="302">
        <v>0</v>
      </c>
      <c r="E99" s="284" t="s">
        <v>3793</v>
      </c>
      <c r="F99" s="284" t="s">
        <v>3794</v>
      </c>
      <c r="G99" s="284" t="s">
        <v>168</v>
      </c>
      <c r="H99" s="284" t="s">
        <v>3774</v>
      </c>
      <c r="I99" s="284" t="s">
        <v>168</v>
      </c>
      <c r="J99" s="284">
        <v>1</v>
      </c>
      <c r="K99" s="303">
        <v>46072</v>
      </c>
      <c r="L99" s="302">
        <v>550</v>
      </c>
      <c r="M99" s="302">
        <v>0</v>
      </c>
    </row>
    <row r="100" spans="1:13" ht="15">
      <c r="A100" s="284" t="s">
        <v>3886</v>
      </c>
      <c r="B100" s="284" t="s">
        <v>263</v>
      </c>
      <c r="C100" s="284" t="s">
        <v>3792</v>
      </c>
      <c r="D100" s="302">
        <v>0</v>
      </c>
      <c r="E100" s="284" t="s">
        <v>3793</v>
      </c>
      <c r="F100" s="284" t="s">
        <v>3794</v>
      </c>
      <c r="G100" s="284" t="s">
        <v>168</v>
      </c>
      <c r="H100" s="284" t="s">
        <v>3774</v>
      </c>
      <c r="I100" s="284" t="s">
        <v>168</v>
      </c>
      <c r="J100" s="284">
        <v>2</v>
      </c>
      <c r="K100" s="303">
        <v>46281</v>
      </c>
      <c r="L100" s="302">
        <v>17240</v>
      </c>
      <c r="M100" s="302">
        <v>0</v>
      </c>
    </row>
    <row r="101" spans="1:13" ht="15">
      <c r="A101" s="284" t="s">
        <v>3887</v>
      </c>
      <c r="B101" s="284" t="s">
        <v>195</v>
      </c>
      <c r="C101" s="284" t="s">
        <v>3792</v>
      </c>
      <c r="D101" s="302">
        <v>0</v>
      </c>
      <c r="E101" s="284" t="s">
        <v>3793</v>
      </c>
      <c r="F101" s="284" t="s">
        <v>3794</v>
      </c>
      <c r="G101" s="284" t="s">
        <v>168</v>
      </c>
      <c r="H101" s="284" t="s">
        <v>3774</v>
      </c>
      <c r="I101" s="284" t="s">
        <v>168</v>
      </c>
      <c r="J101" s="284">
        <v>1</v>
      </c>
      <c r="K101" s="303">
        <v>46136</v>
      </c>
      <c r="L101" s="302">
        <v>360</v>
      </c>
      <c r="M101" s="302">
        <v>0</v>
      </c>
    </row>
    <row r="102" spans="1:13" ht="15">
      <c r="A102" s="284" t="s">
        <v>3888</v>
      </c>
      <c r="B102" s="284" t="s">
        <v>281</v>
      </c>
      <c r="C102" s="284" t="s">
        <v>3792</v>
      </c>
      <c r="D102" s="302">
        <v>0</v>
      </c>
      <c r="E102" s="284" t="s">
        <v>3793</v>
      </c>
      <c r="F102" s="284" t="s">
        <v>3794</v>
      </c>
      <c r="G102" s="284" t="s">
        <v>168</v>
      </c>
      <c r="H102" s="284" t="s">
        <v>3774</v>
      </c>
      <c r="I102" s="284" t="s">
        <v>168</v>
      </c>
      <c r="J102" s="284">
        <v>1</v>
      </c>
      <c r="K102" s="303">
        <v>46267</v>
      </c>
      <c r="L102" s="302">
        <v>3380</v>
      </c>
      <c r="M102" s="302">
        <v>0</v>
      </c>
    </row>
    <row r="103" spans="1:13" ht="15">
      <c r="A103" s="284" t="s">
        <v>3889</v>
      </c>
      <c r="B103" s="284" t="s">
        <v>167</v>
      </c>
      <c r="C103" s="284" t="s">
        <v>3792</v>
      </c>
      <c r="D103" s="302">
        <v>0</v>
      </c>
      <c r="E103" s="284" t="s">
        <v>3793</v>
      </c>
      <c r="F103" s="284" t="s">
        <v>3794</v>
      </c>
      <c r="G103" s="284" t="s">
        <v>168</v>
      </c>
      <c r="H103" s="284" t="s">
        <v>3774</v>
      </c>
      <c r="I103" s="284" t="s">
        <v>168</v>
      </c>
      <c r="J103" s="284">
        <v>2</v>
      </c>
      <c r="K103" s="303">
        <v>46296</v>
      </c>
      <c r="L103" s="302">
        <v>4100</v>
      </c>
      <c r="M103" s="302">
        <v>0</v>
      </c>
    </row>
    <row r="104" spans="1:13" ht="15">
      <c r="A104" s="284" t="s">
        <v>3890</v>
      </c>
      <c r="B104" s="284" t="s">
        <v>254</v>
      </c>
      <c r="C104" s="284" t="s">
        <v>3792</v>
      </c>
      <c r="D104" s="302">
        <v>0</v>
      </c>
      <c r="E104" s="284" t="s">
        <v>3793</v>
      </c>
      <c r="F104" s="284" t="s">
        <v>3794</v>
      </c>
      <c r="G104" s="284" t="s">
        <v>358</v>
      </c>
      <c r="H104" s="284" t="s">
        <v>3774</v>
      </c>
      <c r="I104" s="284" t="s">
        <v>358</v>
      </c>
      <c r="J104" s="284">
        <v>1</v>
      </c>
      <c r="K104" s="303">
        <v>46213</v>
      </c>
      <c r="L104" s="302">
        <v>180</v>
      </c>
      <c r="M104" s="302">
        <v>31.95</v>
      </c>
    </row>
    <row r="105" spans="1:13" ht="15">
      <c r="A105" s="284" t="s">
        <v>3891</v>
      </c>
      <c r="B105" s="284" t="s">
        <v>212</v>
      </c>
      <c r="C105" s="284" t="s">
        <v>3792</v>
      </c>
      <c r="D105" s="302">
        <v>0</v>
      </c>
      <c r="E105" s="284" t="s">
        <v>3793</v>
      </c>
      <c r="F105" s="284" t="s">
        <v>3794</v>
      </c>
      <c r="G105" s="284" t="s">
        <v>168</v>
      </c>
      <c r="H105" s="284" t="s">
        <v>3774</v>
      </c>
      <c r="I105" s="284" t="s">
        <v>168</v>
      </c>
      <c r="J105" s="284">
        <v>3</v>
      </c>
      <c r="K105" s="303">
        <v>46212</v>
      </c>
      <c r="L105" s="302">
        <v>13367</v>
      </c>
      <c r="M105" s="302">
        <v>0</v>
      </c>
    </row>
    <row r="106" spans="1:13" ht="15">
      <c r="A106" s="284" t="s">
        <v>3892</v>
      </c>
      <c r="B106" s="284" t="s">
        <v>152</v>
      </c>
      <c r="C106" s="284" t="s">
        <v>3792</v>
      </c>
      <c r="D106" s="302">
        <v>0</v>
      </c>
      <c r="E106" s="284" t="s">
        <v>3793</v>
      </c>
      <c r="F106" s="284" t="s">
        <v>3794</v>
      </c>
      <c r="G106" s="284" t="s">
        <v>168</v>
      </c>
      <c r="H106" s="284" t="s">
        <v>3774</v>
      </c>
      <c r="I106" s="284" t="s">
        <v>168</v>
      </c>
      <c r="J106" s="284">
        <v>1</v>
      </c>
      <c r="K106" s="303">
        <v>46076</v>
      </c>
      <c r="L106" s="302">
        <v>1900</v>
      </c>
      <c r="M106" s="302">
        <v>0</v>
      </c>
    </row>
    <row r="107" spans="1:13" ht="15">
      <c r="A107" s="284" t="s">
        <v>3893</v>
      </c>
      <c r="B107" s="284" t="s">
        <v>148</v>
      </c>
      <c r="C107" s="284" t="s">
        <v>3792</v>
      </c>
      <c r="D107" s="302">
        <v>0</v>
      </c>
      <c r="E107" s="284" t="s">
        <v>3793</v>
      </c>
      <c r="F107" s="284" t="s">
        <v>3794</v>
      </c>
      <c r="G107" s="284" t="s">
        <v>168</v>
      </c>
      <c r="H107" s="284" t="s">
        <v>3774</v>
      </c>
      <c r="I107" s="284" t="s">
        <v>168</v>
      </c>
      <c r="J107" s="284">
        <v>5</v>
      </c>
      <c r="K107" s="303">
        <v>46268</v>
      </c>
      <c r="L107" s="302">
        <v>8655</v>
      </c>
      <c r="M107" s="302">
        <v>0</v>
      </c>
    </row>
    <row r="108" spans="1:13" ht="15">
      <c r="A108" s="284" t="s">
        <v>3894</v>
      </c>
      <c r="B108" s="284" t="s">
        <v>95</v>
      </c>
      <c r="C108" s="284" t="s">
        <v>3792</v>
      </c>
      <c r="D108" s="302">
        <v>0</v>
      </c>
      <c r="E108" s="284" t="s">
        <v>3793</v>
      </c>
      <c r="F108" s="284" t="s">
        <v>3794</v>
      </c>
      <c r="G108" s="284" t="s">
        <v>168</v>
      </c>
      <c r="H108" s="284" t="s">
        <v>3774</v>
      </c>
      <c r="I108" s="284" t="s">
        <v>168</v>
      </c>
      <c r="J108" s="284">
        <v>2</v>
      </c>
      <c r="K108" s="303">
        <v>46057</v>
      </c>
      <c r="L108" s="302">
        <v>15600</v>
      </c>
      <c r="M108" s="302">
        <v>0</v>
      </c>
    </row>
    <row r="109" spans="1:13" ht="15">
      <c r="A109" s="284" t="s">
        <v>3895</v>
      </c>
      <c r="B109" s="284" t="s">
        <v>203</v>
      </c>
      <c r="C109" s="284" t="s">
        <v>3792</v>
      </c>
      <c r="D109" s="302">
        <v>0</v>
      </c>
      <c r="E109" s="284" t="s">
        <v>3793</v>
      </c>
      <c r="F109" s="284" t="s">
        <v>3794</v>
      </c>
      <c r="G109" s="284" t="s">
        <v>168</v>
      </c>
      <c r="H109" s="284" t="s">
        <v>3774</v>
      </c>
      <c r="I109" s="284" t="s">
        <v>168</v>
      </c>
      <c r="J109" s="284">
        <v>1</v>
      </c>
      <c r="K109" s="303">
        <v>46148</v>
      </c>
      <c r="L109" s="302">
        <v>2026</v>
      </c>
      <c r="M109" s="302">
        <v>0</v>
      </c>
    </row>
    <row r="110" spans="1:13" ht="15">
      <c r="A110" s="284" t="s">
        <v>3896</v>
      </c>
      <c r="B110" s="284" t="s">
        <v>200</v>
      </c>
      <c r="C110" s="284" t="s">
        <v>3792</v>
      </c>
      <c r="D110" s="302">
        <v>0</v>
      </c>
      <c r="E110" s="284" t="s">
        <v>3793</v>
      </c>
      <c r="F110" s="284" t="s">
        <v>3794</v>
      </c>
      <c r="G110" s="284" t="s">
        <v>356</v>
      </c>
      <c r="H110" s="284" t="s">
        <v>3774</v>
      </c>
      <c r="I110" s="284" t="s">
        <v>356</v>
      </c>
      <c r="J110" s="284">
        <v>1</v>
      </c>
      <c r="K110" s="303">
        <v>46141</v>
      </c>
      <c r="L110" s="302">
        <v>5600</v>
      </c>
      <c r="M110" s="302">
        <v>672</v>
      </c>
    </row>
    <row r="111" spans="1:13" ht="15">
      <c r="A111" s="284" t="s">
        <v>3897</v>
      </c>
      <c r="B111" s="284" t="s">
        <v>162</v>
      </c>
      <c r="C111" s="284" t="s">
        <v>3792</v>
      </c>
      <c r="D111" s="302">
        <v>0</v>
      </c>
      <c r="E111" s="284" t="s">
        <v>3793</v>
      </c>
      <c r="F111" s="284" t="s">
        <v>3794</v>
      </c>
      <c r="G111" s="284" t="s">
        <v>168</v>
      </c>
      <c r="H111" s="284" t="s">
        <v>3774</v>
      </c>
      <c r="I111" s="284" t="s">
        <v>168</v>
      </c>
      <c r="J111" s="284">
        <v>18</v>
      </c>
      <c r="K111" s="303">
        <v>46296</v>
      </c>
      <c r="L111" s="302">
        <v>129940</v>
      </c>
      <c r="M111" s="302">
        <v>0</v>
      </c>
    </row>
    <row r="112" spans="1:13" ht="15">
      <c r="A112" s="284" t="s">
        <v>3898</v>
      </c>
      <c r="B112" s="284" t="s">
        <v>267</v>
      </c>
      <c r="C112" s="284" t="s">
        <v>3792</v>
      </c>
      <c r="D112" s="302">
        <v>0</v>
      </c>
      <c r="E112" s="284" t="s">
        <v>3793</v>
      </c>
      <c r="F112" s="284" t="s">
        <v>3794</v>
      </c>
      <c r="G112" s="284" t="s">
        <v>168</v>
      </c>
      <c r="H112" s="284" t="s">
        <v>3774</v>
      </c>
      <c r="I112" s="284" t="s">
        <v>168</v>
      </c>
      <c r="J112" s="284">
        <v>1</v>
      </c>
      <c r="K112" s="303">
        <v>46240</v>
      </c>
      <c r="L112" s="302">
        <v>2840</v>
      </c>
      <c r="M112" s="302">
        <v>0</v>
      </c>
    </row>
    <row r="113" spans="1:13" ht="15">
      <c r="A113" s="284" t="s">
        <v>3899</v>
      </c>
      <c r="B113" s="284" t="s">
        <v>110</v>
      </c>
      <c r="C113" s="284" t="s">
        <v>3792</v>
      </c>
      <c r="D113" s="302">
        <v>0</v>
      </c>
      <c r="E113" s="284" t="s">
        <v>3793</v>
      </c>
      <c r="F113" s="284" t="s">
        <v>3794</v>
      </c>
      <c r="G113" s="284" t="s">
        <v>168</v>
      </c>
      <c r="H113" s="284" t="s">
        <v>3774</v>
      </c>
      <c r="I113" s="284" t="s">
        <v>168</v>
      </c>
      <c r="J113" s="284">
        <v>12</v>
      </c>
      <c r="K113" s="303">
        <v>46286</v>
      </c>
      <c r="L113" s="302">
        <v>25978</v>
      </c>
      <c r="M113" s="302">
        <v>0</v>
      </c>
    </row>
    <row r="114" spans="1:13" ht="15">
      <c r="A114" s="284" t="s">
        <v>3900</v>
      </c>
      <c r="B114" s="284" t="s">
        <v>223</v>
      </c>
      <c r="C114" s="284" t="s">
        <v>3792</v>
      </c>
      <c r="D114" s="302">
        <v>0</v>
      </c>
      <c r="E114" s="284" t="s">
        <v>3793</v>
      </c>
      <c r="F114" s="284" t="s">
        <v>3794</v>
      </c>
      <c r="G114" s="284" t="s">
        <v>168</v>
      </c>
      <c r="H114" s="284" t="s">
        <v>3774</v>
      </c>
      <c r="I114" s="284" t="s">
        <v>168</v>
      </c>
      <c r="J114" s="284">
        <v>1</v>
      </c>
      <c r="K114" s="303">
        <v>46176</v>
      </c>
      <c r="L114" s="302">
        <v>2000</v>
      </c>
      <c r="M114" s="302">
        <v>0</v>
      </c>
    </row>
    <row r="115" spans="1:13" ht="15">
      <c r="A115" s="284" t="s">
        <v>3901</v>
      </c>
      <c r="B115" s="284" t="s">
        <v>199</v>
      </c>
      <c r="C115" s="284" t="s">
        <v>3792</v>
      </c>
      <c r="D115" s="302">
        <v>0</v>
      </c>
      <c r="E115" s="284" t="s">
        <v>3793</v>
      </c>
      <c r="F115" s="284" t="s">
        <v>3794</v>
      </c>
      <c r="G115" s="284" t="s">
        <v>168</v>
      </c>
      <c r="H115" s="284" t="s">
        <v>3774</v>
      </c>
      <c r="I115" s="284" t="s">
        <v>168</v>
      </c>
      <c r="J115" s="284">
        <v>6</v>
      </c>
      <c r="K115" s="303">
        <v>46267</v>
      </c>
      <c r="L115" s="302">
        <v>18900</v>
      </c>
      <c r="M115" s="302">
        <v>0</v>
      </c>
    </row>
    <row r="116" spans="1:13" ht="15">
      <c r="A116" s="284" t="s">
        <v>3902</v>
      </c>
      <c r="B116" s="284" t="s">
        <v>180</v>
      </c>
      <c r="C116" s="284" t="s">
        <v>3792</v>
      </c>
      <c r="D116" s="302">
        <v>0</v>
      </c>
      <c r="E116" s="284" t="s">
        <v>3793</v>
      </c>
      <c r="F116" s="284" t="s">
        <v>3794</v>
      </c>
      <c r="G116" s="284" t="s">
        <v>348</v>
      </c>
      <c r="H116" s="284" t="s">
        <v>3774</v>
      </c>
      <c r="I116" s="284" t="s">
        <v>348</v>
      </c>
      <c r="J116" s="284">
        <v>3</v>
      </c>
      <c r="K116" s="303">
        <v>46280</v>
      </c>
      <c r="L116" s="302">
        <v>4111</v>
      </c>
      <c r="M116" s="302">
        <v>494.75472000000002</v>
      </c>
    </row>
    <row r="117" spans="1:13" ht="15">
      <c r="A117" s="284" t="s">
        <v>3903</v>
      </c>
      <c r="B117" s="284" t="s">
        <v>178</v>
      </c>
      <c r="C117" s="284" t="s">
        <v>3792</v>
      </c>
      <c r="D117" s="302">
        <v>0</v>
      </c>
      <c r="E117" s="284" t="s">
        <v>3793</v>
      </c>
      <c r="F117" s="284" t="s">
        <v>3794</v>
      </c>
      <c r="G117" s="284" t="s">
        <v>168</v>
      </c>
      <c r="H117" s="284" t="s">
        <v>3774</v>
      </c>
      <c r="I117" s="284" t="s">
        <v>168</v>
      </c>
      <c r="J117" s="284">
        <v>12</v>
      </c>
      <c r="K117" s="303">
        <v>46281</v>
      </c>
      <c r="L117" s="302">
        <v>24035</v>
      </c>
      <c r="M117" s="302">
        <v>0</v>
      </c>
    </row>
    <row r="118" spans="1:13" ht="15">
      <c r="A118" s="284" t="s">
        <v>3904</v>
      </c>
      <c r="B118" s="284" t="s">
        <v>96</v>
      </c>
      <c r="C118" s="284" t="s">
        <v>3792</v>
      </c>
      <c r="D118" s="302">
        <v>0</v>
      </c>
      <c r="E118" s="284" t="s">
        <v>3793</v>
      </c>
      <c r="F118" s="284" t="s">
        <v>3794</v>
      </c>
      <c r="G118" s="284" t="s">
        <v>168</v>
      </c>
      <c r="H118" s="284" t="s">
        <v>3774</v>
      </c>
      <c r="I118" s="284" t="s">
        <v>168</v>
      </c>
      <c r="J118" s="284">
        <v>137</v>
      </c>
      <c r="K118" s="303">
        <v>46294</v>
      </c>
      <c r="L118" s="302">
        <v>389247</v>
      </c>
      <c r="M118" s="302">
        <v>0</v>
      </c>
    </row>
    <row r="119" spans="1:13" ht="15">
      <c r="A119" s="284" t="s">
        <v>3905</v>
      </c>
      <c r="B119" s="284" t="s">
        <v>142</v>
      </c>
      <c r="C119" s="284" t="s">
        <v>3792</v>
      </c>
      <c r="D119" s="302">
        <v>0</v>
      </c>
      <c r="E119" s="284" t="s">
        <v>3793</v>
      </c>
      <c r="F119" s="284" t="s">
        <v>3794</v>
      </c>
      <c r="G119" s="284" t="s">
        <v>168</v>
      </c>
      <c r="H119" s="284" t="s">
        <v>3774</v>
      </c>
      <c r="I119" s="284" t="s">
        <v>168</v>
      </c>
      <c r="J119" s="284">
        <v>21</v>
      </c>
      <c r="K119" s="303">
        <v>46288</v>
      </c>
      <c r="L119" s="302">
        <v>40620</v>
      </c>
      <c r="M119" s="302">
        <v>0</v>
      </c>
    </row>
    <row r="120" spans="1:13" ht="15">
      <c r="A120" s="284" t="s">
        <v>3906</v>
      </c>
      <c r="B120" s="284" t="s">
        <v>118</v>
      </c>
      <c r="C120" s="284" t="s">
        <v>3792</v>
      </c>
      <c r="D120" s="302">
        <v>0</v>
      </c>
      <c r="E120" s="284" t="s">
        <v>3793</v>
      </c>
      <c r="F120" s="284" t="s">
        <v>3794</v>
      </c>
      <c r="G120" s="284" t="s">
        <v>168</v>
      </c>
      <c r="H120" s="284" t="s">
        <v>3774</v>
      </c>
      <c r="I120" s="284" t="s">
        <v>168</v>
      </c>
      <c r="J120" s="284">
        <v>4</v>
      </c>
      <c r="K120" s="303">
        <v>46161</v>
      </c>
      <c r="L120" s="302">
        <v>9467</v>
      </c>
      <c r="M120" s="302">
        <v>0</v>
      </c>
    </row>
    <row r="121" spans="1:13" ht="15">
      <c r="A121" s="284" t="s">
        <v>3907</v>
      </c>
      <c r="B121" s="284" t="s">
        <v>280</v>
      </c>
      <c r="C121" s="284" t="s">
        <v>3792</v>
      </c>
      <c r="D121" s="302">
        <v>0</v>
      </c>
      <c r="E121" s="284" t="s">
        <v>3793</v>
      </c>
      <c r="F121" s="284" t="s">
        <v>3794</v>
      </c>
      <c r="G121" s="284" t="s">
        <v>168</v>
      </c>
      <c r="H121" s="284" t="s">
        <v>3774</v>
      </c>
      <c r="I121" s="284" t="s">
        <v>168</v>
      </c>
      <c r="J121" s="284">
        <v>4</v>
      </c>
      <c r="K121" s="303">
        <v>46265</v>
      </c>
      <c r="L121" s="302">
        <v>5370</v>
      </c>
      <c r="M121" s="302">
        <v>361.80990000000003</v>
      </c>
    </row>
    <row r="122" spans="1:13" ht="15">
      <c r="A122" s="284" t="s">
        <v>3908</v>
      </c>
      <c r="B122" s="284" t="s">
        <v>269</v>
      </c>
      <c r="C122" s="284" t="s">
        <v>3792</v>
      </c>
      <c r="D122" s="302">
        <v>0</v>
      </c>
      <c r="E122" s="284" t="s">
        <v>3793</v>
      </c>
      <c r="F122" s="284" t="s">
        <v>3794</v>
      </c>
      <c r="G122" s="284" t="s">
        <v>168</v>
      </c>
      <c r="H122" s="284" t="s">
        <v>3774</v>
      </c>
      <c r="I122" s="284" t="s">
        <v>168</v>
      </c>
      <c r="J122" s="284">
        <v>1</v>
      </c>
      <c r="K122" s="303">
        <v>46246</v>
      </c>
      <c r="L122" s="302">
        <v>3486</v>
      </c>
      <c r="M122" s="302">
        <v>0</v>
      </c>
    </row>
    <row r="123" spans="1:13" ht="15">
      <c r="A123" s="284" t="s">
        <v>3909</v>
      </c>
      <c r="B123" s="284" t="s">
        <v>210</v>
      </c>
      <c r="C123" s="284" t="s">
        <v>3792</v>
      </c>
      <c r="D123" s="302">
        <v>0</v>
      </c>
      <c r="E123" s="284" t="s">
        <v>3793</v>
      </c>
      <c r="F123" s="284" t="s">
        <v>3794</v>
      </c>
      <c r="G123" s="284" t="s">
        <v>168</v>
      </c>
      <c r="H123" s="284" t="s">
        <v>3774</v>
      </c>
      <c r="I123" s="284" t="s">
        <v>168</v>
      </c>
      <c r="J123" s="284">
        <v>1</v>
      </c>
      <c r="K123" s="303">
        <v>46156</v>
      </c>
      <c r="L123" s="302">
        <v>2055</v>
      </c>
      <c r="M123" s="302">
        <v>0</v>
      </c>
    </row>
    <row r="124" spans="1:13" ht="15">
      <c r="A124" s="284" t="s">
        <v>3910</v>
      </c>
      <c r="B124" s="284" t="s">
        <v>282</v>
      </c>
      <c r="C124" s="284" t="s">
        <v>3792</v>
      </c>
      <c r="D124" s="302">
        <v>0</v>
      </c>
      <c r="E124" s="284" t="s">
        <v>3793</v>
      </c>
      <c r="F124" s="284" t="s">
        <v>3794</v>
      </c>
      <c r="G124" s="284" t="s">
        <v>168</v>
      </c>
      <c r="H124" s="284" t="s">
        <v>3774</v>
      </c>
      <c r="I124" s="284" t="s">
        <v>168</v>
      </c>
      <c r="J124" s="284">
        <v>1</v>
      </c>
      <c r="K124" s="303">
        <v>46268</v>
      </c>
      <c r="L124" s="302">
        <v>8320</v>
      </c>
      <c r="M124" s="302">
        <v>0</v>
      </c>
    </row>
    <row r="125" spans="1:13" ht="15">
      <c r="A125" s="284" t="s">
        <v>3911</v>
      </c>
      <c r="B125" s="284" t="s">
        <v>279</v>
      </c>
      <c r="C125" s="284" t="s">
        <v>3792</v>
      </c>
      <c r="D125" s="302">
        <v>0</v>
      </c>
      <c r="E125" s="284" t="s">
        <v>3793</v>
      </c>
      <c r="F125" s="284" t="s">
        <v>3794</v>
      </c>
      <c r="G125" s="284" t="s">
        <v>168</v>
      </c>
      <c r="H125" s="284" t="s">
        <v>3774</v>
      </c>
      <c r="I125" s="284" t="s">
        <v>168</v>
      </c>
      <c r="J125" s="284">
        <v>2</v>
      </c>
      <c r="K125" s="303">
        <v>46290</v>
      </c>
      <c r="L125" s="302">
        <v>4990</v>
      </c>
      <c r="M125" s="302">
        <v>0</v>
      </c>
    </row>
    <row r="126" spans="1:13" ht="15">
      <c r="A126" s="284" t="s">
        <v>3912</v>
      </c>
      <c r="B126" s="284" t="s">
        <v>104</v>
      </c>
      <c r="C126" s="284" t="s">
        <v>3792</v>
      </c>
      <c r="D126" s="302">
        <v>0</v>
      </c>
      <c r="E126" s="284" t="s">
        <v>3793</v>
      </c>
      <c r="F126" s="284" t="s">
        <v>3794</v>
      </c>
      <c r="G126" s="284" t="s">
        <v>168</v>
      </c>
      <c r="H126" s="284" t="s">
        <v>3774</v>
      </c>
      <c r="I126" s="284" t="s">
        <v>168</v>
      </c>
      <c r="J126" s="284">
        <v>12</v>
      </c>
      <c r="K126" s="303">
        <v>46238</v>
      </c>
      <c r="L126" s="302">
        <v>19595</v>
      </c>
      <c r="M126" s="302">
        <v>0</v>
      </c>
    </row>
    <row r="127" spans="1:13" ht="15">
      <c r="A127" s="284" t="s">
        <v>3913</v>
      </c>
      <c r="B127" s="284" t="s">
        <v>186</v>
      </c>
      <c r="C127" s="284" t="s">
        <v>3792</v>
      </c>
      <c r="D127" s="302">
        <v>0</v>
      </c>
      <c r="E127" s="284" t="s">
        <v>3793</v>
      </c>
      <c r="F127" s="284" t="s">
        <v>3794</v>
      </c>
      <c r="G127" s="284" t="s">
        <v>168</v>
      </c>
      <c r="H127" s="284" t="s">
        <v>3774</v>
      </c>
      <c r="I127" s="284" t="s">
        <v>168</v>
      </c>
      <c r="J127" s="284">
        <v>2</v>
      </c>
      <c r="K127" s="303">
        <v>46170</v>
      </c>
      <c r="L127" s="302">
        <v>2490</v>
      </c>
      <c r="M127" s="302">
        <v>0</v>
      </c>
    </row>
    <row r="128" spans="1:13" ht="15">
      <c r="A128" s="284" t="s">
        <v>3914</v>
      </c>
      <c r="B128" s="284" t="s">
        <v>179</v>
      </c>
      <c r="C128" s="284" t="s">
        <v>3792</v>
      </c>
      <c r="D128" s="302">
        <v>0</v>
      </c>
      <c r="E128" s="284" t="s">
        <v>3793</v>
      </c>
      <c r="F128" s="284" t="s">
        <v>3794</v>
      </c>
      <c r="G128" s="284" t="s">
        <v>168</v>
      </c>
      <c r="H128" s="284" t="s">
        <v>3774</v>
      </c>
      <c r="I128" s="284" t="s">
        <v>168</v>
      </c>
      <c r="J128" s="284">
        <v>3</v>
      </c>
      <c r="K128" s="303">
        <v>46228</v>
      </c>
      <c r="L128" s="302">
        <v>6930</v>
      </c>
      <c r="M128" s="302">
        <v>0</v>
      </c>
    </row>
    <row r="129" spans="1:13" ht="15">
      <c r="A129" s="284" t="s">
        <v>3915</v>
      </c>
      <c r="B129" s="284" t="s">
        <v>159</v>
      </c>
      <c r="C129" s="284" t="s">
        <v>3792</v>
      </c>
      <c r="D129" s="302">
        <v>0</v>
      </c>
      <c r="E129" s="284" t="s">
        <v>3793</v>
      </c>
      <c r="F129" s="284" t="s">
        <v>3794</v>
      </c>
      <c r="G129" s="284" t="s">
        <v>168</v>
      </c>
      <c r="H129" s="284" t="s">
        <v>3774</v>
      </c>
      <c r="I129" s="284" t="s">
        <v>168</v>
      </c>
      <c r="J129" s="284">
        <v>1</v>
      </c>
      <c r="K129" s="303">
        <v>46084</v>
      </c>
      <c r="L129" s="302">
        <v>2142</v>
      </c>
      <c r="M129" s="302">
        <v>0</v>
      </c>
    </row>
    <row r="130" spans="1:13" ht="15">
      <c r="A130" s="284" t="s">
        <v>3916</v>
      </c>
      <c r="B130" s="284" t="s">
        <v>171</v>
      </c>
      <c r="C130" s="284" t="s">
        <v>3792</v>
      </c>
      <c r="D130" s="302">
        <v>0</v>
      </c>
      <c r="E130" s="284" t="s">
        <v>3793</v>
      </c>
      <c r="F130" s="284" t="s">
        <v>3794</v>
      </c>
      <c r="G130" s="284" t="s">
        <v>168</v>
      </c>
      <c r="H130" s="284" t="s">
        <v>3774</v>
      </c>
      <c r="I130" s="284" t="s">
        <v>168</v>
      </c>
      <c r="J130" s="284">
        <v>5</v>
      </c>
      <c r="K130" s="303">
        <v>46225</v>
      </c>
      <c r="L130" s="302">
        <v>2306</v>
      </c>
      <c r="M130" s="302">
        <v>0</v>
      </c>
    </row>
    <row r="131" spans="1:13" ht="15">
      <c r="A131" s="284" t="s">
        <v>3917</v>
      </c>
      <c r="B131" s="284" t="s">
        <v>105</v>
      </c>
      <c r="C131" s="284" t="s">
        <v>3792</v>
      </c>
      <c r="D131" s="302">
        <v>0</v>
      </c>
      <c r="E131" s="284" t="s">
        <v>3793</v>
      </c>
      <c r="F131" s="284" t="s">
        <v>3794</v>
      </c>
      <c r="G131" s="284" t="s">
        <v>168</v>
      </c>
      <c r="H131" s="284" t="s">
        <v>3774</v>
      </c>
      <c r="I131" s="284" t="s">
        <v>168</v>
      </c>
      <c r="J131" s="284">
        <v>53</v>
      </c>
      <c r="K131" s="303">
        <v>46293</v>
      </c>
      <c r="L131" s="302">
        <v>210580</v>
      </c>
      <c r="M131" s="302">
        <v>0</v>
      </c>
    </row>
    <row r="132" spans="1:13" ht="15">
      <c r="A132" s="284" t="s">
        <v>3918</v>
      </c>
      <c r="B132" s="284" t="s">
        <v>115</v>
      </c>
      <c r="C132" s="284" t="s">
        <v>3792</v>
      </c>
      <c r="D132" s="302">
        <v>0</v>
      </c>
      <c r="E132" s="284" t="s">
        <v>3793</v>
      </c>
      <c r="F132" s="284" t="s">
        <v>3794</v>
      </c>
      <c r="G132" s="284" t="s">
        <v>168</v>
      </c>
      <c r="H132" s="284" t="s">
        <v>3774</v>
      </c>
      <c r="I132" s="284" t="s">
        <v>168</v>
      </c>
      <c r="J132" s="284">
        <v>94</v>
      </c>
      <c r="K132" s="303">
        <v>46295</v>
      </c>
      <c r="L132" s="302">
        <v>375418</v>
      </c>
      <c r="M132" s="302">
        <v>0</v>
      </c>
    </row>
    <row r="133" spans="1:13" ht="15">
      <c r="A133" s="284" t="s">
        <v>3919</v>
      </c>
      <c r="B133" s="284" t="s">
        <v>128</v>
      </c>
      <c r="C133" s="284" t="s">
        <v>3792</v>
      </c>
      <c r="D133" s="302">
        <v>0</v>
      </c>
      <c r="E133" s="284" t="s">
        <v>3793</v>
      </c>
      <c r="F133" s="284" t="s">
        <v>3794</v>
      </c>
      <c r="G133" s="284" t="s">
        <v>168</v>
      </c>
      <c r="H133" s="284" t="s">
        <v>3774</v>
      </c>
      <c r="I133" s="284" t="s">
        <v>168</v>
      </c>
      <c r="J133" s="284">
        <v>32</v>
      </c>
      <c r="K133" s="303">
        <v>46295</v>
      </c>
      <c r="L133" s="302">
        <v>66055.5</v>
      </c>
      <c r="M133" s="302">
        <v>0</v>
      </c>
    </row>
    <row r="134" spans="1:13" ht="15">
      <c r="A134" s="284" t="s">
        <v>3920</v>
      </c>
      <c r="B134" s="284" t="s">
        <v>170</v>
      </c>
      <c r="C134" s="284" t="s">
        <v>3792</v>
      </c>
      <c r="D134" s="302">
        <v>0</v>
      </c>
      <c r="E134" s="284" t="s">
        <v>3793</v>
      </c>
      <c r="F134" s="284" t="s">
        <v>3794</v>
      </c>
      <c r="G134" s="284" t="s">
        <v>168</v>
      </c>
      <c r="H134" s="284" t="s">
        <v>3774</v>
      </c>
      <c r="I134" s="284" t="s">
        <v>168</v>
      </c>
      <c r="J134" s="284">
        <v>2</v>
      </c>
      <c r="K134" s="303">
        <v>46101</v>
      </c>
      <c r="L134" s="302">
        <v>9150</v>
      </c>
      <c r="M134" s="302">
        <v>0</v>
      </c>
    </row>
    <row r="135" spans="1:13" ht="15">
      <c r="A135" s="284" t="s">
        <v>3921</v>
      </c>
      <c r="B135" s="284" t="s">
        <v>213</v>
      </c>
      <c r="C135" s="284" t="s">
        <v>3792</v>
      </c>
      <c r="D135" s="302">
        <v>0</v>
      </c>
      <c r="E135" s="284" t="s">
        <v>3793</v>
      </c>
      <c r="F135" s="284" t="s">
        <v>3794</v>
      </c>
      <c r="G135" s="284" t="s">
        <v>168</v>
      </c>
      <c r="H135" s="284" t="s">
        <v>3774</v>
      </c>
      <c r="I135" s="284" t="s">
        <v>168</v>
      </c>
      <c r="J135" s="284">
        <v>1</v>
      </c>
      <c r="K135" s="303">
        <v>46165</v>
      </c>
      <c r="L135" s="302">
        <v>3000</v>
      </c>
      <c r="M135" s="302">
        <v>0</v>
      </c>
    </row>
    <row r="136" spans="1:13" ht="15">
      <c r="A136" s="284" t="s">
        <v>3922</v>
      </c>
      <c r="B136" s="284" t="s">
        <v>119</v>
      </c>
      <c r="C136" s="284" t="s">
        <v>3792</v>
      </c>
      <c r="D136" s="302">
        <v>0</v>
      </c>
      <c r="E136" s="284" t="s">
        <v>3793</v>
      </c>
      <c r="F136" s="284" t="s">
        <v>3794</v>
      </c>
      <c r="G136" s="284" t="s">
        <v>350</v>
      </c>
      <c r="H136" s="284" t="s">
        <v>3774</v>
      </c>
      <c r="I136" s="284" t="s">
        <v>350</v>
      </c>
      <c r="J136" s="284">
        <v>13</v>
      </c>
      <c r="K136" s="303">
        <v>46277</v>
      </c>
      <c r="L136" s="302">
        <v>25323</v>
      </c>
      <c r="M136" s="302">
        <v>2241.9</v>
      </c>
    </row>
    <row r="137" spans="1:13" ht="15">
      <c r="A137" s="284" t="s">
        <v>3923</v>
      </c>
      <c r="B137" s="284" t="s">
        <v>132</v>
      </c>
      <c r="C137" s="284" t="s">
        <v>3792</v>
      </c>
      <c r="D137" s="302">
        <v>0</v>
      </c>
      <c r="E137" s="284" t="s">
        <v>3793</v>
      </c>
      <c r="F137" s="284" t="s">
        <v>3794</v>
      </c>
      <c r="G137" s="284" t="s">
        <v>168</v>
      </c>
      <c r="H137" s="284" t="s">
        <v>3774</v>
      </c>
      <c r="I137" s="284" t="s">
        <v>168</v>
      </c>
      <c r="J137" s="284">
        <v>17</v>
      </c>
      <c r="K137" s="303">
        <v>46281</v>
      </c>
      <c r="L137" s="302">
        <v>37670</v>
      </c>
      <c r="M137" s="302">
        <v>0</v>
      </c>
    </row>
    <row r="138" spans="1:13" ht="15">
      <c r="A138" s="284" t="s">
        <v>3924</v>
      </c>
      <c r="B138" s="284" t="s">
        <v>124</v>
      </c>
      <c r="C138" s="284" t="s">
        <v>3792</v>
      </c>
      <c r="D138" s="302">
        <v>0</v>
      </c>
      <c r="E138" s="284" t="s">
        <v>3793</v>
      </c>
      <c r="F138" s="284" t="s">
        <v>3794</v>
      </c>
      <c r="G138" s="284" t="s">
        <v>168</v>
      </c>
      <c r="H138" s="284" t="s">
        <v>3774</v>
      </c>
      <c r="I138" s="284" t="s">
        <v>168</v>
      </c>
      <c r="J138" s="284">
        <v>70</v>
      </c>
      <c r="K138" s="303">
        <v>46289</v>
      </c>
      <c r="L138" s="302">
        <v>187577</v>
      </c>
      <c r="M138" s="302">
        <v>0</v>
      </c>
    </row>
    <row r="139" spans="1:13" ht="15">
      <c r="A139" s="284" t="s">
        <v>3925</v>
      </c>
      <c r="B139" s="284" t="s">
        <v>202</v>
      </c>
      <c r="C139" s="284" t="s">
        <v>3792</v>
      </c>
      <c r="D139" s="302">
        <v>0</v>
      </c>
      <c r="E139" s="284" t="s">
        <v>3793</v>
      </c>
      <c r="F139" s="284" t="s">
        <v>3794</v>
      </c>
      <c r="G139" s="284" t="s">
        <v>168</v>
      </c>
      <c r="H139" s="284" t="s">
        <v>3774</v>
      </c>
      <c r="I139" s="284" t="s">
        <v>168</v>
      </c>
      <c r="J139" s="284">
        <v>1</v>
      </c>
      <c r="K139" s="303">
        <v>46144</v>
      </c>
      <c r="L139" s="302">
        <v>2550</v>
      </c>
      <c r="M139" s="302">
        <v>0</v>
      </c>
    </row>
    <row r="140" spans="1:13" ht="15">
      <c r="A140" s="284" t="s">
        <v>3926</v>
      </c>
      <c r="B140" s="284" t="s">
        <v>214</v>
      </c>
      <c r="C140" s="284" t="s">
        <v>3792</v>
      </c>
      <c r="D140" s="302">
        <v>0</v>
      </c>
      <c r="E140" s="284" t="s">
        <v>3793</v>
      </c>
      <c r="F140" s="284" t="s">
        <v>3794</v>
      </c>
      <c r="G140" s="284" t="s">
        <v>168</v>
      </c>
      <c r="H140" s="284" t="s">
        <v>3774</v>
      </c>
      <c r="I140" s="284" t="s">
        <v>168</v>
      </c>
      <c r="J140" s="284">
        <v>1</v>
      </c>
      <c r="K140" s="303">
        <v>46167</v>
      </c>
      <c r="L140" s="302">
        <v>1685</v>
      </c>
      <c r="M140" s="302">
        <v>0</v>
      </c>
    </row>
    <row r="141" spans="1:13" ht="15">
      <c r="A141" s="284" t="s">
        <v>3927</v>
      </c>
      <c r="B141" s="284" t="s">
        <v>145</v>
      </c>
      <c r="C141" s="284" t="s">
        <v>3792</v>
      </c>
      <c r="D141" s="302">
        <v>0</v>
      </c>
      <c r="E141" s="284" t="s">
        <v>3793</v>
      </c>
      <c r="F141" s="284" t="s">
        <v>3794</v>
      </c>
      <c r="G141" s="284" t="s">
        <v>168</v>
      </c>
      <c r="H141" s="284" t="s">
        <v>3774</v>
      </c>
      <c r="I141" s="284" t="s">
        <v>168</v>
      </c>
      <c r="J141" s="284">
        <v>12</v>
      </c>
      <c r="K141" s="303">
        <v>46286</v>
      </c>
      <c r="L141" s="302">
        <v>52623</v>
      </c>
      <c r="M141" s="302">
        <v>0</v>
      </c>
    </row>
    <row r="142" spans="1:13" ht="15">
      <c r="A142" s="284" t="s">
        <v>3928</v>
      </c>
      <c r="B142" s="284" t="s">
        <v>240</v>
      </c>
      <c r="C142" s="284" t="s">
        <v>3792</v>
      </c>
      <c r="D142" s="302">
        <v>0</v>
      </c>
      <c r="E142" s="284" t="s">
        <v>3793</v>
      </c>
      <c r="F142" s="284" t="s">
        <v>3794</v>
      </c>
      <c r="G142" s="284" t="s">
        <v>168</v>
      </c>
      <c r="H142" s="284" t="s">
        <v>3774</v>
      </c>
      <c r="I142" s="284" t="s">
        <v>168</v>
      </c>
      <c r="J142" s="284">
        <v>1</v>
      </c>
      <c r="K142" s="303">
        <v>46197</v>
      </c>
      <c r="L142" s="302">
        <v>1696</v>
      </c>
      <c r="M142" s="302">
        <v>0</v>
      </c>
    </row>
    <row r="143" spans="1:13" ht="15">
      <c r="A143" s="284" t="s">
        <v>3929</v>
      </c>
      <c r="B143" s="284" t="s">
        <v>137</v>
      </c>
      <c r="C143" s="284" t="s">
        <v>3792</v>
      </c>
      <c r="D143" s="302">
        <v>0</v>
      </c>
      <c r="E143" s="284" t="s">
        <v>3793</v>
      </c>
      <c r="F143" s="284" t="s">
        <v>3794</v>
      </c>
      <c r="G143" s="284" t="s">
        <v>168</v>
      </c>
      <c r="H143" s="284" t="s">
        <v>3774</v>
      </c>
      <c r="I143" s="284" t="s">
        <v>168</v>
      </c>
      <c r="J143" s="284">
        <v>3</v>
      </c>
      <c r="K143" s="303">
        <v>46283</v>
      </c>
      <c r="L143" s="302">
        <v>2700</v>
      </c>
      <c r="M143" s="302">
        <v>0</v>
      </c>
    </row>
    <row r="144" spans="1:13" ht="15">
      <c r="A144" s="284" t="s">
        <v>3930</v>
      </c>
      <c r="B144" s="284" t="s">
        <v>246</v>
      </c>
      <c r="C144" s="284" t="s">
        <v>3792</v>
      </c>
      <c r="D144" s="302">
        <v>0</v>
      </c>
      <c r="E144" s="284" t="s">
        <v>3793</v>
      </c>
      <c r="F144" s="284" t="s">
        <v>3794</v>
      </c>
      <c r="G144" s="284" t="s">
        <v>168</v>
      </c>
      <c r="H144" s="284" t="s">
        <v>3774</v>
      </c>
      <c r="I144" s="284" t="s">
        <v>168</v>
      </c>
      <c r="J144" s="284">
        <v>64</v>
      </c>
      <c r="K144" s="303">
        <v>46295</v>
      </c>
      <c r="L144" s="302">
        <v>142454</v>
      </c>
      <c r="M144" s="302">
        <v>12904.424999999999</v>
      </c>
    </row>
    <row r="145" spans="1:13" ht="15">
      <c r="A145" s="284" t="s">
        <v>3931</v>
      </c>
      <c r="B145" s="284" t="s">
        <v>129</v>
      </c>
      <c r="C145" s="284" t="s">
        <v>3792</v>
      </c>
      <c r="D145" s="302">
        <v>0</v>
      </c>
      <c r="E145" s="284" t="s">
        <v>3793</v>
      </c>
      <c r="F145" s="284" t="s">
        <v>3794</v>
      </c>
      <c r="G145" s="284" t="s">
        <v>168</v>
      </c>
      <c r="H145" s="284" t="s">
        <v>3774</v>
      </c>
      <c r="I145" s="284" t="s">
        <v>168</v>
      </c>
      <c r="J145" s="284">
        <v>23</v>
      </c>
      <c r="K145" s="303">
        <v>46291</v>
      </c>
      <c r="L145" s="302">
        <v>48320</v>
      </c>
      <c r="M145" s="302">
        <v>0</v>
      </c>
    </row>
    <row r="146" spans="1:13" ht="15">
      <c r="A146" s="284" t="s">
        <v>3932</v>
      </c>
      <c r="B146" s="284" t="s">
        <v>283</v>
      </c>
      <c r="C146" s="284" t="s">
        <v>3792</v>
      </c>
      <c r="D146" s="302">
        <v>0</v>
      </c>
      <c r="E146" s="284" t="s">
        <v>3793</v>
      </c>
      <c r="F146" s="284" t="s">
        <v>3794</v>
      </c>
      <c r="G146" s="284" t="s">
        <v>168</v>
      </c>
      <c r="H146" s="284" t="s">
        <v>3774</v>
      </c>
      <c r="I146" s="284" t="s">
        <v>168</v>
      </c>
      <c r="J146" s="284">
        <v>1</v>
      </c>
      <c r="K146" s="303">
        <v>46268</v>
      </c>
      <c r="L146" s="302">
        <v>900</v>
      </c>
      <c r="M146" s="302">
        <v>0</v>
      </c>
    </row>
    <row r="147" spans="1:13" ht="15">
      <c r="A147" s="284" t="s">
        <v>3933</v>
      </c>
      <c r="B147" s="284" t="s">
        <v>1602</v>
      </c>
      <c r="C147" s="284" t="s">
        <v>3792</v>
      </c>
      <c r="D147" s="302">
        <v>0</v>
      </c>
      <c r="E147" s="284" t="s">
        <v>3793</v>
      </c>
      <c r="F147" s="284" t="s">
        <v>3794</v>
      </c>
      <c r="G147" s="284" t="s">
        <v>168</v>
      </c>
      <c r="H147" s="284" t="s">
        <v>3774</v>
      </c>
      <c r="I147" s="284" t="s">
        <v>168</v>
      </c>
      <c r="J147" s="284">
        <v>2</v>
      </c>
      <c r="K147" s="303">
        <v>46196</v>
      </c>
      <c r="L147" s="302">
        <v>1145</v>
      </c>
      <c r="M147" s="302">
        <v>193.875</v>
      </c>
    </row>
    <row r="148" spans="1:13" ht="15">
      <c r="A148" s="284" t="s">
        <v>3934</v>
      </c>
      <c r="B148" s="284" t="s">
        <v>127</v>
      </c>
      <c r="C148" s="284" t="s">
        <v>3792</v>
      </c>
      <c r="D148" s="302">
        <v>0</v>
      </c>
      <c r="E148" s="284" t="s">
        <v>3793</v>
      </c>
      <c r="F148" s="284" t="s">
        <v>3794</v>
      </c>
      <c r="G148" s="284" t="s">
        <v>168</v>
      </c>
      <c r="H148" s="284" t="s">
        <v>3774</v>
      </c>
      <c r="I148" s="284" t="s">
        <v>168</v>
      </c>
      <c r="J148" s="284">
        <v>4</v>
      </c>
      <c r="K148" s="303">
        <v>46206</v>
      </c>
      <c r="L148" s="302">
        <v>3560</v>
      </c>
      <c r="M148" s="302">
        <v>0</v>
      </c>
    </row>
    <row r="149" spans="1:13" ht="15">
      <c r="A149" s="284" t="s">
        <v>3935</v>
      </c>
      <c r="B149" s="284" t="s">
        <v>153</v>
      </c>
      <c r="C149" s="284" t="s">
        <v>3792</v>
      </c>
      <c r="D149" s="302">
        <v>0</v>
      </c>
      <c r="E149" s="284" t="s">
        <v>3793</v>
      </c>
      <c r="F149" s="284" t="s">
        <v>3794</v>
      </c>
      <c r="G149" s="284" t="s">
        <v>168</v>
      </c>
      <c r="H149" s="284" t="s">
        <v>3774</v>
      </c>
      <c r="I149" s="284" t="s">
        <v>168</v>
      </c>
      <c r="J149" s="284">
        <v>3</v>
      </c>
      <c r="K149" s="303">
        <v>46094</v>
      </c>
      <c r="L149" s="302">
        <v>21720</v>
      </c>
      <c r="M149" s="302">
        <v>0</v>
      </c>
    </row>
    <row r="150" spans="1:13" ht="15">
      <c r="A150" s="284" t="s">
        <v>3936</v>
      </c>
      <c r="B150" s="284" t="s">
        <v>234</v>
      </c>
      <c r="C150" s="284" t="s">
        <v>3792</v>
      </c>
      <c r="D150" s="302">
        <v>0</v>
      </c>
      <c r="E150" s="284" t="s">
        <v>3793</v>
      </c>
      <c r="F150" s="284" t="s">
        <v>3794</v>
      </c>
      <c r="G150" s="284" t="s">
        <v>168</v>
      </c>
      <c r="H150" s="284" t="s">
        <v>3774</v>
      </c>
      <c r="I150" s="284" t="s">
        <v>168</v>
      </c>
      <c r="J150" s="284">
        <v>2</v>
      </c>
      <c r="K150" s="303">
        <v>46213</v>
      </c>
      <c r="L150" s="302">
        <v>17500</v>
      </c>
      <c r="M150" s="302">
        <v>0</v>
      </c>
    </row>
    <row r="151" spans="1:13" ht="15">
      <c r="A151" s="284" t="s">
        <v>3937</v>
      </c>
      <c r="B151" s="284" t="s">
        <v>276</v>
      </c>
      <c r="C151" s="284" t="s">
        <v>3792</v>
      </c>
      <c r="D151" s="302">
        <v>0</v>
      </c>
      <c r="E151" s="284" t="s">
        <v>3793</v>
      </c>
      <c r="F151" s="284" t="s">
        <v>3794</v>
      </c>
      <c r="G151" s="284" t="s">
        <v>168</v>
      </c>
      <c r="H151" s="284" t="s">
        <v>3774</v>
      </c>
      <c r="I151" s="284" t="s">
        <v>168</v>
      </c>
      <c r="J151" s="284">
        <v>1</v>
      </c>
      <c r="K151" s="303">
        <v>46259</v>
      </c>
      <c r="L151" s="302">
        <v>2650</v>
      </c>
      <c r="M151" s="302">
        <v>0</v>
      </c>
    </row>
    <row r="152" spans="1:13" ht="15">
      <c r="A152" s="284" t="s">
        <v>3938</v>
      </c>
      <c r="B152" s="284" t="s">
        <v>117</v>
      </c>
      <c r="C152" s="284" t="s">
        <v>3792</v>
      </c>
      <c r="D152" s="302">
        <v>0</v>
      </c>
      <c r="E152" s="284" t="s">
        <v>3793</v>
      </c>
      <c r="F152" s="284" t="s">
        <v>3794</v>
      </c>
      <c r="G152" s="284" t="s">
        <v>168</v>
      </c>
      <c r="H152" s="284" t="s">
        <v>3774</v>
      </c>
      <c r="I152" s="284" t="s">
        <v>168</v>
      </c>
      <c r="J152" s="284">
        <v>26</v>
      </c>
      <c r="K152" s="303">
        <v>46291</v>
      </c>
      <c r="L152" s="302">
        <v>47569</v>
      </c>
      <c r="M152" s="302">
        <v>0</v>
      </c>
    </row>
    <row r="153" spans="1:13" ht="15">
      <c r="A153" s="284" t="s">
        <v>3939</v>
      </c>
      <c r="B153" s="284" t="s">
        <v>255</v>
      </c>
      <c r="C153" s="284" t="s">
        <v>3792</v>
      </c>
      <c r="D153" s="302">
        <v>0</v>
      </c>
      <c r="E153" s="284" t="s">
        <v>3793</v>
      </c>
      <c r="F153" s="284" t="s">
        <v>3794</v>
      </c>
      <c r="G153" s="284" t="s">
        <v>168</v>
      </c>
      <c r="H153" s="284" t="s">
        <v>3774</v>
      </c>
      <c r="I153" s="284" t="s">
        <v>168</v>
      </c>
      <c r="J153" s="284">
        <v>1</v>
      </c>
      <c r="K153" s="303">
        <v>46213</v>
      </c>
      <c r="L153" s="302">
        <v>125</v>
      </c>
      <c r="M153" s="302">
        <v>0</v>
      </c>
    </row>
    <row r="154" spans="1:13" ht="15">
      <c r="A154" s="284" t="s">
        <v>3940</v>
      </c>
      <c r="B154" s="284" t="s">
        <v>251</v>
      </c>
      <c r="C154" s="284" t="s">
        <v>3792</v>
      </c>
      <c r="D154" s="302">
        <v>0</v>
      </c>
      <c r="E154" s="284" t="s">
        <v>3793</v>
      </c>
      <c r="F154" s="284" t="s">
        <v>3794</v>
      </c>
      <c r="G154" s="284" t="s">
        <v>168</v>
      </c>
      <c r="H154" s="284" t="s">
        <v>3774</v>
      </c>
      <c r="I154" s="284" t="s">
        <v>168</v>
      </c>
      <c r="J154" s="284">
        <v>1</v>
      </c>
      <c r="K154" s="303">
        <v>46212</v>
      </c>
      <c r="L154" s="302">
        <v>1160</v>
      </c>
      <c r="M154" s="302">
        <v>0</v>
      </c>
    </row>
    <row r="155" spans="1:13" ht="15">
      <c r="A155" s="284" t="s">
        <v>3941</v>
      </c>
      <c r="B155" s="284" t="s">
        <v>144</v>
      </c>
      <c r="C155" s="284" t="s">
        <v>3792</v>
      </c>
      <c r="D155" s="302">
        <v>0</v>
      </c>
      <c r="E155" s="284" t="s">
        <v>3793</v>
      </c>
      <c r="F155" s="284" t="s">
        <v>3794</v>
      </c>
      <c r="G155" s="284" t="s">
        <v>168</v>
      </c>
      <c r="H155" s="284" t="s">
        <v>3774</v>
      </c>
      <c r="I155" s="284" t="s">
        <v>168</v>
      </c>
      <c r="J155" s="284">
        <v>6</v>
      </c>
      <c r="K155" s="303">
        <v>46195</v>
      </c>
      <c r="L155" s="302">
        <v>8869</v>
      </c>
      <c r="M155" s="302">
        <v>0</v>
      </c>
    </row>
    <row r="156" spans="1:13" ht="15">
      <c r="A156" s="284" t="s">
        <v>3942</v>
      </c>
      <c r="B156" s="284" t="s">
        <v>242</v>
      </c>
      <c r="C156" s="284" t="s">
        <v>3792</v>
      </c>
      <c r="D156" s="302">
        <v>0</v>
      </c>
      <c r="E156" s="284" t="s">
        <v>3793</v>
      </c>
      <c r="F156" s="284" t="s">
        <v>3794</v>
      </c>
      <c r="G156" s="284" t="s">
        <v>168</v>
      </c>
      <c r="H156" s="284" t="s">
        <v>3774</v>
      </c>
      <c r="I156" s="284" t="s">
        <v>168</v>
      </c>
      <c r="J156" s="284">
        <v>1</v>
      </c>
      <c r="K156" s="303">
        <v>46199</v>
      </c>
      <c r="L156" s="302">
        <v>1645</v>
      </c>
      <c r="M156" s="302">
        <v>0</v>
      </c>
    </row>
    <row r="157" spans="1:13" ht="15">
      <c r="A157" s="284" t="s">
        <v>3943</v>
      </c>
      <c r="B157" s="284" t="s">
        <v>235</v>
      </c>
      <c r="C157" s="284" t="s">
        <v>3792</v>
      </c>
      <c r="D157" s="302">
        <v>0</v>
      </c>
      <c r="E157" s="284" t="s">
        <v>3793</v>
      </c>
      <c r="F157" s="284" t="s">
        <v>3794</v>
      </c>
      <c r="G157" s="284" t="s">
        <v>356</v>
      </c>
      <c r="H157" s="284" t="s">
        <v>3774</v>
      </c>
      <c r="I157" s="284" t="s">
        <v>356</v>
      </c>
      <c r="J157" s="284">
        <v>1</v>
      </c>
      <c r="K157" s="303">
        <v>46188</v>
      </c>
      <c r="L157" s="302">
        <v>415</v>
      </c>
      <c r="M157" s="302">
        <v>74.099999999999994</v>
      </c>
    </row>
    <row r="158" spans="1:13" ht="15">
      <c r="A158" s="284" t="s">
        <v>3944</v>
      </c>
      <c r="B158" s="284" t="s">
        <v>3780</v>
      </c>
      <c r="C158" s="284" t="s">
        <v>3792</v>
      </c>
      <c r="D158" s="302">
        <v>0</v>
      </c>
      <c r="E158" s="284" t="s">
        <v>3793</v>
      </c>
      <c r="F158" s="284" t="s">
        <v>3794</v>
      </c>
      <c r="G158" s="284" t="s">
        <v>168</v>
      </c>
      <c r="H158" s="284" t="s">
        <v>3774</v>
      </c>
      <c r="I158" s="284" t="s">
        <v>168</v>
      </c>
      <c r="J158" s="284">
        <v>4</v>
      </c>
      <c r="K158" s="303">
        <v>46198</v>
      </c>
      <c r="L158" s="302">
        <v>1800</v>
      </c>
      <c r="M158" s="302">
        <v>0</v>
      </c>
    </row>
    <row r="159" spans="1:13" ht="15">
      <c r="A159" s="284" t="s">
        <v>3945</v>
      </c>
      <c r="B159" s="284" t="s">
        <v>284</v>
      </c>
      <c r="C159" s="284" t="s">
        <v>3792</v>
      </c>
      <c r="D159" s="302">
        <v>0</v>
      </c>
      <c r="E159" s="284" t="s">
        <v>3793</v>
      </c>
      <c r="F159" s="284" t="s">
        <v>3794</v>
      </c>
      <c r="G159" s="284" t="s">
        <v>409</v>
      </c>
      <c r="H159" s="284" t="s">
        <v>3774</v>
      </c>
      <c r="I159" s="284" t="s">
        <v>409</v>
      </c>
      <c r="J159" s="284">
        <v>1</v>
      </c>
      <c r="K159" s="303">
        <v>46269</v>
      </c>
      <c r="L159" s="302">
        <v>360</v>
      </c>
      <c r="M159" s="302">
        <v>0</v>
      </c>
    </row>
    <row r="160" spans="1:13" ht="15">
      <c r="A160" s="284"/>
      <c r="B160" s="284" t="s">
        <v>245</v>
      </c>
      <c r="C160" s="284" t="s">
        <v>3792</v>
      </c>
      <c r="D160" s="302">
        <v>0</v>
      </c>
      <c r="E160" s="284" t="s">
        <v>3793</v>
      </c>
      <c r="F160" s="284" t="s">
        <v>3794</v>
      </c>
      <c r="G160" s="284" t="s">
        <v>168</v>
      </c>
      <c r="H160" s="284" t="s">
        <v>3774</v>
      </c>
      <c r="I160" s="284" t="s">
        <v>168</v>
      </c>
      <c r="J160" s="284">
        <v>1</v>
      </c>
      <c r="K160" s="303">
        <v>46203</v>
      </c>
      <c r="L160" s="302">
        <v>3000</v>
      </c>
      <c r="M160" s="302">
        <v>238.5</v>
      </c>
    </row>
    <row r="161" spans="1:13" ht="15">
      <c r="A161" s="284" t="s">
        <v>3946</v>
      </c>
      <c r="B161" s="284" t="s">
        <v>237</v>
      </c>
      <c r="C161" s="284" t="s">
        <v>3792</v>
      </c>
      <c r="D161" s="302">
        <v>0</v>
      </c>
      <c r="E161" s="284" t="s">
        <v>3793</v>
      </c>
      <c r="F161" s="284" t="s">
        <v>3794</v>
      </c>
      <c r="G161" s="284" t="s">
        <v>168</v>
      </c>
      <c r="H161" s="284" t="s">
        <v>3774</v>
      </c>
      <c r="I161" s="284" t="s">
        <v>168</v>
      </c>
      <c r="J161" s="284">
        <v>1</v>
      </c>
      <c r="K161" s="303">
        <v>46192</v>
      </c>
      <c r="L161" s="302">
        <v>375</v>
      </c>
      <c r="M161" s="302">
        <v>0</v>
      </c>
    </row>
    <row r="162" spans="1:13" ht="15">
      <c r="A162" s="284" t="s">
        <v>3947</v>
      </c>
      <c r="B162" s="284" t="s">
        <v>259</v>
      </c>
      <c r="C162" s="284" t="s">
        <v>3792</v>
      </c>
      <c r="D162" s="302">
        <v>0</v>
      </c>
      <c r="E162" s="284" t="s">
        <v>3793</v>
      </c>
      <c r="F162" s="284" t="s">
        <v>3794</v>
      </c>
      <c r="G162" s="284" t="s">
        <v>168</v>
      </c>
      <c r="H162" s="284" t="s">
        <v>3774</v>
      </c>
      <c r="I162" s="284" t="s">
        <v>168</v>
      </c>
      <c r="J162" s="284">
        <v>1</v>
      </c>
      <c r="K162" s="303">
        <v>46223</v>
      </c>
      <c r="L162" s="302">
        <v>5060</v>
      </c>
      <c r="M162" s="302">
        <v>0</v>
      </c>
    </row>
    <row r="163" spans="1:13" ht="15">
      <c r="A163" s="284" t="s">
        <v>3948</v>
      </c>
      <c r="B163" s="284" t="s">
        <v>138</v>
      </c>
      <c r="C163" s="284" t="s">
        <v>3792</v>
      </c>
      <c r="D163" s="302">
        <v>0</v>
      </c>
      <c r="E163" s="284" t="s">
        <v>3793</v>
      </c>
      <c r="F163" s="284" t="s">
        <v>3794</v>
      </c>
      <c r="G163" s="284" t="s">
        <v>168</v>
      </c>
      <c r="H163" s="284" t="s">
        <v>3774</v>
      </c>
      <c r="I163" s="284" t="s">
        <v>168</v>
      </c>
      <c r="J163" s="284">
        <v>7</v>
      </c>
      <c r="K163" s="303">
        <v>46260</v>
      </c>
      <c r="L163" s="302">
        <v>9367</v>
      </c>
      <c r="M163" s="302">
        <v>0</v>
      </c>
    </row>
    <row r="164" spans="1:13" ht="15">
      <c r="A164" s="284" t="s">
        <v>3949</v>
      </c>
      <c r="B164" s="284" t="s">
        <v>249</v>
      </c>
      <c r="C164" s="284" t="s">
        <v>3792</v>
      </c>
      <c r="D164" s="302">
        <v>0</v>
      </c>
      <c r="E164" s="284" t="s">
        <v>3793</v>
      </c>
      <c r="F164" s="284" t="s">
        <v>3794</v>
      </c>
      <c r="G164" s="284" t="s">
        <v>168</v>
      </c>
      <c r="H164" s="284" t="s">
        <v>3774</v>
      </c>
      <c r="I164" s="284" t="s">
        <v>168</v>
      </c>
      <c r="J164" s="284">
        <v>1</v>
      </c>
      <c r="K164" s="303">
        <v>46210</v>
      </c>
      <c r="L164" s="302">
        <v>350</v>
      </c>
      <c r="M164" s="302">
        <v>0</v>
      </c>
    </row>
    <row r="165" spans="1:13" ht="15">
      <c r="A165" s="284" t="s">
        <v>3950</v>
      </c>
      <c r="B165" s="284" t="s">
        <v>208</v>
      </c>
      <c r="C165" s="284" t="s">
        <v>3792</v>
      </c>
      <c r="D165" s="302">
        <v>0</v>
      </c>
      <c r="E165" s="284" t="s">
        <v>3793</v>
      </c>
      <c r="F165" s="284" t="s">
        <v>3794</v>
      </c>
      <c r="G165" s="284" t="s">
        <v>168</v>
      </c>
      <c r="H165" s="284" t="s">
        <v>3774</v>
      </c>
      <c r="I165" s="284" t="s">
        <v>168</v>
      </c>
      <c r="J165" s="284">
        <v>1</v>
      </c>
      <c r="K165" s="303">
        <v>46151</v>
      </c>
      <c r="L165" s="302">
        <v>660</v>
      </c>
      <c r="M165" s="302">
        <v>0</v>
      </c>
    </row>
    <row r="166" spans="1:13" ht="15">
      <c r="A166" s="284" t="s">
        <v>3951</v>
      </c>
      <c r="B166" s="284" t="s">
        <v>272</v>
      </c>
      <c r="C166" s="284" t="s">
        <v>3792</v>
      </c>
      <c r="D166" s="302">
        <v>0</v>
      </c>
      <c r="E166" s="284" t="s">
        <v>3793</v>
      </c>
      <c r="F166" s="284" t="s">
        <v>3794</v>
      </c>
      <c r="G166" s="284" t="s">
        <v>168</v>
      </c>
      <c r="H166" s="284" t="s">
        <v>3774</v>
      </c>
      <c r="I166" s="284" t="s">
        <v>168</v>
      </c>
      <c r="J166" s="284">
        <v>1</v>
      </c>
      <c r="K166" s="303">
        <v>46254</v>
      </c>
      <c r="L166" s="302">
        <v>4768</v>
      </c>
      <c r="M166" s="302">
        <v>0</v>
      </c>
    </row>
    <row r="167" spans="1:13" ht="15">
      <c r="A167" s="284" t="s">
        <v>3952</v>
      </c>
      <c r="B167" s="284" t="s">
        <v>174</v>
      </c>
      <c r="C167" s="284" t="s">
        <v>3792</v>
      </c>
      <c r="D167" s="302">
        <v>0</v>
      </c>
      <c r="E167" s="284" t="s">
        <v>3793</v>
      </c>
      <c r="F167" s="284" t="s">
        <v>3794</v>
      </c>
      <c r="G167" s="284" t="s">
        <v>353</v>
      </c>
      <c r="H167" s="284" t="s">
        <v>3774</v>
      </c>
      <c r="I167" s="284" t="s">
        <v>353</v>
      </c>
      <c r="J167" s="284">
        <v>8</v>
      </c>
      <c r="K167" s="303">
        <v>46286</v>
      </c>
      <c r="L167" s="302">
        <v>18203</v>
      </c>
      <c r="M167" s="302">
        <v>1917.15</v>
      </c>
    </row>
    <row r="168" spans="1:13" ht="15">
      <c r="A168" s="284" t="s">
        <v>3953</v>
      </c>
      <c r="B168" s="284" t="s">
        <v>205</v>
      </c>
      <c r="C168" s="284" t="s">
        <v>3792</v>
      </c>
      <c r="D168" s="302">
        <v>0</v>
      </c>
      <c r="E168" s="284" t="s">
        <v>3793</v>
      </c>
      <c r="F168" s="284" t="s">
        <v>3794</v>
      </c>
      <c r="G168" s="284" t="s">
        <v>168</v>
      </c>
      <c r="H168" s="284" t="s">
        <v>3774</v>
      </c>
      <c r="I168" s="284" t="s">
        <v>168</v>
      </c>
      <c r="J168" s="284">
        <v>3</v>
      </c>
      <c r="K168" s="303">
        <v>46153</v>
      </c>
      <c r="L168" s="302">
        <v>1015</v>
      </c>
      <c r="M168" s="302">
        <v>0</v>
      </c>
    </row>
    <row r="169" spans="1:13" ht="15">
      <c r="A169" s="284" t="s">
        <v>3954</v>
      </c>
      <c r="B169" s="284" t="s">
        <v>264</v>
      </c>
      <c r="C169" s="284" t="s">
        <v>3792</v>
      </c>
      <c r="D169" s="302">
        <v>0</v>
      </c>
      <c r="E169" s="284" t="s">
        <v>3793</v>
      </c>
      <c r="F169" s="284" t="s">
        <v>3794</v>
      </c>
      <c r="G169" s="284" t="s">
        <v>168</v>
      </c>
      <c r="H169" s="284" t="s">
        <v>3774</v>
      </c>
      <c r="I169" s="284" t="s">
        <v>168</v>
      </c>
      <c r="J169" s="284">
        <v>1</v>
      </c>
      <c r="K169" s="303">
        <v>46232</v>
      </c>
      <c r="L169" s="302">
        <v>2411</v>
      </c>
      <c r="M169" s="302">
        <v>0</v>
      </c>
    </row>
    <row r="170" spans="1:13" ht="15">
      <c r="A170" s="284" t="s">
        <v>3955</v>
      </c>
      <c r="B170" s="284" t="s">
        <v>206</v>
      </c>
      <c r="C170" s="284" t="s">
        <v>3792</v>
      </c>
      <c r="D170" s="302">
        <v>0</v>
      </c>
      <c r="E170" s="284" t="s">
        <v>3793</v>
      </c>
      <c r="F170" s="284" t="s">
        <v>3794</v>
      </c>
      <c r="G170" s="284" t="s">
        <v>168</v>
      </c>
      <c r="H170" s="284" t="s">
        <v>3774</v>
      </c>
      <c r="I170" s="284" t="s">
        <v>168</v>
      </c>
      <c r="J170" s="284">
        <v>1</v>
      </c>
      <c r="K170" s="303">
        <v>46150</v>
      </c>
      <c r="L170" s="302">
        <v>3375</v>
      </c>
      <c r="M170" s="302">
        <v>0</v>
      </c>
    </row>
    <row r="171" spans="1:13" ht="15">
      <c r="A171" s="284" t="s">
        <v>3956</v>
      </c>
      <c r="B171" s="284" t="s">
        <v>290</v>
      </c>
      <c r="C171" s="284" t="s">
        <v>3792</v>
      </c>
      <c r="D171" s="302">
        <v>0</v>
      </c>
      <c r="E171" s="284" t="s">
        <v>3793</v>
      </c>
      <c r="F171" s="284" t="s">
        <v>3794</v>
      </c>
      <c r="G171" s="284" t="s">
        <v>168</v>
      </c>
      <c r="H171" s="284" t="s">
        <v>3774</v>
      </c>
      <c r="I171" s="284" t="s">
        <v>168</v>
      </c>
      <c r="J171" s="284">
        <v>1</v>
      </c>
      <c r="K171" s="303">
        <v>46291</v>
      </c>
      <c r="L171" s="302">
        <v>850</v>
      </c>
      <c r="M171" s="302">
        <v>0</v>
      </c>
    </row>
    <row r="172" spans="1:13" ht="15">
      <c r="A172" s="284" t="s">
        <v>3957</v>
      </c>
      <c r="B172" s="284" t="s">
        <v>97</v>
      </c>
      <c r="C172" s="284" t="s">
        <v>3792</v>
      </c>
      <c r="D172" s="302">
        <v>0</v>
      </c>
      <c r="E172" s="284" t="s">
        <v>3793</v>
      </c>
      <c r="F172" s="284" t="s">
        <v>3794</v>
      </c>
      <c r="G172" s="284" t="s">
        <v>168</v>
      </c>
      <c r="H172" s="284" t="s">
        <v>3774</v>
      </c>
      <c r="I172" s="284" t="s">
        <v>168</v>
      </c>
      <c r="J172" s="284">
        <v>67</v>
      </c>
      <c r="K172" s="303">
        <v>46289</v>
      </c>
      <c r="L172" s="302">
        <v>247337</v>
      </c>
      <c r="M172" s="302">
        <v>0</v>
      </c>
    </row>
    <row r="173" spans="1:13" ht="15">
      <c r="A173" s="284" t="s">
        <v>3958</v>
      </c>
      <c r="B173" s="284" t="s">
        <v>231</v>
      </c>
      <c r="C173" s="284" t="s">
        <v>3792</v>
      </c>
      <c r="D173" s="302">
        <v>0</v>
      </c>
      <c r="E173" s="284" t="s">
        <v>3793</v>
      </c>
      <c r="F173" s="284" t="s">
        <v>3794</v>
      </c>
      <c r="G173" s="284" t="s">
        <v>168</v>
      </c>
      <c r="H173" s="284" t="s">
        <v>3774</v>
      </c>
      <c r="I173" s="284" t="s">
        <v>168</v>
      </c>
      <c r="J173" s="284">
        <v>1</v>
      </c>
      <c r="K173" s="303">
        <v>46184</v>
      </c>
      <c r="L173" s="302">
        <v>8730</v>
      </c>
      <c r="M173" s="302">
        <v>0</v>
      </c>
    </row>
    <row r="174" spans="1:13" ht="15">
      <c r="A174" s="284" t="s">
        <v>3959</v>
      </c>
      <c r="B174" s="284" t="s">
        <v>111</v>
      </c>
      <c r="C174" s="284" t="s">
        <v>3792</v>
      </c>
      <c r="D174" s="302">
        <v>0</v>
      </c>
      <c r="E174" s="284" t="s">
        <v>3793</v>
      </c>
      <c r="F174" s="284" t="s">
        <v>3794</v>
      </c>
      <c r="G174" s="284" t="s">
        <v>356</v>
      </c>
      <c r="H174" s="284" t="s">
        <v>3774</v>
      </c>
      <c r="I174" s="284" t="s">
        <v>356</v>
      </c>
      <c r="J174" s="284">
        <v>1</v>
      </c>
      <c r="K174" s="303">
        <v>46027</v>
      </c>
      <c r="L174" s="302">
        <v>13200</v>
      </c>
      <c r="M174" s="302">
        <v>1503</v>
      </c>
    </row>
    <row r="175" spans="1:13" ht="15">
      <c r="A175" s="284" t="s">
        <v>3960</v>
      </c>
      <c r="B175" s="284" t="s">
        <v>106</v>
      </c>
      <c r="C175" s="284" t="s">
        <v>3792</v>
      </c>
      <c r="D175" s="302">
        <v>0</v>
      </c>
      <c r="E175" s="284" t="s">
        <v>3793</v>
      </c>
      <c r="F175" s="284" t="s">
        <v>3794</v>
      </c>
      <c r="G175" s="284" t="s">
        <v>351</v>
      </c>
      <c r="H175" s="284" t="s">
        <v>3774</v>
      </c>
      <c r="I175" s="284" t="s">
        <v>351</v>
      </c>
      <c r="J175" s="284">
        <v>12</v>
      </c>
      <c r="K175" s="303">
        <v>46193</v>
      </c>
      <c r="L175" s="302">
        <v>35225</v>
      </c>
      <c r="M175" s="302">
        <v>4415.9592000000002</v>
      </c>
    </row>
    <row r="176" spans="1:13" ht="15">
      <c r="A176" s="284" t="s">
        <v>3961</v>
      </c>
      <c r="B176" s="284" t="s">
        <v>256</v>
      </c>
      <c r="C176" s="284" t="s">
        <v>3792</v>
      </c>
      <c r="D176" s="302">
        <v>0</v>
      </c>
      <c r="E176" s="284" t="s">
        <v>3793</v>
      </c>
      <c r="F176" s="284" t="s">
        <v>3794</v>
      </c>
      <c r="G176" s="284" t="s">
        <v>168</v>
      </c>
      <c r="H176" s="284" t="s">
        <v>3774</v>
      </c>
      <c r="I176" s="284" t="s">
        <v>168</v>
      </c>
      <c r="J176" s="284">
        <v>2</v>
      </c>
      <c r="K176" s="303">
        <v>46286</v>
      </c>
      <c r="L176" s="302">
        <v>10510</v>
      </c>
      <c r="M176" s="302">
        <v>0</v>
      </c>
    </row>
    <row r="177" spans="1:13" ht="15">
      <c r="A177" s="284" t="s">
        <v>3962</v>
      </c>
      <c r="B177" s="284" t="s">
        <v>134</v>
      </c>
      <c r="C177" s="284" t="s">
        <v>3792</v>
      </c>
      <c r="D177" s="302">
        <v>0</v>
      </c>
      <c r="E177" s="284" t="s">
        <v>3793</v>
      </c>
      <c r="F177" s="284" t="s">
        <v>3794</v>
      </c>
      <c r="G177" s="284" t="s">
        <v>168</v>
      </c>
      <c r="H177" s="284" t="s">
        <v>3774</v>
      </c>
      <c r="I177" s="284" t="s">
        <v>168</v>
      </c>
      <c r="J177" s="284">
        <v>5</v>
      </c>
      <c r="K177" s="303">
        <v>46093</v>
      </c>
      <c r="L177" s="302">
        <v>9200</v>
      </c>
      <c r="M177" s="302">
        <v>0</v>
      </c>
    </row>
    <row r="178" spans="1:13" ht="15">
      <c r="A178" s="284" t="s">
        <v>3963</v>
      </c>
      <c r="B178" s="284" t="s">
        <v>233</v>
      </c>
      <c r="C178" s="284" t="s">
        <v>3792</v>
      </c>
      <c r="D178" s="302">
        <v>0</v>
      </c>
      <c r="E178" s="284" t="s">
        <v>3793</v>
      </c>
      <c r="F178" s="284" t="s">
        <v>3794</v>
      </c>
      <c r="G178" s="284" t="s">
        <v>168</v>
      </c>
      <c r="H178" s="284" t="s">
        <v>3774</v>
      </c>
      <c r="I178" s="284" t="s">
        <v>168</v>
      </c>
      <c r="J178" s="284">
        <v>1</v>
      </c>
      <c r="K178" s="303">
        <v>46185</v>
      </c>
      <c r="L178" s="302">
        <v>100</v>
      </c>
      <c r="M178" s="302">
        <v>0</v>
      </c>
    </row>
    <row r="179" spans="1:13" ht="15">
      <c r="A179" s="284" t="s">
        <v>3964</v>
      </c>
      <c r="B179" s="284" t="s">
        <v>217</v>
      </c>
      <c r="C179" s="284" t="s">
        <v>3792</v>
      </c>
      <c r="D179" s="302">
        <v>0</v>
      </c>
      <c r="E179" s="284" t="s">
        <v>3793</v>
      </c>
      <c r="F179" s="284" t="s">
        <v>3794</v>
      </c>
      <c r="G179" s="284" t="s">
        <v>168</v>
      </c>
      <c r="H179" s="284" t="s">
        <v>3774</v>
      </c>
      <c r="I179" s="284" t="s">
        <v>168</v>
      </c>
      <c r="J179" s="284">
        <v>1</v>
      </c>
      <c r="K179" s="303">
        <v>46170</v>
      </c>
      <c r="L179" s="302">
        <v>3980</v>
      </c>
      <c r="M179" s="302">
        <v>0</v>
      </c>
    </row>
    <row r="180" spans="1:13" ht="15">
      <c r="A180" s="284" t="s">
        <v>3965</v>
      </c>
      <c r="B180" s="284" t="s">
        <v>1599</v>
      </c>
      <c r="C180" s="284" t="s">
        <v>3792</v>
      </c>
      <c r="D180" s="302">
        <v>0</v>
      </c>
      <c r="E180" s="284" t="s">
        <v>3793</v>
      </c>
      <c r="F180" s="284" t="s">
        <v>3794</v>
      </c>
      <c r="G180" s="284" t="s">
        <v>168</v>
      </c>
      <c r="H180" s="284" t="s">
        <v>3774</v>
      </c>
      <c r="I180" s="284" t="s">
        <v>168</v>
      </c>
      <c r="J180" s="284">
        <v>10</v>
      </c>
      <c r="K180" s="303">
        <v>46231</v>
      </c>
      <c r="L180" s="302">
        <v>19481</v>
      </c>
      <c r="M180" s="302">
        <v>2530.76802</v>
      </c>
    </row>
    <row r="181" spans="1:13" ht="15">
      <c r="A181" s="284" t="s">
        <v>3966</v>
      </c>
      <c r="B181" s="284" t="s">
        <v>201</v>
      </c>
      <c r="C181" s="284" t="s">
        <v>3792</v>
      </c>
      <c r="D181" s="302">
        <v>0</v>
      </c>
      <c r="E181" s="284" t="s">
        <v>3793</v>
      </c>
      <c r="F181" s="284" t="s">
        <v>3794</v>
      </c>
      <c r="G181" s="284" t="s">
        <v>168</v>
      </c>
      <c r="H181" s="284" t="s">
        <v>3774</v>
      </c>
      <c r="I181" s="284" t="s">
        <v>168</v>
      </c>
      <c r="J181" s="284">
        <v>1</v>
      </c>
      <c r="K181" s="303">
        <v>46142</v>
      </c>
      <c r="L181" s="302">
        <v>6700</v>
      </c>
      <c r="M181" s="302">
        <v>0</v>
      </c>
    </row>
    <row r="182" spans="1:13" ht="15">
      <c r="A182" s="284" t="s">
        <v>3967</v>
      </c>
      <c r="B182" s="284" t="s">
        <v>123</v>
      </c>
      <c r="C182" s="284" t="s">
        <v>3792</v>
      </c>
      <c r="D182" s="302">
        <v>0</v>
      </c>
      <c r="E182" s="284" t="s">
        <v>3793</v>
      </c>
      <c r="F182" s="284" t="s">
        <v>3794</v>
      </c>
      <c r="G182" s="284" t="s">
        <v>168</v>
      </c>
      <c r="H182" s="284" t="s">
        <v>3774</v>
      </c>
      <c r="I182" s="284" t="s">
        <v>168</v>
      </c>
      <c r="J182" s="284">
        <v>6</v>
      </c>
      <c r="K182" s="303">
        <v>46197</v>
      </c>
      <c r="L182" s="302">
        <v>10160</v>
      </c>
      <c r="M182" s="302">
        <v>0</v>
      </c>
    </row>
    <row r="183" spans="1:13" ht="15">
      <c r="A183" s="284" t="s">
        <v>3968</v>
      </c>
      <c r="B183" s="284" t="s">
        <v>98</v>
      </c>
      <c r="C183" s="284" t="s">
        <v>3792</v>
      </c>
      <c r="D183" s="302">
        <v>0</v>
      </c>
      <c r="E183" s="284" t="s">
        <v>3793</v>
      </c>
      <c r="F183" s="284" t="s">
        <v>3794</v>
      </c>
      <c r="G183" s="284" t="s">
        <v>358</v>
      </c>
      <c r="H183" s="284" t="s">
        <v>3774</v>
      </c>
      <c r="I183" s="284" t="s">
        <v>358</v>
      </c>
      <c r="J183" s="284">
        <v>42</v>
      </c>
      <c r="K183" s="303">
        <v>46291</v>
      </c>
      <c r="L183" s="302">
        <v>263836</v>
      </c>
      <c r="M183" s="302">
        <v>31772.505000000001</v>
      </c>
    </row>
    <row r="184" spans="1:13" ht="15">
      <c r="A184" s="284" t="s">
        <v>3969</v>
      </c>
      <c r="B184" s="284" t="s">
        <v>3781</v>
      </c>
      <c r="C184" s="284" t="s">
        <v>3792</v>
      </c>
      <c r="D184" s="302">
        <v>0</v>
      </c>
      <c r="E184" s="284" t="s">
        <v>3793</v>
      </c>
      <c r="F184" s="284" t="s">
        <v>3794</v>
      </c>
      <c r="G184" s="284" t="s">
        <v>356</v>
      </c>
      <c r="H184" s="284" t="s">
        <v>3774</v>
      </c>
      <c r="I184" s="284" t="s">
        <v>356</v>
      </c>
      <c r="J184" s="284">
        <v>1</v>
      </c>
      <c r="K184" s="303">
        <v>46226</v>
      </c>
      <c r="L184" s="302">
        <v>714</v>
      </c>
      <c r="M184" s="302">
        <v>148.05000000000001</v>
      </c>
    </row>
    <row r="185" spans="1:13" ht="15">
      <c r="A185" s="284" t="s">
        <v>3970</v>
      </c>
      <c r="B185" s="284" t="s">
        <v>250</v>
      </c>
      <c r="C185" s="284" t="s">
        <v>3792</v>
      </c>
      <c r="D185" s="302">
        <v>0</v>
      </c>
      <c r="E185" s="284" t="s">
        <v>3793</v>
      </c>
      <c r="F185" s="284" t="s">
        <v>3794</v>
      </c>
      <c r="G185" s="284" t="s">
        <v>168</v>
      </c>
      <c r="H185" s="284" t="s">
        <v>3774</v>
      </c>
      <c r="I185" s="284" t="s">
        <v>168</v>
      </c>
      <c r="J185" s="284">
        <v>1</v>
      </c>
      <c r="K185" s="303">
        <v>46211</v>
      </c>
      <c r="L185" s="302">
        <v>8800</v>
      </c>
      <c r="M185" s="302">
        <v>0</v>
      </c>
    </row>
    <row r="186" spans="1:13" ht="15">
      <c r="A186" s="284" t="s">
        <v>3971</v>
      </c>
      <c r="B186" s="284" t="s">
        <v>163</v>
      </c>
      <c r="C186" s="284" t="s">
        <v>3792</v>
      </c>
      <c r="D186" s="302">
        <v>0</v>
      </c>
      <c r="E186" s="284" t="s">
        <v>3793</v>
      </c>
      <c r="F186" s="284" t="s">
        <v>3794</v>
      </c>
      <c r="G186" s="284" t="s">
        <v>168</v>
      </c>
      <c r="H186" s="284" t="s">
        <v>3774</v>
      </c>
      <c r="I186" s="284" t="s">
        <v>168</v>
      </c>
      <c r="J186" s="284">
        <v>1</v>
      </c>
      <c r="K186" s="303">
        <v>46087</v>
      </c>
      <c r="L186" s="302">
        <v>2678.55</v>
      </c>
      <c r="M186" s="302">
        <v>0</v>
      </c>
    </row>
    <row r="187" spans="1:13" ht="15">
      <c r="A187" s="284" t="s">
        <v>3972</v>
      </c>
      <c r="B187" s="284" t="s">
        <v>130</v>
      </c>
      <c r="C187" s="284" t="s">
        <v>3792</v>
      </c>
      <c r="D187" s="302">
        <v>0</v>
      </c>
      <c r="E187" s="284" t="s">
        <v>3793</v>
      </c>
      <c r="F187" s="284" t="s">
        <v>3794</v>
      </c>
      <c r="G187" s="284" t="s">
        <v>358</v>
      </c>
      <c r="H187" s="284" t="s">
        <v>3774</v>
      </c>
      <c r="I187" s="284" t="s">
        <v>358</v>
      </c>
      <c r="J187" s="284">
        <v>6</v>
      </c>
      <c r="K187" s="303">
        <v>46270</v>
      </c>
      <c r="L187" s="302">
        <v>21700</v>
      </c>
      <c r="M187" s="302">
        <v>3431.82</v>
      </c>
    </row>
    <row r="188" spans="1:13" ht="15">
      <c r="A188" s="284" t="s">
        <v>3973</v>
      </c>
      <c r="B188" s="284" t="s">
        <v>131</v>
      </c>
      <c r="C188" s="284" t="s">
        <v>3792</v>
      </c>
      <c r="D188" s="302">
        <v>0</v>
      </c>
      <c r="E188" s="284" t="s">
        <v>3793</v>
      </c>
      <c r="F188" s="284" t="s">
        <v>3794</v>
      </c>
      <c r="G188" s="284" t="s">
        <v>168</v>
      </c>
      <c r="H188" s="284" t="s">
        <v>3774</v>
      </c>
      <c r="I188" s="284" t="s">
        <v>168</v>
      </c>
      <c r="J188" s="284">
        <v>12</v>
      </c>
      <c r="K188" s="303">
        <v>46284</v>
      </c>
      <c r="L188" s="302">
        <v>22140</v>
      </c>
      <c r="M188" s="302">
        <v>0</v>
      </c>
    </row>
    <row r="189" spans="1:13" ht="15">
      <c r="A189" s="284" t="s">
        <v>3974</v>
      </c>
      <c r="B189" s="284" t="s">
        <v>248</v>
      </c>
      <c r="C189" s="284" t="s">
        <v>3792</v>
      </c>
      <c r="D189" s="302">
        <v>0</v>
      </c>
      <c r="E189" s="284" t="s">
        <v>3793</v>
      </c>
      <c r="F189" s="284" t="s">
        <v>3794</v>
      </c>
      <c r="G189" s="284" t="s">
        <v>168</v>
      </c>
      <c r="H189" s="284" t="s">
        <v>3774</v>
      </c>
      <c r="I189" s="284" t="s">
        <v>168</v>
      </c>
      <c r="J189" s="284">
        <v>4</v>
      </c>
      <c r="K189" s="303">
        <v>46223</v>
      </c>
      <c r="L189" s="302">
        <v>738</v>
      </c>
      <c r="M189" s="302">
        <v>0</v>
      </c>
    </row>
    <row r="190" spans="1:13" ht="15">
      <c r="A190" s="284" t="s">
        <v>3975</v>
      </c>
      <c r="B190" s="284" t="s">
        <v>185</v>
      </c>
      <c r="C190" s="284" t="s">
        <v>3792</v>
      </c>
      <c r="D190" s="302">
        <v>0</v>
      </c>
      <c r="E190" s="284" t="s">
        <v>3793</v>
      </c>
      <c r="F190" s="284" t="s">
        <v>3794</v>
      </c>
      <c r="G190" s="284" t="s">
        <v>168</v>
      </c>
      <c r="H190" s="284" t="s">
        <v>3774</v>
      </c>
      <c r="I190" s="284" t="s">
        <v>168</v>
      </c>
      <c r="J190" s="284">
        <v>10</v>
      </c>
      <c r="K190" s="303">
        <v>46228</v>
      </c>
      <c r="L190" s="302">
        <v>16446</v>
      </c>
      <c r="M190" s="302">
        <v>0</v>
      </c>
    </row>
    <row r="191" spans="1:13" ht="15">
      <c r="A191" s="284" t="s">
        <v>3976</v>
      </c>
      <c r="B191" s="284" t="s">
        <v>191</v>
      </c>
      <c r="C191" s="284" t="s">
        <v>3792</v>
      </c>
      <c r="D191" s="302">
        <v>0</v>
      </c>
      <c r="E191" s="284" t="s">
        <v>3793</v>
      </c>
      <c r="F191" s="284" t="s">
        <v>3794</v>
      </c>
      <c r="G191" s="284" t="s">
        <v>358</v>
      </c>
      <c r="H191" s="284" t="s">
        <v>3774</v>
      </c>
      <c r="I191" s="284" t="s">
        <v>358</v>
      </c>
      <c r="J191" s="284">
        <v>2</v>
      </c>
      <c r="K191" s="303">
        <v>46146</v>
      </c>
      <c r="L191" s="302">
        <v>9203</v>
      </c>
      <c r="M191" s="302">
        <v>1238.1990000000001</v>
      </c>
    </row>
    <row r="192" spans="1:13" ht="15">
      <c r="A192" s="284" t="s">
        <v>3977</v>
      </c>
      <c r="B192" s="284" t="s">
        <v>228</v>
      </c>
      <c r="C192" s="284" t="s">
        <v>3792</v>
      </c>
      <c r="D192" s="302">
        <v>0</v>
      </c>
      <c r="E192" s="284" t="s">
        <v>3793</v>
      </c>
      <c r="F192" s="284" t="s">
        <v>3794</v>
      </c>
      <c r="G192" s="284" t="s">
        <v>168</v>
      </c>
      <c r="H192" s="284" t="s">
        <v>3774</v>
      </c>
      <c r="I192" s="284" t="s">
        <v>168</v>
      </c>
      <c r="J192" s="284">
        <v>1</v>
      </c>
      <c r="K192" s="303">
        <v>46182</v>
      </c>
      <c r="L192" s="302">
        <v>1480</v>
      </c>
      <c r="M192" s="302">
        <v>0</v>
      </c>
    </row>
    <row r="193" spans="1:13" ht="15">
      <c r="A193" s="284" t="s">
        <v>3978</v>
      </c>
      <c r="B193" s="284" t="s">
        <v>243</v>
      </c>
      <c r="C193" s="284" t="s">
        <v>3792</v>
      </c>
      <c r="D193" s="302">
        <v>0</v>
      </c>
      <c r="E193" s="284" t="s">
        <v>3793</v>
      </c>
      <c r="F193" s="284" t="s">
        <v>3794</v>
      </c>
      <c r="G193" s="284" t="s">
        <v>168</v>
      </c>
      <c r="H193" s="284" t="s">
        <v>3774</v>
      </c>
      <c r="I193" s="284" t="s">
        <v>168</v>
      </c>
      <c r="J193" s="284">
        <v>1</v>
      </c>
      <c r="K193" s="303">
        <v>46200</v>
      </c>
      <c r="L193" s="302">
        <v>6500</v>
      </c>
      <c r="M193" s="302">
        <v>0</v>
      </c>
    </row>
    <row r="194" spans="1:13" ht="15">
      <c r="A194" s="284" t="s">
        <v>3979</v>
      </c>
      <c r="B194" s="284" t="s">
        <v>143</v>
      </c>
      <c r="C194" s="284" t="s">
        <v>3792</v>
      </c>
      <c r="D194" s="302">
        <v>0</v>
      </c>
      <c r="E194" s="284" t="s">
        <v>3793</v>
      </c>
      <c r="F194" s="284" t="s">
        <v>3794</v>
      </c>
      <c r="G194" s="284" t="s">
        <v>352</v>
      </c>
      <c r="H194" s="284" t="s">
        <v>3774</v>
      </c>
      <c r="I194" s="284" t="s">
        <v>352</v>
      </c>
      <c r="J194" s="284">
        <v>5</v>
      </c>
      <c r="K194" s="303">
        <v>46234</v>
      </c>
      <c r="L194" s="302">
        <v>20030</v>
      </c>
      <c r="M194" s="302">
        <v>2080.8155999999999</v>
      </c>
    </row>
    <row r="195" spans="1:13" ht="15">
      <c r="A195" s="284" t="s">
        <v>3980</v>
      </c>
      <c r="B195" s="284" t="s">
        <v>166</v>
      </c>
      <c r="C195" s="284" t="s">
        <v>3792</v>
      </c>
      <c r="D195" s="302">
        <v>0</v>
      </c>
      <c r="E195" s="284" t="s">
        <v>3793</v>
      </c>
      <c r="F195" s="284" t="s">
        <v>3794</v>
      </c>
      <c r="G195" s="284" t="s">
        <v>168</v>
      </c>
      <c r="H195" s="284" t="s">
        <v>3774</v>
      </c>
      <c r="I195" s="284" t="s">
        <v>168</v>
      </c>
      <c r="J195" s="284">
        <v>4</v>
      </c>
      <c r="K195" s="303">
        <v>46150</v>
      </c>
      <c r="L195" s="302">
        <v>5315</v>
      </c>
      <c r="M195" s="302">
        <v>0</v>
      </c>
    </row>
    <row r="196" spans="1:13" ht="15">
      <c r="A196" s="284" t="s">
        <v>3981</v>
      </c>
      <c r="B196" s="284" t="s">
        <v>3982</v>
      </c>
      <c r="C196" s="284" t="s">
        <v>519</v>
      </c>
      <c r="D196" s="302">
        <v>0</v>
      </c>
      <c r="E196" s="284" t="s">
        <v>3793</v>
      </c>
      <c r="F196" s="284" t="s">
        <v>3794</v>
      </c>
      <c r="G196" s="284" t="s">
        <v>168</v>
      </c>
      <c r="H196" s="284" t="s">
        <v>3774</v>
      </c>
      <c r="I196" s="284" t="s">
        <v>168</v>
      </c>
      <c r="J196" s="284">
        <v>195</v>
      </c>
      <c r="K196" s="303">
        <v>46296</v>
      </c>
      <c r="L196" s="302">
        <v>471461</v>
      </c>
      <c r="M196" s="302">
        <v>0</v>
      </c>
    </row>
    <row r="197" spans="1:13" ht="15">
      <c r="A197" s="284" t="s">
        <v>3983</v>
      </c>
      <c r="B197" s="284" t="s">
        <v>239</v>
      </c>
      <c r="C197" s="284" t="s">
        <v>3792</v>
      </c>
      <c r="D197" s="302">
        <v>0</v>
      </c>
      <c r="E197" s="284" t="s">
        <v>3793</v>
      </c>
      <c r="F197" s="284" t="s">
        <v>3794</v>
      </c>
      <c r="G197" s="284" t="s">
        <v>168</v>
      </c>
      <c r="H197" s="284" t="s">
        <v>3774</v>
      </c>
      <c r="I197" s="284" t="s">
        <v>168</v>
      </c>
      <c r="J197" s="284">
        <v>3</v>
      </c>
      <c r="K197" s="303">
        <v>46261</v>
      </c>
      <c r="L197" s="302">
        <v>1460</v>
      </c>
      <c r="M197" s="302">
        <v>0</v>
      </c>
    </row>
    <row r="198" spans="1:13" ht="15">
      <c r="A198" s="284" t="s">
        <v>3984</v>
      </c>
      <c r="B198" s="284" t="s">
        <v>289</v>
      </c>
      <c r="C198" s="284" t="s">
        <v>3792</v>
      </c>
      <c r="D198" s="302">
        <v>0</v>
      </c>
      <c r="E198" s="284" t="s">
        <v>3793</v>
      </c>
      <c r="F198" s="284" t="s">
        <v>3794</v>
      </c>
      <c r="G198" s="284" t="s">
        <v>168</v>
      </c>
      <c r="H198" s="284" t="s">
        <v>3774</v>
      </c>
      <c r="I198" s="284" t="s">
        <v>168</v>
      </c>
      <c r="J198" s="284">
        <v>2</v>
      </c>
      <c r="K198" s="303">
        <v>46296</v>
      </c>
      <c r="L198" s="302">
        <v>17516</v>
      </c>
      <c r="M198" s="302">
        <v>0</v>
      </c>
    </row>
    <row r="199" spans="1:13" ht="15">
      <c r="A199" s="284" t="s">
        <v>3985</v>
      </c>
      <c r="B199" s="284" t="s">
        <v>140</v>
      </c>
      <c r="C199" s="284" t="s">
        <v>3792</v>
      </c>
      <c r="D199" s="302">
        <v>0</v>
      </c>
      <c r="E199" s="284" t="s">
        <v>3793</v>
      </c>
      <c r="F199" s="284" t="s">
        <v>3794</v>
      </c>
      <c r="G199" s="284" t="s">
        <v>168</v>
      </c>
      <c r="H199" s="284" t="s">
        <v>3774</v>
      </c>
      <c r="I199" s="284" t="s">
        <v>168</v>
      </c>
      <c r="J199" s="284">
        <v>2</v>
      </c>
      <c r="K199" s="303">
        <v>46064</v>
      </c>
      <c r="L199" s="302">
        <v>47460</v>
      </c>
      <c r="M199" s="302">
        <v>0</v>
      </c>
    </row>
    <row r="200" spans="1:13" ht="15">
      <c r="A200" s="284" t="s">
        <v>3986</v>
      </c>
      <c r="B200" s="284" t="s">
        <v>260</v>
      </c>
      <c r="C200" s="284" t="s">
        <v>3792</v>
      </c>
      <c r="D200" s="302">
        <v>0</v>
      </c>
      <c r="E200" s="284" t="s">
        <v>3793</v>
      </c>
      <c r="F200" s="284" t="s">
        <v>3794</v>
      </c>
      <c r="G200" s="284" t="s">
        <v>168</v>
      </c>
      <c r="H200" s="284" t="s">
        <v>3774</v>
      </c>
      <c r="I200" s="284" t="s">
        <v>168</v>
      </c>
      <c r="J200" s="284">
        <v>1</v>
      </c>
      <c r="K200" s="303">
        <v>46224</v>
      </c>
      <c r="L200" s="302">
        <v>2100</v>
      </c>
      <c r="M200" s="302">
        <v>0</v>
      </c>
    </row>
    <row r="201" spans="1:13">
      <c r="A201" s="284" t="s">
        <v>3987</v>
      </c>
      <c r="B201" s="284" t="s">
        <v>157</v>
      </c>
      <c r="C201" s="284" t="s">
        <v>3792</v>
      </c>
      <c r="D201" s="302">
        <v>0</v>
      </c>
      <c r="E201" s="284" t="s">
        <v>3793</v>
      </c>
      <c r="F201" s="284" t="s">
        <v>3794</v>
      </c>
      <c r="G201" s="284" t="s">
        <v>348</v>
      </c>
      <c r="H201" s="284" t="s">
        <v>3774</v>
      </c>
      <c r="I201" s="284" t="s">
        <v>348</v>
      </c>
      <c r="J201" s="284">
        <v>2</v>
      </c>
      <c r="K201" s="303">
        <v>46132</v>
      </c>
      <c r="L201" s="302">
        <v>9000</v>
      </c>
      <c r="M201" s="302">
        <v>1068.93</v>
      </c>
    </row>
  </sheetData>
  <mergeCells count="2">
    <mergeCell ref="A1:M1"/>
    <mergeCell ref="A2:M2"/>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DC37C5-0C7C-45B7-8A9F-F749A09C0FE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Operating Guide</vt:lpstr>
      <vt:lpstr>Summary</vt:lpstr>
      <vt:lpstr>Sales Record</vt:lpstr>
      <vt:lpstr>Expense List</vt:lpstr>
      <vt:lpstr>Report</vt:lpstr>
      <vt:lpstr>Client Record</vt:lpstr>
      <vt:lpstr>Workbook Map</vt:lpstr>
      <vt:lpstr>Audit</vt:lpstr>
      <vt:lpstr>Client List</vt:lpstr>
      <vt:lpstr>Summary!DashboardMonths</vt:lpstr>
      <vt:lpstr>Phase2_ApprovedAgents</vt:lpstr>
      <vt:lpstr>Phase2_ClientCategories</vt:lpstr>
      <vt:lpstr>Phase2_ProductCategories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Rochelle Pili Reyes</dc:creator>
  <cp:lastModifiedBy>Fred Santiago</cp:lastModifiedBy>
  <cp:lastPrinted>2026-09-02T01:37:00Z</cp:lastPrinted>
  <dcterms:created xsi:type="dcterms:W3CDTF">2021-02-05T03:53:00Z</dcterms:created>
  <dcterms:modified xsi:type="dcterms:W3CDTF">2026-10-03T10:39:00Z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5EA2CBD727594017BDFDEF9777C5CCBE_13</vt:lpwstr>
  </property>
  <property fmtid="{D5CDD505-2E9C-101B-9397-08002B2CF9AE}" pid="3" name="KSOProductBuildVer">
    <vt:lpwstr>1033-12.1.0.28485</vt:lpwstr>
  </property>
  <property fmtid="{D5CDD505-2E9C-101B-9397-08002B2CF9AE}" pid="4" name="CalculationRule">
    <vt:i4>0</vt:i4>
  </property>
  <property fmtid="{D5CDD505-2E9C-101B-9397-08002B2CF9AE}" pid="5" name="KSOReadingLayout">
    <vt:bool>true</vt:bool>
  </property>
</Properties>
</file>