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8253d6e1b8f8189/Aton Aire/Desktop/"/>
    </mc:Choice>
  </mc:AlternateContent>
  <xr:revisionPtr revIDLastSave="0" documentId="8_{6F17FB33-3D87-4ED2-9266-D670EC480131}" xr6:coauthVersionLast="47" xr6:coauthVersionMax="47" xr10:uidLastSave="{00000000-0000-0000-0000-000000000000}"/>
  <bookViews>
    <workbookView xWindow="-120" yWindow="-120" windowWidth="20730" windowHeight="11040" firstSheet="4" activeTab="5" xr2:uid="{00000000-000D-0000-FFFF-FFFF00000000}"/>
  </bookViews>
  <sheets>
    <sheet name="Executive Summary" sheetId="14" r:id="rId1"/>
    <sheet name="Sales Performance" sheetId="23" r:id="rId2"/>
    <sheet name="Commission Summary" sheetId="13" r:id="rId3"/>
    <sheet name="Instructions" sheetId="12" r:id="rId4"/>
    <sheet name="Monthly Commission" sheetId="9" r:id="rId5"/>
    <sheet name="Back Office Commission" sheetId="10" r:id="rId6"/>
    <sheet name="ItemReportsCategory" sheetId="22" r:id="rId7"/>
    <sheet name="AgentYearlySales" sheetId="1" r:id="rId8"/>
    <sheet name="Store Expenses" sheetId="4" r:id="rId9"/>
    <sheet name="Ikot Sales" sheetId="6" r:id="rId10"/>
    <sheet name="Ikot Summary" sheetId="7" r:id="rId11"/>
    <sheet name="Payslips 1-4" sheetId="19" r:id="rId12"/>
    <sheet name="Payslips 5-8" sheetId="20" r:id="rId13"/>
    <sheet name="Payslips 9-10" sheetId="21" r:id="rId14"/>
    <sheet name="%Comm" sheetId="2" r:id="rId15"/>
    <sheet name="Agent Savings" sheetId="17" r:id="rId16"/>
    <sheet name="Agent Expense" sheetId="16" r:id="rId17"/>
  </sheets>
  <definedNames>
    <definedName name="_xlnm._FilterDatabase" localSheetId="9" hidden="1">'Ikot Sales'!$A$1:$F$72</definedName>
    <definedName name="Agent_Base_Rate">'Executive Summary'!$C$39</definedName>
    <definedName name="Agent_High_Rate">'Executive Summary'!$C$41</definedName>
    <definedName name="Agent_High_Sales_Threshold">'Executive Summary'!$C$40</definedName>
    <definedName name="Agent_Online_Rate">'Executive Summary'!$C$42</definedName>
    <definedName name="Agent_Savings_Rate">'Executive Summary'!$C$43</definedName>
    <definedName name="Back_Office_Rate">'Executive Summary'!$C$51</definedName>
    <definedName name="Back_Office_Threshold">'Executive Summary'!$C$50</definedName>
    <definedName name="Ikot_Commission_Rate">'Executive Summary'!$C$49</definedName>
    <definedName name="Manager_Base_Rate">'Executive Summary'!$C$45</definedName>
    <definedName name="Manager_Category_Rates">'%Comm'!$B$31:$C$42</definedName>
    <definedName name="Manager_High_Rate">'Executive Summary'!$C$46</definedName>
    <definedName name="Manager_Sales_Threshold">'Executive Summary'!$C$44</definedName>
    <definedName name="Offering_Multiplier">'Executive Summary'!$C$53</definedName>
    <definedName name="_xlnm.Print_Area" localSheetId="11">'Payslips 1-4'!$A$1:$M$53</definedName>
    <definedName name="_xlnm.Print_Area" localSheetId="12">'Payslips 5-8'!$A$1:$M$53</definedName>
    <definedName name="_xlnm.Print_Area" localSheetId="13">'Payslips 9-10'!$A$1:$M$26</definedName>
    <definedName name="Sales_Staff_Rate">'Executive Summary'!$C$48</definedName>
    <definedName name="Sales_Staff_Threshold">'Executive Summary'!$C$47</definedName>
    <definedName name="Tithes_Rate">'Executive Summary'!$C$52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7" i="14" l="1"/>
  <c r="G39" i="22"/>
  <c r="H39" i="22" s="1"/>
  <c r="I39" i="22" s="1"/>
  <c r="G38" i="22"/>
  <c r="H38" i="22" s="1"/>
  <c r="I38" i="22" s="1"/>
  <c r="J6" i="17"/>
  <c r="J11" i="17"/>
  <c r="J12" i="17"/>
  <c r="B12" i="17"/>
  <c r="B11" i="17"/>
  <c r="B6" i="17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I8" i="21"/>
  <c r="B8" i="21"/>
  <c r="L7" i="21"/>
  <c r="E7" i="21"/>
  <c r="H4" i="21"/>
  <c r="A4" i="21"/>
  <c r="K45" i="20"/>
  <c r="D45" i="20"/>
  <c r="I35" i="20"/>
  <c r="B35" i="20"/>
  <c r="L34" i="20"/>
  <c r="E34" i="20"/>
  <c r="H31" i="20"/>
  <c r="A31" i="20"/>
  <c r="I8" i="20"/>
  <c r="B8" i="20"/>
  <c r="L7" i="20"/>
  <c r="E7" i="20"/>
  <c r="H4" i="20"/>
  <c r="A4" i="20"/>
  <c r="I35" i="19"/>
  <c r="B35" i="19"/>
  <c r="L34" i="19"/>
  <c r="E34" i="19"/>
  <c r="H31" i="19"/>
  <c r="A31" i="19"/>
  <c r="K18" i="19"/>
  <c r="I8" i="19"/>
  <c r="B8" i="19"/>
  <c r="L7" i="19"/>
  <c r="E7" i="19"/>
  <c r="H4" i="19"/>
  <c r="A4" i="19"/>
  <c r="C44" i="7"/>
  <c r="B44" i="7"/>
  <c r="C43" i="7"/>
  <c r="B43" i="7"/>
  <c r="C42" i="7"/>
  <c r="B42" i="7"/>
  <c r="C41" i="7"/>
  <c r="B41" i="7"/>
  <c r="C40" i="7"/>
  <c r="B40" i="7"/>
  <c r="C39" i="7"/>
  <c r="B39" i="7"/>
  <c r="C38" i="7"/>
  <c r="B38" i="7"/>
  <c r="C37" i="7"/>
  <c r="B37" i="7"/>
  <c r="C36" i="7"/>
  <c r="B36" i="7"/>
  <c r="C35" i="7"/>
  <c r="B35" i="7"/>
  <c r="C34" i="7"/>
  <c r="B34" i="7"/>
  <c r="C33" i="7"/>
  <c r="B33" i="7"/>
  <c r="M28" i="7"/>
  <c r="L28" i="7"/>
  <c r="K28" i="7"/>
  <c r="J28" i="7"/>
  <c r="I28" i="7"/>
  <c r="H28" i="7"/>
  <c r="G28" i="7"/>
  <c r="F28" i="7"/>
  <c r="E28" i="7"/>
  <c r="N28" i="7" s="1"/>
  <c r="D28" i="7"/>
  <c r="C28" i="7"/>
  <c r="B28" i="7"/>
  <c r="M27" i="7"/>
  <c r="L27" i="7"/>
  <c r="L29" i="7" s="1"/>
  <c r="K27" i="7"/>
  <c r="J27" i="7"/>
  <c r="J29" i="7" s="1"/>
  <c r="I27" i="7"/>
  <c r="H27" i="7"/>
  <c r="G27" i="7"/>
  <c r="G29" i="7" s="1"/>
  <c r="F27" i="7"/>
  <c r="E27" i="7"/>
  <c r="D27" i="7"/>
  <c r="C27" i="7"/>
  <c r="B27" i="7"/>
  <c r="F22" i="7"/>
  <c r="E22" i="7"/>
  <c r="D22" i="7"/>
  <c r="C22" i="7"/>
  <c r="B22" i="7"/>
  <c r="G22" i="7" s="1"/>
  <c r="F21" i="7"/>
  <c r="E21" i="7"/>
  <c r="D21" i="7"/>
  <c r="C21" i="7"/>
  <c r="B21" i="7"/>
  <c r="G21" i="7" s="1"/>
  <c r="F20" i="7"/>
  <c r="E20" i="7"/>
  <c r="D20" i="7"/>
  <c r="C20" i="7"/>
  <c r="B20" i="7"/>
  <c r="G20" i="7" s="1"/>
  <c r="F19" i="7"/>
  <c r="E19" i="7"/>
  <c r="D19" i="7"/>
  <c r="C19" i="7"/>
  <c r="B19" i="7"/>
  <c r="G19" i="7" s="1"/>
  <c r="E18" i="7"/>
  <c r="D18" i="7"/>
  <c r="C18" i="7"/>
  <c r="B18" i="7"/>
  <c r="G18" i="7" s="1"/>
  <c r="E17" i="7"/>
  <c r="D17" i="7"/>
  <c r="C17" i="7"/>
  <c r="B17" i="7"/>
  <c r="G17" i="7" s="1"/>
  <c r="E16" i="7"/>
  <c r="D16" i="7"/>
  <c r="C16" i="7"/>
  <c r="B16" i="7"/>
  <c r="G16" i="7" s="1"/>
  <c r="E15" i="7"/>
  <c r="D15" i="7"/>
  <c r="C15" i="7"/>
  <c r="B15" i="7"/>
  <c r="G15" i="7" s="1"/>
  <c r="E14" i="7"/>
  <c r="D14" i="7"/>
  <c r="C14" i="7"/>
  <c r="B14" i="7"/>
  <c r="G14" i="7" s="1"/>
  <c r="E13" i="7"/>
  <c r="D13" i="7"/>
  <c r="C13" i="7"/>
  <c r="B13" i="7"/>
  <c r="E12" i="7"/>
  <c r="D12" i="7"/>
  <c r="C12" i="7"/>
  <c r="B12" i="7"/>
  <c r="G12" i="7" s="1"/>
  <c r="E11" i="7"/>
  <c r="D11" i="7"/>
  <c r="C11" i="7"/>
  <c r="B11" i="7"/>
  <c r="G11" i="7" s="1"/>
  <c r="E6" i="7"/>
  <c r="D6" i="7"/>
  <c r="D7" i="7" s="1"/>
  <c r="C6" i="7"/>
  <c r="G6" i="7" s="1"/>
  <c r="B6" i="7"/>
  <c r="E5" i="7"/>
  <c r="E7" i="7" s="1"/>
  <c r="D5" i="7"/>
  <c r="C5" i="7"/>
  <c r="B5" i="7"/>
  <c r="P77" i="6"/>
  <c r="N77" i="6"/>
  <c r="M77" i="6"/>
  <c r="H77" i="6"/>
  <c r="P76" i="6"/>
  <c r="M76" i="6"/>
  <c r="H76" i="6"/>
  <c r="N76" i="6" s="1"/>
  <c r="M75" i="6"/>
  <c r="H75" i="6"/>
  <c r="M74" i="6"/>
  <c r="H74" i="6"/>
  <c r="N74" i="6" s="1"/>
  <c r="P73" i="6"/>
  <c r="N73" i="6"/>
  <c r="M73" i="6"/>
  <c r="H73" i="6"/>
  <c r="P72" i="6"/>
  <c r="N72" i="6"/>
  <c r="M72" i="6"/>
  <c r="H72" i="6"/>
  <c r="M71" i="6"/>
  <c r="H71" i="6"/>
  <c r="P70" i="6"/>
  <c r="M70" i="6"/>
  <c r="H70" i="6"/>
  <c r="N70" i="6" s="1"/>
  <c r="P69" i="6"/>
  <c r="N69" i="6"/>
  <c r="M69" i="6"/>
  <c r="H69" i="6"/>
  <c r="P68" i="6"/>
  <c r="N68" i="6"/>
  <c r="M68" i="6"/>
  <c r="H68" i="6"/>
  <c r="M67" i="6"/>
  <c r="H67" i="6"/>
  <c r="M66" i="6"/>
  <c r="H66" i="6"/>
  <c r="N66" i="6" s="1"/>
  <c r="P65" i="6"/>
  <c r="N65" i="6"/>
  <c r="M65" i="6"/>
  <c r="H65" i="6"/>
  <c r="P64" i="6"/>
  <c r="N64" i="6"/>
  <c r="M64" i="6"/>
  <c r="H64" i="6"/>
  <c r="M63" i="6"/>
  <c r="H63" i="6"/>
  <c r="M62" i="6"/>
  <c r="H62" i="6"/>
  <c r="N62" i="6" s="1"/>
  <c r="P61" i="6"/>
  <c r="M61" i="6"/>
  <c r="H61" i="6"/>
  <c r="N61" i="6" s="1"/>
  <c r="N60" i="6"/>
  <c r="M60" i="6"/>
  <c r="D40" i="7" s="1"/>
  <c r="H60" i="6"/>
  <c r="P60" i="6" s="1"/>
  <c r="M59" i="6"/>
  <c r="H59" i="6"/>
  <c r="M58" i="6"/>
  <c r="H58" i="6"/>
  <c r="N58" i="6" s="1"/>
  <c r="M57" i="6"/>
  <c r="H57" i="6"/>
  <c r="P57" i="6" s="1"/>
  <c r="N56" i="6"/>
  <c r="M56" i="6"/>
  <c r="H56" i="6"/>
  <c r="P56" i="6" s="1"/>
  <c r="M55" i="6"/>
  <c r="H55" i="6"/>
  <c r="P54" i="6"/>
  <c r="M54" i="6"/>
  <c r="H54" i="6"/>
  <c r="N54" i="6" s="1"/>
  <c r="P53" i="6"/>
  <c r="N53" i="6"/>
  <c r="M53" i="6"/>
  <c r="H53" i="6"/>
  <c r="P52" i="6"/>
  <c r="N52" i="6"/>
  <c r="M52" i="6"/>
  <c r="H52" i="6"/>
  <c r="M51" i="6"/>
  <c r="H51" i="6"/>
  <c r="M50" i="6"/>
  <c r="H50" i="6"/>
  <c r="N50" i="6" s="1"/>
  <c r="N49" i="6"/>
  <c r="M49" i="6"/>
  <c r="D39" i="7" s="1"/>
  <c r="H49" i="6"/>
  <c r="P49" i="6" s="1"/>
  <c r="P48" i="6"/>
  <c r="N48" i="6"/>
  <c r="M48" i="6"/>
  <c r="H48" i="6"/>
  <c r="M47" i="6"/>
  <c r="H47" i="6"/>
  <c r="P46" i="6"/>
  <c r="M46" i="6"/>
  <c r="H46" i="6"/>
  <c r="N46" i="6" s="1"/>
  <c r="P45" i="6"/>
  <c r="N45" i="6"/>
  <c r="M45" i="6"/>
  <c r="H45" i="6"/>
  <c r="P44" i="6"/>
  <c r="N44" i="6"/>
  <c r="M44" i="6"/>
  <c r="H44" i="6"/>
  <c r="M43" i="6"/>
  <c r="H43" i="6"/>
  <c r="M42" i="6"/>
  <c r="H42" i="6"/>
  <c r="N42" i="6" s="1"/>
  <c r="P41" i="6"/>
  <c r="M41" i="6"/>
  <c r="H41" i="6"/>
  <c r="N41" i="6" s="1"/>
  <c r="N40" i="6"/>
  <c r="M40" i="6"/>
  <c r="H40" i="6"/>
  <c r="P40" i="6" s="1"/>
  <c r="M39" i="6"/>
  <c r="D42" i="7" s="1"/>
  <c r="H39" i="6"/>
  <c r="M38" i="6"/>
  <c r="H38" i="6"/>
  <c r="N38" i="6" s="1"/>
  <c r="M37" i="6"/>
  <c r="H37" i="6"/>
  <c r="P37" i="6" s="1"/>
  <c r="N36" i="6"/>
  <c r="M36" i="6"/>
  <c r="H36" i="6"/>
  <c r="P36" i="6" s="1"/>
  <c r="M35" i="6"/>
  <c r="H35" i="6"/>
  <c r="P34" i="6"/>
  <c r="M34" i="6"/>
  <c r="D43" i="7" s="1"/>
  <c r="H34" i="6"/>
  <c r="N34" i="6" s="1"/>
  <c r="P33" i="6"/>
  <c r="N33" i="6"/>
  <c r="M33" i="6"/>
  <c r="H33" i="6"/>
  <c r="P32" i="6"/>
  <c r="N32" i="6"/>
  <c r="M32" i="6"/>
  <c r="H32" i="6"/>
  <c r="M31" i="6"/>
  <c r="H31" i="6"/>
  <c r="M30" i="6"/>
  <c r="H30" i="6"/>
  <c r="N30" i="6" s="1"/>
  <c r="N29" i="6"/>
  <c r="M29" i="6"/>
  <c r="D37" i="7" s="1"/>
  <c r="H29" i="6"/>
  <c r="P29" i="6" s="1"/>
  <c r="P28" i="6"/>
  <c r="N28" i="6"/>
  <c r="M28" i="6"/>
  <c r="H28" i="6"/>
  <c r="M27" i="6"/>
  <c r="H27" i="6"/>
  <c r="P26" i="6"/>
  <c r="M26" i="6"/>
  <c r="H26" i="6"/>
  <c r="N26" i="6" s="1"/>
  <c r="P25" i="6"/>
  <c r="N25" i="6"/>
  <c r="M25" i="6"/>
  <c r="H25" i="6"/>
  <c r="P24" i="6"/>
  <c r="N24" i="6"/>
  <c r="M24" i="6"/>
  <c r="H24" i="6"/>
  <c r="M23" i="6"/>
  <c r="H23" i="6"/>
  <c r="M22" i="6"/>
  <c r="H22" i="6"/>
  <c r="N22" i="6" s="1"/>
  <c r="N21" i="6"/>
  <c r="M21" i="6"/>
  <c r="H21" i="6"/>
  <c r="P21" i="6" s="1"/>
  <c r="P20" i="6"/>
  <c r="N20" i="6"/>
  <c r="M20" i="6"/>
  <c r="H20" i="6"/>
  <c r="M19" i="6"/>
  <c r="H19" i="6"/>
  <c r="M18" i="6"/>
  <c r="H18" i="6"/>
  <c r="N18" i="6" s="1"/>
  <c r="M17" i="6"/>
  <c r="H17" i="6"/>
  <c r="N17" i="6" s="1"/>
  <c r="P16" i="6"/>
  <c r="M16" i="6"/>
  <c r="H16" i="6"/>
  <c r="N16" i="6" s="1"/>
  <c r="M15" i="6"/>
  <c r="H15" i="6"/>
  <c r="M14" i="6"/>
  <c r="H14" i="6"/>
  <c r="N14" i="6" s="1"/>
  <c r="P13" i="6"/>
  <c r="M13" i="6"/>
  <c r="H13" i="6"/>
  <c r="N13" i="6" s="1"/>
  <c r="M12" i="6"/>
  <c r="H12" i="6"/>
  <c r="N12" i="6" s="1"/>
  <c r="M11" i="6"/>
  <c r="H11" i="6"/>
  <c r="M10" i="6"/>
  <c r="H10" i="6"/>
  <c r="N10" i="6" s="1"/>
  <c r="N9" i="6"/>
  <c r="M9" i="6"/>
  <c r="H9" i="6"/>
  <c r="P9" i="6" s="1"/>
  <c r="P8" i="6"/>
  <c r="M8" i="6"/>
  <c r="H8" i="6"/>
  <c r="N8" i="6" s="1"/>
  <c r="M7" i="6"/>
  <c r="H7" i="6"/>
  <c r="M6" i="6"/>
  <c r="H6" i="6"/>
  <c r="N6" i="6" s="1"/>
  <c r="N5" i="6"/>
  <c r="M5" i="6"/>
  <c r="H5" i="6"/>
  <c r="P5" i="6" s="1"/>
  <c r="M4" i="6"/>
  <c r="H4" i="6"/>
  <c r="P4" i="6" s="1"/>
  <c r="M3" i="6"/>
  <c r="H3" i="6"/>
  <c r="M2" i="6"/>
  <c r="H2" i="6"/>
  <c r="F37" i="4"/>
  <c r="L34" i="4"/>
  <c r="K34" i="4"/>
  <c r="AV21" i="1" s="1"/>
  <c r="H34" i="4"/>
  <c r="AE23" i="1" s="1"/>
  <c r="G34" i="4"/>
  <c r="C33" i="4"/>
  <c r="O27" i="4"/>
  <c r="O34" i="4" s="1"/>
  <c r="N27" i="4"/>
  <c r="N34" i="4" s="1"/>
  <c r="M27" i="4"/>
  <c r="M34" i="4" s="1"/>
  <c r="L27" i="4"/>
  <c r="K27" i="4"/>
  <c r="J27" i="4"/>
  <c r="J34" i="4" s="1"/>
  <c r="AP21" i="1" s="1"/>
  <c r="I27" i="4"/>
  <c r="Z26" i="4"/>
  <c r="I22" i="4"/>
  <c r="I34" i="4" s="1"/>
  <c r="AK23" i="1" s="1"/>
  <c r="Z17" i="4"/>
  <c r="Z10" i="4"/>
  <c r="E7" i="4"/>
  <c r="D7" i="4"/>
  <c r="F6" i="4"/>
  <c r="F34" i="4" s="1"/>
  <c r="E6" i="4"/>
  <c r="D6" i="4"/>
  <c r="E5" i="4"/>
  <c r="E34" i="4" s="1"/>
  <c r="D5" i="4"/>
  <c r="D34" i="4" s="1"/>
  <c r="BU23" i="1"/>
  <c r="BO23" i="1"/>
  <c r="BI23" i="1"/>
  <c r="BC23" i="1"/>
  <c r="Y23" i="1"/>
  <c r="S23" i="1"/>
  <c r="L23" i="1"/>
  <c r="AV22" i="1"/>
  <c r="AU22" i="1"/>
  <c r="AT22" i="1"/>
  <c r="AP22" i="1"/>
  <c r="AO22" i="1"/>
  <c r="AN22" i="1"/>
  <c r="BY21" i="1"/>
  <c r="BX21" i="1"/>
  <c r="BT21" i="1"/>
  <c r="BN21" i="1"/>
  <c r="BH21" i="1"/>
  <c r="BB21" i="1"/>
  <c r="AW21" i="1"/>
  <c r="AW22" i="1" s="1"/>
  <c r="AQ21" i="1"/>
  <c r="AS21" i="1" s="1"/>
  <c r="X21" i="1"/>
  <c r="R21" i="1"/>
  <c r="K21" i="1"/>
  <c r="CA20" i="1"/>
  <c r="BZ20" i="1"/>
  <c r="BY20" i="1"/>
  <c r="BX20" i="1"/>
  <c r="AY20" i="1"/>
  <c r="AS20" i="1"/>
  <c r="CB20" i="1" s="1"/>
  <c r="AQ20" i="1"/>
  <c r="BZ19" i="1"/>
  <c r="BY19" i="1"/>
  <c r="BX19" i="1"/>
  <c r="AY19" i="1"/>
  <c r="AQ19" i="1"/>
  <c r="CA19" i="1" s="1"/>
  <c r="BZ18" i="1"/>
  <c r="BY18" i="1"/>
  <c r="BX18" i="1"/>
  <c r="AY18" i="1"/>
  <c r="AQ18" i="1"/>
  <c r="CA18" i="1" s="1"/>
  <c r="BZ17" i="1"/>
  <c r="BY17" i="1"/>
  <c r="BX17" i="1"/>
  <c r="AY17" i="1"/>
  <c r="AQ17" i="1"/>
  <c r="CA17" i="1" s="1"/>
  <c r="BZ16" i="1"/>
  <c r="BY16" i="1"/>
  <c r="BX16" i="1"/>
  <c r="AY16" i="1"/>
  <c r="AQ16" i="1"/>
  <c r="CA16" i="1" s="1"/>
  <c r="BZ15" i="1"/>
  <c r="BY15" i="1"/>
  <c r="BX15" i="1"/>
  <c r="AY15" i="1"/>
  <c r="AQ15" i="1"/>
  <c r="CA15" i="1" s="1"/>
  <c r="BZ14" i="1"/>
  <c r="BY14" i="1"/>
  <c r="BX14" i="1"/>
  <c r="AY14" i="1"/>
  <c r="AS14" i="1"/>
  <c r="AQ14" i="1"/>
  <c r="CA14" i="1" s="1"/>
  <c r="BZ13" i="1"/>
  <c r="BY13" i="1"/>
  <c r="BX13" i="1"/>
  <c r="AY13" i="1"/>
  <c r="AQ13" i="1"/>
  <c r="CA13" i="1" s="1"/>
  <c r="BZ12" i="1"/>
  <c r="BY12" i="1"/>
  <c r="BX12" i="1"/>
  <c r="AY12" i="1"/>
  <c r="AQ12" i="1"/>
  <c r="AS12" i="1" s="1"/>
  <c r="BZ11" i="1"/>
  <c r="BY11" i="1"/>
  <c r="BX11" i="1"/>
  <c r="AY11" i="1"/>
  <c r="AQ11" i="1"/>
  <c r="G87" i="22"/>
  <c r="H87" i="22" s="1"/>
  <c r="I87" i="22" s="1"/>
  <c r="G86" i="22"/>
  <c r="H86" i="22" s="1"/>
  <c r="I86" i="22" s="1"/>
  <c r="L86" i="22" s="1"/>
  <c r="M86" i="22" s="1"/>
  <c r="G85" i="22"/>
  <c r="H85" i="22" s="1"/>
  <c r="I85" i="22" s="1"/>
  <c r="G84" i="22"/>
  <c r="H84" i="22" s="1"/>
  <c r="I84" i="22" s="1"/>
  <c r="L84" i="22" s="1"/>
  <c r="M84" i="22" s="1"/>
  <c r="G83" i="22"/>
  <c r="H83" i="22" s="1"/>
  <c r="I83" i="22" s="1"/>
  <c r="L83" i="22" s="1"/>
  <c r="M83" i="22" s="1"/>
  <c r="G82" i="22"/>
  <c r="H82" i="22" s="1"/>
  <c r="I82" i="22" s="1"/>
  <c r="G81" i="22"/>
  <c r="H81" i="22" s="1"/>
  <c r="I81" i="22" s="1"/>
  <c r="G80" i="22"/>
  <c r="H80" i="22" s="1"/>
  <c r="I80" i="22" s="1"/>
  <c r="G79" i="22"/>
  <c r="H79" i="22" s="1"/>
  <c r="I79" i="22" s="1"/>
  <c r="G78" i="22"/>
  <c r="H78" i="22" s="1"/>
  <c r="I78" i="22" s="1"/>
  <c r="G77" i="22"/>
  <c r="H77" i="22" s="1"/>
  <c r="I77" i="22" s="1"/>
  <c r="G76" i="22"/>
  <c r="H76" i="22" s="1"/>
  <c r="I76" i="22" s="1"/>
  <c r="G75" i="22"/>
  <c r="H75" i="22" s="1"/>
  <c r="I75" i="22" s="1"/>
  <c r="G74" i="22"/>
  <c r="H74" i="22" s="1"/>
  <c r="I74" i="22" s="1"/>
  <c r="G73" i="22"/>
  <c r="H73" i="22" s="1"/>
  <c r="I73" i="22" s="1"/>
  <c r="G72" i="22"/>
  <c r="H72" i="22" s="1"/>
  <c r="I72" i="22" s="1"/>
  <c r="G71" i="22"/>
  <c r="H71" i="22" s="1"/>
  <c r="I71" i="22" s="1"/>
  <c r="L71" i="22" s="1"/>
  <c r="M71" i="22" s="1"/>
  <c r="G70" i="22"/>
  <c r="H70" i="22" s="1"/>
  <c r="I70" i="22" s="1"/>
  <c r="L70" i="22" s="1"/>
  <c r="G69" i="22"/>
  <c r="H69" i="22" s="1"/>
  <c r="I69" i="22" s="1"/>
  <c r="G68" i="22"/>
  <c r="H68" i="22" s="1"/>
  <c r="I68" i="22" s="1"/>
  <c r="L68" i="22" s="1"/>
  <c r="M68" i="22" s="1"/>
  <c r="G67" i="22"/>
  <c r="H67" i="22" s="1"/>
  <c r="I67" i="22" s="1"/>
  <c r="G66" i="22"/>
  <c r="H66" i="22" s="1"/>
  <c r="I66" i="22" s="1"/>
  <c r="G65" i="22"/>
  <c r="H65" i="22" s="1"/>
  <c r="I65" i="22" s="1"/>
  <c r="G64" i="22"/>
  <c r="H64" i="22" s="1"/>
  <c r="I64" i="22" s="1"/>
  <c r="G63" i="22"/>
  <c r="H63" i="22" s="1"/>
  <c r="I63" i="22" s="1"/>
  <c r="G62" i="22"/>
  <c r="H62" i="22" s="1"/>
  <c r="I62" i="22" s="1"/>
  <c r="G61" i="22"/>
  <c r="H61" i="22" s="1"/>
  <c r="I61" i="22" s="1"/>
  <c r="G60" i="22"/>
  <c r="H60" i="22" s="1"/>
  <c r="I60" i="22" s="1"/>
  <c r="G59" i="22"/>
  <c r="H59" i="22" s="1"/>
  <c r="I59" i="22" s="1"/>
  <c r="G58" i="22"/>
  <c r="H58" i="22" s="1"/>
  <c r="I58" i="22" s="1"/>
  <c r="G57" i="22"/>
  <c r="H57" i="22" s="1"/>
  <c r="I57" i="22" s="1"/>
  <c r="G56" i="22"/>
  <c r="H56" i="22" s="1"/>
  <c r="I56" i="22" s="1"/>
  <c r="G55" i="22"/>
  <c r="H55" i="22" s="1"/>
  <c r="I55" i="22" s="1"/>
  <c r="G54" i="22"/>
  <c r="H54" i="22" s="1"/>
  <c r="I54" i="22" s="1"/>
  <c r="L54" i="22" s="1"/>
  <c r="G53" i="22"/>
  <c r="H53" i="22" s="1"/>
  <c r="I53" i="22" s="1"/>
  <c r="G52" i="22"/>
  <c r="H52" i="22" s="1"/>
  <c r="I52" i="22" s="1"/>
  <c r="G51" i="22"/>
  <c r="H51" i="22" s="1"/>
  <c r="I51" i="22" s="1"/>
  <c r="L51" i="22" s="1"/>
  <c r="M51" i="22" s="1"/>
  <c r="G50" i="22"/>
  <c r="H50" i="22" s="1"/>
  <c r="I50" i="22" s="1"/>
  <c r="G49" i="22"/>
  <c r="H49" i="22" s="1"/>
  <c r="I49" i="22" s="1"/>
  <c r="G48" i="22"/>
  <c r="H48" i="22" s="1"/>
  <c r="I48" i="22" s="1"/>
  <c r="G47" i="22"/>
  <c r="H47" i="22" s="1"/>
  <c r="I47" i="22" s="1"/>
  <c r="G46" i="22"/>
  <c r="H46" i="22" s="1"/>
  <c r="I46" i="22" s="1"/>
  <c r="G45" i="22"/>
  <c r="H45" i="22" s="1"/>
  <c r="I45" i="22" s="1"/>
  <c r="L45" i="22" s="1"/>
  <c r="G44" i="22"/>
  <c r="H44" i="22" s="1"/>
  <c r="I44" i="22" s="1"/>
  <c r="G43" i="22"/>
  <c r="H43" i="22" s="1"/>
  <c r="I43" i="22" s="1"/>
  <c r="G42" i="22"/>
  <c r="H42" i="22" s="1"/>
  <c r="I42" i="22" s="1"/>
  <c r="L42" i="22" s="1"/>
  <c r="G41" i="22"/>
  <c r="H41" i="22" s="1"/>
  <c r="I41" i="22" s="1"/>
  <c r="G40" i="22"/>
  <c r="H40" i="22" s="1"/>
  <c r="I40" i="22" s="1"/>
  <c r="G37" i="22"/>
  <c r="H37" i="22" s="1"/>
  <c r="I37" i="22" s="1"/>
  <c r="G36" i="22"/>
  <c r="H36" i="22" s="1"/>
  <c r="I36" i="22" s="1"/>
  <c r="L36" i="22" s="1"/>
  <c r="G35" i="22"/>
  <c r="H35" i="22" s="1"/>
  <c r="I35" i="22" s="1"/>
  <c r="G34" i="22"/>
  <c r="H34" i="22" s="1"/>
  <c r="I34" i="22" s="1"/>
  <c r="G33" i="22"/>
  <c r="H33" i="22" s="1"/>
  <c r="I33" i="22" s="1"/>
  <c r="L33" i="22" s="1"/>
  <c r="M33" i="22" s="1"/>
  <c r="G32" i="22"/>
  <c r="H32" i="22" s="1"/>
  <c r="I32" i="22" s="1"/>
  <c r="G31" i="22"/>
  <c r="H31" i="22" s="1"/>
  <c r="I31" i="22" s="1"/>
  <c r="G30" i="22"/>
  <c r="H30" i="22" s="1"/>
  <c r="I30" i="22" s="1"/>
  <c r="L30" i="22" s="1"/>
  <c r="M30" i="22" s="1"/>
  <c r="G29" i="22"/>
  <c r="H29" i="22" s="1"/>
  <c r="I29" i="22" s="1"/>
  <c r="G28" i="22"/>
  <c r="H28" i="22" s="1"/>
  <c r="I28" i="22" s="1"/>
  <c r="L28" i="22" s="1"/>
  <c r="M28" i="22" s="1"/>
  <c r="G27" i="22"/>
  <c r="H27" i="22" s="1"/>
  <c r="I27" i="22" s="1"/>
  <c r="G26" i="22"/>
  <c r="H26" i="22" s="1"/>
  <c r="I26" i="22" s="1"/>
  <c r="G25" i="22"/>
  <c r="H25" i="22" s="1"/>
  <c r="I25" i="22" s="1"/>
  <c r="G24" i="22"/>
  <c r="H24" i="22" s="1"/>
  <c r="I24" i="22" s="1"/>
  <c r="G23" i="22"/>
  <c r="H23" i="22" s="1"/>
  <c r="I23" i="22" s="1"/>
  <c r="G22" i="22"/>
  <c r="H22" i="22" s="1"/>
  <c r="I22" i="22" s="1"/>
  <c r="G21" i="22"/>
  <c r="H21" i="22" s="1"/>
  <c r="I21" i="22" s="1"/>
  <c r="G20" i="22"/>
  <c r="H20" i="22" s="1"/>
  <c r="I20" i="22" s="1"/>
  <c r="L20" i="22" s="1"/>
  <c r="G19" i="22"/>
  <c r="H19" i="22" s="1"/>
  <c r="I19" i="22" s="1"/>
  <c r="L19" i="22" s="1"/>
  <c r="M19" i="22" s="1"/>
  <c r="G18" i="22"/>
  <c r="H18" i="22" s="1"/>
  <c r="I18" i="22" s="1"/>
  <c r="G17" i="22"/>
  <c r="H17" i="22" s="1"/>
  <c r="I17" i="22" s="1"/>
  <c r="L17" i="22" s="1"/>
  <c r="M17" i="22" s="1"/>
  <c r="G16" i="22"/>
  <c r="H16" i="22" s="1"/>
  <c r="I16" i="22" s="1"/>
  <c r="G15" i="22"/>
  <c r="H15" i="22" s="1"/>
  <c r="I15" i="22" s="1"/>
  <c r="G14" i="22"/>
  <c r="H14" i="22" s="1"/>
  <c r="I14" i="22" s="1"/>
  <c r="G13" i="22"/>
  <c r="H13" i="22" s="1"/>
  <c r="I13" i="22" s="1"/>
  <c r="G12" i="22"/>
  <c r="H12" i="22" s="1"/>
  <c r="I12" i="22" s="1"/>
  <c r="G11" i="22"/>
  <c r="H11" i="22" s="1"/>
  <c r="I11" i="22" s="1"/>
  <c r="G10" i="22"/>
  <c r="H10" i="22" s="1"/>
  <c r="I10" i="22" s="1"/>
  <c r="G9" i="22"/>
  <c r="H9" i="22" s="1"/>
  <c r="I9" i="22" s="1"/>
  <c r="G8" i="22"/>
  <c r="H8" i="22" s="1"/>
  <c r="I8" i="22" s="1"/>
  <c r="G7" i="22"/>
  <c r="H7" i="22" s="1"/>
  <c r="I7" i="22" s="1"/>
  <c r="A65" i="10"/>
  <c r="A64" i="10"/>
  <c r="A63" i="10"/>
  <c r="A62" i="10"/>
  <c r="A61" i="10"/>
  <c r="C56" i="10"/>
  <c r="C47" i="10"/>
  <c r="C42" i="10"/>
  <c r="B3" i="10"/>
  <c r="K3" i="10" s="1"/>
  <c r="D26" i="10" s="1"/>
  <c r="C77" i="12"/>
  <c r="C75" i="12"/>
  <c r="C74" i="12"/>
  <c r="C73" i="12"/>
  <c r="C72" i="12"/>
  <c r="C71" i="12"/>
  <c r="A50" i="12"/>
  <c r="A48" i="12"/>
  <c r="A45" i="12"/>
  <c r="A40" i="12"/>
  <c r="A31" i="12"/>
  <c r="A30" i="12"/>
  <c r="B30" i="13"/>
  <c r="A30" i="13"/>
  <c r="B29" i="13"/>
  <c r="A29" i="13"/>
  <c r="B28" i="13"/>
  <c r="A28" i="13"/>
  <c r="B27" i="13"/>
  <c r="A27" i="13"/>
  <c r="B26" i="13"/>
  <c r="A26" i="13"/>
  <c r="B25" i="13"/>
  <c r="A25" i="13"/>
  <c r="B24" i="13"/>
  <c r="A24" i="13"/>
  <c r="B23" i="13"/>
  <c r="A23" i="13"/>
  <c r="B22" i="13"/>
  <c r="A22" i="13"/>
  <c r="B21" i="13"/>
  <c r="A21" i="13"/>
  <c r="B17" i="13"/>
  <c r="A17" i="13"/>
  <c r="B16" i="13"/>
  <c r="I7" i="21" s="1"/>
  <c r="A16" i="13"/>
  <c r="I6" i="21" s="1"/>
  <c r="B15" i="13"/>
  <c r="B7" i="21" s="1"/>
  <c r="A15" i="13"/>
  <c r="B6" i="21" s="1"/>
  <c r="B14" i="13"/>
  <c r="I34" i="20" s="1"/>
  <c r="A14" i="13"/>
  <c r="I33" i="20" s="1"/>
  <c r="B13" i="13"/>
  <c r="B34" i="20" s="1"/>
  <c r="A13" i="13"/>
  <c r="A38" i="23" s="1"/>
  <c r="B12" i="13"/>
  <c r="I7" i="20" s="1"/>
  <c r="A12" i="13"/>
  <c r="I6" i="20" s="1"/>
  <c r="B11" i="13"/>
  <c r="A11" i="13"/>
  <c r="B6" i="20" s="1"/>
  <c r="B10" i="13"/>
  <c r="A10" i="13"/>
  <c r="I33" i="19" s="1"/>
  <c r="E9" i="13"/>
  <c r="D41" i="19" s="1"/>
  <c r="B9" i="13"/>
  <c r="B34" i="19" s="1"/>
  <c r="A9" i="13"/>
  <c r="B33" i="19" s="1"/>
  <c r="B8" i="13"/>
  <c r="I7" i="19" s="1"/>
  <c r="A8" i="13"/>
  <c r="I6" i="19" s="1"/>
  <c r="B7" i="13"/>
  <c r="B7" i="19" s="1"/>
  <c r="A7" i="13"/>
  <c r="B6" i="19" s="1"/>
  <c r="B3" i="13"/>
  <c r="B37" i="23"/>
  <c r="A36" i="23"/>
  <c r="A33" i="23"/>
  <c r="B3" i="23"/>
  <c r="E62" i="14" a="1"/>
  <c r="E62" i="14" s="1"/>
  <c r="D62" i="14" a="1"/>
  <c r="D62" i="14"/>
  <c r="C62" i="14"/>
  <c r="D61" i="14" a="1"/>
  <c r="D61" i="14"/>
  <c r="C61" i="14"/>
  <c r="D60" i="14" a="1"/>
  <c r="D60" i="14" s="1"/>
  <c r="C60" i="14" a="1"/>
  <c r="C60" i="14" s="1"/>
  <c r="D59" i="14" a="1"/>
  <c r="D59" i="14" s="1"/>
  <c r="C59" i="14"/>
  <c r="D58" i="14" a="1"/>
  <c r="D58" i="14" s="1"/>
  <c r="C58" i="14" a="1"/>
  <c r="C58" i="14"/>
  <c r="A35" i="14"/>
  <c r="B20" i="14"/>
  <c r="B3" i="9"/>
  <c r="K3" i="9" s="1"/>
  <c r="L38" i="22" l="1"/>
  <c r="M38" i="22" s="1"/>
  <c r="F23" i="1"/>
  <c r="E21" i="1"/>
  <c r="L39" i="22"/>
  <c r="M39" i="22" s="1"/>
  <c r="BX22" i="1"/>
  <c r="P12" i="6"/>
  <c r="P17" i="6"/>
  <c r="C7" i="7"/>
  <c r="E29" i="7"/>
  <c r="I29" i="7"/>
  <c r="B33" i="23"/>
  <c r="B23" i="7"/>
  <c r="G10" i="13"/>
  <c r="K44" i="19" s="1"/>
  <c r="G11" i="13"/>
  <c r="D17" i="20" s="1"/>
  <c r="A34" i="23"/>
  <c r="F16" i="7"/>
  <c r="D41" i="7"/>
  <c r="P38" i="6"/>
  <c r="P58" i="6"/>
  <c r="B34" i="23"/>
  <c r="CA12" i="1"/>
  <c r="AS18" i="1"/>
  <c r="CB18" i="1" s="1"/>
  <c r="P18" i="6"/>
  <c r="E39" i="7"/>
  <c r="G12" i="13"/>
  <c r="K17" i="20" s="1"/>
  <c r="F18" i="7"/>
  <c r="G13" i="13"/>
  <c r="D44" i="20" s="1"/>
  <c r="E40" i="7"/>
  <c r="G14" i="13"/>
  <c r="K44" i="20" s="1"/>
  <c r="A39" i="23"/>
  <c r="AS16" i="1"/>
  <c r="N4" i="6"/>
  <c r="F6" i="7"/>
  <c r="K29" i="7"/>
  <c r="G15" i="13"/>
  <c r="D17" i="21" s="1"/>
  <c r="G16" i="13"/>
  <c r="K17" i="21" s="1"/>
  <c r="A41" i="23"/>
  <c r="CB16" i="1"/>
  <c r="M29" i="7"/>
  <c r="F5" i="7"/>
  <c r="BY22" i="1"/>
  <c r="CB14" i="1"/>
  <c r="AD21" i="1"/>
  <c r="D23" i="7"/>
  <c r="E35" i="7"/>
  <c r="G13" i="7"/>
  <c r="F15" i="7"/>
  <c r="A32" i="23"/>
  <c r="P6" i="6"/>
  <c r="F17" i="7"/>
  <c r="N37" i="6"/>
  <c r="N57" i="6"/>
  <c r="C29" i="7"/>
  <c r="G7" i="13"/>
  <c r="E23" i="7"/>
  <c r="AS17" i="1"/>
  <c r="B32" i="23"/>
  <c r="CB12" i="1"/>
  <c r="P42" i="6"/>
  <c r="P62" i="6"/>
  <c r="D29" i="7"/>
  <c r="H29" i="7"/>
  <c r="G8" i="13"/>
  <c r="K17" i="19" s="1"/>
  <c r="K6" i="23"/>
  <c r="B57" i="23" s="1"/>
  <c r="G9" i="13"/>
  <c r="D44" i="19" s="1"/>
  <c r="L64" i="22"/>
  <c r="M64" i="22" s="1"/>
  <c r="L14" i="22"/>
  <c r="M14" i="22" s="1"/>
  <c r="L67" i="22"/>
  <c r="M67" i="22" s="1"/>
  <c r="L15" i="22"/>
  <c r="M15" i="22" s="1"/>
  <c r="L80" i="22"/>
  <c r="M80" i="22" s="1"/>
  <c r="L31" i="22"/>
  <c r="M31" i="22" s="1"/>
  <c r="L46" i="22"/>
  <c r="M46" i="22" s="1"/>
  <c r="M20" i="22"/>
  <c r="L34" i="22"/>
  <c r="M34" i="22" s="1"/>
  <c r="L35" i="22"/>
  <c r="M35" i="22" s="1"/>
  <c r="M70" i="22"/>
  <c r="G17" i="13"/>
  <c r="D17" i="19"/>
  <c r="L85" i="22"/>
  <c r="M85" i="22" s="1"/>
  <c r="L37" i="22"/>
  <c r="M37" i="22" s="1"/>
  <c r="F7" i="7"/>
  <c r="L55" i="22"/>
  <c r="M55" i="22" s="1"/>
  <c r="L26" i="22"/>
  <c r="M26" i="22" s="1"/>
  <c r="L59" i="22"/>
  <c r="M59" i="22" s="1"/>
  <c r="L72" i="22"/>
  <c r="M72" i="22" s="1"/>
  <c r="L12" i="22"/>
  <c r="M12" i="22" s="1"/>
  <c r="L58" i="22"/>
  <c r="M58" i="22" s="1"/>
  <c r="L43" i="22"/>
  <c r="M43" i="22" s="1"/>
  <c r="L44" i="22"/>
  <c r="M44" i="22" s="1"/>
  <c r="L49" i="22"/>
  <c r="M49" i="22" s="1"/>
  <c r="L74" i="22"/>
  <c r="M74" i="22" s="1"/>
  <c r="L81" i="22"/>
  <c r="M81" i="22" s="1"/>
  <c r="B37" i="10" a="1"/>
  <c r="B37" i="10" s="1"/>
  <c r="A32" i="14"/>
  <c r="B36" i="10" a="1"/>
  <c r="B36" i="10" s="1"/>
  <c r="D27" i="10"/>
  <c r="D25" i="10" a="1"/>
  <c r="D25" i="10" s="1"/>
  <c r="D23" i="10" a="1"/>
  <c r="D23" i="10" s="1"/>
  <c r="L50" i="22"/>
  <c r="M50" i="22" s="1"/>
  <c r="L75" i="22"/>
  <c r="M75" i="22" s="1"/>
  <c r="L82" i="22"/>
  <c r="M82" i="22" s="1"/>
  <c r="L40" i="22"/>
  <c r="M40" i="22" s="1"/>
  <c r="L25" i="22"/>
  <c r="M25" i="22" s="1"/>
  <c r="L79" i="22"/>
  <c r="M79" i="22" s="1"/>
  <c r="L87" i="22"/>
  <c r="M87" i="22" s="1"/>
  <c r="L8" i="22"/>
  <c r="M8" i="22" s="1"/>
  <c r="L29" i="22"/>
  <c r="M29" i="22" s="1"/>
  <c r="L16" i="22"/>
  <c r="M16" i="22" s="1"/>
  <c r="L52" i="22"/>
  <c r="M52" i="22" s="1"/>
  <c r="L56" i="22"/>
  <c r="M56" i="22" s="1"/>
  <c r="L41" i="22"/>
  <c r="M41" i="22" s="1"/>
  <c r="L61" i="22"/>
  <c r="M61" i="22" s="1"/>
  <c r="L22" i="22"/>
  <c r="M22" i="22" s="1"/>
  <c r="L62" i="22"/>
  <c r="M62" i="22" s="1"/>
  <c r="L9" i="22"/>
  <c r="M9" i="22" s="1"/>
  <c r="L10" i="22"/>
  <c r="M10" i="22" s="1"/>
  <c r="L63" i="22"/>
  <c r="M63" i="22" s="1"/>
  <c r="L11" i="22"/>
  <c r="M11" i="22" s="1"/>
  <c r="L24" i="22"/>
  <c r="M24" i="22" s="1"/>
  <c r="L53" i="22"/>
  <c r="M53" i="22" s="1"/>
  <c r="L78" i="22"/>
  <c r="M78" i="22" s="1"/>
  <c r="B39" i="23"/>
  <c r="N39" i="6"/>
  <c r="P39" i="6"/>
  <c r="N27" i="7"/>
  <c r="B29" i="7"/>
  <c r="N29" i="7" s="1"/>
  <c r="E34" i="7"/>
  <c r="M42" i="22"/>
  <c r="M54" i="22"/>
  <c r="P14" i="6"/>
  <c r="N59" i="6"/>
  <c r="P59" i="6"/>
  <c r="E41" i="7"/>
  <c r="N15" i="6"/>
  <c r="P15" i="6"/>
  <c r="B41" i="23"/>
  <c r="L32" i="22"/>
  <c r="M32" i="22" s="1"/>
  <c r="M36" i="22"/>
  <c r="L77" i="22"/>
  <c r="M77" i="22" s="1"/>
  <c r="N35" i="6"/>
  <c r="P35" i="6"/>
  <c r="D35" i="7"/>
  <c r="E42" i="7"/>
  <c r="B36" i="23"/>
  <c r="B7" i="20"/>
  <c r="L60" i="22"/>
  <c r="M60" i="22" s="1"/>
  <c r="P10" i="6"/>
  <c r="N55" i="6"/>
  <c r="P55" i="6"/>
  <c r="P74" i="6"/>
  <c r="F29" i="7"/>
  <c r="B38" i="23"/>
  <c r="L47" i="22"/>
  <c r="M47" i="22" s="1"/>
  <c r="L73" i="22"/>
  <c r="M73" i="22" s="1"/>
  <c r="AS19" i="1"/>
  <c r="CB19" i="1" s="1"/>
  <c r="AW23" i="1"/>
  <c r="N11" i="6"/>
  <c r="P11" i="6"/>
  <c r="P30" i="6"/>
  <c r="N75" i="6"/>
  <c r="P75" i="6"/>
  <c r="E36" i="7"/>
  <c r="E43" i="7"/>
  <c r="N31" i="6"/>
  <c r="P31" i="6"/>
  <c r="P50" i="6"/>
  <c r="A35" i="23"/>
  <c r="L13" i="22"/>
  <c r="M13" i="22" s="1"/>
  <c r="L21" i="22"/>
  <c r="M21" i="22" s="1"/>
  <c r="CB17" i="1"/>
  <c r="AJ21" i="1"/>
  <c r="BZ21" i="1" s="1"/>
  <c r="N51" i="6"/>
  <c r="P51" i="6"/>
  <c r="E37" i="7"/>
  <c r="B33" i="20"/>
  <c r="E44" i="7"/>
  <c r="N2" i="6"/>
  <c r="N7" i="6"/>
  <c r="P7" i="6"/>
  <c r="D38" i="7"/>
  <c r="N71" i="6"/>
  <c r="P71" i="6"/>
  <c r="L48" i="22"/>
  <c r="M48" i="22" s="1"/>
  <c r="L65" i="22"/>
  <c r="M65" i="22" s="1"/>
  <c r="L69" i="22"/>
  <c r="M69" i="22" s="1"/>
  <c r="AS15" i="1"/>
  <c r="CB15" i="1" s="1"/>
  <c r="D44" i="7"/>
  <c r="F12" i="7"/>
  <c r="N27" i="6"/>
  <c r="P27" i="6"/>
  <c r="B35" i="23"/>
  <c r="I34" i="19"/>
  <c r="L57" i="22"/>
  <c r="M57" i="22" s="1"/>
  <c r="P2" i="6"/>
  <c r="N47" i="6"/>
  <c r="P47" i="6"/>
  <c r="P66" i="6"/>
  <c r="E38" i="7"/>
  <c r="M45" i="22"/>
  <c r="AS13" i="1"/>
  <c r="CB13" i="1" s="1"/>
  <c r="AY21" i="1"/>
  <c r="CB21" i="1" s="1"/>
  <c r="N3" i="6"/>
  <c r="P3" i="6"/>
  <c r="P22" i="6"/>
  <c r="N67" i="6"/>
  <c r="P67" i="6"/>
  <c r="CA11" i="1"/>
  <c r="AQ22" i="1"/>
  <c r="AQ23" i="1" s="1"/>
  <c r="F13" i="7"/>
  <c r="F11" i="7"/>
  <c r="N23" i="6"/>
  <c r="P23" i="6"/>
  <c r="L18" i="22"/>
  <c r="M18" i="22" s="1"/>
  <c r="L27" i="22"/>
  <c r="M27" i="22" s="1"/>
  <c r="L66" i="22"/>
  <c r="M66" i="22" s="1"/>
  <c r="AS11" i="1"/>
  <c r="N43" i="6"/>
  <c r="P43" i="6"/>
  <c r="E33" i="7"/>
  <c r="D3" i="23"/>
  <c r="A40" i="23"/>
  <c r="L23" i="22"/>
  <c r="M23" i="22" s="1"/>
  <c r="F14" i="7"/>
  <c r="D36" i="7"/>
  <c r="N63" i="6"/>
  <c r="P63" i="6"/>
  <c r="D33" i="7"/>
  <c r="A37" i="23"/>
  <c r="B40" i="23"/>
  <c r="L7" i="22"/>
  <c r="M7" i="22" s="1"/>
  <c r="L76" i="22"/>
  <c r="M76" i="22" s="1"/>
  <c r="N19" i="6"/>
  <c r="P19" i="6"/>
  <c r="G5" i="7"/>
  <c r="B7" i="7"/>
  <c r="G7" i="7" s="1"/>
  <c r="C23" i="7"/>
  <c r="G23" i="7" s="1"/>
  <c r="D34" i="7"/>
  <c r="E29" i="9" a="1"/>
  <c r="E6" i="9" a="1"/>
  <c r="D6" i="9" a="1"/>
  <c r="E13" i="9" a="1"/>
  <c r="E23" i="9" a="1"/>
  <c r="E21" i="9" a="1"/>
  <c r="E15" i="9" a="1"/>
  <c r="D21" i="10" a="1"/>
  <c r="D13" i="9" a="1"/>
  <c r="E9" i="9" a="1"/>
  <c r="E10" i="9" a="1"/>
  <c r="E24" i="9" a="1"/>
  <c r="E8" i="9" a="1"/>
  <c r="E27" i="9" a="1"/>
  <c r="E22" i="9" a="1"/>
  <c r="E7" i="9" a="1"/>
  <c r="E20" i="9" a="1"/>
  <c r="D10" i="9" a="1"/>
  <c r="D11" i="9" a="1"/>
  <c r="D7" i="9" a="1"/>
  <c r="E28" i="9" a="1"/>
  <c r="D9" i="9" a="1"/>
  <c r="E26" i="9" a="1"/>
  <c r="E14" i="9" a="1"/>
  <c r="E12" i="9" a="1"/>
  <c r="E25" i="9" a="1"/>
  <c r="D12" i="9" a="1"/>
  <c r="D15" i="9" a="1"/>
  <c r="E11" i="9" a="1"/>
  <c r="D14" i="9" a="1"/>
  <c r="D8" i="9" a="1"/>
  <c r="F23" i="7" l="1"/>
  <c r="CA23" i="1"/>
  <c r="D22" i="10"/>
  <c r="D24" i="10" s="1"/>
  <c r="D28" i="10" s="1"/>
  <c r="E27" i="9"/>
  <c r="D11" i="9"/>
  <c r="D13" i="9"/>
  <c r="E11" i="9"/>
  <c r="D10" i="9"/>
  <c r="E25" i="9"/>
  <c r="E20" i="9"/>
  <c r="E28" i="9"/>
  <c r="E7" i="9"/>
  <c r="E24" i="9"/>
  <c r="D21" i="10"/>
  <c r="E15" i="9"/>
  <c r="E13" i="9"/>
  <c r="E6" i="9"/>
  <c r="D8" i="9"/>
  <c r="C9" i="13" s="1"/>
  <c r="D14" i="9"/>
  <c r="D9" i="9"/>
  <c r="E8" i="9"/>
  <c r="E14" i="9"/>
  <c r="D15" i="9"/>
  <c r="D12" i="9"/>
  <c r="E12" i="9"/>
  <c r="E26" i="9"/>
  <c r="D7" i="9"/>
  <c r="E22" i="9"/>
  <c r="E10" i="9"/>
  <c r="E9" i="9"/>
  <c r="E21" i="9"/>
  <c r="D6" i="9"/>
  <c r="E29" i="9"/>
  <c r="E23" i="9"/>
  <c r="CA21" i="1"/>
  <c r="CA22" i="1" s="1"/>
  <c r="BZ22" i="1"/>
  <c r="D25" i="23"/>
  <c r="B19" i="23"/>
  <c r="D23" i="23"/>
  <c r="B17" i="23"/>
  <c r="D22" i="23"/>
  <c r="B16" i="23"/>
  <c r="B22" i="23"/>
  <c r="A6" i="23"/>
  <c r="B26" i="23"/>
  <c r="B18" i="23"/>
  <c r="A50" i="23"/>
  <c r="D21" i="23"/>
  <c r="B25" i="23"/>
  <c r="D17" i="23"/>
  <c r="A49" i="23"/>
  <c r="B21" i="23"/>
  <c r="A48" i="23"/>
  <c r="D20" i="23"/>
  <c r="D16" i="23"/>
  <c r="B24" i="23"/>
  <c r="B20" i="23"/>
  <c r="B27" i="23"/>
  <c r="D27" i="23"/>
  <c r="D24" i="23"/>
  <c r="E24" i="23" s="1"/>
  <c r="D19" i="23"/>
  <c r="B23" i="23"/>
  <c r="D18" i="23"/>
  <c r="D26" i="23"/>
  <c r="C6" i="23"/>
  <c r="AY22" i="1"/>
  <c r="B8" i="14"/>
  <c r="B21" i="14"/>
  <c r="D21" i="14" s="1"/>
  <c r="CB11" i="1"/>
  <c r="CB22" i="1" s="1"/>
  <c r="AS22" i="1"/>
  <c r="D47" i="10"/>
  <c r="E47" i="10" s="1"/>
  <c r="E48" i="10" s="1"/>
  <c r="B47" i="10"/>
  <c r="B59" i="14"/>
  <c r="E59" i="14" s="1"/>
  <c r="B57" i="14"/>
  <c r="B6" i="14"/>
  <c r="B38" i="10"/>
  <c r="E19" i="23" l="1"/>
  <c r="B9" i="14"/>
  <c r="E27" i="23"/>
  <c r="E25" i="23"/>
  <c r="B22" i="14"/>
  <c r="D22" i="14" s="1"/>
  <c r="E18" i="23"/>
  <c r="E17" i="23"/>
  <c r="C18" i="23"/>
  <c r="D39" i="19"/>
  <c r="C34" i="23"/>
  <c r="C15" i="13"/>
  <c r="F14" i="9"/>
  <c r="E15" i="13" s="1"/>
  <c r="D14" i="21" s="1"/>
  <c r="E16" i="9"/>
  <c r="D17" i="13" s="1"/>
  <c r="E16" i="14" s="1"/>
  <c r="D7" i="13"/>
  <c r="G6" i="23"/>
  <c r="B54" i="23" s="1"/>
  <c r="F6" i="9"/>
  <c r="E7" i="13" s="1"/>
  <c r="D14" i="19" s="1"/>
  <c r="D16" i="9"/>
  <c r="C17" i="13" s="1"/>
  <c r="E15" i="14" s="1"/>
  <c r="C7" i="13"/>
  <c r="D14" i="13"/>
  <c r="C22" i="23"/>
  <c r="D16" i="13"/>
  <c r="B50" i="23"/>
  <c r="C50" i="23"/>
  <c r="C16" i="23"/>
  <c r="B55" i="23" a="1"/>
  <c r="B55" i="23" s="1"/>
  <c r="D10" i="13"/>
  <c r="G9" i="9"/>
  <c r="B42" i="10"/>
  <c r="B58" i="14"/>
  <c r="E58" i="14" s="1"/>
  <c r="D42" i="10"/>
  <c r="E42" i="10" s="1"/>
  <c r="E43" i="10" s="1"/>
  <c r="C8" i="10" s="1"/>
  <c r="B7" i="14"/>
  <c r="E22" i="23"/>
  <c r="D11" i="13"/>
  <c r="C27" i="23"/>
  <c r="C24" i="23"/>
  <c r="F24" i="23" s="1"/>
  <c r="C17" i="23"/>
  <c r="D8" i="13"/>
  <c r="E16" i="23"/>
  <c r="E23" i="23"/>
  <c r="C8" i="13"/>
  <c r="F7" i="9"/>
  <c r="E8" i="13" s="1"/>
  <c r="K14" i="19" s="1"/>
  <c r="C19" i="23"/>
  <c r="F19" i="23" s="1"/>
  <c r="E30" i="9"/>
  <c r="D13" i="13"/>
  <c r="C21" i="23"/>
  <c r="C13" i="13"/>
  <c r="F12" i="9"/>
  <c r="E13" i="13" s="1"/>
  <c r="D41" i="20" s="1"/>
  <c r="F10" i="9"/>
  <c r="E11" i="13" s="1"/>
  <c r="D14" i="20" s="1"/>
  <c r="C11" i="13"/>
  <c r="F59" i="14"/>
  <c r="C10" i="10"/>
  <c r="I6" i="23"/>
  <c r="C49" i="23"/>
  <c r="B49" i="23"/>
  <c r="C16" i="13"/>
  <c r="F15" i="9"/>
  <c r="E16" i="13" s="1"/>
  <c r="K14" i="21" s="1"/>
  <c r="D12" i="13"/>
  <c r="C23" i="23"/>
  <c r="D15" i="13"/>
  <c r="F13" i="9"/>
  <c r="E14" i="13" s="1"/>
  <c r="K41" i="20" s="1"/>
  <c r="C14" i="13"/>
  <c r="C26" i="23"/>
  <c r="F26" i="23"/>
  <c r="E20" i="23"/>
  <c r="C25" i="23"/>
  <c r="G8" i="9"/>
  <c r="D9" i="13"/>
  <c r="C12" i="13"/>
  <c r="F11" i="9"/>
  <c r="E12" i="13" s="1"/>
  <c r="K14" i="20" s="1"/>
  <c r="C20" i="23"/>
  <c r="F20" i="23"/>
  <c r="C48" i="23"/>
  <c r="B48" i="23"/>
  <c r="E6" i="23"/>
  <c r="B58" i="23" s="1"/>
  <c r="E26" i="23"/>
  <c r="E21" i="23"/>
  <c r="D54" i="10"/>
  <c r="E54" i="10" s="1"/>
  <c r="F54" i="10" s="1"/>
  <c r="B10" i="14"/>
  <c r="D52" i="10"/>
  <c r="E52" i="10" s="1"/>
  <c r="B60" i="14"/>
  <c r="E60" i="14" s="1"/>
  <c r="D55" i="10"/>
  <c r="E55" i="10" s="1"/>
  <c r="F55" i="10" s="1"/>
  <c r="C15" i="10" s="1"/>
  <c r="C29" i="13" s="1"/>
  <c r="D53" i="10"/>
  <c r="E53" i="10" s="1"/>
  <c r="F53" i="10" s="1"/>
  <c r="C11" i="10" s="1"/>
  <c r="C10" i="13"/>
  <c r="F9" i="9"/>
  <c r="E10" i="13" s="1"/>
  <c r="K41" i="19" s="1"/>
  <c r="F21" i="23" l="1"/>
  <c r="G11" i="9"/>
  <c r="F12" i="13" s="1"/>
  <c r="F27" i="23"/>
  <c r="F18" i="23"/>
  <c r="F17" i="23"/>
  <c r="F25" i="23"/>
  <c r="F23" i="23"/>
  <c r="G13" i="9"/>
  <c r="D27" i="9" s="1"/>
  <c r="F27" i="9" s="1"/>
  <c r="G27" i="9" s="1"/>
  <c r="G14" i="9"/>
  <c r="F15" i="13" s="1"/>
  <c r="F22" i="23"/>
  <c r="F16" i="23"/>
  <c r="K12" i="19"/>
  <c r="C33" i="23"/>
  <c r="D12" i="19"/>
  <c r="C32" i="23"/>
  <c r="F9" i="13"/>
  <c r="D22" i="9"/>
  <c r="F22" i="9" s="1"/>
  <c r="G22" i="9" s="1"/>
  <c r="D32" i="23"/>
  <c r="D13" i="19"/>
  <c r="D39" i="20"/>
  <c r="C38" i="23"/>
  <c r="G6" i="9"/>
  <c r="D40" i="23"/>
  <c r="D13" i="21"/>
  <c r="C14" i="10"/>
  <c r="C28" i="13" s="1"/>
  <c r="C13" i="10"/>
  <c r="C27" i="13" s="1"/>
  <c r="C12" i="10"/>
  <c r="C26" i="13" s="1"/>
  <c r="C36" i="23"/>
  <c r="D12" i="20"/>
  <c r="K40" i="19"/>
  <c r="D35" i="23"/>
  <c r="F58" i="14"/>
  <c r="K39" i="20"/>
  <c r="C39" i="23"/>
  <c r="G7" i="9"/>
  <c r="D12" i="21"/>
  <c r="C40" i="23"/>
  <c r="K13" i="20"/>
  <c r="D37" i="23"/>
  <c r="D40" i="20"/>
  <c r="D38" i="23"/>
  <c r="K13" i="21"/>
  <c r="D41" i="23"/>
  <c r="K40" i="20"/>
  <c r="D39" i="23"/>
  <c r="F52" i="10"/>
  <c r="E56" i="10"/>
  <c r="F60" i="14" s="1"/>
  <c r="K13" i="19"/>
  <c r="D33" i="23"/>
  <c r="G12" i="9"/>
  <c r="D25" i="9"/>
  <c r="F25" i="9" s="1"/>
  <c r="G25" i="9" s="1"/>
  <c r="G15" i="9"/>
  <c r="K39" i="19"/>
  <c r="C35" i="23"/>
  <c r="F35" i="23" s="1"/>
  <c r="K12" i="20"/>
  <c r="C37" i="23"/>
  <c r="D13" i="20"/>
  <c r="D36" i="23"/>
  <c r="C24" i="13"/>
  <c r="B17" i="14"/>
  <c r="F10" i="13"/>
  <c r="D23" i="9"/>
  <c r="F23" i="9" s="1"/>
  <c r="G23" i="9" s="1"/>
  <c r="C25" i="13"/>
  <c r="D40" i="19"/>
  <c r="D34" i="23"/>
  <c r="E34" i="23" s="1"/>
  <c r="K12" i="21"/>
  <c r="C41" i="23"/>
  <c r="G10" i="9"/>
  <c r="D28" i="9" l="1"/>
  <c r="F28" i="9" s="1"/>
  <c r="G28" i="9" s="1"/>
  <c r="E33" i="23"/>
  <c r="E32" i="23"/>
  <c r="F34" i="23"/>
  <c r="F14" i="13"/>
  <c r="K42" i="20" s="1"/>
  <c r="E40" i="23"/>
  <c r="F40" i="23" s="1"/>
  <c r="E37" i="23"/>
  <c r="F37" i="23" s="1"/>
  <c r="D29" i="9"/>
  <c r="F29" i="9" s="1"/>
  <c r="G29" i="9" s="1"/>
  <c r="F16" i="13"/>
  <c r="B18" i="14"/>
  <c r="H9" i="13"/>
  <c r="D42" i="19"/>
  <c r="E39" i="23"/>
  <c r="F39" i="23" s="1"/>
  <c r="F32" i="23"/>
  <c r="B56" i="23"/>
  <c r="A9" i="23" a="1"/>
  <c r="A9" i="23" s="1"/>
  <c r="C22" i="13"/>
  <c r="B16" i="14"/>
  <c r="E35" i="23"/>
  <c r="E36" i="23"/>
  <c r="F36" i="23" s="1"/>
  <c r="D20" i="9"/>
  <c r="G16" i="9"/>
  <c r="F7" i="13"/>
  <c r="D26" i="9"/>
  <c r="F26" i="9" s="1"/>
  <c r="G26" i="9" s="1"/>
  <c r="F13" i="13"/>
  <c r="D15" i="21"/>
  <c r="H15" i="13"/>
  <c r="K42" i="19"/>
  <c r="H10" i="13"/>
  <c r="E41" i="23"/>
  <c r="F41" i="23" s="1"/>
  <c r="F38" i="23"/>
  <c r="K15" i="20"/>
  <c r="H12" i="13"/>
  <c r="F8" i="13"/>
  <c r="D21" i="9"/>
  <c r="F21" i="9" s="1"/>
  <c r="G21" i="9" s="1"/>
  <c r="F56" i="10"/>
  <c r="C9" i="10"/>
  <c r="C23" i="13" s="1"/>
  <c r="F33" i="23"/>
  <c r="F11" i="13"/>
  <c r="D24" i="9"/>
  <c r="F24" i="9" s="1"/>
  <c r="G24" i="9" s="1"/>
  <c r="E38" i="23"/>
  <c r="H14" i="13" l="1"/>
  <c r="J14" i="13" s="1"/>
  <c r="K47" i="20" s="1"/>
  <c r="I15" i="13"/>
  <c r="J13" i="17" s="1"/>
  <c r="I9" i="13"/>
  <c r="F16" i="9"/>
  <c r="E17" i="13" s="1"/>
  <c r="F17" i="13"/>
  <c r="C33" i="13" s="1"/>
  <c r="D15" i="20"/>
  <c r="H11" i="13"/>
  <c r="D42" i="20"/>
  <c r="H13" i="13"/>
  <c r="J13" i="13" s="1"/>
  <c r="D47" i="20" s="1"/>
  <c r="D15" i="19"/>
  <c r="H7" i="13"/>
  <c r="F20" i="9"/>
  <c r="D30" i="9"/>
  <c r="K15" i="21"/>
  <c r="H16" i="13"/>
  <c r="I12" i="13"/>
  <c r="I10" i="13"/>
  <c r="K15" i="19"/>
  <c r="H8" i="13"/>
  <c r="J8" i="13" s="1"/>
  <c r="K20" i="19" s="1"/>
  <c r="J10" i="13" l="1"/>
  <c r="K47" i="19" s="1"/>
  <c r="J8" i="17"/>
  <c r="B8" i="17" s="1"/>
  <c r="J12" i="13"/>
  <c r="K20" i="20" s="1"/>
  <c r="J10" i="17"/>
  <c r="B10" i="17" s="1"/>
  <c r="J9" i="13"/>
  <c r="D47" i="19" s="1"/>
  <c r="J7" i="17"/>
  <c r="F30" i="9"/>
  <c r="G30" i="9" s="1"/>
  <c r="G20" i="9"/>
  <c r="I7" i="13"/>
  <c r="H17" i="13"/>
  <c r="B61" i="14" s="1"/>
  <c r="E61" i="14" s="1"/>
  <c r="D45" i="19"/>
  <c r="B7" i="17"/>
  <c r="I11" i="13"/>
  <c r="B13" i="17"/>
  <c r="D18" i="21"/>
  <c r="I16" i="13"/>
  <c r="K45" i="19"/>
  <c r="K18" i="20"/>
  <c r="J15" i="13"/>
  <c r="D20" i="21" s="1"/>
  <c r="J16" i="13" l="1"/>
  <c r="K20" i="21" s="1"/>
  <c r="J14" i="17"/>
  <c r="B14" i="17" s="1"/>
  <c r="J11" i="13"/>
  <c r="D20" i="20" s="1"/>
  <c r="J9" i="17"/>
  <c r="J7" i="13"/>
  <c r="D20" i="19" s="1"/>
  <c r="J5" i="17"/>
  <c r="B5" i="17" s="1"/>
  <c r="D18" i="19"/>
  <c r="I17" i="13"/>
  <c r="F61" i="14" s="1"/>
  <c r="K18" i="21"/>
  <c r="B9" i="17"/>
  <c r="D18" i="20"/>
  <c r="J17" i="13" l="1"/>
  <c r="E6" i="14"/>
  <c r="C36" i="10"/>
  <c r="C37" i="10"/>
  <c r="D37" i="10" s="1"/>
  <c r="E37" i="10" s="1"/>
  <c r="D36" i="10" l="1"/>
  <c r="C38" i="10"/>
  <c r="E36" i="10" l="1"/>
  <c r="E38" i="10" s="1"/>
  <c r="D38" i="10"/>
  <c r="C7" i="10" l="1"/>
  <c r="F57" i="14"/>
  <c r="C16" i="10" l="1"/>
  <c r="D29" i="10" s="1"/>
  <c r="B15" i="14"/>
  <c r="C21" i="13"/>
  <c r="C30" i="13" s="1"/>
  <c r="C34" i="13" s="1"/>
  <c r="C35" i="13" l="1"/>
  <c r="B23" i="14" s="1"/>
  <c r="D23" i="14" s="1"/>
  <c r="E9" i="14"/>
  <c r="E7" i="14"/>
  <c r="B11" i="14"/>
  <c r="D30" i="10"/>
  <c r="D31" i="10" s="1"/>
  <c r="F62" i="14" s="1"/>
  <c r="B6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Guest User</author>
    <author>Remscel Roxas</author>
    <author>Shiena Lyn Chavez</author>
  </authors>
  <commentList>
    <comment ref="O5" authorId="0" shapeId="0" xr:uid="{00000000-0006-0000-0800-000001000000}">
      <text>
        <r>
          <rPr>
            <sz val="11"/>
            <color rgb="FF000000"/>
            <rFont val="Arial"/>
            <charset val="134"/>
          </rPr>
          <t xml:space="preserve">Unknown User:
Monthly 13,477.69
Bal. = 32266.84
</t>
        </r>
      </text>
    </comment>
    <comment ref="D8" authorId="1" shapeId="0" xr:uid="{00000000-0006-0000-0800-000002000000}">
      <text>
        <r>
          <rPr>
            <sz val="11"/>
            <color rgb="FF000000"/>
            <rFont val="Arial"/>
            <charset val="134"/>
          </rPr>
          <t>Remscel Roxas:
25,000
Ubra</t>
        </r>
      </text>
    </comment>
    <comment ref="C11" authorId="0" shapeId="0" xr:uid="{00000000-0006-0000-0800-000003000000}">
      <text>
        <r>
          <rPr>
            <sz val="11"/>
            <color rgb="FF000000"/>
            <rFont val="Arial"/>
            <charset val="134"/>
          </rPr>
          <t>Unknown User:
UBRA = 20,000
MOMOY'S C.A = 10,000</t>
        </r>
      </text>
    </comment>
    <comment ref="F12" authorId="1" shapeId="0" xr:uid="{00000000-0006-0000-0800-000004000000}">
      <text>
        <r>
          <rPr>
            <sz val="11"/>
            <color rgb="FF000000"/>
            <rFont val="Arial"/>
            <charset val="134"/>
          </rPr>
          <t xml:space="preserve">Remscel Roxas:
Jan. 20k
Feb. 20k
RENT NG UBRA 
DI NAG BIBIGAY </t>
        </r>
      </text>
    </comment>
    <comment ref="F15" authorId="1" shapeId="0" xr:uid="{00000000-0006-0000-0800-000005000000}">
      <text>
        <r>
          <rPr>
            <sz val="11"/>
            <color rgb="FF000000"/>
            <rFont val="Arial"/>
            <charset val="134"/>
          </rPr>
          <t xml:space="preserve">Remscel Roxas:
Included in Monthly Salary in AUB
</t>
        </r>
      </text>
    </comment>
    <comment ref="D21" authorId="1" shapeId="0" xr:uid="{00000000-0006-0000-0800-000006000000}">
      <text>
        <r>
          <rPr>
            <sz val="11"/>
            <color rgb="FF000000"/>
            <rFont val="Arial"/>
            <charset val="134"/>
          </rPr>
          <t>Remscel Roxas:
Approx
SSS
Pag ibig
Philhealth</t>
        </r>
      </text>
    </comment>
    <comment ref="D22" authorId="1" shapeId="0" xr:uid="{00000000-0006-0000-0800-000007000000}">
      <text>
        <r>
          <rPr>
            <sz val="11"/>
            <color rgb="FF000000"/>
            <rFont val="Arial"/>
            <charset val="134"/>
          </rPr>
          <t>Remscel Roxas:
Approx
SSS
Pag ibig
Philhealth</t>
        </r>
      </text>
    </comment>
    <comment ref="F24" authorId="1" shapeId="0" xr:uid="{00000000-0006-0000-0800-000008000000}">
      <text>
        <r>
          <rPr>
            <sz val="11"/>
            <color rgb="FF000000"/>
            <rFont val="Arial"/>
            <charset val="134"/>
          </rPr>
          <t>Remscel Roxas:
Manila Water = 3,723.68
PLDT = 2,506
TOTAL = 6,229.68</t>
        </r>
      </text>
    </comment>
    <comment ref="I28" authorId="0" shapeId="0" xr:uid="{00000000-0006-0000-0800-000009000000}">
      <text>
        <r>
          <rPr>
            <sz val="11"/>
            <color rgb="FF000000"/>
            <rFont val="Arial"/>
            <charset val="134"/>
          </rPr>
          <t>Unknown User:
Month of 
May and june</t>
        </r>
      </text>
    </comment>
    <comment ref="F29" authorId="1" shapeId="0" xr:uid="{00000000-0006-0000-0800-00000A000000}">
      <text>
        <r>
          <rPr>
            <sz val="11"/>
            <color rgb="FF000000"/>
            <rFont val="Arial"/>
            <charset val="134"/>
          </rPr>
          <t xml:space="preserve">Remscel Roxas:
AUB FEE
CREDIT CARD
</t>
        </r>
      </text>
    </comment>
    <comment ref="O30" authorId="0" shapeId="0" xr:uid="{00000000-0006-0000-0800-00000B000000}">
      <text>
        <r>
          <rPr>
            <sz val="11"/>
            <color rgb="FF000000"/>
            <rFont val="Arial"/>
            <charset val="134"/>
          </rPr>
          <t>Unknown User:
JBB
2,650
10,950</t>
        </r>
      </text>
    </comment>
    <comment ref="F31" authorId="1" shapeId="0" xr:uid="{00000000-0006-0000-0800-00000C000000}">
      <text/>
    </comment>
    <comment ref="O31" authorId="0" shapeId="0" xr:uid="{00000000-0006-0000-0800-00000D000000}">
      <text>
        <r>
          <rPr>
            <sz val="11"/>
            <color rgb="FF000000"/>
            <rFont val="Arial"/>
            <charset val="134"/>
          </rPr>
          <t xml:space="preserve">Unknown User:
AC 
14,176.8
JBB
</t>
        </r>
      </text>
    </comment>
    <comment ref="G32" authorId="2" shapeId="0" xr:uid="{00000000-0006-0000-0800-00000E000000}">
      <text>
        <r>
          <rPr>
            <sz val="11"/>
            <color rgb="FF000000"/>
            <rFont val="Arial"/>
            <charset val="134"/>
          </rPr>
          <t>Shiena Lyn Chavez:
eastwest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<sst xmlns="http://schemas.openxmlformats.org/spreadsheetml/2006/main" count="1853" uniqueCount="709">
  <si>
    <t>EXECUTIVE SUMMARY</t>
  </si>
  <si>
    <t>📑 NAVIGATION</t>
  </si>
  <si>
    <t>➤ Executive Summary</t>
  </si>
  <si>
    <t>Selected Month:</t>
  </si>
  <si>
    <t>August</t>
  </si>
  <si>
    <t>➤ Commission Summary</t>
  </si>
  <si>
    <t>KEY FINANCIAL METRICS</t>
  </si>
  <si>
    <t>COMMISSION SUMMARY</t>
  </si>
  <si>
    <t>➤ Instructions</t>
  </si>
  <si>
    <t>Total Sales (Gross)</t>
  </si>
  <si>
    <t>Agent Commission</t>
  </si>
  <si>
    <t>Store Sales</t>
  </si>
  <si>
    <t>Back Office Commission</t>
  </si>
  <si>
    <t>➤ Monthly Commission</t>
  </si>
  <si>
    <t>Monthly Expenses</t>
  </si>
  <si>
    <t>Net Income</t>
  </si>
  <si>
    <t>TOTAL COMMISSION PAYOUT</t>
  </si>
  <si>
    <t>➤ Back Office Commission</t>
  </si>
  <si>
    <t>Bottomline Before BO Commission</t>
  </si>
  <si>
    <t>True Bottomline</t>
  </si>
  <si>
    <t>➤ AgentYearlySales</t>
  </si>
  <si>
    <t>➤ ItemReportsCategory</t>
  </si>
  <si>
    <t>BACK OFFICE BREAKDOWN</t>
  </si>
  <si>
    <t>AGENT SALES</t>
  </si>
  <si>
    <t>Manager (Bert)</t>
  </si>
  <si>
    <t>Agent Monthly Sales</t>
  </si>
  <si>
    <t>➤ %Comm</t>
  </si>
  <si>
    <t>Sales Staff (Riza)</t>
  </si>
  <si>
    <t>Agent Net Sales</t>
  </si>
  <si>
    <t>Raymart (Ikot)</t>
  </si>
  <si>
    <t>➤ Store Expenses</t>
  </si>
  <si>
    <t>Back Office Staff</t>
  </si>
  <si>
    <t>➤ Ikot Sales</t>
  </si>
  <si>
    <t>KEY RATIOS</t>
  </si>
  <si>
    <t>Target Range</t>
  </si>
  <si>
    <t>Status</t>
  </si>
  <si>
    <t>Definition</t>
  </si>
  <si>
    <t>Expense Ratio (Expenses/Gross)</t>
  </si>
  <si>
    <t>10% - 20%</t>
  </si>
  <si>
    <t>Monthly Expenses ÷ Total Gross Sales. Measures operational cost efficiency.</t>
  </si>
  <si>
    <t>➤ Payslip 1 - 4</t>
  </si>
  <si>
    <t>Net Income Margin</t>
  </si>
  <si>
    <t>5% - 10%</t>
  </si>
  <si>
    <t>Net Income ÷ Total Gross Sales. Shows profitability after all costs.</t>
  </si>
  <si>
    <t>➤  Payslip 5 - 8</t>
  </si>
  <si>
    <t>Commission as % of Gross Sales</t>
  </si>
  <si>
    <t>2% - 5%</t>
  </si>
  <si>
    <t>Total Commissions ÷ Total Gross Sales. Measures sales cost efficiency.</t>
  </si>
  <si>
    <t>➤  Payslip 9 - 10</t>
  </si>
  <si>
    <t>➤ Agent Expenses</t>
  </si>
  <si>
    <t>ASSESSMENT GUIDE</t>
  </si>
  <si>
    <t>Meaning</t>
  </si>
  <si>
    <t>Symbol</t>
  </si>
  <si>
    <t>➤ Agent Savings</t>
  </si>
  <si>
    <t>Ratio is within healthy range</t>
  </si>
  <si>
    <t>✅</t>
  </si>
  <si>
    <t>Within Target</t>
  </si>
  <si>
    <t>Needs attention - below recommended level</t>
  </si>
  <si>
    <t>⚠️</t>
  </si>
  <si>
    <t>Below Target</t>
  </si>
  <si>
    <t>Needs review - may indicate inefficiency</t>
  </si>
  <si>
    <t>🔴</t>
  </si>
  <si>
    <t>Above Target</t>
  </si>
  <si>
    <t>COMMISSION COMMAND CENTER</t>
  </si>
  <si>
    <t>EDITABLE COMMISSION CONTROLS</t>
  </si>
  <si>
    <t>Category</t>
  </si>
  <si>
    <t>Control</t>
  </si>
  <si>
    <t>Edit Value</t>
  </si>
  <si>
    <t>Trigger / Applies When</t>
  </si>
  <si>
    <t>Calculation Basis</t>
  </si>
  <si>
    <t>Used By</t>
  </si>
  <si>
    <t>Named Reference</t>
  </si>
  <si>
    <t>Sales Agents</t>
  </si>
  <si>
    <t>Direct base rate</t>
  </si>
  <si>
    <t>Paid gross sales is at or below the direct-agent threshold</t>
  </si>
  <si>
    <t>Net Sales (commission basis) × applicable rate</t>
  </si>
  <si>
    <t>Monthly Commission</t>
  </si>
  <si>
    <t>Agent_Base_Rate</t>
  </si>
  <si>
    <t>Direct high-sales threshold</t>
  </si>
  <si>
    <t>Direct paid gross sales must be greater than this amount</t>
  </si>
  <si>
    <t>Selects the base or high direct-agent rate</t>
  </si>
  <si>
    <t>Agent_High_Sales_Threshold</t>
  </si>
  <si>
    <t>Direct high rate</t>
  </si>
  <si>
    <t>Paid gross sales is greater than the direct-agent threshold</t>
  </si>
  <si>
    <t>Agent_High_Rate</t>
  </si>
  <si>
    <t>Online rate</t>
  </si>
  <si>
    <t>Agent mode is online</t>
  </si>
  <si>
    <t>Net Sales (commission basis) × online rate</t>
  </si>
  <si>
    <t>Agent_Online_Rate</t>
  </si>
  <si>
    <t>Savings rate</t>
  </si>
  <si>
    <t>Applied after agent-specific expenses</t>
  </si>
  <si>
    <t>(Commission − Agent Expense) × savings rate</t>
  </si>
  <si>
    <t>Commission Summary</t>
  </si>
  <si>
    <t>Agent_Savings_Rate</t>
  </si>
  <si>
    <t>Category rate source</t>
  </si>
  <si>
    <t>%Comm!B31:C42</t>
  </si>
  <si>
    <t>Match each category for the selected month</t>
  </si>
  <si>
    <t>(Category Gross − allocated expense) × category rate</t>
  </si>
  <si>
    <t>Manager_Category_Rates</t>
  </si>
  <si>
    <t>Expense allocation</t>
  </si>
  <si>
    <t>Gross sales ratio</t>
  </si>
  <si>
    <t>Allocation pool: Monthly Expenses + Total Agent Commission</t>
  </si>
  <si>
    <t>Pool × Rate-Tier Gross Sales ÷ Total Gross Sales</t>
  </si>
  <si>
    <t>Month driver</t>
  </si>
  <si>
    <t>Executive Summary!B3</t>
  </si>
  <si>
    <t>Uses selected-month category sales and expenses</t>
  </si>
  <si>
    <t>Sum of category-level net commissions</t>
  </si>
  <si>
    <t>Store gross sales threshold</t>
  </si>
  <si>
    <t>Store paid gross sales must be greater than this amount</t>
  </si>
  <si>
    <t>Store Gross − allocated expenses; allocation uses overall gross sales</t>
  </si>
  <si>
    <t>Sales_Staff_Threshold</t>
  </si>
  <si>
    <t>Commission rate</t>
  </si>
  <si>
    <t>Only when store gross exceeds the sales-staff threshold</t>
  </si>
  <si>
    <t>Eligible net store basis × rate</t>
  </si>
  <si>
    <t>Sales_Staff_Rate</t>
  </si>
  <si>
    <t>Applied to positive net Ikot sales</t>
  </si>
  <si>
    <t>(Ikot Sales − Ikot Expenses) × rate</t>
  </si>
  <si>
    <t>Ikot_Commission_Rate</t>
  </si>
  <si>
    <t>Bottomline threshold</t>
  </si>
  <si>
    <t>Pre-commission bottomline must be greater than this amount</t>
  </si>
  <si>
    <t>Determines whether each departmental pool is funded</t>
  </si>
  <si>
    <t>Back_Office_Threshold</t>
  </si>
  <si>
    <t>Department pool rate</t>
  </si>
  <si>
    <t>Applied per eligible department when threshold is exceeded</t>
  </si>
  <si>
    <t>Pre-commission Bottomline × rate, divided among department staff</t>
  </si>
  <si>
    <t>Back_Office_Rate</t>
  </si>
  <si>
    <t>Stewardship</t>
  </si>
  <si>
    <t>Tithes rate</t>
  </si>
  <si>
    <t>Applied to true bottomline after Back Office commission</t>
  </si>
  <si>
    <t>True Bottomline × tithes rate</t>
  </si>
  <si>
    <t>Tithes_Rate</t>
  </si>
  <si>
    <t>Offering multiplier</t>
  </si>
  <si>
    <t>Applied to the calculated tithes amount</t>
  </si>
  <si>
    <t>Tithes × multiplier; 100% means offering equals tithes</t>
  </si>
  <si>
    <t>Offering_Multiplier</t>
  </si>
  <si>
    <t>LIVE QUALIFICATION &amp; PAYOUT CHECK</t>
  </si>
  <si>
    <t>Commission Group</t>
  </si>
  <si>
    <t>Current Basis</t>
  </si>
  <si>
    <t>Threshold / Floor</t>
  </si>
  <si>
    <t>Applied Rate</t>
  </si>
  <si>
    <t>Current Tier / Status</t>
  </si>
  <si>
    <t>Current Payout</t>
  </si>
  <si>
    <t>Source</t>
  </si>
  <si>
    <t>ItemReportsCategory / Store Expenses</t>
  </si>
  <si>
    <t>AgentYearlySales / allocated expenses</t>
  </si>
  <si>
    <t>Ikot Summary</t>
  </si>
  <si>
    <t>Operating Net Income</t>
  </si>
  <si>
    <t>Agent Savings</t>
  </si>
  <si>
    <t>Commission Summary after expenses</t>
  </si>
  <si>
    <t>Tithes + Offering</t>
  </si>
  <si>
    <t>True bottomline after BO commission</t>
  </si>
  <si>
    <t>SALES PERFORMANCE &amp; GROWTH DRIVERS</t>
  </si>
  <si>
    <t>Live scorecard for revenue momentum, category mix, agent productivity, margin, and collections</t>
  </si>
  <si>
    <t>Selected Month</t>
  </si>
  <si>
    <t>Period</t>
  </si>
  <si>
    <t>Gross Sales</t>
  </si>
  <si>
    <t>Net Sales</t>
  </si>
  <si>
    <t>Net Sales Yield</t>
  </si>
  <si>
    <t>MoM Gross Growth</t>
  </si>
  <si>
    <t>Expense Ratio</t>
  </si>
  <si>
    <t>Ikot Collection Rate</t>
  </si>
  <si>
    <t>STORY IN BRIEF</t>
  </si>
  <si>
    <t>CATEGORY PERFORMANCE</t>
  </si>
  <si>
    <t>GROSS SALES BY CATEGORY</t>
  </si>
  <si>
    <t>Sales Mix</t>
  </si>
  <si>
    <t>Net Yield</t>
  </si>
  <si>
    <t>Growth Priority</t>
  </si>
  <si>
    <t>BATTERY</t>
  </si>
  <si>
    <t>CAR AIRCON</t>
  </si>
  <si>
    <t>INSTALLATION MATERIALS</t>
  </si>
  <si>
    <t>REFRIGERANTS</t>
  </si>
  <si>
    <t>PV PANELS</t>
  </si>
  <si>
    <t>GENERAL</t>
  </si>
  <si>
    <t>AIRCON UNIT</t>
  </si>
  <si>
    <t>TOOLS</t>
  </si>
  <si>
    <t>ELECTRICAL</t>
  </si>
  <si>
    <t>AIRCON PARTS</t>
  </si>
  <si>
    <t>INVERTER</t>
  </si>
  <si>
    <t>CONSTRUCTION</t>
  </si>
  <si>
    <t>AGENT PRODUCTIVITY</t>
  </si>
  <si>
    <t>PAID SALES BY AGENT</t>
  </si>
  <si>
    <t>Agent</t>
  </si>
  <si>
    <t>Mode</t>
  </si>
  <si>
    <t>Paid Sales</t>
  </si>
  <si>
    <t>Coaching Priority</t>
  </si>
  <si>
    <t>3-MONTH SALES WINDOW</t>
  </si>
  <si>
    <t>GROSS VS NET SALES TREND</t>
  </si>
  <si>
    <t>The right-hand month reflects records entered to date and may be partial.</t>
  </si>
  <si>
    <t>SALES ACTIONS</t>
  </si>
  <si>
    <t>Driver</t>
  </si>
  <si>
    <t>Signal</t>
  </si>
  <si>
    <t>Recommended Action</t>
  </si>
  <si>
    <t>Momentum</t>
  </si>
  <si>
    <t>Recover the prior-month gap with weekly category targets and pipeline reviews.</t>
  </si>
  <si>
    <t>Category mix</t>
  </si>
  <si>
    <t>Defend Refrigerants and Installation Materials while building secondary categories.</t>
  </si>
  <si>
    <t>Agent coverage</t>
  </si>
  <si>
    <t>Reallocate leads and coach inactive agents with weekly activity targets.</t>
  </si>
  <si>
    <t>Collections</t>
  </si>
  <si>
    <t>Prioritize overdue follow-up and track collections separately from booked sales.</t>
  </si>
  <si>
    <t>Margin</t>
  </si>
  <si>
    <t>Review low-yield categories and deals before discounting or approving commissions.</t>
  </si>
  <si>
    <t>AGENT COMMISSION</t>
  </si>
  <si>
    <t>Paid Gross Sales</t>
  </si>
  <si>
    <t>Net Sales (Commission Basis)</t>
  </si>
  <si>
    <t>Comm %</t>
  </si>
  <si>
    <t>Commission</t>
  </si>
  <si>
    <t>Expense</t>
  </si>
  <si>
    <t>Commission after Expense</t>
  </si>
  <si>
    <t>5% Savings</t>
  </si>
  <si>
    <t>Final Commission</t>
  </si>
  <si>
    <t>BACK OFFICE COMMISSION</t>
  </si>
  <si>
    <t>Recipient(s)</t>
  </si>
  <si>
    <t>COMBINED TOTALS</t>
  </si>
  <si>
    <t>Agent Commission Total</t>
  </si>
  <si>
    <t>Back Office Commission Total</t>
  </si>
  <si>
    <t>GRAND TOTAL</t>
  </si>
  <si>
    <t>COMMISSION SYSTEM - USER GUIDE</t>
  </si>
  <si>
    <t>1. SYSTEM OVERVIEW</t>
  </si>
  <si>
    <t>This workbook calculates commissions for ISHABELLA AIRCON AND REFRIGERATION PARTS TRADING.</t>
  </si>
  <si>
    <t>It covers two types of commissions:</t>
  </si>
  <si>
    <t xml:space="preserve">   • Sales Agents (field agents who sell products)</t>
  </si>
  <si>
    <t xml:space="preserve">   • Back Office Staff (manager, admin, logistics, etc.)</t>
  </si>
  <si>
    <t>2. HOW TO USE</t>
  </si>
  <si>
    <t>Step 1: Select the Month</t>
  </si>
  <si>
    <t xml:space="preserve">   • Go to the Executive Summary sheet (first tab)</t>
  </si>
  <si>
    <t xml:space="preserve">   • Change cell B3 to the desired month (dropdown: January-December)</t>
  </si>
  <si>
    <t xml:space="preserve">   • All calculations across all sheets will automatically update</t>
  </si>
  <si>
    <t xml:space="preserve">   • Note: Monthly Commission and Back Office Commission sheets reference this selection</t>
  </si>
  <si>
    <t>Step 2: Review Key Metrics</t>
  </si>
  <si>
    <t xml:space="preserve">   • Check the KEY METRICS section in Back Office Commission to verify source data</t>
  </si>
  <si>
    <t xml:space="preserve">   • Store Sales, Total Sales, Expenses, Bottomline should match your records</t>
  </si>
  <si>
    <t>Step 3: Check Commission Calculations</t>
  </si>
  <si>
    <t xml:space="preserve">   • Review each commission category (Manager, Sales Staff, Raymart, Back Office)</t>
  </si>
  <si>
    <t xml:space="preserve">   • Verify the rates and amounts are applying correctly</t>
  </si>
  <si>
    <t xml:space="preserve">   • Use the Executive Summary COMMISSION COMMAND CENTER as the only place to edit thresholds and rates</t>
  </si>
  <si>
    <t>3. COMMISSION RULES</t>
  </si>
  <si>
    <t>SALES AGENTS (Monthly Commission sheet)</t>
  </si>
  <si>
    <t xml:space="preserve">   • Commission amount is calculated from Net Sales × applicable rate</t>
  </si>
  <si>
    <t>MANAGER (Bert)</t>
  </si>
  <si>
    <t xml:space="preserve">   • Manager commission uses the category rates in %Comm!B31:C42.</t>
  </si>
  <si>
    <t xml:space="preserve">   • Monthly expenses and total agent commission are combined into one deduction pool.</t>
  </si>
  <si>
    <t xml:space="preserve">   • Allocated deduction = (Monthly Expenses + Agent Commission) × Category Gross Sales ÷ Total Gross Sales.</t>
  </si>
  <si>
    <t xml:space="preserve">   • Manager commission = (Category Gross Sales − Allocated Deduction) × matching category rate, summed across categories.</t>
  </si>
  <si>
    <t>SALES STAFF (Riza)</t>
  </si>
  <si>
    <t xml:space="preserve">   • Net basis = Store Gross Sales - allocated monthly expenses</t>
  </si>
  <si>
    <t xml:space="preserve">   • Allocated expenses = Monthly Expenses × Store Gross Sales ÷ Overall Monthly Sales (paid and unpaid from ItemReportsCategory)</t>
  </si>
  <si>
    <t>RAYMART (Ikot Sales)</t>
  </si>
  <si>
    <t>BACK OFFICE STAFF</t>
  </si>
  <si>
    <t xml:space="preserve">   • Applies to: Purchasing (Shiena), Admin (Glydal, Riza), Logistics (Vincent, Jojo, Mark), Marketing (Rod)</t>
  </si>
  <si>
    <t>4. CURRENT WORKBOOK STRUCTURE</t>
  </si>
  <si>
    <t>Sheet</t>
  </si>
  <si>
    <t>Purpose</t>
  </si>
  <si>
    <t>Primary Inputs</t>
  </si>
  <si>
    <t>Executive Summary</t>
  </si>
  <si>
    <t>Master month selector and management dashboard</t>
  </si>
  <si>
    <t>Combined agent and Back Office payout report</t>
  </si>
  <si>
    <t>Monthly Commission; Back Office Commission</t>
  </si>
  <si>
    <t>Agent commission from paid gross sales</t>
  </si>
  <si>
    <t>AgentYearlySales</t>
  </si>
  <si>
    <t>Manager, Sales Staff, Raymart, and department commissions</t>
  </si>
  <si>
    <t>ItemReportsCategory; Store Expenses; Ikot Summary</t>
  </si>
  <si>
    <t>Monthly paid sales and historical agent records</t>
  </si>
  <si>
    <t>Manual/imported sales records</t>
  </si>
  <si>
    <t>ItemReportsCategory</t>
  </si>
  <si>
    <t>Overall paid and unpaid sales by category</t>
  </si>
  <si>
    <t>Monthly category report</t>
  </si>
  <si>
    <t>%Comm</t>
  </si>
  <si>
    <t>Commission-rate reference</t>
  </si>
  <si>
    <t>Current approved rules</t>
  </si>
  <si>
    <t>Store Expenses</t>
  </si>
  <si>
    <t>Monthly operating expenses, including recurring bad-debt repayment</t>
  </si>
  <si>
    <t>Expense entries; ₱90,000 monthly Bad Debt Repayment</t>
  </si>
  <si>
    <t>Ikot Sales</t>
  </si>
  <si>
    <t>Detailed Ikot transactions</t>
  </si>
  <si>
    <t>Sales and collection entries</t>
  </si>
  <si>
    <t>Ikot monthly and agent summaries</t>
  </si>
  <si>
    <t>5. STORE EXPENSES &amp; BAD DEBT REPAYMENT</t>
  </si>
  <si>
    <t xml:space="preserve">   • Bad Debt Repayment is recorded in Store Expenses at ₱90,000 every month (₱1,080,000 annualized).</t>
  </si>
  <si>
    <t xml:space="preserve">   • It is included in the monthly TOTAL and therefore reduces Operating Net Income and the true Bottomline.</t>
  </si>
  <si>
    <t xml:space="preserve">   • It also reduces the Manager and Sales Staff commission bases because both formulas use Monthly Expenses.</t>
  </si>
  <si>
    <t xml:space="preserve">   • Update the Store Expenses row if the scheduled repayment amount changes.</t>
  </si>
  <si>
    <t>6. CURRENT CALCULATION FLOW</t>
  </si>
  <si>
    <t>Net Sales × applicable agent rate</t>
  </si>
  <si>
    <t>Manager</t>
  </si>
  <si>
    <t>(Overall ItemReports Gross Sales - Monthly Expenses) × tier rate</t>
  </si>
  <si>
    <t>Sales Staff</t>
  </si>
  <si>
    <t>(Store Gross - proportional expense allocation) × rate</t>
  </si>
  <si>
    <t>Raymart</t>
  </si>
  <si>
    <t>(Ikot Sales - Ikot Expenses) × rate</t>
  </si>
  <si>
    <t>Departmental pool from pre-commission Bottomline</t>
  </si>
  <si>
    <t>Operating Net Income - total Back Office commission</t>
  </si>
  <si>
    <t>Displayed in Executive Summary</t>
  </si>
  <si>
    <t>Tithes / Offering</t>
  </si>
  <si>
    <t>True Bottomline × tithes rate; Offering × multiplier</t>
  </si>
  <si>
    <t>7. MONTH-END CHECKLIST</t>
  </si>
  <si>
    <t>Select the month in Executive Summary!B3</t>
  </si>
  <si>
    <t>All linked month selectors should update</t>
  </si>
  <si>
    <t>Confirm ItemReportsCategory report title matches the selected month</t>
  </si>
  <si>
    <t>This sheet is a single-month imported report</t>
  </si>
  <si>
    <t>Confirm AgentYearlySales paid gross sales</t>
  </si>
  <si>
    <t>Used for agent and Store gross calculations</t>
  </si>
  <si>
    <t>Confirm Store Expenses monthly total and the ₱90,000 Bad Debt Repayment</t>
  </si>
  <si>
    <t>Used in Manager, Sales Staff, operating income, and Bottomline</t>
  </si>
  <si>
    <t>Review Ikot Summary sales and expenses</t>
  </si>
  <si>
    <t>Used for Raymart commission</t>
  </si>
  <si>
    <t>Review comparison differences in Monthly Commission</t>
  </si>
  <si>
    <t>Historical recorded values may use the previous basis</t>
  </si>
  <si>
    <t>Review Commission Summary grand total</t>
  </si>
  <si>
    <t>Final payout control total</t>
  </si>
  <si>
    <t>8. IMPORTANT LIMITATION</t>
  </si>
  <si>
    <t>ItemReportsCategory is currently a single-month report.</t>
  </si>
  <si>
    <t>Before changing Executive Summary!B3 to another month, replace or refresh ItemReportsCategory with that month’s report.</t>
  </si>
  <si>
    <t>The Executive Summary footer displays a mismatch warning.</t>
  </si>
  <si>
    <t>MONTHLY COMMISSION REPORT</t>
  </si>
  <si>
    <t>HELPER AREA</t>
  </si>
  <si>
    <t>Select Month:</t>
  </si>
  <si>
    <t>Month Index</t>
  </si>
  <si>
    <t>#</t>
  </si>
  <si>
    <t>Month#</t>
  </si>
  <si>
    <t>Sales Col</t>
  </si>
  <si>
    <t>Capital Col</t>
  </si>
  <si>
    <t>NetSales Col</t>
  </si>
  <si>
    <t>Comm Col</t>
  </si>
  <si>
    <t>ARNOLD ORTIZ</t>
  </si>
  <si>
    <t>direct</t>
  </si>
  <si>
    <t>C</t>
  </si>
  <si>
    <t>D</t>
  </si>
  <si>
    <t>F</t>
  </si>
  <si>
    <t>H</t>
  </si>
  <si>
    <t>JENNIFER DUM-OGAN - ONLINE</t>
  </si>
  <si>
    <t>online</t>
  </si>
  <si>
    <t>I</t>
  </si>
  <si>
    <t>J</t>
  </si>
  <si>
    <t>L</t>
  </si>
  <si>
    <t>O</t>
  </si>
  <si>
    <t>JOVY VILLANUEVA</t>
  </si>
  <si>
    <t>P</t>
  </si>
  <si>
    <t>Q</t>
  </si>
  <si>
    <t>S</t>
  </si>
  <si>
    <t>U</t>
  </si>
  <si>
    <t>MARIVIC BRILLANTES</t>
  </si>
  <si>
    <t>V</t>
  </si>
  <si>
    <t>W</t>
  </si>
  <si>
    <t>Y</t>
  </si>
  <si>
    <t>AA</t>
  </si>
  <si>
    <t>MICHAEL PLAZA</t>
  </si>
  <si>
    <t>AB</t>
  </si>
  <si>
    <t>AC</t>
  </si>
  <si>
    <t>AE</t>
  </si>
  <si>
    <t>AG</t>
  </si>
  <si>
    <t>MODESTO PAG-ARIGON</t>
  </si>
  <si>
    <t>AH</t>
  </si>
  <si>
    <t>AI</t>
  </si>
  <si>
    <t>AK</t>
  </si>
  <si>
    <t>AM</t>
  </si>
  <si>
    <t>MODESTO PAG-ARIGON - ONLINE</t>
  </si>
  <si>
    <t>AN</t>
  </si>
  <si>
    <t>AO</t>
  </si>
  <si>
    <t>AQ</t>
  </si>
  <si>
    <t>AS</t>
  </si>
  <si>
    <t>RAMONITO VILLANUEVA - ONLINE</t>
  </si>
  <si>
    <t>AT</t>
  </si>
  <si>
    <t>AU</t>
  </si>
  <si>
    <t>AW</t>
  </si>
  <si>
    <t>AY</t>
  </si>
  <si>
    <t>ROCKY DELA PENA</t>
  </si>
  <si>
    <t>AZ</t>
  </si>
  <si>
    <t>BA</t>
  </si>
  <si>
    <t>BC</t>
  </si>
  <si>
    <t>BE</t>
  </si>
  <si>
    <t>ROD SANTIAGO</t>
  </si>
  <si>
    <t>BF</t>
  </si>
  <si>
    <t>BG</t>
  </si>
  <si>
    <t>BI</t>
  </si>
  <si>
    <t>BK</t>
  </si>
  <si>
    <t>TOTAL</t>
  </si>
  <si>
    <t>BR</t>
  </si>
  <si>
    <t>BS</t>
  </si>
  <si>
    <t>BU</t>
  </si>
  <si>
    <t>BW</t>
  </si>
  <si>
    <t>COMPARISON: Calculated vs Recorded (AgentYearlySales)</t>
  </si>
  <si>
    <t>Calculated Comm</t>
  </si>
  <si>
    <t>Recorded Commission</t>
  </si>
  <si>
    <t>Difference</t>
  </si>
  <si>
    <t>📋 NOTES:</t>
  </si>
  <si>
    <t>• Agent commission is calculated from net sales using the existing rate per agent</t>
  </si>
  <si>
    <t>• Direct agents: 20% if monthly sales ≤ ₱199,999 | 30% if &gt; ₱200,000</t>
  </si>
  <si>
    <t>BACK OFFICE COMMISSION SUMMARY</t>
  </si>
  <si>
    <t>Bert</t>
  </si>
  <si>
    <t>Riza</t>
  </si>
  <si>
    <t>Shiena</t>
  </si>
  <si>
    <t>Purchasing</t>
  </si>
  <si>
    <t>Glydal</t>
  </si>
  <si>
    <t>Admin</t>
  </si>
  <si>
    <t>Vincent</t>
  </si>
  <si>
    <t>Logistics</t>
  </si>
  <si>
    <t>Jojo</t>
  </si>
  <si>
    <t>Mark</t>
  </si>
  <si>
    <t>Rod</t>
  </si>
  <si>
    <t>Marketing</t>
  </si>
  <si>
    <t>KEY METRICS FOR SELECTED MONTH</t>
  </si>
  <si>
    <t>Metric</t>
  </si>
  <si>
    <t>Formula</t>
  </si>
  <si>
    <t>Value</t>
  </si>
  <si>
    <t>Store Gross Sales (Paid)</t>
  </si>
  <si>
    <t>INDIRECT</t>
  </si>
  <si>
    <t>Overall Net Sales (Paid &amp; Unpaid)</t>
  </si>
  <si>
    <t>DIRECT</t>
  </si>
  <si>
    <t>INDEX</t>
  </si>
  <si>
    <t>Calculated</t>
  </si>
  <si>
    <t>Net Sales - Expenses</t>
  </si>
  <si>
    <t>Raymart Ikot Sales</t>
  </si>
  <si>
    <t>INDEX/MATCH</t>
  </si>
  <si>
    <t>Raymart Ikot Expenses</t>
  </si>
  <si>
    <t>Overall Gross Sales (Paid &amp; Unpaid)</t>
  </si>
  <si>
    <t>Bottomline Before Back Office Commission</t>
  </si>
  <si>
    <t>True Bottomline After Back Office Commission</t>
  </si>
  <si>
    <t>Pre-Comm Bottomline - BO Comm</t>
  </si>
  <si>
    <t>Tithes</t>
  </si>
  <si>
    <t>True Bottomline × command-center rate</t>
  </si>
  <si>
    <t>BL</t>
  </si>
  <si>
    <t>BM</t>
  </si>
  <si>
    <t>BO</t>
  </si>
  <si>
    <t>BQ</t>
  </si>
  <si>
    <t>Offering</t>
  </si>
  <si>
    <t>Tithes × command-center multiplier</t>
  </si>
  <si>
    <t>1. MANAGER COMMISSION — BREAKDOWN BY RATE</t>
  </si>
  <si>
    <t>Rate Tier</t>
  </si>
  <si>
    <t>Category Gross Sales</t>
  </si>
  <si>
    <t>Allocated Expenses + Agent Comm</t>
  </si>
  <si>
    <t>Net Commission Basis</t>
  </si>
  <si>
    <t>2. SALES STAFF COMMISSION</t>
  </si>
  <si>
    <t>Component</t>
  </si>
  <si>
    <t>Basis</t>
  </si>
  <si>
    <t>Rate</t>
  </si>
  <si>
    <t>Amount</t>
  </si>
  <si>
    <t>Store Gross Sales qualification</t>
  </si>
  <si>
    <t>3. RAYMART COMMISSION (NET IKOT SALES)</t>
  </si>
  <si>
    <t>Raymart Net Ikot Sales</t>
  </si>
  <si>
    <t>4. BACK OFFICE STAFF (BOTTOMLINE QUALIFICATION)</t>
  </si>
  <si>
    <t>Department</t>
  </si>
  <si>
    <t>Staff</t>
  </si>
  <si>
    <t># Staff</t>
  </si>
  <si>
    <t>Qualifies?</t>
  </si>
  <si>
    <t>Total Comm</t>
  </si>
  <si>
    <t>Per Person</t>
  </si>
  <si>
    <t>Glydal, Riza</t>
  </si>
  <si>
    <t>Vincent, Jojo, Mark</t>
  </si>
  <si>
    <t>MONTHLY CATEGORY RECORDS</t>
  </si>
  <si>
    <t>Recommended layout: append one row per category per month; enter only the input columns and let calculated columns update automatically.</t>
  </si>
  <si>
    <t>INPUTS: Period, Category, Quantity, Gross Sales, Base Cost, Add-on %, Channel, Commission Rate, Notes  |  CALCULATED: Add-on Amount, Capital, Markup, Agent Commission, Net Sales</t>
  </si>
  <si>
    <t>Quantity</t>
  </si>
  <si>
    <t>Base Cost</t>
  </si>
  <si>
    <t>Add-on %</t>
  </si>
  <si>
    <t>Add-on Amount</t>
  </si>
  <si>
    <t>Capital</t>
  </si>
  <si>
    <t>Markup</t>
  </si>
  <si>
    <t>Channel</t>
  </si>
  <si>
    <t>Commission Rate</t>
  </si>
  <si>
    <t>Notes</t>
  </si>
  <si>
    <t>Store</t>
  </si>
  <si>
    <t>Imported from ItemReportsCategory</t>
  </si>
  <si>
    <t>Imported from July 2026 sales report image</t>
  </si>
  <si>
    <t>Imported from August 2026 sales report</t>
  </si>
  <si>
    <t>Template for September 2026 — enter input columns</t>
  </si>
  <si>
    <t>Template for October 2026 — enter input columns</t>
  </si>
  <si>
    <t>Template for November 2026 — enter input columns</t>
  </si>
  <si>
    <t>Template for December 2026 — enter input columns</t>
  </si>
  <si>
    <t xml:space="preserve">ISHABELLA AIRCON  AND REFRIGERATION PARTS TRADING </t>
  </si>
  <si>
    <t>NON-VAT REG TIN 245-311-904-000</t>
  </si>
  <si>
    <t>78 MAIN AVE. SOCORRO CUBAO QUEZON CITY</t>
  </si>
  <si>
    <t>09665212881</t>
  </si>
  <si>
    <t>YEARLY SALES AND COMMISSION FOR THE YEAR 2026</t>
  </si>
  <si>
    <t>DESCRIPTION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</si>
  <si>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</si>
  <si>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</si>
  <si>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</si>
  <si>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</si>
  <si>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</si>
  <si>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</si>
  <si>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</si>
  <si>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</si>
  <si>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</si>
  <si>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</si>
  <si>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</si>
  <si>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</si>
  <si>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SALES</t>
  </si>
  <si>
    <t>CAPITAL</t>
  </si>
  <si>
    <t>EXPENSES</t>
  </si>
  <si>
    <t>NET SALES</t>
  </si>
  <si>
    <t>%</t>
  </si>
  <si>
    <t>COMMISSION</t>
  </si>
  <si>
    <t>1. ARNOLD ORTIZ</t>
  </si>
  <si>
    <t>8,700.00</t>
  </si>
  <si>
    <t>5,800.00</t>
  </si>
  <si>
    <t>0.00</t>
  </si>
  <si>
    <t>2,900.00</t>
  </si>
  <si>
    <t>20</t>
  </si>
  <si>
    <t>580.00</t>
  </si>
  <si>
    <t>385,266.32</t>
  </si>
  <si>
    <t>318,350.44</t>
  </si>
  <si>
    <t>66,915.88</t>
  </si>
  <si>
    <t>30</t>
  </si>
  <si>
    <t>20,074.76</t>
  </si>
  <si>
    <t>2. JENNIFER DUM-OGAN - ONLINE</t>
  </si>
  <si>
    <t>92,977.30</t>
  </si>
  <si>
    <t>54,585.61</t>
  </si>
  <si>
    <t>38,391.69</t>
  </si>
  <si>
    <t>7,678.34</t>
  </si>
  <si>
    <t>3. JOVY VILLANUEVA</t>
  </si>
  <si>
    <t>85,700.00</t>
  </si>
  <si>
    <t>66,701.05</t>
  </si>
  <si>
    <t>18,998.95</t>
  </si>
  <si>
    <t>3,799.79</t>
  </si>
  <si>
    <t>4. MARIVIC BRILLANTES</t>
  </si>
  <si>
    <t>2,800.00</t>
  </si>
  <si>
    <t>1,895.80</t>
  </si>
  <si>
    <t>904.20</t>
  </si>
  <si>
    <t>180.84</t>
  </si>
  <si>
    <t>5. MICHAEL PLAZA</t>
  </si>
  <si>
    <t>494,714.01</t>
  </si>
  <si>
    <t>398,088.74</t>
  </si>
  <si>
    <t>96,625.27</t>
  </si>
  <si>
    <t>28,987.58</t>
  </si>
  <si>
    <t>6. MODESTO PAG-ARIGON</t>
  </si>
  <si>
    <t>45,805.00</t>
  </si>
  <si>
    <t>38,466.37</t>
  </si>
  <si>
    <t>7,338.63</t>
  </si>
  <si>
    <t>1,467.73</t>
  </si>
  <si>
    <t>7. MODESTO PAG-ARIGON - ONLINE</t>
  </si>
  <si>
    <t>162,003.01</t>
  </si>
  <si>
    <t>110,493.80</t>
  </si>
  <si>
    <t>51,509.21</t>
  </si>
  <si>
    <t>10,301.84</t>
  </si>
  <si>
    <t>8. RAMONITO VILLANUEVA - ONLINE</t>
  </si>
  <si>
    <t>69,472.78</t>
  </si>
  <si>
    <t>47,749.20</t>
  </si>
  <si>
    <t>21,723.58</t>
  </si>
  <si>
    <t>4,344.72</t>
  </si>
  <si>
    <t>9. ROCKY DELA PENA</t>
  </si>
  <si>
    <t>71,908.00</t>
  </si>
  <si>
    <t>48,012.06</t>
  </si>
  <si>
    <t>23,895.94</t>
  </si>
  <si>
    <t>4,779.19</t>
  </si>
  <si>
    <t>10. ROD SANTIAGO</t>
  </si>
  <si>
    <t>457,315.00</t>
  </si>
  <si>
    <t>433,299.31</t>
  </si>
  <si>
    <t>24,015.69</t>
  </si>
  <si>
    <t>7,204.71</t>
  </si>
  <si>
    <t>11. STORE</t>
  </si>
  <si>
    <t>1,557.00</t>
  </si>
  <si>
    <t>494.40</t>
  </si>
  <si>
    <t>1,062.60</t>
  </si>
  <si>
    <t>212.52</t>
  </si>
  <si>
    <t>37,040.00</t>
  </si>
  <si>
    <t>33,552.20</t>
  </si>
  <si>
    <t>3,487.80</t>
  </si>
  <si>
    <t>697.56</t>
  </si>
  <si>
    <t>2,807,555.39</t>
  </si>
  <si>
    <t>2,292,906.95</t>
  </si>
  <si>
    <t>514,648.44</t>
  </si>
  <si>
    <t>154,394.53</t>
  </si>
  <si>
    <t>45,740.00</t>
  </si>
  <si>
    <t>39,352.20</t>
  </si>
  <si>
    <t>6,387.80</t>
  </si>
  <si>
    <t>1,277.56</t>
  </si>
  <si>
    <t>4,675,516.81</t>
  </si>
  <si>
    <t>3,810,549.33</t>
  </si>
  <si>
    <t>864,967.48</t>
  </si>
  <si>
    <t>243,214.02</t>
  </si>
  <si>
    <t>BOTTOMLINE</t>
  </si>
  <si>
    <t>MONTHLY EXPENSES</t>
  </si>
  <si>
    <t>Annualized</t>
  </si>
  <si>
    <t>January</t>
  </si>
  <si>
    <t>February</t>
  </si>
  <si>
    <t>March</t>
  </si>
  <si>
    <t>April</t>
  </si>
  <si>
    <t>May</t>
  </si>
  <si>
    <t>June</t>
  </si>
  <si>
    <t>July</t>
  </si>
  <si>
    <t>Aug.</t>
  </si>
  <si>
    <t>Sept.</t>
  </si>
  <si>
    <t>Oct.</t>
  </si>
  <si>
    <t>Nov.</t>
  </si>
  <si>
    <t>Dec.</t>
  </si>
  <si>
    <t>Description</t>
  </si>
  <si>
    <t>13th Month Pay</t>
  </si>
  <si>
    <t>Mayor's Permit</t>
  </si>
  <si>
    <t>GO SOLAR</t>
  </si>
  <si>
    <t>Ishabella 5th Anniv.</t>
  </si>
  <si>
    <t>Solar</t>
  </si>
  <si>
    <t xml:space="preserve">Payment </t>
  </si>
  <si>
    <t>Solar hulugan</t>
  </si>
  <si>
    <t>INCOME</t>
  </si>
  <si>
    <t>NEW BODEGA RENTAL</t>
  </si>
  <si>
    <t>Wigo Monthly</t>
  </si>
  <si>
    <t>HINO</t>
  </si>
  <si>
    <t>Prof. Fee Nang nine</t>
  </si>
  <si>
    <t>OWNER EXPENSES</t>
  </si>
  <si>
    <t>OWNER ALLOWANCE</t>
  </si>
  <si>
    <t>Salary 15th</t>
  </si>
  <si>
    <t>Salary 30th</t>
  </si>
  <si>
    <t>MANDATORIES</t>
  </si>
  <si>
    <t>JBB</t>
  </si>
  <si>
    <t>MARK UP</t>
  </si>
  <si>
    <t>Remarks</t>
  </si>
  <si>
    <t>Others</t>
  </si>
  <si>
    <t>STORE EVERY DAY EXPENSES</t>
  </si>
  <si>
    <t xml:space="preserve">Materials </t>
  </si>
  <si>
    <t>STORE BILLS</t>
  </si>
  <si>
    <t>Store - Ikot Expenses</t>
  </si>
  <si>
    <t>Zambales/Lipa Arnold 50%</t>
  </si>
  <si>
    <t>Mariosoft</t>
  </si>
  <si>
    <t>MARKETING</t>
  </si>
  <si>
    <t>ADDITONAL FEES</t>
  </si>
  <si>
    <t>Client Commission-Materials (S.I)</t>
  </si>
  <si>
    <t>Client Commission-Aircon units (S.I)</t>
  </si>
  <si>
    <t>BANK FEE (BOUNCE CHECK)</t>
  </si>
  <si>
    <t>Bad Debt Repayment</t>
  </si>
  <si>
    <t>Banana boat</t>
  </si>
  <si>
    <t>Date</t>
  </si>
  <si>
    <t>Month</t>
  </si>
  <si>
    <t>Year</t>
  </si>
  <si>
    <t>Sales</t>
  </si>
  <si>
    <t>Cash Collected</t>
  </si>
  <si>
    <t>G-Cash</t>
  </si>
  <si>
    <t>Total Collected</t>
  </si>
  <si>
    <t>Expenses</t>
  </si>
  <si>
    <t>PDC</t>
  </si>
  <si>
    <t>Location</t>
  </si>
  <si>
    <t>Gas Top Up</t>
  </si>
  <si>
    <t>Collection Rate %</t>
  </si>
  <si>
    <t>Old balance</t>
  </si>
  <si>
    <t>New Balance</t>
  </si>
  <si>
    <t>ARNOLD</t>
  </si>
  <si>
    <t>Cubao/Pasig/Antipolo</t>
  </si>
  <si>
    <t>Pangasinan</t>
  </si>
  <si>
    <t>Nasugbo</t>
  </si>
  <si>
    <t>Nueva Ecija</t>
  </si>
  <si>
    <t>RAYMART</t>
  </si>
  <si>
    <t>Pampanga</t>
  </si>
  <si>
    <t>Lucena</t>
  </si>
  <si>
    <t>Cubao</t>
  </si>
  <si>
    <t>Zambales</t>
  </si>
  <si>
    <t>Batangas</t>
  </si>
  <si>
    <t>Lipa</t>
  </si>
  <si>
    <t>Lipa/Lucena</t>
  </si>
  <si>
    <t>IKOT SALES SUMMARY - 2026</t>
  </si>
  <si>
    <t>AGENT SUMMARY</t>
  </si>
  <si>
    <t>Collection Rate</t>
  </si>
  <si>
    <t>MONTHLY SUMMARY</t>
  </si>
  <si>
    <t>September</t>
  </si>
  <si>
    <t>October</t>
  </si>
  <si>
    <t>November</t>
  </si>
  <si>
    <t>December</t>
  </si>
  <si>
    <t>AGENT SALES PER MONTH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</si>
  <si>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</si>
  <si>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</si>
  <si>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</si>
  <si>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</si>
  <si>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</si>
  <si>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</si>
  <si>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</si>
  <si>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</si>
  <si>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</si>
  <si>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</si>
  <si>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</si>
  <si>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LOCATION SUMMARY</t>
  </si>
  <si>
    <t>Trips</t>
  </si>
  <si>
    <t>COMMISSION PAYSLIP</t>
  </si>
  <si>
    <t>✂</t>
  </si>
  <si>
    <t>ISHABELLA AIRCON AND REFRIGERATION PARTS TRADING</t>
  </si>
  <si>
    <t>Agent Name</t>
  </si>
  <si>
    <t>Date Issued</t>
  </si>
  <si>
    <t>Pay Period</t>
  </si>
  <si>
    <t>Currency</t>
  </si>
  <si>
    <t>PHP</t>
  </si>
  <si>
    <t>EARNINGS AND DEDUCTIONS</t>
  </si>
  <si>
    <t>Gross Commission</t>
  </si>
  <si>
    <t>Less: Agent Expense</t>
  </si>
  <si>
    <t>Less: 5% Savings</t>
  </si>
  <si>
    <t>FINAL COMMISSION</t>
  </si>
  <si>
    <t>Prepared by</t>
  </si>
  <si>
    <t>Received by</t>
  </si>
  <si>
    <t>This payslip updates automatically when the month is changed in Executive Summary.</t>
  </si>
  <si>
    <t>✂  CUT</t>
  </si>
  <si>
    <t>commission based on net sales</t>
  </si>
  <si>
    <t>Category-specific rates in the selected table below</t>
  </si>
  <si>
    <t>Basis: category gross less allocated monthly expenses and agent commission</t>
  </si>
  <si>
    <t>Allocation pool = monthly expenses + total agent commission; distributed by gross-sales ratio</t>
  </si>
  <si>
    <t>Command Center: store threshold and staff rate</t>
  </si>
  <si>
    <t>Basis: Store gross less allocated expense</t>
  </si>
  <si>
    <t>Command Center: Ikot rate</t>
  </si>
  <si>
    <t>Basis: Ikot Sales less Ikot Expenses</t>
  </si>
  <si>
    <t>less expense</t>
  </si>
  <si>
    <t>Command Center: Back Office threshold and pool rate</t>
  </si>
  <si>
    <t>Riza, Glydal</t>
  </si>
  <si>
    <t>Riza, glydal</t>
  </si>
  <si>
    <t>vincent, Jojo, mark</t>
  </si>
  <si>
    <t>Command Center: tithes rate</t>
  </si>
  <si>
    <t>Command Center: offering multiplier</t>
  </si>
  <si>
    <t>Applied to calculated tithes</t>
  </si>
  <si>
    <t>Manager commission</t>
  </si>
  <si>
    <t>YTD</t>
  </si>
  <si>
    <t>No August activity — zero record</t>
  </si>
  <si>
    <t>SUMIFS</t>
  </si>
  <si>
    <t>Category-based rates</t>
  </si>
  <si>
    <t>Sales Staff +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</si>
</sst>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₱&quot;* #,##0.00_-;\-&quot;₱&quot;* #,##0.00_-;_-&quot;₱&quot;* &quot;-&quot;??_-;_-@_-"/>
    <numFmt numFmtId="164" formatCode="_(* #,##0.00_);_(* \(#,##0.00\);_(* &quot;-&quot;??_);_(@_)"/>
    <numFmt numFmtId="165" formatCode="0.0%"/>
    <numFmt numFmtId="166" formatCode="yyyy\-mm\-dd"/>
    <numFmt numFmtId="167" formatCode="&quot;₱&quot;#,##0.00;[Red]\-&quot;₱&quot;#,##0.00;&quot;₱&quot;0.00"/>
    <numFmt numFmtId="168" formatCode="0%;[Red]\-0%;0%"/>
    <numFmt numFmtId="169" formatCode="mmm\ yyyy"/>
    <numFmt numFmtId="170" formatCode="&quot;₱&quot;#,##0.00;[Red]\-&quot;₱&quot;#,##0.00;&quot;₱&quot;\-"/>
    <numFmt numFmtId="171" formatCode="&quot;₱&quot;#,##0.00"/>
    <numFmt numFmtId="172" formatCode="_-&quot;₱&quot;* #,##0_-;\-&quot;₱&quot;* #,##0_-;_-&quot;₱&quot;* &quot;-&quot;??_-;_-@_-"/>
    <numFmt numFmtId="173" formatCode="&quot;₱&quot;#,##0"/>
    <numFmt numFmtId="174" formatCode="\₱#,##0.00"/>
    <numFmt numFmtId="175" formatCode="\₱#,##0.00;[Green]\₱#,##0.00\ &quot;Credit&quot;;\₱0.00"/>
    <numFmt numFmtId="176" formatCode="\₱#,##0.00;[Red]\-\₱#,##0.00"/>
  </numFmts>
  <fonts count="73">
    <font>
      <sz val="10"/>
      <name val="Arial"/>
      <charset val="1"/>
    </font>
    <font>
      <u/>
      <sz val="18"/>
      <color theme="0"/>
      <name val="Arial"/>
      <charset val="134"/>
    </font>
    <font>
      <b/>
      <sz val="10"/>
      <name val="Arial"/>
      <charset val="134"/>
    </font>
    <font>
      <u/>
      <sz val="20"/>
      <color theme="0"/>
      <name val="Arial"/>
      <charset val="134"/>
    </font>
    <font>
      <b/>
      <sz val="8"/>
      <color indexed="8"/>
      <name val="Verdana"/>
      <charset val="134"/>
    </font>
    <font>
      <sz val="8"/>
      <color indexed="8"/>
      <name val="Verdana"/>
      <charset val="134"/>
    </font>
    <font>
      <b/>
      <sz val="10"/>
      <color theme="0"/>
      <name val="Arial"/>
      <charset val="1"/>
    </font>
    <font>
      <sz val="10"/>
      <color theme="1"/>
      <name val="Arial"/>
      <charset val="1"/>
    </font>
    <font>
      <b/>
      <sz val="15"/>
      <name val="Aptos"/>
      <charset val="134"/>
    </font>
    <font>
      <sz val="8"/>
      <name val="Aptos"/>
      <charset val="134"/>
    </font>
    <font>
      <sz val="8"/>
      <name val="Arial"/>
      <charset val="134"/>
    </font>
    <font>
      <b/>
      <sz val="10"/>
      <color rgb="FF1F1F1F"/>
      <name val="Aptos"/>
      <charset val="134"/>
    </font>
    <font>
      <b/>
      <sz val="8"/>
      <color rgb="FF1F1F1F"/>
      <name val="Aptos"/>
      <charset val="134"/>
    </font>
    <font>
      <sz val="7"/>
      <color rgb="FF666666"/>
      <name val="Aptos"/>
      <charset val="134"/>
    </font>
    <font>
      <sz val="8"/>
      <color rgb="FF1F1F1F"/>
      <name val="Aptos"/>
      <charset val="134"/>
    </font>
    <font>
      <i/>
      <sz val="7"/>
      <color rgb="FF666666"/>
      <name val="Aptos"/>
      <charset val="134"/>
    </font>
    <font>
      <b/>
      <sz val="9"/>
      <color rgb="FF1F1F1F"/>
      <name val="Aptos"/>
      <charset val="134"/>
    </font>
    <font>
      <b/>
      <sz val="9"/>
      <name val="Aptos"/>
      <charset val="134"/>
    </font>
    <font>
      <b/>
      <sz val="8"/>
      <name val="Aptos"/>
      <charset val="134"/>
    </font>
    <font>
      <sz val="7"/>
      <color rgb="FF777777"/>
      <name val="Arial"/>
      <charset val="134"/>
    </font>
    <font>
      <sz val="8"/>
      <color rgb="FF777777"/>
      <name val="Arial"/>
      <charset val="134"/>
    </font>
    <font>
      <b/>
      <sz val="14"/>
      <name val="Arial"/>
      <charset val="134"/>
    </font>
    <font>
      <b/>
      <sz val="10"/>
      <color rgb="FFFFFFFF"/>
      <name val="Arial"/>
      <charset val="134"/>
    </font>
    <font>
      <sz val="12"/>
      <color theme="1"/>
      <name val="Arial"/>
      <charset val="134"/>
    </font>
    <font>
      <sz val="11"/>
      <color rgb="FFFF0000"/>
      <name val="Arial"/>
      <charset val="134"/>
    </font>
    <font>
      <sz val="11"/>
      <color rgb="FF7030A0"/>
      <name val="Arial"/>
      <charset val="134"/>
    </font>
    <font>
      <sz val="11"/>
      <color theme="1"/>
      <name val="Arial"/>
      <charset val="134"/>
    </font>
    <font>
      <b/>
      <sz val="11"/>
      <color theme="1"/>
      <name val="Aptos Narrow"/>
      <charset val="134"/>
      <scheme val="minor"/>
    </font>
    <font>
      <b/>
      <sz val="14"/>
      <color theme="1"/>
      <name val="Aptos Narrow"/>
      <charset val="134"/>
      <scheme val="minor"/>
    </font>
    <font>
      <sz val="11"/>
      <name val="Aptos Narrow"/>
      <charset val="134"/>
      <scheme val="minor"/>
    </font>
    <font>
      <b/>
      <sz val="12"/>
      <color theme="1"/>
      <name val="Aptos Narrow"/>
      <charset val="134"/>
      <scheme val="minor"/>
    </font>
    <font>
      <b/>
      <sz val="12"/>
      <name val="Aptos Narrow"/>
      <charset val="134"/>
      <scheme val="minor"/>
    </font>
    <font>
      <sz val="12"/>
      <name val="Aptos Narrow"/>
      <charset val="134"/>
      <scheme val="minor"/>
    </font>
    <font>
      <b/>
      <sz val="11"/>
      <color theme="1"/>
      <name val="Arial"/>
      <charset val="134"/>
    </font>
    <font>
      <b/>
      <sz val="11"/>
      <color rgb="FFFF0000"/>
      <name val="Arial"/>
      <charset val="134"/>
    </font>
    <font>
      <b/>
      <sz val="12"/>
      <color rgb="FFFF0000"/>
      <name val="Aptos Narrow"/>
      <charset val="134"/>
      <scheme val="minor"/>
    </font>
    <font>
      <sz val="11"/>
      <color theme="1"/>
      <name val="Aptos Narrow"/>
      <charset val="134"/>
      <scheme val="minor"/>
    </font>
    <font>
      <b/>
      <sz val="11"/>
      <name val="Aptos Narrow"/>
      <charset val="134"/>
      <scheme val="minor"/>
    </font>
    <font>
      <b/>
      <sz val="14"/>
      <name val="Aptos Narrow"/>
      <charset val="134"/>
      <scheme val="minor"/>
    </font>
    <font>
      <sz val="10"/>
      <color indexed="8"/>
      <name val="Arial"/>
      <charset val="134"/>
    </font>
    <font>
      <sz val="10"/>
      <color rgb="FFFF0000"/>
      <name val="Arial"/>
      <charset val="134"/>
    </font>
    <font>
      <b/>
      <sz val="18"/>
      <color rgb="FFFFFFFF"/>
      <name val="Arial"/>
      <charset val="134"/>
    </font>
    <font>
      <i/>
      <sz val="10"/>
      <color rgb="FF666666"/>
      <name val="Arial"/>
      <charset val="134"/>
    </font>
    <font>
      <sz val="10"/>
      <color rgb="FF002060"/>
      <name val="Arial"/>
      <charset val="134"/>
    </font>
    <font>
      <b/>
      <sz val="14"/>
      <color rgb="FFFFFFFF"/>
      <name val="Arial"/>
      <charset val="134"/>
    </font>
    <font>
      <sz val="10"/>
      <name val="Arial"/>
      <charset val="134"/>
    </font>
    <font>
      <b/>
      <sz val="10"/>
      <name val="Arial"/>
      <charset val="1"/>
    </font>
    <font>
      <b/>
      <sz val="12"/>
      <name val="Arial"/>
      <charset val="134"/>
    </font>
    <font>
      <b/>
      <sz val="16"/>
      <color rgb="FF203864"/>
      <name val="Arial"/>
      <charset val="134"/>
    </font>
    <font>
      <b/>
      <sz val="12"/>
      <color rgb="FFFFFFFF"/>
      <name val="Arial"/>
      <charset val="1"/>
    </font>
    <font>
      <sz val="10"/>
      <color rgb="FF404040"/>
      <name val="Arial"/>
      <charset val="1"/>
    </font>
    <font>
      <b/>
      <sz val="16"/>
      <name val="Arial"/>
      <charset val="134"/>
    </font>
    <font>
      <b/>
      <sz val="12"/>
      <color rgb="FFFFFFFF"/>
      <name val="Arial"/>
      <charset val="134"/>
    </font>
    <font>
      <b/>
      <sz val="18"/>
      <color rgb="FFFFFFFF"/>
      <name val="Arial"/>
      <charset val="1"/>
    </font>
    <font>
      <i/>
      <sz val="10"/>
      <color rgb="FF5B6573"/>
      <name val="Arial"/>
      <charset val="1"/>
    </font>
    <font>
      <b/>
      <sz val="10"/>
      <color rgb="FFFFFFFF"/>
      <name val="Arial"/>
      <charset val="1"/>
    </font>
    <font>
      <b/>
      <sz val="18"/>
      <name val="Arial"/>
      <charset val="1"/>
    </font>
    <font>
      <b/>
      <sz val="11"/>
      <color rgb="FFFFFFFF"/>
      <name val="Arial"/>
      <charset val="1"/>
    </font>
    <font>
      <b/>
      <u/>
      <sz val="10"/>
      <color rgb="FFFFFFFF"/>
      <name val="Arial"/>
      <charset val="134"/>
    </font>
    <font>
      <b/>
      <sz val="14"/>
      <color rgb="FFFF0000"/>
      <name val="Arial"/>
      <charset val="134"/>
    </font>
    <font>
      <u/>
      <sz val="10"/>
      <color rgb="FFFF0000"/>
      <name val="Arial"/>
      <charset val="134"/>
    </font>
    <font>
      <u/>
      <sz val="14"/>
      <color rgb="FFFF0000"/>
      <name val="Arial"/>
      <charset val="134"/>
    </font>
    <font>
      <sz val="10"/>
      <color rgb="FF006100"/>
      <name val="Arial"/>
      <charset val="134"/>
    </font>
    <font>
      <sz val="10"/>
      <color rgb="FF9C5700"/>
      <name val="Arial"/>
      <charset val="134"/>
    </font>
    <font>
      <sz val="10"/>
      <color rgb="FF9C0006"/>
      <name val="Arial"/>
      <charset val="134"/>
    </font>
    <font>
      <i/>
      <sz val="9"/>
      <color rgb="FF666666"/>
      <name val="Arial"/>
      <charset val="134"/>
    </font>
    <font>
      <i/>
      <sz val="10"/>
      <color rgb="FF666666"/>
      <name val="Arial"/>
      <charset val="1"/>
    </font>
    <font>
      <sz val="10"/>
      <color rgb="FF1F1F1F"/>
      <name val="Arial"/>
      <charset val="1"/>
    </font>
    <font>
      <b/>
      <sz val="10"/>
      <color rgb="FF1F1F1F"/>
      <name val="Arial"/>
      <charset val="1"/>
    </font>
    <font>
      <u/>
      <sz val="10"/>
      <color theme="10"/>
      <name val="Arial"/>
      <charset val="134"/>
    </font>
    <font>
      <sz val="11"/>
      <color rgb="FF000000"/>
      <name val="Arial"/>
      <charset val="134"/>
    </font>
    <font>
      <sz val="10"/>
      <name val="Arial"/>
      <charset val="1"/>
    </font>
    <font>
      <sz val="10"/>
      <color rgb="FFFF000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2065187536243"/>
        <bgColor theme="4" tint="0.79992065187536243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7324D"/>
        <bgColor indexed="64"/>
      </patternFill>
    </fill>
    <fill>
      <patternFill patternType="solid">
        <fgColor rgb="FFEAF2F4"/>
        <bgColor indexed="64"/>
      </patternFill>
    </fill>
    <fill>
      <patternFill patternType="solid">
        <fgColor rgb="FF0F6B78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070C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23"/>
      </left>
      <right style="medium">
        <color indexed="23"/>
      </right>
      <top style="medium">
        <color indexed="23"/>
      </top>
      <bottom style="medium">
        <color indexed="23"/>
      </bottom>
      <diagonal/>
    </border>
    <border>
      <left/>
      <right/>
      <top style="thin">
        <color theme="4" tint="0.39991454817346722"/>
      </top>
      <bottom style="thin">
        <color theme="4" tint="0.39991454817346722"/>
      </bottom>
      <diagonal/>
    </border>
    <border>
      <left style="dashed">
        <color rgb="FF808080"/>
      </left>
      <right style="dashed">
        <color rgb="FF808080"/>
      </right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dashed">
        <color rgb="FF808080"/>
      </top>
      <bottom style="dashed">
        <color rgb="FF808080"/>
      </bottom>
      <diagonal/>
    </border>
    <border>
      <left style="dashed">
        <color rgb="FF808080"/>
      </left>
      <right style="dashed">
        <color rgb="FF808080"/>
      </right>
      <top style="dashed">
        <color rgb="FF808080"/>
      </top>
      <bottom style="dashed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>
      <alignment wrapText="1"/>
    </xf>
    <xf numFmtId="164" fontId="45" fillId="0" borderId="0" applyFont="0" applyFill="0" applyBorder="0" applyAlignment="0" applyProtection="0">
      <alignment wrapText="1"/>
    </xf>
    <xf numFmtId="9" fontId="71" fillId="0" borderId="0" applyFont="0" applyFill="0" applyBorder="0" applyAlignment="0" applyProtection="0"/>
    <xf numFmtId="0" fontId="69" fillId="0" borderId="0" applyNumberFormat="0" applyFill="0" applyBorder="0" applyAlignment="0" applyProtection="0">
      <alignment wrapText="1"/>
    </xf>
  </cellStyleXfs>
  <cellXfs count="340">
    <xf numFmtId="0" fontId="0" fillId="0" borderId="0" xfId="0">
      <alignment wrapText="1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 wrapText="1"/>
    </xf>
    <xf numFmtId="0" fontId="0" fillId="0" borderId="0" xfId="0" applyAlignment="1"/>
    <xf numFmtId="44" fontId="0" fillId="0" borderId="0" xfId="0" applyNumberFormat="1" applyAlignment="1"/>
    <xf numFmtId="3" fontId="0" fillId="0" borderId="0" xfId="0" applyNumberFormat="1">
      <alignment wrapText="1"/>
    </xf>
    <xf numFmtId="0" fontId="0" fillId="0" borderId="0" xfId="0" applyAlignment="1">
      <alignment horizontal="center" wrapText="1"/>
    </xf>
    <xf numFmtId="0" fontId="3" fillId="2" borderId="1" xfId="3" applyFont="1" applyFill="1" applyBorder="1" applyAlignment="1">
      <alignment horizontal="center" vertical="center" wrapText="1"/>
    </xf>
    <xf numFmtId="164" fontId="4" fillId="0" borderId="2" xfId="1" applyFont="1" applyFill="1" applyBorder="1" applyAlignment="1">
      <alignment horizontal="center" vertical="top" wrapText="1"/>
    </xf>
    <xf numFmtId="164" fontId="4" fillId="0" borderId="2" xfId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center" wrapText="1"/>
    </xf>
    <xf numFmtId="9" fontId="5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center" wrapText="1"/>
    </xf>
    <xf numFmtId="0" fontId="6" fillId="4" borderId="3" xfId="0" applyFont="1" applyFill="1" applyBorder="1">
      <alignment wrapText="1"/>
    </xf>
    <xf numFmtId="0" fontId="6" fillId="4" borderId="3" xfId="0" applyFont="1" applyFill="1" applyBorder="1" applyAlignment="1">
      <alignment horizontal="center" wrapText="1"/>
    </xf>
    <xf numFmtId="0" fontId="7" fillId="5" borderId="3" xfId="0" applyFont="1" applyFill="1" applyBorder="1">
      <alignment wrapText="1"/>
    </xf>
    <xf numFmtId="165" fontId="7" fillId="5" borderId="3" xfId="2" applyNumberFormat="1" applyFont="1" applyFill="1" applyBorder="1" applyAlignment="1">
      <alignment horizontal="center" wrapText="1"/>
    </xf>
    <xf numFmtId="0" fontId="7" fillId="0" borderId="3" xfId="0" applyFont="1" applyBorder="1">
      <alignment wrapText="1"/>
    </xf>
    <xf numFmtId="165" fontId="7" fillId="0" borderId="3" xfId="2" applyNumberFormat="1" applyFont="1" applyBorder="1" applyAlignment="1">
      <alignment horizontal="center" wrapText="1"/>
    </xf>
    <xf numFmtId="0" fontId="10" fillId="7" borderId="4" xfId="0" applyFont="1" applyFill="1" applyBorder="1" applyAlignment="1">
      <alignment horizontal="center" wrapText="1"/>
    </xf>
    <xf numFmtId="0" fontId="14" fillId="0" borderId="0" xfId="0" applyFont="1" applyAlignment="1">
      <alignment vertical="center"/>
    </xf>
    <xf numFmtId="0" fontId="12" fillId="8" borderId="0" xfId="0" applyFont="1" applyFill="1" applyAlignment="1">
      <alignment vertical="center"/>
    </xf>
    <xf numFmtId="0" fontId="14" fillId="0" borderId="0" xfId="0" applyFont="1" applyAlignment="1">
      <alignment horizontal="right" vertical="center"/>
    </xf>
    <xf numFmtId="0" fontId="19" fillId="0" borderId="8" xfId="0" applyFont="1" applyBorder="1">
      <alignment wrapText="1"/>
    </xf>
    <xf numFmtId="0" fontId="20" fillId="7" borderId="9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22" fillId="9" borderId="10" xfId="0" applyFont="1" applyFill="1" applyBorder="1">
      <alignment wrapText="1"/>
    </xf>
    <xf numFmtId="0" fontId="2" fillId="10" borderId="10" xfId="0" applyFont="1" applyFill="1" applyBorder="1">
      <alignment wrapText="1"/>
    </xf>
    <xf numFmtId="0" fontId="0" fillId="0" borderId="10" xfId="0" applyBorder="1">
      <alignment wrapText="1"/>
    </xf>
    <xf numFmtId="4" fontId="0" fillId="0" borderId="10" xfId="0" applyNumberFormat="1" applyBorder="1">
      <alignment wrapText="1"/>
    </xf>
    <xf numFmtId="165" fontId="0" fillId="0" borderId="10" xfId="0" applyNumberFormat="1" applyBorder="1">
      <alignment wrapText="1"/>
    </xf>
    <xf numFmtId="0" fontId="2" fillId="0" borderId="10" xfId="0" applyFont="1" applyBorder="1">
      <alignment wrapText="1"/>
    </xf>
    <xf numFmtId="4" fontId="2" fillId="0" borderId="10" xfId="0" applyNumberFormat="1" applyFont="1" applyBorder="1">
      <alignment wrapText="1"/>
    </xf>
    <xf numFmtId="165" fontId="2" fillId="0" borderId="10" xfId="0" applyNumberFormat="1" applyFont="1" applyBorder="1">
      <alignment wrapText="1"/>
    </xf>
    <xf numFmtId="4" fontId="0" fillId="0" borderId="10" xfId="0" applyNumberFormat="1" applyBorder="1" applyAlignment="1">
      <alignment horizontal="center" vertical="center" wrapText="1"/>
    </xf>
    <xf numFmtId="165" fontId="0" fillId="0" borderId="10" xfId="0" applyNumberFormat="1" applyBorder="1" applyAlignment="1">
      <alignment horizontal="center" vertical="center" wrapText="1"/>
    </xf>
    <xf numFmtId="0" fontId="2" fillId="10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4" fontId="0" fillId="0" borderId="10" xfId="0" applyNumberFormat="1" applyBorder="1" applyAlignment="1">
      <alignment horizontal="center" wrapText="1"/>
    </xf>
    <xf numFmtId="165" fontId="0" fillId="0" borderId="10" xfId="0" applyNumberForma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4" fontId="2" fillId="0" borderId="10" xfId="0" applyNumberFormat="1" applyFont="1" applyBorder="1" applyAlignment="1">
      <alignment horizontal="center" wrapText="1"/>
    </xf>
    <xf numFmtId="165" fontId="2" fillId="0" borderId="10" xfId="0" applyNumberFormat="1" applyFont="1" applyBorder="1" applyAlignment="1">
      <alignment horizontal="center" wrapText="1"/>
    </xf>
    <xf numFmtId="0" fontId="22" fillId="9" borderId="10" xfId="0" applyFont="1" applyFill="1" applyBorder="1" applyAlignment="1">
      <alignment horizontal="center" vertical="center" wrapText="1"/>
    </xf>
    <xf numFmtId="0" fontId="22" fillId="9" borderId="11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66" fontId="0" fillId="0" borderId="10" xfId="0" applyNumberFormat="1" applyBorder="1" applyAlignment="1">
      <alignment horizontal="center" vertical="center" wrapText="1"/>
    </xf>
    <xf numFmtId="4" fontId="0" fillId="0" borderId="11" xfId="0" applyNumberFormat="1" applyBorder="1" applyAlignment="1">
      <alignment horizontal="center" vertical="center" wrapText="1"/>
    </xf>
    <xf numFmtId="164" fontId="0" fillId="0" borderId="0" xfId="1" applyFont="1" applyAlignment="1">
      <alignment horizontal="center" vertical="center" wrapText="1"/>
    </xf>
    <xf numFmtId="164" fontId="0" fillId="0" borderId="0" xfId="1" applyFont="1" applyAlignment="1">
      <alignment horizontal="center" wrapText="1"/>
    </xf>
    <xf numFmtId="164" fontId="0" fillId="0" borderId="0" xfId="1" applyFont="1">
      <alignment wrapText="1"/>
    </xf>
    <xf numFmtId="4" fontId="0" fillId="0" borderId="0" xfId="0" applyNumberFormat="1">
      <alignment wrapText="1"/>
    </xf>
    <xf numFmtId="0" fontId="23" fillId="0" borderId="0" xfId="0" applyFont="1" applyAlignment="1"/>
    <xf numFmtId="0" fontId="24" fillId="0" borderId="0" xfId="0" applyFont="1" applyAlignment="1"/>
    <xf numFmtId="0" fontId="25" fillId="0" borderId="0" xfId="0" applyFont="1" applyAlignment="1"/>
    <xf numFmtId="0" fontId="26" fillId="0" borderId="0" xfId="0" applyFont="1" applyAlignment="1"/>
    <xf numFmtId="0" fontId="27" fillId="0" borderId="0" xfId="0" applyFont="1" applyAlignment="1"/>
    <xf numFmtId="0" fontId="28" fillId="0" borderId="0" xfId="0" applyFont="1" applyAlignment="1"/>
    <xf numFmtId="164" fontId="29" fillId="0" borderId="0" xfId="1" applyFont="1" applyFill="1" applyAlignment="1">
      <alignment horizontal="center"/>
    </xf>
    <xf numFmtId="164" fontId="26" fillId="0" borderId="0" xfId="0" applyNumberFormat="1" applyFont="1" applyAlignment="1"/>
    <xf numFmtId="164" fontId="28" fillId="0" borderId="0" xfId="1" applyFont="1" applyFill="1" applyAlignment="1">
      <alignment horizontal="center"/>
    </xf>
    <xf numFmtId="17" fontId="30" fillId="0" borderId="12" xfId="0" applyNumberFormat="1" applyFont="1" applyBorder="1" applyAlignment="1">
      <alignment horizontal="center" vertical="center"/>
    </xf>
    <xf numFmtId="17" fontId="28" fillId="0" borderId="12" xfId="0" applyNumberFormat="1" applyFont="1" applyBorder="1" applyAlignment="1">
      <alignment horizontal="center" vertical="center"/>
    </xf>
    <xf numFmtId="164" fontId="31" fillId="11" borderId="13" xfId="1" applyFont="1" applyFill="1" applyBorder="1" applyAlignment="1">
      <alignment horizontal="center" vertical="center"/>
    </xf>
    <xf numFmtId="164" fontId="32" fillId="0" borderId="0" xfId="1" applyFont="1" applyFill="1" applyAlignment="1">
      <alignment horizontal="center"/>
    </xf>
    <xf numFmtId="164" fontId="32" fillId="12" borderId="0" xfId="1" applyFont="1" applyFill="1" applyAlignment="1">
      <alignment horizontal="center"/>
    </xf>
    <xf numFmtId="164" fontId="23" fillId="0" borderId="0" xfId="0" applyNumberFormat="1" applyFont="1" applyAlignment="1"/>
    <xf numFmtId="0" fontId="30" fillId="0" borderId="11" xfId="0" applyFont="1" applyBorder="1" applyAlignment="1">
      <alignment vertical="center"/>
    </xf>
    <xf numFmtId="164" fontId="28" fillId="0" borderId="10" xfId="1" applyFont="1" applyFill="1" applyBorder="1" applyAlignment="1">
      <alignment horizontal="center" vertical="center"/>
    </xf>
    <xf numFmtId="164" fontId="32" fillId="0" borderId="13" xfId="1" applyFont="1" applyFill="1" applyBorder="1" applyAlignment="1">
      <alignment horizontal="center" vertical="center"/>
    </xf>
    <xf numFmtId="164" fontId="32" fillId="0" borderId="10" xfId="1" applyFont="1" applyFill="1" applyBorder="1" applyAlignment="1">
      <alignment horizontal="center"/>
    </xf>
    <xf numFmtId="0" fontId="27" fillId="13" borderId="11" xfId="0" applyFont="1" applyFill="1" applyBorder="1" applyAlignment="1">
      <alignment vertical="center"/>
    </xf>
    <xf numFmtId="164" fontId="28" fillId="13" borderId="10" xfId="1" applyFont="1" applyFill="1" applyBorder="1" applyAlignment="1">
      <alignment horizontal="center" vertical="center"/>
    </xf>
    <xf numFmtId="164" fontId="32" fillId="0" borderId="13" xfId="1" applyFont="1" applyBorder="1" applyAlignment="1">
      <alignment horizontal="center" vertical="center"/>
    </xf>
    <xf numFmtId="0" fontId="26" fillId="0" borderId="16" xfId="0" applyFont="1" applyBorder="1" applyAlignment="1"/>
    <xf numFmtId="164" fontId="26" fillId="0" borderId="17" xfId="0" applyNumberFormat="1" applyFont="1" applyBorder="1" applyAlignment="1"/>
    <xf numFmtId="0" fontId="27" fillId="0" borderId="11" xfId="0" applyFont="1" applyBorder="1" applyAlignment="1">
      <alignment vertical="center"/>
    </xf>
    <xf numFmtId="164" fontId="29" fillId="0" borderId="10" xfId="1" applyFont="1" applyFill="1" applyBorder="1" applyAlignment="1">
      <alignment horizontal="center" vertical="center"/>
    </xf>
    <xf numFmtId="164" fontId="29" fillId="0" borderId="10" xfId="1" applyFont="1" applyFill="1" applyBorder="1" applyAlignment="1">
      <alignment horizontal="center"/>
    </xf>
    <xf numFmtId="164" fontId="29" fillId="15" borderId="10" xfId="1" applyFont="1" applyFill="1" applyBorder="1" applyAlignment="1">
      <alignment horizontal="center"/>
    </xf>
    <xf numFmtId="0" fontId="33" fillId="0" borderId="16" xfId="0" applyFont="1" applyBorder="1" applyAlignment="1"/>
    <xf numFmtId="164" fontId="33" fillId="0" borderId="17" xfId="0" applyNumberFormat="1" applyFont="1" applyBorder="1" applyAlignment="1"/>
    <xf numFmtId="0" fontId="34" fillId="0" borderId="18" xfId="0" applyFont="1" applyBorder="1" applyAlignment="1"/>
    <xf numFmtId="164" fontId="34" fillId="0" borderId="19" xfId="0" applyNumberFormat="1" applyFont="1" applyBorder="1" applyAlignment="1"/>
    <xf numFmtId="0" fontId="27" fillId="16" borderId="11" xfId="0" applyFont="1" applyFill="1" applyBorder="1" applyAlignment="1">
      <alignment vertical="center"/>
    </xf>
    <xf numFmtId="164" fontId="28" fillId="16" borderId="10" xfId="1" applyFont="1" applyFill="1" applyBorder="1" applyAlignment="1">
      <alignment horizontal="center" vertical="center"/>
    </xf>
    <xf numFmtId="164" fontId="32" fillId="13" borderId="13" xfId="1" applyFont="1" applyFill="1" applyBorder="1" applyAlignment="1">
      <alignment horizontal="center" vertical="center"/>
    </xf>
    <xf numFmtId="0" fontId="24" fillId="0" borderId="16" xfId="0" applyFont="1" applyBorder="1" applyAlignment="1"/>
    <xf numFmtId="164" fontId="24" fillId="0" borderId="17" xfId="0" applyNumberFormat="1" applyFont="1" applyBorder="1" applyAlignment="1"/>
    <xf numFmtId="0" fontId="27" fillId="3" borderId="11" xfId="0" applyFont="1" applyFill="1" applyBorder="1" applyAlignment="1">
      <alignment vertical="center"/>
    </xf>
    <xf numFmtId="164" fontId="28" fillId="3" borderId="10" xfId="1" applyFont="1" applyFill="1" applyBorder="1" applyAlignment="1">
      <alignment horizontal="center" vertical="center"/>
    </xf>
    <xf numFmtId="0" fontId="27" fillId="17" borderId="11" xfId="0" applyFont="1" applyFill="1" applyBorder="1" applyAlignment="1">
      <alignment vertical="center"/>
    </xf>
    <xf numFmtId="164" fontId="28" fillId="17" borderId="10" xfId="1" applyFont="1" applyFill="1" applyBorder="1" applyAlignment="1">
      <alignment horizontal="center" vertical="center"/>
    </xf>
    <xf numFmtId="164" fontId="25" fillId="0" borderId="0" xfId="0" applyNumberFormat="1" applyFont="1" applyAlignment="1"/>
    <xf numFmtId="164" fontId="35" fillId="0" borderId="13" xfId="1" applyFont="1" applyFill="1" applyBorder="1" applyAlignment="1">
      <alignment horizontal="center" vertical="center"/>
    </xf>
    <xf numFmtId="164" fontId="35" fillId="0" borderId="10" xfId="1" applyFont="1" applyFill="1" applyBorder="1" applyAlignment="1">
      <alignment horizontal="center"/>
    </xf>
    <xf numFmtId="164" fontId="35" fillId="0" borderId="10" xfId="1" applyFont="1" applyBorder="1" applyAlignment="1">
      <alignment horizontal="center"/>
    </xf>
    <xf numFmtId="0" fontId="33" fillId="18" borderId="0" xfId="0" applyFont="1" applyFill="1" applyAlignment="1">
      <alignment horizontal="center" vertical="center"/>
    </xf>
    <xf numFmtId="164" fontId="33" fillId="18" borderId="0" xfId="0" applyNumberFormat="1" applyFont="1" applyFill="1" applyAlignment="1">
      <alignment horizontal="center" vertical="center"/>
    </xf>
    <xf numFmtId="0" fontId="27" fillId="19" borderId="11" xfId="0" applyFont="1" applyFill="1" applyBorder="1" applyAlignment="1">
      <alignment vertical="center"/>
    </xf>
    <xf numFmtId="164" fontId="28" fillId="19" borderId="10" xfId="1" applyFont="1" applyFill="1" applyBorder="1" applyAlignment="1">
      <alignment horizontal="center" vertical="center"/>
    </xf>
    <xf numFmtId="16" fontId="25" fillId="0" borderId="0" xfId="0" applyNumberFormat="1" applyFont="1" applyAlignment="1"/>
    <xf numFmtId="164" fontId="34" fillId="0" borderId="0" xfId="0" applyNumberFormat="1" applyFont="1" applyAlignment="1"/>
    <xf numFmtId="0" fontId="27" fillId="20" borderId="11" xfId="0" applyFont="1" applyFill="1" applyBorder="1" applyAlignment="1">
      <alignment vertical="center"/>
    </xf>
    <xf numFmtId="164" fontId="28" fillId="20" borderId="10" xfId="1" applyFont="1" applyFill="1" applyBorder="1" applyAlignment="1">
      <alignment horizontal="center" vertical="center"/>
    </xf>
    <xf numFmtId="0" fontId="27" fillId="21" borderId="11" xfId="0" applyFont="1" applyFill="1" applyBorder="1" applyAlignment="1">
      <alignment vertical="center"/>
    </xf>
    <xf numFmtId="164" fontId="28" fillId="21" borderId="10" xfId="1" applyFont="1" applyFill="1" applyBorder="1" applyAlignment="1">
      <alignment horizontal="center" vertical="center"/>
    </xf>
    <xf numFmtId="164" fontId="31" fillId="21" borderId="10" xfId="1" applyFont="1" applyFill="1" applyBorder="1" applyAlignment="1">
      <alignment horizontal="center"/>
    </xf>
    <xf numFmtId="164" fontId="36" fillId="0" borderId="10" xfId="1" applyFont="1" applyFill="1" applyBorder="1" applyAlignment="1">
      <alignment horizontal="center" vertical="center"/>
    </xf>
    <xf numFmtId="164" fontId="31" fillId="20" borderId="10" xfId="1" applyFont="1" applyFill="1" applyBorder="1" applyAlignment="1">
      <alignment horizontal="center"/>
    </xf>
    <xf numFmtId="164" fontId="36" fillId="0" borderId="10" xfId="1" applyFont="1" applyFill="1" applyBorder="1" applyAlignment="1">
      <alignment horizontal="center"/>
    </xf>
    <xf numFmtId="0" fontId="27" fillId="0" borderId="13" xfId="0" applyFont="1" applyBorder="1" applyAlignment="1">
      <alignment vertical="center"/>
    </xf>
    <xf numFmtId="164" fontId="28" fillId="0" borderId="20" xfId="1" applyFont="1" applyFill="1" applyBorder="1" applyAlignment="1">
      <alignment horizontal="center" vertical="center"/>
    </xf>
    <xf numFmtId="164" fontId="37" fillId="18" borderId="20" xfId="1" applyFont="1" applyFill="1" applyBorder="1" applyAlignment="1">
      <alignment horizontal="center" vertical="center"/>
    </xf>
    <xf numFmtId="164" fontId="38" fillId="18" borderId="20" xfId="1" applyFont="1" applyFill="1" applyBorder="1" applyAlignment="1">
      <alignment horizontal="center" vertical="center"/>
    </xf>
    <xf numFmtId="164" fontId="31" fillId="18" borderId="20" xfId="1" applyFont="1" applyFill="1" applyBorder="1" applyAlignment="1">
      <alignment horizontal="center" vertical="center"/>
    </xf>
    <xf numFmtId="164" fontId="37" fillId="18" borderId="0" xfId="1" applyFont="1" applyFill="1" applyAlignment="1">
      <alignment horizontal="center"/>
    </xf>
    <xf numFmtId="0" fontId="39" fillId="0" borderId="0" xfId="0" applyFont="1" applyAlignment="1">
      <alignment vertical="top" wrapText="1"/>
    </xf>
    <xf numFmtId="0" fontId="4" fillId="22" borderId="2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right" vertical="top" wrapText="1"/>
    </xf>
    <xf numFmtId="0" fontId="5" fillId="22" borderId="2" xfId="0" applyFont="1" applyFill="1" applyBorder="1" applyAlignment="1">
      <alignment horizontal="right" vertical="top" wrapText="1"/>
    </xf>
    <xf numFmtId="4" fontId="5" fillId="0" borderId="2" xfId="0" applyNumberFormat="1" applyFont="1" applyBorder="1" applyAlignment="1">
      <alignment horizontal="right" vertical="top" wrapText="1"/>
    </xf>
    <xf numFmtId="9" fontId="5" fillId="0" borderId="2" xfId="0" applyNumberFormat="1" applyFont="1" applyBorder="1" applyAlignment="1">
      <alignment horizontal="right" vertical="top" wrapText="1"/>
    </xf>
    <xf numFmtId="4" fontId="5" fillId="22" borderId="2" xfId="0" applyNumberFormat="1" applyFont="1" applyFill="1" applyBorder="1" applyAlignment="1">
      <alignment horizontal="right" vertical="top" wrapText="1"/>
    </xf>
    <xf numFmtId="0" fontId="4" fillId="0" borderId="2" xfId="0" applyFont="1" applyBorder="1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0" fontId="4" fillId="22" borderId="2" xfId="0" applyFont="1" applyFill="1" applyBorder="1" applyAlignment="1">
      <alignment horizontal="right" vertical="top" wrapText="1"/>
    </xf>
    <xf numFmtId="4" fontId="4" fillId="0" borderId="2" xfId="0" applyNumberFormat="1" applyFont="1" applyBorder="1" applyAlignment="1">
      <alignment horizontal="right" vertical="top" wrapText="1"/>
    </xf>
    <xf numFmtId="4" fontId="4" fillId="22" borderId="2" xfId="0" applyNumberFormat="1" applyFont="1" applyFill="1" applyBorder="1" applyAlignment="1">
      <alignment horizontal="right" vertical="top" wrapText="1"/>
    </xf>
    <xf numFmtId="0" fontId="2" fillId="0" borderId="0" xfId="0" applyFont="1">
      <alignment wrapText="1"/>
    </xf>
    <xf numFmtId="0" fontId="40" fillId="0" borderId="0" xfId="0" applyFont="1">
      <alignment wrapText="1"/>
    </xf>
    <xf numFmtId="0" fontId="41" fillId="23" borderId="0" xfId="0" applyFont="1" applyFill="1" applyAlignment="1">
      <alignment horizontal="left"/>
    </xf>
    <xf numFmtId="0" fontId="41" fillId="23" borderId="0" xfId="0" applyFont="1" applyFill="1" applyAlignment="1">
      <alignment horizontal="left" wrapText="1"/>
    </xf>
    <xf numFmtId="0" fontId="42" fillId="0" borderId="0" xfId="0" applyFont="1">
      <alignment wrapText="1"/>
    </xf>
    <xf numFmtId="169" fontId="0" fillId="0" borderId="0" xfId="0" applyNumberFormat="1" applyAlignment="1">
      <alignment horizontal="center" wrapText="1"/>
    </xf>
    <xf numFmtId="170" fontId="0" fillId="0" borderId="0" xfId="0" applyNumberFormat="1">
      <alignment wrapText="1"/>
    </xf>
    <xf numFmtId="165" fontId="0" fillId="0" borderId="0" xfId="0" applyNumberFormat="1">
      <alignment wrapText="1"/>
    </xf>
    <xf numFmtId="169" fontId="40" fillId="0" borderId="0" xfId="0" applyNumberFormat="1" applyFont="1" applyAlignment="1">
      <alignment horizontal="center" wrapText="1"/>
    </xf>
    <xf numFmtId="4" fontId="40" fillId="0" borderId="0" xfId="0" applyNumberFormat="1" applyFont="1">
      <alignment wrapText="1"/>
    </xf>
    <xf numFmtId="171" fontId="40" fillId="0" borderId="0" xfId="0" applyNumberFormat="1" applyFont="1">
      <alignment wrapText="1"/>
    </xf>
    <xf numFmtId="165" fontId="40" fillId="0" borderId="0" xfId="0" applyNumberFormat="1" applyFont="1">
      <alignment wrapText="1"/>
    </xf>
    <xf numFmtId="169" fontId="43" fillId="0" borderId="0" xfId="0" applyNumberFormat="1" applyFont="1" applyAlignment="1">
      <alignment horizontal="center" wrapText="1"/>
    </xf>
    <xf numFmtId="0" fontId="43" fillId="0" borderId="0" xfId="0" applyFont="1">
      <alignment wrapText="1"/>
    </xf>
    <xf numFmtId="4" fontId="43" fillId="0" borderId="0" xfId="0" applyNumberFormat="1" applyFont="1">
      <alignment wrapText="1"/>
    </xf>
    <xf numFmtId="170" fontId="43" fillId="0" borderId="0" xfId="0" applyNumberFormat="1" applyFont="1">
      <alignment wrapText="1"/>
    </xf>
    <xf numFmtId="165" fontId="43" fillId="0" borderId="0" xfId="0" applyNumberFormat="1" applyFont="1">
      <alignment wrapText="1"/>
    </xf>
    <xf numFmtId="171" fontId="43" fillId="0" borderId="0" xfId="0" applyNumberFormat="1" applyFont="1">
      <alignment wrapText="1"/>
    </xf>
    <xf numFmtId="169" fontId="0" fillId="0" borderId="0" xfId="0" applyNumberFormat="1">
      <alignment wrapText="1"/>
    </xf>
    <xf numFmtId="171" fontId="0" fillId="0" borderId="0" xfId="0" applyNumberFormat="1">
      <alignment wrapText="1"/>
    </xf>
    <xf numFmtId="0" fontId="44" fillId="25" borderId="0" xfId="0" applyFont="1" applyFill="1">
      <alignment wrapText="1"/>
    </xf>
    <xf numFmtId="0" fontId="2" fillId="18" borderId="10" xfId="0" applyFont="1" applyFill="1" applyBorder="1" applyAlignment="1">
      <alignment horizontal="center" wrapText="1"/>
    </xf>
    <xf numFmtId="0" fontId="22" fillId="9" borderId="10" xfId="0" applyFont="1" applyFill="1" applyBorder="1" applyAlignment="1">
      <alignment horizontal="center" wrapText="1"/>
    </xf>
    <xf numFmtId="172" fontId="0" fillId="0" borderId="10" xfId="0" applyNumberFormat="1" applyBorder="1" applyAlignment="1">
      <alignment horizontal="center" wrapText="1"/>
    </xf>
    <xf numFmtId="172" fontId="2" fillId="10" borderId="10" xfId="0" applyNumberFormat="1" applyFont="1" applyFill="1" applyBorder="1" applyAlignment="1">
      <alignment horizontal="center" wrapText="1"/>
    </xf>
    <xf numFmtId="0" fontId="2" fillId="10" borderId="10" xfId="0" applyFont="1" applyFill="1" applyBorder="1" applyAlignment="1">
      <alignment horizontal="center" wrapText="1"/>
    </xf>
    <xf numFmtId="0" fontId="45" fillId="0" borderId="10" xfId="0" applyFont="1" applyBorder="1">
      <alignment wrapText="1"/>
    </xf>
    <xf numFmtId="171" fontId="0" fillId="0" borderId="10" xfId="0" applyNumberFormat="1" applyBorder="1">
      <alignment wrapText="1"/>
    </xf>
    <xf numFmtId="172" fontId="0" fillId="0" borderId="0" xfId="0" applyNumberFormat="1">
      <alignment wrapText="1"/>
    </xf>
    <xf numFmtId="0" fontId="2" fillId="3" borderId="10" xfId="0" applyFont="1" applyFill="1" applyBorder="1">
      <alignment wrapText="1"/>
    </xf>
    <xf numFmtId="171" fontId="2" fillId="3" borderId="10" xfId="0" applyNumberFormat="1" applyFont="1" applyFill="1" applyBorder="1">
      <alignment wrapText="1"/>
    </xf>
    <xf numFmtId="0" fontId="45" fillId="0" borderId="21" xfId="0" applyFont="1" applyBorder="1">
      <alignment wrapText="1"/>
    </xf>
    <xf numFmtId="0" fontId="0" fillId="0" borderId="21" xfId="0" applyBorder="1">
      <alignment wrapText="1"/>
    </xf>
    <xf numFmtId="0" fontId="0" fillId="0" borderId="21" xfId="0" applyBorder="1" applyAlignment="1">
      <alignment horizontal="center" wrapText="1"/>
    </xf>
    <xf numFmtId="0" fontId="2" fillId="27" borderId="10" xfId="0" applyFont="1" applyFill="1" applyBorder="1" applyAlignment="1">
      <alignment horizontal="center" wrapText="1"/>
    </xf>
    <xf numFmtId="172" fontId="2" fillId="27" borderId="10" xfId="0" applyNumberFormat="1" applyFont="1" applyFill="1" applyBorder="1" applyAlignment="1">
      <alignment horizontal="center" wrapText="1"/>
    </xf>
    <xf numFmtId="165" fontId="46" fillId="0" borderId="10" xfId="0" applyNumberFormat="1" applyFont="1" applyBorder="1" applyAlignment="1">
      <alignment horizontal="center" wrapText="1"/>
    </xf>
    <xf numFmtId="171" fontId="0" fillId="0" borderId="10" xfId="0" applyNumberFormat="1" applyBorder="1" applyAlignment="1">
      <alignment horizontal="right" wrapText="1"/>
    </xf>
    <xf numFmtId="171" fontId="2" fillId="10" borderId="10" xfId="0" applyNumberFormat="1" applyFont="1" applyFill="1" applyBorder="1" applyAlignment="1">
      <alignment horizontal="right" wrapText="1"/>
    </xf>
    <xf numFmtId="0" fontId="2" fillId="27" borderId="10" xfId="0" applyFont="1" applyFill="1" applyBorder="1">
      <alignment wrapText="1"/>
    </xf>
    <xf numFmtId="171" fontId="2" fillId="10" borderId="10" xfId="0" applyNumberFormat="1" applyFont="1" applyFill="1" applyBorder="1">
      <alignment wrapText="1"/>
    </xf>
    <xf numFmtId="4" fontId="2" fillId="10" borderId="10" xfId="0" applyNumberFormat="1" applyFont="1" applyFill="1" applyBorder="1">
      <alignment wrapText="1"/>
    </xf>
    <xf numFmtId="0" fontId="2" fillId="27" borderId="21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 wrapText="1"/>
    </xf>
    <xf numFmtId="171" fontId="0" fillId="0" borderId="0" xfId="0" applyNumberFormat="1" applyAlignment="1">
      <alignment horizontal="center" vertical="center" wrapText="1"/>
    </xf>
    <xf numFmtId="0" fontId="47" fillId="18" borderId="10" xfId="0" applyFont="1" applyFill="1" applyBorder="1" applyAlignment="1">
      <alignment horizontal="center" vertical="center" wrapText="1"/>
    </xf>
    <xf numFmtId="9" fontId="0" fillId="0" borderId="10" xfId="0" applyNumberFormat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0" fontId="0" fillId="28" borderId="10" xfId="0" applyFill="1" applyBorder="1">
      <alignment wrapText="1"/>
    </xf>
    <xf numFmtId="3" fontId="0" fillId="28" borderId="10" xfId="0" applyNumberFormat="1" applyFill="1" applyBorder="1" applyAlignment="1">
      <alignment horizontal="center" wrapText="1"/>
    </xf>
    <xf numFmtId="9" fontId="0" fillId="28" borderId="10" xfId="0" applyNumberFormat="1" applyFill="1" applyBorder="1" applyAlignment="1">
      <alignment horizontal="center" wrapText="1"/>
    </xf>
    <xf numFmtId="3" fontId="2" fillId="10" borderId="10" xfId="0" applyNumberFormat="1" applyFont="1" applyFill="1" applyBorder="1" applyAlignment="1">
      <alignment horizontal="center" wrapText="1"/>
    </xf>
    <xf numFmtId="9" fontId="2" fillId="10" borderId="10" xfId="0" applyNumberFormat="1" applyFont="1" applyFill="1" applyBorder="1" applyAlignment="1">
      <alignment horizontal="center" wrapText="1"/>
    </xf>
    <xf numFmtId="4" fontId="0" fillId="28" borderId="10" xfId="0" applyNumberFormat="1" applyFill="1" applyBorder="1">
      <alignment wrapText="1"/>
    </xf>
    <xf numFmtId="0" fontId="48" fillId="0" borderId="0" xfId="0" applyFont="1">
      <alignment wrapText="1"/>
    </xf>
    <xf numFmtId="0" fontId="47" fillId="10" borderId="0" xfId="0" applyFont="1" applyFill="1">
      <alignment wrapText="1"/>
    </xf>
    <xf numFmtId="0" fontId="49" fillId="29" borderId="0" xfId="0" applyFont="1" applyFill="1">
      <alignment wrapText="1"/>
    </xf>
    <xf numFmtId="0" fontId="50" fillId="0" borderId="0" xfId="0" applyFont="1">
      <alignment wrapText="1"/>
    </xf>
    <xf numFmtId="0" fontId="0" fillId="30" borderId="10" xfId="0" applyFill="1" applyBorder="1">
      <alignment wrapText="1"/>
    </xf>
    <xf numFmtId="0" fontId="51" fillId="0" borderId="0" xfId="0" applyFont="1">
      <alignment wrapText="1"/>
    </xf>
    <xf numFmtId="0" fontId="45" fillId="31" borderId="0" xfId="0" applyFont="1" applyFill="1">
      <alignment wrapText="1"/>
    </xf>
    <xf numFmtId="0" fontId="21" fillId="31" borderId="0" xfId="0" applyFont="1" applyFill="1" applyAlignment="1">
      <alignment horizontal="center" wrapText="1"/>
    </xf>
    <xf numFmtId="0" fontId="2" fillId="10" borderId="0" xfId="0" applyFont="1" applyFill="1" applyAlignment="1">
      <alignment vertical="center" wrapText="1"/>
    </xf>
    <xf numFmtId="0" fontId="2" fillId="10" borderId="0" xfId="0" applyFont="1" applyFill="1" applyAlignment="1">
      <alignment horizontal="center" vertical="center" wrapText="1"/>
    </xf>
    <xf numFmtId="9" fontId="0" fillId="0" borderId="0" xfId="0" applyNumberFormat="1">
      <alignment wrapText="1"/>
    </xf>
    <xf numFmtId="167" fontId="2" fillId="0" borderId="0" xfId="0" applyNumberFormat="1" applyFont="1">
      <alignment wrapText="1"/>
    </xf>
    <xf numFmtId="0" fontId="2" fillId="32" borderId="0" xfId="0" applyFont="1" applyFill="1">
      <alignment wrapText="1"/>
    </xf>
    <xf numFmtId="4" fontId="2" fillId="32" borderId="0" xfId="0" applyNumberFormat="1" applyFont="1" applyFill="1">
      <alignment wrapText="1"/>
    </xf>
    <xf numFmtId="9" fontId="2" fillId="32" borderId="0" xfId="0" applyNumberFormat="1" applyFont="1" applyFill="1">
      <alignment wrapText="1"/>
    </xf>
    <xf numFmtId="167" fontId="2" fillId="32" borderId="0" xfId="0" applyNumberFormat="1" applyFont="1" applyFill="1">
      <alignment wrapText="1"/>
    </xf>
    <xf numFmtId="0" fontId="2" fillId="10" borderId="0" xfId="0" applyFont="1" applyFill="1">
      <alignment wrapText="1"/>
    </xf>
    <xf numFmtId="0" fontId="45" fillId="0" borderId="0" xfId="0" applyFont="1">
      <alignment wrapText="1"/>
    </xf>
    <xf numFmtId="4" fontId="45" fillId="0" borderId="0" xfId="0" applyNumberFormat="1" applyFont="1">
      <alignment wrapText="1"/>
    </xf>
    <xf numFmtId="4" fontId="2" fillId="0" borderId="0" xfId="0" applyNumberFormat="1" applyFont="1">
      <alignment wrapText="1"/>
    </xf>
    <xf numFmtId="0" fontId="2" fillId="17" borderId="0" xfId="0" applyFont="1" applyFill="1">
      <alignment wrapText="1"/>
    </xf>
    <xf numFmtId="4" fontId="2" fillId="17" borderId="0" xfId="0" applyNumberFormat="1" applyFont="1" applyFill="1">
      <alignment wrapText="1"/>
    </xf>
    <xf numFmtId="0" fontId="46" fillId="34" borderId="0" xfId="0" applyFont="1" applyFill="1">
      <alignment wrapText="1"/>
    </xf>
    <xf numFmtId="169" fontId="46" fillId="34" borderId="0" xfId="0" applyNumberFormat="1" applyFont="1" applyFill="1">
      <alignment wrapText="1"/>
    </xf>
    <xf numFmtId="0" fontId="55" fillId="35" borderId="0" xfId="0" applyFont="1" applyFill="1" applyAlignment="1">
      <alignment horizontal="center" wrapText="1"/>
    </xf>
    <xf numFmtId="0" fontId="0" fillId="7" borderId="0" xfId="0" applyFill="1">
      <alignment wrapText="1"/>
    </xf>
    <xf numFmtId="173" fontId="0" fillId="7" borderId="0" xfId="0" applyNumberFormat="1" applyFill="1" applyAlignment="1">
      <alignment horizontal="right" wrapText="1"/>
    </xf>
    <xf numFmtId="165" fontId="0" fillId="7" borderId="0" xfId="0" applyNumberFormat="1" applyFill="1" applyAlignment="1">
      <alignment horizontal="right" wrapText="1"/>
    </xf>
    <xf numFmtId="0" fontId="0" fillId="7" borderId="0" xfId="0" applyFill="1" applyAlignment="1"/>
    <xf numFmtId="169" fontId="0" fillId="7" borderId="0" xfId="0" applyNumberFormat="1" applyFill="1">
      <alignment wrapText="1"/>
    </xf>
    <xf numFmtId="173" fontId="0" fillId="7" borderId="0" xfId="0" applyNumberFormat="1" applyFill="1">
      <alignment wrapText="1"/>
    </xf>
    <xf numFmtId="0" fontId="46" fillId="0" borderId="0" xfId="0" applyFont="1">
      <alignment wrapText="1"/>
    </xf>
    <xf numFmtId="0" fontId="52" fillId="2" borderId="10" xfId="0" applyFont="1" applyFill="1" applyBorder="1" applyAlignment="1">
      <alignment horizontal="center" wrapText="1"/>
    </xf>
    <xf numFmtId="0" fontId="0" fillId="0" borderId="0" xfId="0" applyProtection="1">
      <alignment wrapText="1"/>
      <protection locked="0"/>
    </xf>
    <xf numFmtId="0" fontId="58" fillId="2" borderId="10" xfId="0" applyFont="1" applyFill="1" applyBorder="1" applyAlignment="1">
      <alignment vertical="center" wrapText="1"/>
    </xf>
    <xf numFmtId="0" fontId="2" fillId="0" borderId="0" xfId="0" applyFont="1" applyProtection="1">
      <alignment wrapText="1"/>
      <protection locked="0"/>
    </xf>
    <xf numFmtId="0" fontId="59" fillId="18" borderId="10" xfId="0" applyFont="1" applyFill="1" applyBorder="1" applyAlignment="1" applyProtection="1">
      <alignment horizontal="center" wrapText="1"/>
      <protection locked="0"/>
    </xf>
    <xf numFmtId="0" fontId="60" fillId="18" borderId="10" xfId="3" applyFont="1" applyFill="1" applyBorder="1" applyAlignment="1">
      <alignment vertical="center" wrapText="1"/>
    </xf>
    <xf numFmtId="0" fontId="47" fillId="37" borderId="10" xfId="0" applyFont="1" applyFill="1" applyBorder="1" applyProtection="1">
      <alignment wrapText="1"/>
      <protection locked="0"/>
    </xf>
    <xf numFmtId="0" fontId="0" fillId="0" borderId="10" xfId="0" applyBorder="1" applyProtection="1">
      <alignment wrapText="1"/>
      <protection locked="0"/>
    </xf>
    <xf numFmtId="171" fontId="0" fillId="0" borderId="10" xfId="0" applyNumberFormat="1" applyBorder="1" applyAlignment="1" applyProtection="1">
      <alignment horizontal="right" wrapText="1"/>
      <protection locked="0"/>
    </xf>
    <xf numFmtId="0" fontId="2" fillId="38" borderId="10" xfId="0" applyFont="1" applyFill="1" applyBorder="1" applyProtection="1">
      <alignment wrapText="1"/>
      <protection locked="0"/>
    </xf>
    <xf numFmtId="171" fontId="2" fillId="38" borderId="10" xfId="0" applyNumberFormat="1" applyFont="1" applyFill="1" applyBorder="1" applyAlignment="1" applyProtection="1">
      <alignment horizontal="right" wrapText="1"/>
      <protection locked="0"/>
    </xf>
    <xf numFmtId="0" fontId="60" fillId="39" borderId="10" xfId="3" applyFont="1" applyFill="1" applyBorder="1" applyAlignment="1">
      <alignment vertical="center" wrapText="1"/>
    </xf>
    <xf numFmtId="0" fontId="2" fillId="37" borderId="10" xfId="0" applyFont="1" applyFill="1" applyBorder="1" applyAlignment="1">
      <alignment horizontal="center" wrapText="1"/>
    </xf>
    <xf numFmtId="0" fontId="2" fillId="37" borderId="10" xfId="0" applyFont="1" applyFill="1" applyBorder="1" applyAlignment="1">
      <alignment horizontal="center" vertical="center" wrapText="1"/>
    </xf>
    <xf numFmtId="0" fontId="2" fillId="0" borderId="10" xfId="0" applyFont="1" applyBorder="1" applyAlignment="1" applyProtection="1">
      <alignment vertical="center" wrapText="1"/>
      <protection locked="0"/>
    </xf>
    <xf numFmtId="165" fontId="2" fillId="0" borderId="10" xfId="0" applyNumberFormat="1" applyFont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61" fillId="18" borderId="10" xfId="3" applyFont="1" applyFill="1" applyBorder="1" applyAlignment="1">
      <alignment vertical="center" wrapText="1"/>
    </xf>
    <xf numFmtId="0" fontId="2" fillId="32" borderId="10" xfId="0" applyFont="1" applyFill="1" applyBorder="1" applyAlignment="1">
      <alignment horizontal="center" vertical="center" wrapText="1"/>
    </xf>
    <xf numFmtId="0" fontId="62" fillId="40" borderId="10" xfId="0" applyFont="1" applyFill="1" applyBorder="1">
      <alignment wrapText="1"/>
    </xf>
    <xf numFmtId="0" fontId="62" fillId="40" borderId="10" xfId="0" applyFont="1" applyFill="1" applyBorder="1" applyAlignment="1">
      <alignment horizontal="center" vertical="center" wrapText="1"/>
    </xf>
    <xf numFmtId="0" fontId="63" fillId="41" borderId="10" xfId="0" applyFont="1" applyFill="1" applyBorder="1">
      <alignment wrapText="1"/>
    </xf>
    <xf numFmtId="0" fontId="63" fillId="41" borderId="10" xfId="0" applyFont="1" applyFill="1" applyBorder="1" applyAlignment="1">
      <alignment horizontal="center" vertical="center" wrapText="1"/>
    </xf>
    <xf numFmtId="0" fontId="64" fillId="42" borderId="10" xfId="0" applyFont="1" applyFill="1" applyBorder="1">
      <alignment wrapText="1"/>
    </xf>
    <xf numFmtId="0" fontId="64" fillId="42" borderId="10" xfId="0" applyFont="1" applyFill="1" applyBorder="1" applyAlignment="1">
      <alignment horizontal="center" vertical="center" wrapText="1"/>
    </xf>
    <xf numFmtId="0" fontId="65" fillId="0" borderId="0" xfId="0" applyFont="1" applyProtection="1">
      <alignment wrapText="1"/>
      <protection locked="0"/>
    </xf>
    <xf numFmtId="0" fontId="55" fillId="43" borderId="0" xfId="0" applyFont="1" applyFill="1" applyAlignment="1">
      <alignment horizontal="center" wrapText="1"/>
    </xf>
    <xf numFmtId="0" fontId="67" fillId="0" borderId="0" xfId="0" applyFont="1">
      <alignment wrapText="1"/>
    </xf>
    <xf numFmtId="165" fontId="68" fillId="44" borderId="0" xfId="0" applyNumberFormat="1" applyFont="1" applyFill="1" applyAlignment="1">
      <alignment horizontal="right" wrapText="1"/>
    </xf>
    <xf numFmtId="173" fontId="68" fillId="44" borderId="0" xfId="0" applyNumberFormat="1" applyFont="1" applyFill="1" applyAlignment="1">
      <alignment horizontal="right" wrapText="1"/>
    </xf>
    <xf numFmtId="0" fontId="68" fillId="44" borderId="0" xfId="0" applyFont="1" applyFill="1" applyAlignment="1">
      <alignment horizontal="right" wrapText="1"/>
    </xf>
    <xf numFmtId="0" fontId="67" fillId="0" borderId="5" xfId="0" applyFont="1" applyBorder="1">
      <alignment wrapText="1"/>
    </xf>
    <xf numFmtId="165" fontId="68" fillId="44" borderId="5" xfId="0" applyNumberFormat="1" applyFont="1" applyFill="1" applyBorder="1" applyAlignment="1">
      <alignment horizontal="right" wrapText="1"/>
    </xf>
    <xf numFmtId="0" fontId="46" fillId="24" borderId="0" xfId="0" applyFont="1" applyFill="1">
      <alignment wrapText="1"/>
    </xf>
    <xf numFmtId="0" fontId="46" fillId="0" borderId="5" xfId="0" applyFont="1" applyBorder="1">
      <alignment wrapText="1"/>
    </xf>
    <xf numFmtId="171" fontId="0" fillId="0" borderId="5" xfId="0" applyNumberFormat="1" applyBorder="1">
      <alignment wrapText="1"/>
    </xf>
    <xf numFmtId="165" fontId="0" fillId="0" borderId="5" xfId="0" applyNumberFormat="1" applyBorder="1">
      <alignment wrapText="1"/>
    </xf>
    <xf numFmtId="0" fontId="46" fillId="24" borderId="5" xfId="0" applyFont="1" applyFill="1" applyBorder="1">
      <alignment wrapText="1"/>
    </xf>
    <xf numFmtId="0" fontId="0" fillId="0" borderId="5" xfId="0" applyBorder="1">
      <alignment wrapText="1"/>
    </xf>
    <xf numFmtId="174" fontId="0" fillId="0" borderId="0" xfId="0" applyNumberFormat="1">
      <alignment wrapText="1"/>
    </xf>
    <xf numFmtId="174" fontId="2" fillId="38" borderId="10" xfId="0" applyNumberFormat="1" applyFont="1" applyFill="1" applyBorder="1" applyAlignment="1" applyProtection="1">
      <alignment horizontal="right" wrapText="1"/>
      <protection locked="0"/>
    </xf>
    <xf numFmtId="175" fontId="0" fillId="0" borderId="0" xfId="0" applyNumberFormat="1" applyAlignment="1">
      <alignment horizontal="center" vertical="center" wrapText="1"/>
    </xf>
    <xf numFmtId="0" fontId="72" fillId="18" borderId="0" xfId="0" applyFont="1" applyFill="1">
      <alignment wrapText="1"/>
    </xf>
    <xf numFmtId="173" fontId="72" fillId="18" borderId="0" xfId="0" applyNumberFormat="1" applyFont="1" applyFill="1" applyAlignment="1">
      <alignment horizontal="right" wrapText="1"/>
    </xf>
    <xf numFmtId="165" fontId="72" fillId="18" borderId="0" xfId="0" applyNumberFormat="1" applyFont="1" applyFill="1" applyAlignment="1">
      <alignment horizontal="right" wrapText="1"/>
    </xf>
    <xf numFmtId="0" fontId="72" fillId="45" borderId="0" xfId="0" applyFont="1" applyFill="1">
      <alignment wrapText="1"/>
    </xf>
    <xf numFmtId="173" fontId="72" fillId="45" borderId="0" xfId="0" applyNumberFormat="1" applyFont="1" applyFill="1" applyAlignment="1">
      <alignment horizontal="right" wrapText="1"/>
    </xf>
    <xf numFmtId="165" fontId="72" fillId="45" borderId="0" xfId="0" applyNumberFormat="1" applyFont="1" applyFill="1" applyAlignment="1">
      <alignment horizontal="right" wrapText="1"/>
    </xf>
    <xf numFmtId="0" fontId="3" fillId="2" borderId="1" xfId="3" applyFont="1" applyFill="1" applyBorder="1" applyAlignment="1">
      <alignment horizontal="center" vertical="center" wrapText="1"/>
    </xf>
    <xf numFmtId="0" fontId="3" fillId="2" borderId="0" xfId="3" applyFont="1" applyFill="1" applyBorder="1" applyAlignment="1">
      <alignment horizontal="center" vertical="center" wrapText="1"/>
    </xf>
    <xf numFmtId="0" fontId="47" fillId="37" borderId="10" xfId="0" applyFont="1" applyFill="1" applyBorder="1">
      <alignment wrapText="1"/>
    </xf>
    <xf numFmtId="0" fontId="53" fillId="29" borderId="0" xfId="0" applyFont="1" applyFill="1" applyAlignment="1">
      <alignment horizontal="center" wrapText="1"/>
    </xf>
    <xf numFmtId="0" fontId="66" fillId="0" borderId="0" xfId="0" applyFont="1" applyAlignment="1">
      <alignment horizontal="center" wrapText="1"/>
    </xf>
    <xf numFmtId="0" fontId="49" fillId="35" borderId="0" xfId="0" applyFont="1" applyFill="1">
      <alignment wrapText="1"/>
    </xf>
    <xf numFmtId="0" fontId="41" fillId="2" borderId="0" xfId="0" applyFont="1" applyFill="1" applyAlignment="1" applyProtection="1">
      <alignment horizontal="center" wrapText="1"/>
      <protection locked="0"/>
    </xf>
    <xf numFmtId="0" fontId="47" fillId="37" borderId="10" xfId="0" applyFont="1" applyFill="1" applyBorder="1" applyProtection="1">
      <alignment wrapText="1"/>
      <protection locked="0"/>
    </xf>
    <xf numFmtId="0" fontId="0" fillId="34" borderId="0" xfId="0" applyFill="1">
      <alignment wrapText="1"/>
    </xf>
    <xf numFmtId="0" fontId="0" fillId="36" borderId="0" xfId="0" applyFill="1">
      <alignment wrapText="1"/>
    </xf>
    <xf numFmtId="0" fontId="0" fillId="34" borderId="0" xfId="0" applyFill="1" applyAlignment="1">
      <alignment vertical="center" wrapText="1"/>
    </xf>
    <xf numFmtId="0" fontId="57" fillId="33" borderId="0" xfId="0" applyFont="1" applyFill="1">
      <alignment wrapText="1"/>
    </xf>
    <xf numFmtId="0" fontId="54" fillId="0" borderId="0" xfId="0" applyFont="1">
      <alignment wrapText="1"/>
    </xf>
    <xf numFmtId="165" fontId="56" fillId="36" borderId="0" xfId="0" applyNumberFormat="1" applyFont="1" applyFill="1" applyAlignment="1">
      <alignment horizontal="center" wrapText="1"/>
    </xf>
    <xf numFmtId="171" fontId="56" fillId="36" borderId="0" xfId="0" applyNumberFormat="1" applyFont="1" applyFill="1" applyAlignment="1">
      <alignment horizontal="center" wrapText="1"/>
    </xf>
    <xf numFmtId="0" fontId="53" fillId="33" borderId="0" xfId="0" applyFont="1" applyFill="1">
      <alignment wrapText="1"/>
    </xf>
    <xf numFmtId="0" fontId="55" fillId="35" borderId="0" xfId="0" applyFont="1" applyFill="1" applyAlignment="1">
      <alignment horizontal="center" wrapText="1"/>
    </xf>
    <xf numFmtId="0" fontId="1" fillId="2" borderId="1" xfId="3" applyFont="1" applyFill="1" applyBorder="1" applyAlignment="1">
      <alignment horizontal="center" vertical="center" wrapText="1"/>
    </xf>
    <xf numFmtId="0" fontId="1" fillId="2" borderId="0" xfId="3" applyFont="1" applyFill="1" applyBorder="1" applyAlignment="1">
      <alignment horizontal="center" vertical="center" wrapText="1"/>
    </xf>
    <xf numFmtId="0" fontId="52" fillId="9" borderId="0" xfId="0" applyFont="1" applyFill="1">
      <alignment wrapText="1"/>
    </xf>
    <xf numFmtId="0" fontId="0" fillId="0" borderId="0" xfId="0">
      <alignment wrapText="1"/>
    </xf>
    <xf numFmtId="0" fontId="44" fillId="25" borderId="0" xfId="0" applyFont="1" applyFill="1" applyAlignment="1">
      <alignment horizontal="center" wrapText="1"/>
    </xf>
    <xf numFmtId="0" fontId="22" fillId="26" borderId="0" xfId="0" applyFont="1" applyFill="1">
      <alignment wrapText="1"/>
    </xf>
    <xf numFmtId="0" fontId="2" fillId="0" borderId="0" xfId="0" applyFont="1">
      <alignment wrapText="1"/>
    </xf>
    <xf numFmtId="0" fontId="22" fillId="26" borderId="10" xfId="0" applyFont="1" applyFill="1" applyBorder="1">
      <alignment wrapText="1"/>
    </xf>
    <xf numFmtId="0" fontId="22" fillId="25" borderId="10" xfId="0" applyFont="1" applyFill="1" applyBorder="1">
      <alignment wrapText="1"/>
    </xf>
    <xf numFmtId="0" fontId="22" fillId="9" borderId="10" xfId="0" applyFont="1" applyFill="1" applyBorder="1">
      <alignment wrapText="1"/>
    </xf>
    <xf numFmtId="0" fontId="3" fillId="2" borderId="1" xfId="3" applyFont="1" applyFill="1" applyBorder="1" applyAlignment="1">
      <alignment horizontal="center" vertical="center"/>
    </xf>
    <xf numFmtId="0" fontId="3" fillId="2" borderId="0" xfId="3" applyFont="1" applyFill="1" applyBorder="1" applyAlignment="1">
      <alignment horizontal="center" vertical="center"/>
    </xf>
    <xf numFmtId="0" fontId="42" fillId="0" borderId="0" xfId="0" applyFont="1">
      <alignment wrapText="1"/>
    </xf>
    <xf numFmtId="0" fontId="2" fillId="24" borderId="0" xfId="0" applyFont="1" applyFill="1">
      <alignment wrapText="1"/>
    </xf>
    <xf numFmtId="0" fontId="4" fillId="0" borderId="2" xfId="0" applyFont="1" applyBorder="1" applyAlignment="1">
      <alignment horizontal="righ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right" vertical="top" wrapText="1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top" wrapText="1"/>
    </xf>
    <xf numFmtId="0" fontId="4" fillId="22" borderId="2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4" fillId="22" borderId="2" xfId="0" applyFont="1" applyFill="1" applyBorder="1" applyAlignment="1">
      <alignment vertical="top" wrapText="1"/>
    </xf>
    <xf numFmtId="0" fontId="33" fillId="14" borderId="14" xfId="0" applyFont="1" applyFill="1" applyBorder="1" applyAlignment="1">
      <alignment horizontal="center"/>
    </xf>
    <xf numFmtId="0" fontId="33" fillId="14" borderId="15" xfId="0" applyFont="1" applyFill="1" applyBorder="1" applyAlignment="1">
      <alignment horizontal="center"/>
    </xf>
    <xf numFmtId="0" fontId="21" fillId="0" borderId="0" xfId="0" applyFont="1" applyAlignment="1">
      <alignment horizontal="left" vertical="center" wrapText="1"/>
    </xf>
    <xf numFmtId="0" fontId="14" fillId="0" borderId="7" xfId="0" applyFont="1" applyBorder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14" fillId="0" borderId="5" xfId="0" applyFont="1" applyBorder="1" applyAlignment="1">
      <alignment vertical="center"/>
    </xf>
    <xf numFmtId="167" fontId="14" fillId="0" borderId="5" xfId="0" applyNumberFormat="1" applyFont="1" applyBorder="1" applyAlignment="1">
      <alignment horizontal="right" vertical="center"/>
    </xf>
    <xf numFmtId="167" fontId="14" fillId="0" borderId="5" xfId="0" applyNumberFormat="1" applyFont="1" applyBorder="1" applyAlignment="1">
      <alignment vertical="center"/>
    </xf>
    <xf numFmtId="0" fontId="11" fillId="6" borderId="6" xfId="0" applyFont="1" applyFill="1" applyBorder="1" applyAlignment="1">
      <alignment vertical="center"/>
    </xf>
    <xf numFmtId="167" fontId="11" fillId="6" borderId="6" xfId="0" applyNumberFormat="1" applyFont="1" applyFill="1" applyBorder="1" applyAlignment="1">
      <alignment horizontal="right" vertical="center"/>
    </xf>
    <xf numFmtId="167" fontId="11" fillId="6" borderId="6" xfId="0" applyNumberFormat="1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168" fontId="14" fillId="0" borderId="0" xfId="0" applyNumberFormat="1" applyFont="1" applyAlignment="1">
      <alignment horizontal="right" vertical="center"/>
    </xf>
    <xf numFmtId="9" fontId="14" fillId="0" borderId="0" xfId="0" applyNumberFormat="1" applyFont="1" applyAlignment="1">
      <alignment vertical="center"/>
    </xf>
    <xf numFmtId="167" fontId="14" fillId="0" borderId="0" xfId="0" applyNumberFormat="1" applyFont="1" applyAlignment="1">
      <alignment horizontal="right" vertical="center"/>
    </xf>
    <xf numFmtId="167" fontId="14" fillId="0" borderId="0" xfId="0" applyNumberFormat="1" applyFont="1" applyAlignment="1">
      <alignment vertical="center"/>
    </xf>
    <xf numFmtId="0" fontId="18" fillId="6" borderId="0" xfId="0" applyFont="1" applyFill="1" applyAlignment="1">
      <alignment horizontal="left" vertical="center"/>
    </xf>
    <xf numFmtId="0" fontId="18" fillId="6" borderId="0" xfId="0" applyFont="1" applyFill="1" applyAlignment="1">
      <alignment vertical="center"/>
    </xf>
    <xf numFmtId="0" fontId="18" fillId="6" borderId="0" xfId="0" applyFont="1" applyFill="1" applyAlignment="1">
      <alignment horizontal="right" vertical="center"/>
    </xf>
    <xf numFmtId="166" fontId="14" fillId="0" borderId="0" xfId="0" applyNumberFormat="1" applyFont="1" applyAlignment="1">
      <alignment vertical="center"/>
    </xf>
    <xf numFmtId="0" fontId="17" fillId="6" borderId="0" xfId="0" applyFont="1" applyFill="1" applyAlignment="1">
      <alignment horizontal="left" vertical="center"/>
    </xf>
    <xf numFmtId="0" fontId="9" fillId="6" borderId="0" xfId="0" applyFont="1" applyFill="1" applyAlignment="1">
      <alignment vertical="center"/>
    </xf>
    <xf numFmtId="0" fontId="8" fillId="6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176" fontId="0" fillId="0" borderId="0" xfId="0" applyNumberFormat="1">
      <alignment wrapText="1"/>
    </xf>
    <xf numFmtId="0" fontId="0" fillId="0" borderId="0" xfId="0" applyNumberFormat="1">
      <alignment wrapText="1"/>
    </xf>
    <xf numFmtId="0" fontId="46" fillId="24" borderId="0" xfId="0" applyNumberFormat="1" applyFont="1" applyFill="1">
      <alignment wrapText="1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43">
    <dxf>
      <font>
        <color rgb="FF7F6000"/>
      </font>
      <fill>
        <patternFill patternType="solid">
          <bgColor rgb="FFFFF2CC"/>
        </patternFill>
      </fill>
    </dxf>
    <dxf>
      <font>
        <color rgb="FF9C0006"/>
      </font>
      <fill>
        <patternFill patternType="solid">
          <bgColor rgb="FFFDE9E7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DE9E7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 val="0"/>
        <i val="0"/>
        <strike val="0"/>
        <u val="none"/>
        <sz val="11"/>
        <color auto="1"/>
        <name val="Aptos Narrow"/>
        <family val="2"/>
        <scheme val="none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auto="1"/>
        <name val="Aptos Narrow"/>
        <family val="2"/>
        <scheme val="none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auto="1"/>
        <name val="Aptos Narrow"/>
        <family val="2"/>
        <scheme val="none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auto="1"/>
        <name val="Aptos Narrow"/>
        <family val="2"/>
        <scheme val="none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auto="1"/>
        <name val="Aptos Narrow"/>
        <family val="2"/>
        <scheme val="none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auto="1"/>
        <name val="Aptos Narrow"/>
        <family val="2"/>
        <scheme val="none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auto="1"/>
        <name val="Aptos Narrow"/>
        <family val="2"/>
        <scheme val="none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auto="1"/>
        <name val="Aptos Narrow"/>
        <family val="2"/>
        <scheme val="none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auto="1"/>
        <name val="Aptos Narrow"/>
        <family val="2"/>
        <scheme val="none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auto="1"/>
        <name val="Aptos Narrow"/>
        <family val="2"/>
        <scheme val="none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auto="1"/>
        <name val="Aptos Narrow"/>
        <family val="2"/>
        <scheme val="none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auto="1"/>
        <name val="Aptos Narrow"/>
        <family val="2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 val="none"/>
        <sz val="14"/>
        <color theme="1"/>
        <name val="Aptos Narrow"/>
        <family val="2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 val="none"/>
        <sz val="11"/>
        <color theme="1"/>
        <name val="Aptos Narrow"/>
        <family val="2"/>
        <scheme val="none"/>
      </font>
      <fill>
        <patternFill patternType="none"/>
      </fill>
      <alignment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alignment wrapText="1"/>
    </dxf>
    <dxf>
      <numFmt numFmtId="170" formatCode="&quot;₱&quot;#,##0.00;[Red]\-&quot;₱&quot;#,##0.00;&quot;₱&quot;\-"/>
    </dxf>
    <dxf>
      <numFmt numFmtId="170" formatCode="&quot;₱&quot;#,##0.00;[Red]\-&quot;₱&quot;#,##0.00;&quot;₱&quot;\-"/>
    </dxf>
    <dxf>
      <numFmt numFmtId="165" formatCode="0.0%"/>
    </dxf>
    <dxf>
      <numFmt numFmtId="170" formatCode="&quot;₱&quot;#,##0.00;[Red]\-&quot;₱&quot;#,##0.00;&quot;₱&quot;\-"/>
    </dxf>
    <dxf>
      <numFmt numFmtId="170" formatCode="&quot;₱&quot;#,##0.00;[Red]\-&quot;₱&quot;#,##0.00;&quot;₱&quot;\-"/>
    </dxf>
    <dxf>
      <numFmt numFmtId="170" formatCode="&quot;₱&quot;#,##0.00;[Red]\-&quot;₱&quot;#,##0.00;&quot;₱&quot;\-"/>
    </dxf>
    <dxf>
      <numFmt numFmtId="165" formatCode="0.0%"/>
    </dxf>
    <dxf>
      <numFmt numFmtId="170" formatCode="&quot;₱&quot;#,##0.00;[Red]\-&quot;₱&quot;#,##0.00;&quot;₱&quot;\-"/>
    </dxf>
    <dxf>
      <numFmt numFmtId="170" formatCode="&quot;₱&quot;#,##0.00;[Red]\-&quot;₱&quot;#,##0.00;&quot;₱&quot;\-"/>
    </dxf>
    <dxf>
      <numFmt numFmtId="4" formatCode="#,##0.00"/>
    </dxf>
    <dxf>
      <numFmt numFmtId="169" formatCode="mmm\ yyyy"/>
      <alignment horizontal="center" wrapText="1"/>
    </dxf>
    <dxf>
      <numFmt numFmtId="175" formatCode="\₱#,##0.00;[Green]\₱#,##0.00\ &quot;Credit&quot;;\₱0.00"/>
      <alignment horizontal="center" vertical="center" wrapText="1"/>
    </dxf>
    <dxf>
      <alignment horizontal="center" vertical="center" wrapText="1"/>
    </dxf>
    <dxf>
      <numFmt numFmtId="165" formatCode="0.0%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  <alignment horizontal="center" vertical="center" wrapText="1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Gross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Performance'!$B$15</c:f>
              <c:strCache>
                <c:ptCount val="1"/>
                <c:pt idx="0">
                  <c:v>Gross Sales</c:v>
                </c:pt>
              </c:strCache>
            </c:strRef>
          </c:tx>
          <c:spPr>
            <a:solidFill>
              <a:srgbClr val="0F6B78"/>
            </a:solidFill>
            <a:ln>
              <a:noFill/>
            </a:ln>
            <a:effectLst/>
          </c:spPr>
          <c:invertIfNegative val="0"/>
          <c:dLbls>
            <c:numFmt formatCode="&quot;₱&quot;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Performance'!$A$16:$A$27</c:f>
              <c:strCache>
                <c:ptCount val="12"/>
                <c:pt idx="0">
                  <c:v>BATTERY</c:v>
                </c:pt>
                <c:pt idx="1">
                  <c:v>CAR AIRCON</c:v>
                </c:pt>
                <c:pt idx="2">
                  <c:v>INSTALLATION MATERIALS</c:v>
                </c:pt>
                <c:pt idx="3">
                  <c:v>REFRIGERANTS</c:v>
                </c:pt>
                <c:pt idx="4">
                  <c:v>PV PANELS</c:v>
                </c:pt>
                <c:pt idx="5">
                  <c:v>GENERAL</c:v>
                </c:pt>
                <c:pt idx="6">
                  <c:v>AIRCON UNIT</c:v>
                </c:pt>
                <c:pt idx="7">
                  <c:v>TOOLS</c:v>
                </c:pt>
                <c:pt idx="8">
                  <c:v>ELECTRICAL</c:v>
                </c:pt>
                <c:pt idx="9">
                  <c:v>AIRCON PARTS</c:v>
                </c:pt>
                <c:pt idx="10">
                  <c:v>INVERTER</c:v>
                </c:pt>
                <c:pt idx="11">
                  <c:v>CONSTRUCTION</c:v>
                </c:pt>
              </c:strCache>
            </c:strRef>
          </c:cat>
          <c:val>
            <c:numRef>
              <c:f>'Sales Performance'!$B$16:$B$27</c:f>
              <c:numCache>
                <c:formatCode>"₱"#,##0</c:formatCode>
                <c:ptCount val="12"/>
                <c:pt idx="0">
                  <c:v>1571000</c:v>
                </c:pt>
                <c:pt idx="1">
                  <c:v>447523.27</c:v>
                </c:pt>
                <c:pt idx="2">
                  <c:v>1801410.42</c:v>
                </c:pt>
                <c:pt idx="3">
                  <c:v>320496.52</c:v>
                </c:pt>
                <c:pt idx="4">
                  <c:v>0</c:v>
                </c:pt>
                <c:pt idx="5">
                  <c:v>64772.01</c:v>
                </c:pt>
                <c:pt idx="6">
                  <c:v>1058025</c:v>
                </c:pt>
                <c:pt idx="7">
                  <c:v>18235.759999999998</c:v>
                </c:pt>
                <c:pt idx="8">
                  <c:v>59985.68</c:v>
                </c:pt>
                <c:pt idx="9">
                  <c:v>20000</c:v>
                </c:pt>
                <c:pt idx="10">
                  <c:v>0</c:v>
                </c:pt>
                <c:pt idx="11">
                  <c:v>1670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99-4768-8AAA-B07F829B9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5048208"/>
        <c:axId val="972643120"/>
      </c:barChart>
      <c:catAx>
        <c:axId val="9950482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643120"/>
        <c:crosses val="autoZero"/>
        <c:auto val="1"/>
        <c:lblAlgn val="ctr"/>
        <c:lblOffset val="100"/>
        <c:noMultiLvlLbl val="0"/>
      </c:catAx>
      <c:valAx>
        <c:axId val="972643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Gross Sales (₱ 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H"/>
            </a:p>
          </c:txPr>
        </c:title>
        <c:numFmt formatCode="&quot;₱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048208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f21adb5-ad45-4a73-817d-ecb97788738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Paid Sales by Agent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Performance'!$C$31</c:f>
              <c:strCache>
                <c:ptCount val="1"/>
                <c:pt idx="0">
                  <c:v>Paid Sales</c:v>
                </c:pt>
              </c:strCache>
            </c:strRef>
          </c:tx>
          <c:spPr>
            <a:solidFill>
              <a:srgbClr val="D9A441"/>
            </a:solidFill>
            <a:ln>
              <a:noFill/>
            </a:ln>
            <a:effectLst/>
          </c:spPr>
          <c:invertIfNegative val="0"/>
          <c:dLbls>
            <c:numFmt formatCode="&quot;₱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Performance'!$A$32:$A$41</c:f>
              <c:strCache>
                <c:ptCount val="10"/>
                <c:pt idx="0">
                  <c:v>ARNOLD ORTIZ</c:v>
                </c:pt>
                <c:pt idx="1">
                  <c:v>JENNIFER DUM-OGAN - ONLINE</c:v>
                </c:pt>
                <c:pt idx="2">
                  <c:v>JOVY VILLANUEVA</c:v>
                </c:pt>
                <c:pt idx="3">
                  <c:v>MARIVIC BRILLANTES</c:v>
                </c:pt>
                <c:pt idx="4">
                  <c:v>MICHAEL PLAZA</c:v>
                </c:pt>
                <c:pt idx="5">
                  <c:v>MODESTO PAG-ARIGON</c:v>
                </c:pt>
                <c:pt idx="6">
                  <c:v>MODESTO PAG-ARIGON - ONLINE</c:v>
                </c:pt>
                <c:pt idx="7">
                  <c:v>RAMONITO VILLANUEVA - ONLINE</c:v>
                </c:pt>
                <c:pt idx="8">
                  <c:v>ROCKY DELA PENA</c:v>
                </c:pt>
                <c:pt idx="9">
                  <c:v>ROD SANTIAGO</c:v>
                </c:pt>
              </c:strCache>
            </c:strRef>
          </c:cat>
          <c:val>
            <c:numRef>
              <c:f>'Sales Performance'!$C$32:$C$41</c:f>
              <c:numCache>
                <c:formatCode>"₱"#,##0</c:formatCode>
                <c:ptCount val="10"/>
                <c:pt idx="0">
                  <c:v>113401</c:v>
                </c:pt>
                <c:pt idx="1">
                  <c:v>23556.880000000001</c:v>
                </c:pt>
                <c:pt idx="2">
                  <c:v>33922</c:v>
                </c:pt>
                <c:pt idx="3">
                  <c:v>0</c:v>
                </c:pt>
                <c:pt idx="4">
                  <c:v>817590.78</c:v>
                </c:pt>
                <c:pt idx="5">
                  <c:v>0</c:v>
                </c:pt>
                <c:pt idx="6">
                  <c:v>48611.93</c:v>
                </c:pt>
                <c:pt idx="7">
                  <c:v>44225.99</c:v>
                </c:pt>
                <c:pt idx="8">
                  <c:v>45600</c:v>
                </c:pt>
                <c:pt idx="9">
                  <c:v>1354410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EF-48C9-BBCE-277610C2E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0404144"/>
        <c:axId val="972605680"/>
      </c:barChart>
      <c:catAx>
        <c:axId val="9904041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Agent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605680"/>
        <c:crosses val="autoZero"/>
        <c:auto val="1"/>
        <c:lblAlgn val="ctr"/>
        <c:lblOffset val="100"/>
        <c:noMultiLvlLbl val="0"/>
      </c:catAx>
      <c:valAx>
        <c:axId val="972605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Paid Sales (₱)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H"/>
            </a:p>
          </c:txPr>
        </c:title>
        <c:numFmt formatCode="&quot;₱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404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c38dab5-8fdf-4c6b-9da5-13ade79ca39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Gross vs Net Sales — 3-Month Window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Performance'!$B$47</c:f>
              <c:strCache>
                <c:ptCount val="1"/>
                <c:pt idx="0">
                  <c:v>Gross Sales</c:v>
                </c:pt>
              </c:strCache>
            </c:strRef>
          </c:tx>
          <c:spPr>
            <a:ln w="28575" cap="rnd">
              <a:solidFill>
                <a:srgbClr val="0F6B78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'Sales Performance'!$A$48:$A$50</c:f>
              <c:numCache>
                <c:formatCode>mmm\ yyyy</c:formatCode>
                <c:ptCount val="3"/>
                <c:pt idx="0">
                  <c:v>46204</c:v>
                </c:pt>
                <c:pt idx="1">
                  <c:v>46235</c:v>
                </c:pt>
                <c:pt idx="2">
                  <c:v>46266</c:v>
                </c:pt>
              </c:numCache>
            </c:numRef>
          </c:cat>
          <c:val>
            <c:numRef>
              <c:f>'Sales Performance'!$B$48:$B$50</c:f>
              <c:numCache>
                <c:formatCode>"₱"#,##0</c:formatCode>
                <c:ptCount val="3"/>
                <c:pt idx="0">
                  <c:v>5062842.55</c:v>
                </c:pt>
                <c:pt idx="1">
                  <c:v>5363118.6599999992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E8-4449-B6B3-48154B650C3F}"/>
            </c:ext>
          </c:extLst>
        </c:ser>
        <c:ser>
          <c:idx val="1"/>
          <c:order val="1"/>
          <c:tx>
            <c:strRef>
              <c:f>'Sales Performance'!$C$47</c:f>
              <c:strCache>
                <c:ptCount val="1"/>
                <c:pt idx="0">
                  <c:v>Net Sales</c:v>
                </c:pt>
              </c:strCache>
            </c:strRef>
          </c:tx>
          <c:spPr>
            <a:ln w="28575" cap="rnd">
              <a:solidFill>
                <a:srgbClr val="D9A44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'Sales Performance'!$A$48:$A$50</c:f>
              <c:numCache>
                <c:formatCode>mmm\ yyyy</c:formatCode>
                <c:ptCount val="3"/>
                <c:pt idx="0">
                  <c:v>46204</c:v>
                </c:pt>
                <c:pt idx="1">
                  <c:v>46235</c:v>
                </c:pt>
                <c:pt idx="2">
                  <c:v>46266</c:v>
                </c:pt>
              </c:numCache>
            </c:numRef>
          </c:cat>
          <c:val>
            <c:numRef>
              <c:f>'Sales Performance'!$C$48:$C$50</c:f>
              <c:numCache>
                <c:formatCode>"₱"#,##0</c:formatCode>
                <c:ptCount val="3"/>
                <c:pt idx="0">
                  <c:v>800129.45431500021</c:v>
                </c:pt>
                <c:pt idx="1">
                  <c:v>1192244.1926299995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E8-4449-B6B3-48154B650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4971648"/>
        <c:axId val="972622000"/>
      </c:lineChart>
      <c:dateAx>
        <c:axId val="994971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Period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H"/>
            </a:p>
          </c:txPr>
        </c:title>
        <c:numFmt formatCode="mmm\ 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622000"/>
        <c:crosses val="autoZero"/>
        <c:auto val="0"/>
        <c:lblOffset val="100"/>
        <c:baseTimeUnit val="months"/>
      </c:dateAx>
      <c:valAx>
        <c:axId val="97262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Sales (₱ 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H"/>
            </a:p>
          </c:txPr>
        </c:title>
        <c:numFmt formatCode="&quot;₱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971648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d73e08d-034e-4fc3-8bca-6a6b0e08395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14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2" name="Sales by Category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30</xdr:row>
      <xdr:rowOff>0</xdr:rowOff>
    </xdr:from>
    <xdr:to>
      <xdr:col>12</xdr:col>
      <xdr:colOff>0</xdr:colOff>
      <xdr:row>43</xdr:row>
      <xdr:rowOff>0</xdr:rowOff>
    </xdr:to>
    <xdr:graphicFrame macro="">
      <xdr:nvGraphicFramePr>
        <xdr:cNvPr id="3" name="Agent Sales Ranki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46</xdr:row>
      <xdr:rowOff>0</xdr:rowOff>
    </xdr:from>
    <xdr:to>
      <xdr:col>12</xdr:col>
      <xdr:colOff>0</xdr:colOff>
      <xdr:row>60</xdr:row>
      <xdr:rowOff>0</xdr:rowOff>
    </xdr:to>
    <xdr:graphicFrame macro="">
      <xdr:nvGraphicFramePr>
        <xdr:cNvPr id="4" name="Gross and Net Trend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685800</xdr:colOff>
      <xdr:row>2</xdr:row>
      <xdr:rowOff>123825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7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6858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CategoryMonthlyRecords" displayName="CategoryMonthlyRecords" ref="A6:N87" totalsRowShown="0">
  <autoFilter ref="A6:N87" xr:uid="{00000000-0009-0000-0100-000003000000}"/>
  <tableColumns count="14">
    <tableColumn id="1" xr3:uid="{00000000-0010-0000-0000-000001000000}" name="Period" dataDxfId="32"/>
    <tableColumn id="2" xr3:uid="{00000000-0010-0000-0000-000002000000}" name="Category"/>
    <tableColumn id="3" xr3:uid="{00000000-0010-0000-0000-000003000000}" name="Quantity" dataDxfId="31"/>
    <tableColumn id="4" xr3:uid="{00000000-0010-0000-0000-000004000000}" name="Gross Sales" dataDxfId="30"/>
    <tableColumn id="5" xr3:uid="{00000000-0010-0000-0000-000005000000}" name="Base Cost" dataDxfId="29"/>
    <tableColumn id="6" xr3:uid="{00000000-0010-0000-0000-000006000000}" name="Add-on %" dataDxfId="28"/>
    <tableColumn id="7" xr3:uid="{00000000-0010-0000-0000-000007000000}" name="Add-on Amount" dataDxfId="27">
      <calculatedColumnFormula>CategoryMonthlyRecords[[#This Row],[Base Cost]]*CategoryMonthlyRecords[[#This Row],[Add-on %]]</calculatedColumnFormula>
    </tableColumn>
    <tableColumn id="8" xr3:uid="{00000000-0010-0000-0000-000008000000}" name="Capital" dataDxfId="26">
      <calculatedColumnFormula>CategoryMonthlyRecords[[#This Row],[Base Cost]]+CategoryMonthlyRecords[[#This Row],[Add-on Amount]]</calculatedColumnFormula>
    </tableColumn>
    <tableColumn id="9" xr3:uid="{00000000-0010-0000-0000-000009000000}" name="Markup" dataDxfId="25">
      <calculatedColumnFormula>CategoryMonthlyRecords[[#This Row],[Gross Sales]]-CategoryMonthlyRecords[[#This Row],[Capital]]</calculatedColumnFormula>
    </tableColumn>
    <tableColumn id="10" xr3:uid="{00000000-0010-0000-0000-00000A000000}" name="Channel"/>
    <tableColumn id="11" xr3:uid="{00000000-0010-0000-0000-00000B000000}" name="Commission Rate" dataDxfId="24"/>
    <tableColumn id="12" xr3:uid="{00000000-0010-0000-0000-00000C000000}" name="Agent Commission" dataDxfId="23">
      <calculatedColumnFormula>MAX(0,CategoryMonthlyRecords[[#This Row],[Markup]]*CategoryMonthlyRecords[[#This Row],[Commission Rate]])</calculatedColumnFormula>
    </tableColumn>
    <tableColumn id="13" xr3:uid="{00000000-0010-0000-0000-00000D000000}" name="Net Sales" dataDxfId="22">
      <calculatedColumnFormula>CategoryMonthlyRecords[[#This Row],[Markup]]-CategoryMonthlyRecords[[#This Row],[Agent Commission]]+CategoryMonthlyRecords[[#This Row],[Add-on Amount]]</calculatedColumnFormula>
    </tableColumn>
    <tableColumn id="14" xr3:uid="{00000000-0010-0000-0000-00000E000000}" name="Notes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9" displayName="Table9" ref="B3:O34" totalsRowShown="0">
  <autoFilter ref="B3:O34" xr:uid="{00000000-0009-0000-0100-000001000000}"/>
  <tableColumns count="14">
    <tableColumn id="1" xr3:uid="{00000000-0010-0000-0100-000001000000}" name="MONTHLY EXPENSES" dataDxfId="20"/>
    <tableColumn id="15" xr3:uid="{00000000-0010-0000-0100-00000F000000}" name="Annualized" dataDxfId="19"/>
    <tableColumn id="3" xr3:uid="{00000000-0010-0000-0100-000003000000}" name="January" dataDxfId="18"/>
    <tableColumn id="4" xr3:uid="{00000000-0010-0000-0100-000004000000}" name="February" dataDxfId="17"/>
    <tableColumn id="5" xr3:uid="{00000000-0010-0000-0100-000005000000}" name="March" dataDxfId="16"/>
    <tableColumn id="6" xr3:uid="{00000000-0010-0000-0100-000006000000}" name="April" dataDxfId="15"/>
    <tableColumn id="7" xr3:uid="{00000000-0010-0000-0100-000007000000}" name="May" dataDxfId="14"/>
    <tableColumn id="8" xr3:uid="{00000000-0010-0000-0100-000008000000}" name="June" dataDxfId="13"/>
    <tableColumn id="9" xr3:uid="{00000000-0010-0000-0100-000009000000}" name="July" dataDxfId="12"/>
    <tableColumn id="10" xr3:uid="{00000000-0010-0000-0100-00000A000000}" name="Aug." dataDxfId="11"/>
    <tableColumn id="11" xr3:uid="{00000000-0010-0000-0100-00000B000000}" name="Sept." dataDxfId="10"/>
    <tableColumn id="12" xr3:uid="{00000000-0010-0000-0100-00000C000000}" name="Oct." dataDxfId="9"/>
    <tableColumn id="13" xr3:uid="{00000000-0010-0000-0100-00000D000000}" name="Nov." dataDxfId="8"/>
    <tableColumn id="14" xr3:uid="{00000000-0010-0000-0100-00000E000000}" name="Dec.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ikot" displayName="ikot" ref="G1:P77" totalsRowShown="0">
  <autoFilter ref="G1:P77" xr:uid="{00000000-0009-0000-0100-000002000000}"/>
  <tableColumns count="10">
    <tableColumn id="1" xr3:uid="{00000000-0010-0000-0200-000001000000}" name="G-Cash" dataDxfId="42"/>
    <tableColumn id="2" xr3:uid="{00000000-0010-0000-0200-000002000000}" name="Total Collected" dataDxfId="41">
      <calculatedColumnFormula>F2+G2</calculatedColumnFormula>
    </tableColumn>
    <tableColumn id="3" xr3:uid="{00000000-0010-0000-0200-000003000000}" name="Expenses" dataDxfId="40"/>
    <tableColumn id="4" xr3:uid="{00000000-0010-0000-0200-000004000000}" name="PDC" dataDxfId="39"/>
    <tableColumn id="5" xr3:uid="{00000000-0010-0000-0200-000005000000}" name="Location" dataDxfId="38"/>
    <tableColumn id="6" xr3:uid="{00000000-0010-0000-0200-000006000000}" name="Gas Top Up" dataDxfId="37"/>
    <tableColumn id="7" xr3:uid="{00000000-0010-0000-0200-000007000000}" name="Net Sales" dataDxfId="36">
      <calculatedColumnFormula>E2-I2</calculatedColumnFormula>
    </tableColumn>
    <tableColumn id="8" xr3:uid="{00000000-0010-0000-0200-000008000000}" name="Collection Rate %" dataDxfId="35">
      <calculatedColumnFormula>IF(E2&gt;0,H2/E2,0)</calculatedColumnFormula>
    </tableColumn>
    <tableColumn id="9" xr3:uid="{00000000-0010-0000-0200-000009000000}" name="Old balance" dataDxfId="34"/>
    <tableColumn id="10" xr3:uid="{00000000-0010-0000-0200-00000A000000}" name="New Balance" dataDxfId="33">
      <calculatedColumnFormula>E2-ikot[[#This Row],[Total Collected]]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opLeftCell="A51" zoomScaleNormal="100" workbookViewId="0">
      <selection activeCell="D64" sqref="D64"/>
    </sheetView>
  </sheetViews>
  <sheetFormatPr defaultColWidth="9" defaultRowHeight="12.75"/>
  <cols>
    <col min="1" max="1" width="31.42578125" customWidth="1"/>
    <col min="2" max="2" width="23.85546875" customWidth="1"/>
    <col min="3" max="3" width="14.28515625" customWidth="1"/>
    <col min="4" max="4" width="29" customWidth="1"/>
    <col min="5" max="5" width="38.140625" customWidth="1"/>
    <col min="6" max="6" width="20" customWidth="1"/>
    <col min="7" max="7" width="24.7109375" customWidth="1"/>
  </cols>
  <sheetData>
    <row r="1" spans="1:7" ht="23.25">
      <c r="A1" s="275" t="s">
        <v>0</v>
      </c>
      <c r="B1" s="275"/>
      <c r="C1" s="275"/>
      <c r="D1" s="275"/>
      <c r="E1" s="275"/>
      <c r="G1" s="220" t="s">
        <v>1</v>
      </c>
    </row>
    <row r="2" spans="1:7">
      <c r="A2" s="221"/>
      <c r="B2" s="221"/>
      <c r="G2" s="222" t="s">
        <v>2</v>
      </c>
    </row>
    <row r="3" spans="1:7" ht="18">
      <c r="A3" s="223" t="s">
        <v>3</v>
      </c>
      <c r="B3" s="224" t="s">
        <v>4</v>
      </c>
      <c r="G3" s="225" t="s">
        <v>5</v>
      </c>
    </row>
    <row r="4" spans="1:7">
      <c r="A4" s="221"/>
      <c r="B4" s="221"/>
    </row>
    <row r="5" spans="1:7" ht="15.75">
      <c r="A5" s="276" t="s">
        <v>6</v>
      </c>
      <c r="B5" s="276"/>
      <c r="D5" s="276" t="s">
        <v>7</v>
      </c>
      <c r="E5" s="276"/>
      <c r="G5" s="225" t="s">
        <v>8</v>
      </c>
    </row>
    <row r="6" spans="1:7">
      <c r="A6" s="227" t="s">
        <v>9</v>
      </c>
      <c r="B6" s="228">
        <f>'Back Office Commission'!D27</f>
        <v>5363118.6599999992</v>
      </c>
      <c r="D6" s="227" t="s">
        <v>10</v>
      </c>
      <c r="E6" s="228">
        <f ca="1">'Commission Summary'!C33</f>
        <v>152734.163</v>
      </c>
    </row>
    <row r="7" spans="1:7" ht="16.5" customHeight="1">
      <c r="A7" s="227" t="s">
        <v>11</v>
      </c>
      <c r="B7" s="228">
        <f ca="1">'Back Office Commission'!D21</f>
        <v>2848080.08</v>
      </c>
      <c r="D7" s="227" t="s">
        <v>12</v>
      </c>
      <c r="E7" s="228">
        <f ca="1">'Commission Summary'!C34</f>
        <v>65978.196207835557</v>
      </c>
      <c r="G7" s="225" t="s">
        <v>13</v>
      </c>
    </row>
    <row r="8" spans="1:7">
      <c r="A8" s="227" t="s">
        <v>14</v>
      </c>
      <c r="B8" s="228">
        <f>'Back Office Commission'!D23</f>
        <v>753463.83310000005</v>
      </c>
      <c r="D8" s="227"/>
      <c r="E8" s="228"/>
    </row>
    <row r="9" spans="1:7" ht="15" customHeight="1">
      <c r="A9" s="227" t="s">
        <v>15</v>
      </c>
      <c r="B9" s="228">
        <f>'Back Office Commission'!D24</f>
        <v>438780.35952999943</v>
      </c>
      <c r="D9" s="229" t="s">
        <v>16</v>
      </c>
      <c r="E9" s="261">
        <f ca="1">ROUND('Commission Summary'!J17,2)+ROUND('Commission Summary'!C34,2)</f>
        <v>206115.15999999997</v>
      </c>
      <c r="G9" s="225" t="s">
        <v>17</v>
      </c>
    </row>
    <row r="10" spans="1:7">
      <c r="A10" s="227" t="s">
        <v>18</v>
      </c>
      <c r="B10" s="228">
        <f>'Back Office Commission'!D28</f>
        <v>438780.35952999943</v>
      </c>
    </row>
    <row r="11" spans="1:7">
      <c r="A11" s="229" t="s">
        <v>19</v>
      </c>
      <c r="B11" s="230">
        <f ca="1">'Back Office Commission'!D29</f>
        <v>372802.16332216386</v>
      </c>
      <c r="G11" s="231" t="s">
        <v>20</v>
      </c>
    </row>
    <row r="12" spans="1:7">
      <c r="A12" s="221"/>
      <c r="B12" s="221"/>
    </row>
    <row r="13" spans="1:7">
      <c r="A13" s="221"/>
      <c r="B13" s="221"/>
      <c r="G13" s="231" t="s">
        <v>21</v>
      </c>
    </row>
    <row r="14" spans="1:7" ht="15.75">
      <c r="A14" s="276" t="s">
        <v>22</v>
      </c>
      <c r="B14" s="276"/>
      <c r="D14" s="276" t="s">
        <v>23</v>
      </c>
      <c r="E14" s="276"/>
    </row>
    <row r="15" spans="1:7">
      <c r="A15" s="227" t="s">
        <v>24</v>
      </c>
      <c r="B15" s="228">
        <f ca="1">'Back Office Commission'!C7</f>
        <v>33645.19340039519</v>
      </c>
      <c r="D15" s="227" t="s">
        <v>25</v>
      </c>
      <c r="E15" s="228">
        <f ca="1">'Commission Summary'!C17</f>
        <v>2481318.58</v>
      </c>
      <c r="G15" s="225" t="s">
        <v>26</v>
      </c>
    </row>
    <row r="16" spans="1:7">
      <c r="A16" s="227" t="s">
        <v>27</v>
      </c>
      <c r="B16" s="228">
        <f ca="1">'Back Office Commission'!C8</f>
        <v>14433.670223890393</v>
      </c>
      <c r="D16" s="227" t="s">
        <v>28</v>
      </c>
      <c r="E16" s="228">
        <f ca="1">'Commission Summary'!D17</f>
        <v>539544.18999999994</v>
      </c>
    </row>
    <row r="17" spans="1:7">
      <c r="A17" s="227" t="s">
        <v>29</v>
      </c>
      <c r="B17" s="228">
        <f>'Back Office Commission'!C10</f>
        <v>2542.02</v>
      </c>
      <c r="G17" s="231" t="s">
        <v>30</v>
      </c>
    </row>
    <row r="18" spans="1:7">
      <c r="A18" s="227" t="s">
        <v>31</v>
      </c>
      <c r="B18" s="228">
        <f>SUM('Back Office Commission'!C11:C15)</f>
        <v>10969.508988249987</v>
      </c>
      <c r="G18" s="15"/>
    </row>
    <row r="19" spans="1:7">
      <c r="A19" s="221"/>
      <c r="B19" s="221"/>
      <c r="G19" s="231" t="s">
        <v>32</v>
      </c>
    </row>
    <row r="20" spans="1:7" ht="15.75">
      <c r="A20" s="226" t="s">
        <v>33</v>
      </c>
      <c r="B20" s="232" t="str">
        <f>B3&amp;"  performance"</f>
        <v>August  performance</v>
      </c>
      <c r="C20" s="233" t="s">
        <v>34</v>
      </c>
      <c r="D20" s="233" t="s">
        <v>35</v>
      </c>
      <c r="E20" s="233" t="s">
        <v>36</v>
      </c>
    </row>
    <row r="21" spans="1:7" s="15" customFormat="1" ht="25.5">
      <c r="A21" s="234" t="s">
        <v>37</v>
      </c>
      <c r="B21" s="235">
        <f>IFERROR('Back Office Commission'!D23/'Back Office Commission'!D27,0)</f>
        <v>0.14048986809104091</v>
      </c>
      <c r="C21" s="236" t="s">
        <v>38</v>
      </c>
      <c r="D21" s="236" t="str">
        <f>IF(AND(B21&gt;=0.1,B21&lt;=0.2),"✅ Good",IF(B21&lt;0.1,"⚠️ Low","🔴 High"))</f>
        <v>✅ Good</v>
      </c>
      <c r="E21" s="237" t="s">
        <v>39</v>
      </c>
      <c r="G21" s="238" t="s">
        <v>40</v>
      </c>
    </row>
    <row r="22" spans="1:7" s="15" customFormat="1" ht="25.5">
      <c r="A22" s="234" t="s">
        <v>41</v>
      </c>
      <c r="B22" s="235">
        <f>IFERROR('Back Office Commission'!D24/'Back Office Commission'!D27,0)</f>
        <v>8.1814404518508174E-2</v>
      </c>
      <c r="C22" s="236" t="s">
        <v>42</v>
      </c>
      <c r="D22" s="236" t="str">
        <f>IF(AND(B22&gt;=0.05,B22&lt;=0.1),"✅ Good",IF(B22&lt;0.05,"⚠️ Low","🔴 High"))</f>
        <v>✅ Good</v>
      </c>
      <c r="E22" s="237" t="s">
        <v>43</v>
      </c>
      <c r="G22" s="238" t="s">
        <v>44</v>
      </c>
    </row>
    <row r="23" spans="1:7" s="15" customFormat="1" ht="25.5">
      <c r="A23" s="234" t="s">
        <v>45</v>
      </c>
      <c r="B23" s="235">
        <f ca="1">IFERROR('Commission Summary'!C35/'Back Office Commission'!D27,0)</f>
        <v>4.0780816883883755E-2</v>
      </c>
      <c r="C23" s="236" t="s">
        <v>46</v>
      </c>
      <c r="D23" s="236" t="str">
        <f ca="1">IF(AND(B23&gt;=0.02,B23&lt;=0.05),"✅ Good",IF(B23&lt;0.02,"⚠️ Low","🔴 High"))</f>
        <v>✅ Good</v>
      </c>
      <c r="E23" s="237" t="s">
        <v>47</v>
      </c>
      <c r="G23" s="238" t="s">
        <v>48</v>
      </c>
    </row>
    <row r="24" spans="1:7">
      <c r="A24" s="221"/>
      <c r="B24" s="221"/>
    </row>
    <row r="25" spans="1:7">
      <c r="G25" s="225" t="s">
        <v>49</v>
      </c>
    </row>
    <row r="26" spans="1:7" ht="15.75">
      <c r="A26" s="271" t="s">
        <v>50</v>
      </c>
      <c r="B26" s="271"/>
      <c r="C26" s="271"/>
    </row>
    <row r="27" spans="1:7">
      <c r="A27" s="239" t="s">
        <v>51</v>
      </c>
      <c r="B27" s="239" t="s">
        <v>52</v>
      </c>
      <c r="C27" s="239" t="s">
        <v>35</v>
      </c>
      <c r="G27" s="225" t="s">
        <v>53</v>
      </c>
    </row>
    <row r="28" spans="1:7">
      <c r="A28" s="240" t="s">
        <v>54</v>
      </c>
      <c r="B28" s="241" t="s">
        <v>55</v>
      </c>
      <c r="C28" s="241" t="s">
        <v>56</v>
      </c>
    </row>
    <row r="29" spans="1:7" ht="25.5">
      <c r="A29" s="242" t="s">
        <v>57</v>
      </c>
      <c r="B29" s="243" t="s">
        <v>58</v>
      </c>
      <c r="C29" s="243" t="s">
        <v>59</v>
      </c>
    </row>
    <row r="30" spans="1:7" ht="25.5">
      <c r="A30" s="244" t="s">
        <v>60</v>
      </c>
      <c r="B30" s="245" t="s">
        <v>61</v>
      </c>
      <c r="C30" s="245" t="s">
        <v>62</v>
      </c>
    </row>
    <row r="32" spans="1:7">
      <c r="A32" s="246" t="str">
        <f>IF(COUNTIFS(CategoryMonthlyRecords[Period],"&gt;="&amp;DATE(2026,'Back Office Commission'!$K$3,1),CategoryMonthlyRecords[Period],"&lt;"&amp;EDATE(DATE(2026,'Back Office Commission'!$K$3,1),1))&gt;0,"📋 Month drivers aligned: "&amp;B3,"⚠️ No category records for selected month "&amp;B3)</f>
        <v>📋 Month drivers aligned: August</v>
      </c>
      <c r="B32" s="221"/>
    </row>
    <row r="34" spans="1:7" ht="23.25">
      <c r="A34" s="272" t="s">
        <v>63</v>
      </c>
      <c r="B34" s="272"/>
      <c r="C34" s="272"/>
      <c r="D34" s="272"/>
      <c r="E34" s="272"/>
      <c r="F34" s="272"/>
      <c r="G34" s="272"/>
    </row>
    <row r="35" spans="1:7">
      <c r="A35" s="273" t="str">
        <f>"Single source of truth for commission rules and live "&amp;B3&amp;" qualification checks. Edit yellow cells only."</f>
        <v>Single source of truth for commission rules and live August qualification checks. Edit yellow cells only.</v>
      </c>
      <c r="B35" s="273"/>
      <c r="C35" s="273"/>
      <c r="D35" s="273"/>
      <c r="E35" s="273"/>
      <c r="F35" s="273"/>
      <c r="G35" s="273"/>
    </row>
    <row r="37" spans="1:7" ht="15.75">
      <c r="A37" s="274" t="s">
        <v>64</v>
      </c>
      <c r="B37" s="274"/>
      <c r="C37" s="274"/>
      <c r="D37" s="274"/>
      <c r="E37" s="274"/>
      <c r="F37" s="274"/>
      <c r="G37" s="274"/>
    </row>
    <row r="38" spans="1:7">
      <c r="A38" s="247" t="s">
        <v>65</v>
      </c>
      <c r="B38" s="247" t="s">
        <v>66</v>
      </c>
      <c r="C38" s="247" t="s">
        <v>67</v>
      </c>
      <c r="D38" s="247" t="s">
        <v>68</v>
      </c>
      <c r="E38" s="247" t="s">
        <v>69</v>
      </c>
      <c r="F38" s="247" t="s">
        <v>70</v>
      </c>
      <c r="G38" s="247" t="s">
        <v>71</v>
      </c>
    </row>
    <row r="39" spans="1:7" ht="25.5">
      <c r="A39" s="248" t="s">
        <v>72</v>
      </c>
      <c r="B39" s="248" t="s">
        <v>73</v>
      </c>
      <c r="C39" s="249">
        <v>0.2</v>
      </c>
      <c r="D39" s="248" t="s">
        <v>74</v>
      </c>
      <c r="E39" s="248" t="s">
        <v>75</v>
      </c>
      <c r="F39" s="248" t="s">
        <v>76</v>
      </c>
      <c r="G39" s="248" t="s">
        <v>77</v>
      </c>
    </row>
    <row r="40" spans="1:7" ht="25.5">
      <c r="A40" s="248" t="s">
        <v>72</v>
      </c>
      <c r="B40" s="248" t="s">
        <v>78</v>
      </c>
      <c r="C40" s="250">
        <v>200000</v>
      </c>
      <c r="D40" s="248" t="s">
        <v>79</v>
      </c>
      <c r="E40" s="248" t="s">
        <v>80</v>
      </c>
      <c r="F40" s="248" t="s">
        <v>76</v>
      </c>
      <c r="G40" s="248" t="s">
        <v>81</v>
      </c>
    </row>
    <row r="41" spans="1:7" ht="25.5">
      <c r="A41" s="248" t="s">
        <v>72</v>
      </c>
      <c r="B41" s="248" t="s">
        <v>82</v>
      </c>
      <c r="C41" s="249">
        <v>0.3</v>
      </c>
      <c r="D41" s="248" t="s">
        <v>83</v>
      </c>
      <c r="E41" s="248" t="s">
        <v>75</v>
      </c>
      <c r="F41" s="248" t="s">
        <v>76</v>
      </c>
      <c r="G41" s="248" t="s">
        <v>84</v>
      </c>
    </row>
    <row r="42" spans="1:7">
      <c r="A42" s="248" t="s">
        <v>72</v>
      </c>
      <c r="B42" s="248" t="s">
        <v>85</v>
      </c>
      <c r="C42" s="249">
        <v>0.2</v>
      </c>
      <c r="D42" s="248" t="s">
        <v>86</v>
      </c>
      <c r="E42" s="248" t="s">
        <v>87</v>
      </c>
      <c r="F42" s="248" t="s">
        <v>76</v>
      </c>
      <c r="G42" s="248" t="s">
        <v>88</v>
      </c>
    </row>
    <row r="43" spans="1:7" ht="25.5">
      <c r="A43" s="248" t="s">
        <v>72</v>
      </c>
      <c r="B43" s="248" t="s">
        <v>89</v>
      </c>
      <c r="C43" s="249">
        <v>0.05</v>
      </c>
      <c r="D43" s="248" t="s">
        <v>90</v>
      </c>
      <c r="E43" s="248" t="s">
        <v>91</v>
      </c>
      <c r="F43" s="248" t="s">
        <v>92</v>
      </c>
      <c r="G43" s="248" t="s">
        <v>93</v>
      </c>
    </row>
    <row r="44" spans="1:7" ht="25.5">
      <c r="A44" s="248" t="s">
        <v>24</v>
      </c>
      <c r="B44" s="248" t="s">
        <v>94</v>
      </c>
      <c r="C44" s="251" t="s">
        <v>95</v>
      </c>
      <c r="D44" s="248" t="s">
        <v>96</v>
      </c>
      <c r="E44" s="248" t="s">
        <v>97</v>
      </c>
      <c r="F44" s="248" t="s">
        <v>12</v>
      </c>
      <c r="G44" s="248" t="s">
        <v>98</v>
      </c>
    </row>
    <row r="45" spans="1:7" ht="38.25">
      <c r="A45" s="248" t="s">
        <v>24</v>
      </c>
      <c r="B45" s="248" t="s">
        <v>99</v>
      </c>
      <c r="C45" s="251" t="s">
        <v>100</v>
      </c>
      <c r="D45" s="248" t="s">
        <v>101</v>
      </c>
      <c r="E45" s="248" t="s">
        <v>102</v>
      </c>
      <c r="F45" s="248" t="s">
        <v>12</v>
      </c>
      <c r="G45" s="248"/>
    </row>
    <row r="46" spans="1:7" ht="25.5">
      <c r="A46" s="248" t="s">
        <v>24</v>
      </c>
      <c r="B46" s="248" t="s">
        <v>103</v>
      </c>
      <c r="C46" s="251" t="s">
        <v>104</v>
      </c>
      <c r="D46" s="248" t="s">
        <v>105</v>
      </c>
      <c r="E46" s="248" t="s">
        <v>106</v>
      </c>
      <c r="F46" s="248" t="s">
        <v>12</v>
      </c>
      <c r="G46" s="248"/>
    </row>
    <row r="47" spans="1:7" ht="25.5">
      <c r="A47" s="248" t="s">
        <v>27</v>
      </c>
      <c r="B47" s="248" t="s">
        <v>107</v>
      </c>
      <c r="C47" s="250">
        <v>1500000</v>
      </c>
      <c r="D47" s="248" t="s">
        <v>108</v>
      </c>
      <c r="E47" s="248" t="s">
        <v>109</v>
      </c>
      <c r="F47" s="248" t="s">
        <v>12</v>
      </c>
      <c r="G47" s="248" t="s">
        <v>110</v>
      </c>
    </row>
    <row r="48" spans="1:7" ht="25.5">
      <c r="A48" s="248" t="s">
        <v>27</v>
      </c>
      <c r="B48" s="248" t="s">
        <v>111</v>
      </c>
      <c r="C48" s="249">
        <v>5.0000000000000001E-3</v>
      </c>
      <c r="D48" s="248" t="s">
        <v>112</v>
      </c>
      <c r="E48" s="248" t="s">
        <v>113</v>
      </c>
      <c r="F48" s="248" t="s">
        <v>12</v>
      </c>
      <c r="G48" s="248" t="s">
        <v>114</v>
      </c>
    </row>
    <row r="49" spans="1:7" ht="25.5">
      <c r="A49" s="248" t="s">
        <v>29</v>
      </c>
      <c r="B49" s="248" t="s">
        <v>111</v>
      </c>
      <c r="C49" s="249">
        <v>0.01</v>
      </c>
      <c r="D49" s="248" t="s">
        <v>115</v>
      </c>
      <c r="E49" s="248" t="s">
        <v>116</v>
      </c>
      <c r="F49" s="248" t="s">
        <v>12</v>
      </c>
      <c r="G49" s="248" t="s">
        <v>117</v>
      </c>
    </row>
    <row r="50" spans="1:7" ht="25.5">
      <c r="A50" s="248" t="s">
        <v>31</v>
      </c>
      <c r="B50" s="248" t="s">
        <v>118</v>
      </c>
      <c r="C50" s="250">
        <v>300000</v>
      </c>
      <c r="D50" s="248" t="s">
        <v>119</v>
      </c>
      <c r="E50" s="248" t="s">
        <v>120</v>
      </c>
      <c r="F50" s="248" t="s">
        <v>12</v>
      </c>
      <c r="G50" s="248" t="s">
        <v>121</v>
      </c>
    </row>
    <row r="51" spans="1:7" ht="25.5">
      <c r="A51" s="248" t="s">
        <v>31</v>
      </c>
      <c r="B51" s="248" t="s">
        <v>122</v>
      </c>
      <c r="C51" s="249">
        <v>0.01</v>
      </c>
      <c r="D51" s="248" t="s">
        <v>123</v>
      </c>
      <c r="E51" s="248" t="s">
        <v>124</v>
      </c>
      <c r="F51" s="248" t="s">
        <v>12</v>
      </c>
      <c r="G51" s="248" t="s">
        <v>125</v>
      </c>
    </row>
    <row r="52" spans="1:7" ht="25.5">
      <c r="A52" s="248" t="s">
        <v>126</v>
      </c>
      <c r="B52" s="248" t="s">
        <v>127</v>
      </c>
      <c r="C52" s="249">
        <v>0.1</v>
      </c>
      <c r="D52" s="248" t="s">
        <v>128</v>
      </c>
      <c r="E52" s="248" t="s">
        <v>129</v>
      </c>
      <c r="F52" s="248" t="s">
        <v>12</v>
      </c>
      <c r="G52" s="248" t="s">
        <v>130</v>
      </c>
    </row>
    <row r="53" spans="1:7" ht="25.5">
      <c r="A53" s="252" t="s">
        <v>126</v>
      </c>
      <c r="B53" s="252" t="s">
        <v>131</v>
      </c>
      <c r="C53" s="253">
        <v>1</v>
      </c>
      <c r="D53" s="252" t="s">
        <v>132</v>
      </c>
      <c r="E53" s="252" t="s">
        <v>133</v>
      </c>
      <c r="F53" s="252" t="s">
        <v>12</v>
      </c>
      <c r="G53" s="252" t="s">
        <v>134</v>
      </c>
    </row>
    <row r="55" spans="1:7" ht="15.75">
      <c r="A55" s="274" t="s">
        <v>135</v>
      </c>
      <c r="B55" s="274"/>
      <c r="C55" s="274"/>
      <c r="D55" s="274"/>
      <c r="E55" s="274"/>
      <c r="F55" s="274"/>
      <c r="G55" s="274"/>
    </row>
    <row r="56" spans="1:7" ht="25.5">
      <c r="A56" s="247" t="s">
        <v>136</v>
      </c>
      <c r="B56" s="247" t="s">
        <v>137</v>
      </c>
      <c r="C56" s="247" t="s">
        <v>138</v>
      </c>
      <c r="D56" s="247" t="s">
        <v>139</v>
      </c>
      <c r="E56" s="247" t="s">
        <v>140</v>
      </c>
      <c r="F56" s="247" t="s">
        <v>141</v>
      </c>
      <c r="G56" s="247" t="s">
        <v>142</v>
      </c>
    </row>
    <row r="57" spans="1:7" ht="25.5">
      <c r="A57" s="219" t="s">
        <v>24</v>
      </c>
      <c r="B57" s="153">
        <f>'Back Office Commission'!D27</f>
        <v>5363118.6599999992</v>
      </c>
      <c r="C57" s="337">
        <v>0</v>
      </c>
      <c r="D57" s="338" t="str">
        <f>TEXT(MIN('%Comm'!C31:C42),"0.0%")&amp;" – "&amp;TEXT(MAX('%Comm'!C31:C42),"0.0%")</f>
        <v>0.5% – 1.0%</v>
      </c>
      <c r="E57" s="339" t="s">
        <v>707</v>
      </c>
      <c r="F57" s="153">
        <f ca="1">'Back Office Commission'!E38</f>
        <v>33645.19340039519</v>
      </c>
      <c r="G57" t="s">
        <v>143</v>
      </c>
    </row>
    <row r="58" spans="1:7" ht="25.5">
      <c r="A58" s="219" t="s">
        <v>27</v>
      </c>
      <c r="B58" s="153">
        <f ca="1">'Back Office Commission'!D21</f>
        <v>2848080.08</v>
      </c>
      <c r="C58" s="153" cm="1">
        <f t="array" ref="C58">Sales_Staff_Threshold</f>
        <v>1500000</v>
      </c>
      <c r="D58" s="141" cm="1">
        <f t="array" ref="D58">Sales_Staff_Rate</f>
        <v>5.0000000000000001E-3</v>
      </c>
      <c r="E58" s="254" t="str">
        <f ca="1">IF(B58&gt;C58,"Qualifies","Does not qualify")</f>
        <v>Qualifies</v>
      </c>
      <c r="F58" s="153">
        <f ca="1">'Back Office Commission'!E43</f>
        <v>12239.768426240395</v>
      </c>
      <c r="G58" t="s">
        <v>144</v>
      </c>
    </row>
    <row r="59" spans="1:7">
      <c r="A59" s="219" t="s">
        <v>29</v>
      </c>
      <c r="B59" s="153">
        <f>'Back Office Commission'!D25-'Back Office Commission'!D26</f>
        <v>254202</v>
      </c>
      <c r="C59" s="153">
        <f>0</f>
        <v>0</v>
      </c>
      <c r="D59" s="141" cm="1">
        <f t="array" ref="D59">Ikot_Commission_Rate</f>
        <v>0.01</v>
      </c>
      <c r="E59" s="254" t="str">
        <f>IF(B59&gt;0,"Applies to positive net sales","No positive net sales")</f>
        <v>Applies to positive net sales</v>
      </c>
      <c r="F59" s="153">
        <f>'Back Office Commission'!E48</f>
        <v>2542.02</v>
      </c>
      <c r="G59" t="s">
        <v>145</v>
      </c>
    </row>
    <row r="60" spans="1:7">
      <c r="A60" s="219" t="s">
        <v>31</v>
      </c>
      <c r="B60" s="153">
        <f>'Back Office Commission'!D28</f>
        <v>438780.35952999943</v>
      </c>
      <c r="C60" s="153" cm="1">
        <f t="array" ref="C60">Back_Office_Threshold</f>
        <v>300000</v>
      </c>
      <c r="D60" s="141" cm="1">
        <f t="array" ref="D60">Back_Office_Rate</f>
        <v>0.01</v>
      </c>
      <c r="E60" s="254" t="str">
        <f>IF(B60&gt;C60,"Qualifies","Does not qualify")</f>
        <v>Qualifies</v>
      </c>
      <c r="F60" s="153">
        <f>'Back Office Commission'!E56</f>
        <v>17551.214381199978</v>
      </c>
      <c r="G60" t="s">
        <v>146</v>
      </c>
    </row>
    <row r="61" spans="1:7" ht="25.5">
      <c r="A61" s="219" t="s">
        <v>147</v>
      </c>
      <c r="B61" s="153">
        <f ca="1">'Commission Summary'!H17</f>
        <v>147280.163</v>
      </c>
      <c r="C61" s="153">
        <f>0</f>
        <v>0</v>
      </c>
      <c r="D61" s="141" cm="1">
        <f t="array" ref="D61">Agent_Savings_Rate</f>
        <v>0.05</v>
      </c>
      <c r="E61" s="254" t="str">
        <f ca="1">IF(B61&gt;0,"Applied after expenses","No positive commission")</f>
        <v>Applied after expenses</v>
      </c>
      <c r="F61" s="153">
        <f ca="1">'Commission Summary'!I17</f>
        <v>7143.1982499999995</v>
      </c>
      <c r="G61" t="s">
        <v>148</v>
      </c>
    </row>
    <row r="62" spans="1:7" ht="25.5">
      <c r="A62" s="255" t="s">
        <v>149</v>
      </c>
      <c r="B62" s="256">
        <f ca="1">'Back Office Commission'!D29</f>
        <v>372802.16332216386</v>
      </c>
      <c r="C62" s="256">
        <f>0</f>
        <v>0</v>
      </c>
      <c r="D62" s="257" cm="1">
        <f t="array" ref="D62">Tithes_Rate</f>
        <v>0.1</v>
      </c>
      <c r="E62" s="258" t="str" cm="1">
        <f t="array" ref="E62">"Tithes "&amp;TEXT(Tithes_Rate,"0.0%")&amp;" + offering "&amp;TEXT(Offering_Multiplier,"0%")&amp;" of tithes"</f>
        <v>Tithes 10.0% + offering 100% of tithes</v>
      </c>
      <c r="F62" s="256">
        <f ca="1">'Back Office Commission'!D30+'Back Office Commission'!D31</f>
        <v>74560.432664432781</v>
      </c>
      <c r="G62" s="259" t="s">
        <v>150</v>
      </c>
    </row>
  </sheetData>
  <mergeCells count="10">
    <mergeCell ref="A1:E1"/>
    <mergeCell ref="A5:B5"/>
    <mergeCell ref="D5:E5"/>
    <mergeCell ref="A14:B14"/>
    <mergeCell ref="D14:E14"/>
    <mergeCell ref="A26:C26"/>
    <mergeCell ref="A34:G34"/>
    <mergeCell ref="A35:G35"/>
    <mergeCell ref="A37:G37"/>
    <mergeCell ref="A55:G55"/>
  </mergeCells>
  <conditionalFormatting sqref="D21:D23">
    <cfRule type="containsText" dxfId="6" priority="1" operator="containsText" text="✅">
      <formula>NOT(ISERROR(SEARCH("✅",D21)))</formula>
    </cfRule>
    <cfRule type="containsText" dxfId="5" priority="2" operator="containsText" text="⚠️">
      <formula>NOT(ISERROR(SEARCH("⚠️",D21)))</formula>
    </cfRule>
    <cfRule type="containsText" dxfId="4" priority="3" operator="containsText" text="🔴">
      <formula>NOT(ISERROR(SEARCH("🔴",D21)))</formula>
    </cfRule>
  </conditionalFormatting>
  <dataValidations count="1">
    <dataValidation type="list" allowBlank="1" showInputMessage="1" showErrorMessage="1" sqref="B3" xr:uid="{00000000-0002-0000-0000-000000000000}">
      <formula1>"January,February,March,April,May,June,July,August,September,October,November,December"</formula1>
    </dataValidation>
  </dataValidations>
  <hyperlinks>
    <hyperlink ref="G19" location="'Ikot Summary'!A1" display="➤ Ikot Sales" xr:uid="{00000000-0004-0000-0000-000000000000}"/>
    <hyperlink ref="G17" location="'Ikot Sales'!A1" display="➤ Store Expenses" xr:uid="{00000000-0004-0000-0000-000001000000}"/>
    <hyperlink ref="G15" location="'Store Expenses'!A1" display="➤ %Comm" xr:uid="{00000000-0004-0000-0000-000002000000}"/>
    <hyperlink ref="G13" location="ItemReportsCategory!A1" display="➤ ItemReportsCategory" xr:uid="{00000000-0004-0000-0000-000003000000}"/>
    <hyperlink ref="G11" location="AgentYearlySales!A1" display="➤ AgentYearlySales" xr:uid="{00000000-0004-0000-0000-000004000000}"/>
    <hyperlink ref="G9" location="'Back Office Commission'!A1" display="➤ Back Office Commission" xr:uid="{00000000-0004-0000-0000-000005000000}"/>
    <hyperlink ref="G7" location="'Monthly Commission'!A1" display="➤ Monthly Commission" xr:uid="{00000000-0004-0000-0000-000006000000}"/>
    <hyperlink ref="G5" location="Instructions!A1" display="➤ Instructions" xr:uid="{00000000-0004-0000-0000-000007000000}"/>
    <hyperlink ref="G3" location="'Commission Summary'!A1" display="➤ Commission Summary" xr:uid="{00000000-0004-0000-0000-000008000000}"/>
    <hyperlink ref="G21" location="'Payslips 1-4'!A1" display="➤ Payslip 1 - 4" xr:uid="{00000000-0004-0000-0000-000009000000}"/>
    <hyperlink ref="G22" location="'Payslips 5-8'!A1" display="➤  Payslip 5 - 8" xr:uid="{00000000-0004-0000-0000-00000A000000}"/>
    <hyperlink ref="G23" location="'Payslips 9-10'!A1" display="➤  Payslip 9 - 10" xr:uid="{00000000-0004-0000-0000-00000B000000}"/>
    <hyperlink ref="G25" location="'Agent Expense'!A1" display="➤ Agent Expenses" xr:uid="{00000000-0004-0000-0000-00000C000000}"/>
    <hyperlink ref="G27" location="'Agent Savings'!A1" display="➤ Agent Savings" xr:uid="{00000000-0004-0000-0000-00000D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8"/>
  <sheetViews>
    <sheetView topLeftCell="A15" workbookViewId="0">
      <selection activeCell="H14" sqref="H14"/>
    </sheetView>
  </sheetViews>
  <sheetFormatPr defaultColWidth="9" defaultRowHeight="12.75"/>
  <cols>
    <col min="1" max="1" width="23.85546875" customWidth="1"/>
    <col min="2" max="2" width="11" customWidth="1"/>
    <col min="3" max="3" width="13" customWidth="1"/>
    <col min="4" max="4" width="12.140625" customWidth="1"/>
    <col min="5" max="5" width="11" customWidth="1"/>
    <col min="6" max="6" width="19" customWidth="1"/>
    <col min="7" max="7" width="3.42578125" customWidth="1"/>
    <col min="8" max="12" width="13.28515625" customWidth="1"/>
  </cols>
  <sheetData>
    <row r="1" spans="1:12" ht="30" customHeight="1">
      <c r="A1" s="284" t="s">
        <v>151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</row>
    <row r="2" spans="1:12" ht="20.100000000000001" customHeight="1">
      <c r="A2" s="281" t="s">
        <v>152</v>
      </c>
      <c r="B2" s="281"/>
      <c r="C2" s="281"/>
      <c r="D2" s="281"/>
      <c r="E2" s="281"/>
      <c r="F2" s="281"/>
      <c r="G2" s="281"/>
      <c r="H2" s="281"/>
      <c r="I2" s="281"/>
      <c r="J2" s="281"/>
      <c r="K2" s="281"/>
      <c r="L2" s="281"/>
    </row>
    <row r="3" spans="1:12">
      <c r="A3" s="210" t="s">
        <v>153</v>
      </c>
      <c r="B3" s="210" t="str">
        <f>'Executive Summary'!B3</f>
        <v>August</v>
      </c>
      <c r="C3" s="210" t="s">
        <v>154</v>
      </c>
      <c r="D3" s="211">
        <f>DATE(2026,MATCH(B3,{"January","February","March","April","May","June","July","August","September","October","November","December"},0),1)</f>
        <v>46235</v>
      </c>
    </row>
    <row r="5" spans="1:12">
      <c r="A5" s="285" t="s">
        <v>155</v>
      </c>
      <c r="B5" s="285"/>
      <c r="C5" s="285" t="s">
        <v>156</v>
      </c>
      <c r="D5" s="285"/>
      <c r="E5" s="285" t="s">
        <v>157</v>
      </c>
      <c r="F5" s="285"/>
      <c r="G5" s="285" t="s">
        <v>158</v>
      </c>
      <c r="H5" s="285"/>
      <c r="I5" s="285" t="s">
        <v>159</v>
      </c>
      <c r="J5" s="285"/>
      <c r="K5" s="285" t="s">
        <v>160</v>
      </c>
      <c r="L5" s="285"/>
    </row>
    <row r="6" spans="1:12" ht="36" customHeight="1">
      <c r="A6" s="283">
        <f>SUMIFS(CategoryMonthlyRecords[Gross Sales],CategoryMonthlyRecords[Period],$D$3)</f>
        <v>5363118.6599999992</v>
      </c>
      <c r="B6" s="283"/>
      <c r="C6" s="283">
        <f>SUMIFS(CategoryMonthlyRecords[Net Sales],CategoryMonthlyRecords[Period],$D$3)</f>
        <v>1192244.1926299995</v>
      </c>
      <c r="D6" s="283"/>
      <c r="E6" s="282">
        <f>IFERROR(C6/A6,0)</f>
        <v>0.2223042726095491</v>
      </c>
      <c r="F6" s="282"/>
      <c r="G6" s="282">
        <f>IFERROR(A6/SUMIFS(CategoryMonthlyRecords[Gross Sales],CategoryMonthlyRecords[Period],EDATE($D$3,-1))-1,0)</f>
        <v>5.9309786357073069E-2</v>
      </c>
      <c r="H6" s="282"/>
      <c r="I6" s="282">
        <f>IFERROR('Executive Summary'!B8/A6,0)</f>
        <v>0.14048986809104091</v>
      </c>
      <c r="J6" s="282"/>
      <c r="K6" s="282">
        <f>IFERROR(INDEX('Ikot Summary'!$G$11:$G$22,MATCH($B$3,'Ikot Summary'!$A$11:$A$22,0)),0)</f>
        <v>0.91379997542622027</v>
      </c>
      <c r="L6" s="282"/>
    </row>
    <row r="8" spans="1:12" ht="15">
      <c r="A8" s="280" t="s">
        <v>161</v>
      </c>
      <c r="B8" s="280"/>
      <c r="C8" s="280"/>
      <c r="D8" s="280"/>
      <c r="E8" s="280"/>
      <c r="F8" s="280"/>
      <c r="G8" s="280"/>
      <c r="H8" s="280"/>
      <c r="I8" s="280"/>
      <c r="J8" s="280"/>
      <c r="K8" s="280"/>
      <c r="L8" s="280"/>
    </row>
    <row r="9" spans="1:12" ht="21.95" customHeight="1">
      <c r="A9" s="279" t="str" cm="1">
        <f t="array" aca="1" ref="A9" ca="1">"In "&amp;B3&amp;", gross sales were "&amp;TEXT(A6,"₱0.00,,")&amp;"M, "&amp;IF(G6&gt;=0,"up ","down ")&amp;TEXT(ABS(G6),"0.0%")&amp;" versus the prior month. Net sales were "&amp;TEXT(C6,"₱0.00,,")&amp;"M ("&amp;TEXT(E6,"0.0%")&amp;" of gross). The top two categories contributed "&amp;TEXT(IFERROR(SUM(LARGE(B16:B27,{1,2}))/A6,0),"0.0%")&amp;", and the leading agent produced "&amp;TEXT(IFERROR(MAX(C32:C41)/SUM(C32:C41),0),"0.0%")&amp;" of agent paid sales. Prioritize collection follow-up, reactivate zero-sales agents, and protect margin in the highest-volume categories."</f>
        <v>In August, gross sales were ₱5.36M, up 5.9% versus the prior month. Net sales were ₱1.19M (22.2% of gross). The top two categories contributed 62.9%, and the leading agent produced 54.6% of agent paid sales. Prioritize collection follow-up, reactivate zero-sales agents, and protect margin in the highest-volume categories.</v>
      </c>
      <c r="B9" s="279"/>
      <c r="C9" s="279"/>
      <c r="D9" s="279"/>
      <c r="E9" s="279"/>
      <c r="F9" s="279"/>
      <c r="G9" s="279"/>
      <c r="H9" s="279"/>
      <c r="I9" s="279"/>
      <c r="J9" s="279"/>
      <c r="K9" s="279"/>
      <c r="L9" s="279"/>
    </row>
    <row r="10" spans="1:12" ht="21.95" customHeight="1">
      <c r="A10" s="279"/>
      <c r="B10" s="279"/>
      <c r="C10" s="279"/>
      <c r="D10" s="279"/>
      <c r="E10" s="279"/>
      <c r="F10" s="279"/>
      <c r="G10" s="279"/>
      <c r="H10" s="279"/>
      <c r="I10" s="279"/>
      <c r="J10" s="279"/>
      <c r="K10" s="279"/>
      <c r="L10" s="279"/>
    </row>
    <row r="11" spans="1:12" ht="21.95" customHeight="1">
      <c r="A11" s="279"/>
      <c r="B11" s="279"/>
      <c r="C11" s="279"/>
      <c r="D11" s="279"/>
      <c r="E11" s="279"/>
      <c r="F11" s="279"/>
      <c r="G11" s="279"/>
      <c r="H11" s="279"/>
      <c r="I11" s="279"/>
      <c r="J11" s="279"/>
      <c r="K11" s="279"/>
      <c r="L11" s="279"/>
    </row>
    <row r="13" spans="1:12" ht="15">
      <c r="A13" s="280" t="s">
        <v>162</v>
      </c>
      <c r="B13" s="280"/>
      <c r="C13" s="280"/>
      <c r="D13" s="280"/>
      <c r="E13" s="280"/>
      <c r="F13" s="280"/>
      <c r="H13" s="280" t="s">
        <v>163</v>
      </c>
      <c r="I13" s="280"/>
      <c r="J13" s="280"/>
      <c r="K13" s="280"/>
      <c r="L13" s="280"/>
    </row>
    <row r="15" spans="1:12" ht="25.5">
      <c r="A15" s="212" t="s">
        <v>65</v>
      </c>
      <c r="B15" s="212" t="s">
        <v>155</v>
      </c>
      <c r="C15" s="212" t="s">
        <v>164</v>
      </c>
      <c r="D15" s="212" t="s">
        <v>156</v>
      </c>
      <c r="E15" s="212" t="s">
        <v>165</v>
      </c>
      <c r="F15" s="212" t="s">
        <v>166</v>
      </c>
    </row>
    <row r="16" spans="1:12" ht="18" customHeight="1">
      <c r="A16" s="263" t="s">
        <v>167</v>
      </c>
      <c r="B16" s="264">
        <f>SUMIFS(CategoryMonthlyRecords[Gross Sales],CategoryMonthlyRecords[Period],$D$3,CategoryMonthlyRecords[Category],$A16)</f>
        <v>1571000</v>
      </c>
      <c r="C16" s="265">
        <f>IFERROR(B16/$A$6,0)</f>
        <v>0.29292657865600913</v>
      </c>
      <c r="D16" s="264">
        <f>SUMIFS(CategoryMonthlyRecords[Net Sales],CategoryMonthlyRecords[Period],$D$3,CategoryMonthlyRecords[Category],$A16)</f>
        <v>254356.39999999991</v>
      </c>
      <c r="E16" s="265">
        <f>IFERROR(D16/B16,0)</f>
        <v>0.16190732017823037</v>
      </c>
      <c r="F16" s="263" t="str">
        <f>IF(B16=0,"No sales",IF(E16&lt;10%,"Margin risk",IF(C16&gt;=20%,"Protect &amp; grow","Build pipeline")))</f>
        <v>Protect &amp; grow</v>
      </c>
    </row>
    <row r="17" spans="1:12" ht="18" customHeight="1">
      <c r="A17" s="266" t="s">
        <v>168</v>
      </c>
      <c r="B17" s="267">
        <f>SUMIFS(CategoryMonthlyRecords[Gross Sales],CategoryMonthlyRecords[Period],$D$3,CategoryMonthlyRecords[Category],$A17)</f>
        <v>447523.27</v>
      </c>
      <c r="C17" s="268">
        <f t="shared" ref="C17:C27" si="0">IFERROR(B17/$A$6,0)</f>
        <v>8.3444596021673714E-2</v>
      </c>
      <c r="D17" s="267">
        <f>SUMIFS(CategoryMonthlyRecords[Net Sales],CategoryMonthlyRecords[Period],$D$3,CategoryMonthlyRecords[Category],$A17)</f>
        <v>103451.62919499997</v>
      </c>
      <c r="E17" s="268">
        <f t="shared" ref="E17:E27" si="1">IFERROR(D17/B17,0)</f>
        <v>0.23116480444692847</v>
      </c>
      <c r="F17" s="266" t="str">
        <f t="shared" ref="F17:F27" si="2">IF(B17=0,"No sales",IF(E17&lt;10%,"Margin risk",IF(C17&gt;=20%,"Protect &amp; grow","Build pipeline")))</f>
        <v>Build pipeline</v>
      </c>
    </row>
    <row r="18" spans="1:12" ht="30" customHeight="1">
      <c r="A18" s="213" t="s">
        <v>169</v>
      </c>
      <c r="B18" s="214">
        <f>SUMIFS(CategoryMonthlyRecords[Gross Sales],CategoryMonthlyRecords[Period],$D$3,CategoryMonthlyRecords[Category],$A18)</f>
        <v>1801410.42</v>
      </c>
      <c r="C18" s="215">
        <f t="shared" si="0"/>
        <v>0.33588860030928352</v>
      </c>
      <c r="D18" s="214">
        <f>SUMIFS(CategoryMonthlyRecords[Net Sales],CategoryMonthlyRecords[Period],$D$3,CategoryMonthlyRecords[Category],$A18)</f>
        <v>341325.56842999987</v>
      </c>
      <c r="E18" s="215">
        <f t="shared" si="1"/>
        <v>0.1894768480522056</v>
      </c>
      <c r="F18" s="213" t="str">
        <f t="shared" si="2"/>
        <v>Protect &amp; grow</v>
      </c>
    </row>
    <row r="19" spans="1:12" ht="18" customHeight="1">
      <c r="A19" s="213" t="s">
        <v>170</v>
      </c>
      <c r="B19" s="214">
        <f>SUMIFS(CategoryMonthlyRecords[Gross Sales],CategoryMonthlyRecords[Period],$D$3,CategoryMonthlyRecords[Category],$A19)</f>
        <v>320496.52</v>
      </c>
      <c r="C19" s="215">
        <f t="shared" si="0"/>
        <v>5.9759356508438707E-2</v>
      </c>
      <c r="D19" s="214">
        <f>SUMIFS(CategoryMonthlyRecords[Net Sales],CategoryMonthlyRecords[Period],$D$3,CategoryMonthlyRecords[Category],$A19)</f>
        <v>110780.37377500003</v>
      </c>
      <c r="E19" s="215">
        <f t="shared" si="1"/>
        <v>0.34565234522671268</v>
      </c>
      <c r="F19" s="213" t="str">
        <f t="shared" si="2"/>
        <v>Build pipeline</v>
      </c>
    </row>
    <row r="20" spans="1:12" ht="18" customHeight="1">
      <c r="A20" s="213" t="s">
        <v>171</v>
      </c>
      <c r="B20" s="214">
        <f>SUMIFS(CategoryMonthlyRecords[Gross Sales],CategoryMonthlyRecords[Period],$D$3,CategoryMonthlyRecords[Category],$A20)</f>
        <v>0</v>
      </c>
      <c r="C20" s="215">
        <f t="shared" si="0"/>
        <v>0</v>
      </c>
      <c r="D20" s="214">
        <f>SUMIFS(CategoryMonthlyRecords[Net Sales],CategoryMonthlyRecords[Period],$D$3,CategoryMonthlyRecords[Category],$A20)</f>
        <v>0</v>
      </c>
      <c r="E20" s="215">
        <f t="shared" si="1"/>
        <v>0</v>
      </c>
      <c r="F20" s="213" t="str">
        <f t="shared" si="2"/>
        <v>No sales</v>
      </c>
    </row>
    <row r="21" spans="1:12" ht="18" customHeight="1">
      <c r="A21" s="213" t="s">
        <v>172</v>
      </c>
      <c r="B21" s="214">
        <f>SUMIFS(CategoryMonthlyRecords[Gross Sales],CategoryMonthlyRecords[Period],$D$3,CategoryMonthlyRecords[Category],$A21)</f>
        <v>64772.01</v>
      </c>
      <c r="C21" s="215">
        <f t="shared" si="0"/>
        <v>1.2077303171211209E-2</v>
      </c>
      <c r="D21" s="214">
        <f>SUMIFS(CategoryMonthlyRecords[Net Sales],CategoryMonthlyRecords[Period],$D$3,CategoryMonthlyRecords[Category],$A21)</f>
        <v>18650.832600000002</v>
      </c>
      <c r="E21" s="215">
        <f t="shared" si="1"/>
        <v>0.28794586735844696</v>
      </c>
      <c r="F21" s="213" t="str">
        <f t="shared" si="2"/>
        <v>Build pipeline</v>
      </c>
    </row>
    <row r="22" spans="1:12" ht="18" customHeight="1">
      <c r="A22" s="263" t="s">
        <v>173</v>
      </c>
      <c r="B22" s="264">
        <f>SUMIFS(CategoryMonthlyRecords[Gross Sales],CategoryMonthlyRecords[Period],$D$3,CategoryMonthlyRecords[Category],$A22)</f>
        <v>1058025</v>
      </c>
      <c r="C22" s="265">
        <f t="shared" si="0"/>
        <v>0.19727793977245325</v>
      </c>
      <c r="D22" s="264">
        <f>SUMIFS(CategoryMonthlyRecords[Net Sales],CategoryMonthlyRecords[Period],$D$3,CategoryMonthlyRecords[Category],$A22)</f>
        <v>342596</v>
      </c>
      <c r="E22" s="265">
        <f t="shared" si="1"/>
        <v>0.32380709340516528</v>
      </c>
      <c r="F22" s="263" t="str">
        <f t="shared" si="2"/>
        <v>Build pipeline</v>
      </c>
    </row>
    <row r="23" spans="1:12" ht="18" customHeight="1">
      <c r="A23" s="213" t="s">
        <v>174</v>
      </c>
      <c r="B23" s="214">
        <f>SUMIFS(CategoryMonthlyRecords[Gross Sales],CategoryMonthlyRecords[Period],$D$3,CategoryMonthlyRecords[Category],$A23)</f>
        <v>18235.759999999998</v>
      </c>
      <c r="C23" s="215">
        <f t="shared" si="0"/>
        <v>3.4002156498994934E-3</v>
      </c>
      <c r="D23" s="214">
        <f>SUMIFS(CategoryMonthlyRecords[Net Sales],CategoryMonthlyRecords[Period],$D$3,CategoryMonthlyRecords[Category],$A23)</f>
        <v>4128.3059199999998</v>
      </c>
      <c r="E23" s="215">
        <f t="shared" si="1"/>
        <v>0.22638518603008595</v>
      </c>
      <c r="F23" s="213" t="str">
        <f t="shared" si="2"/>
        <v>Build pipeline</v>
      </c>
    </row>
    <row r="24" spans="1:12" ht="18" customHeight="1">
      <c r="A24" s="213" t="s">
        <v>175</v>
      </c>
      <c r="B24" s="214">
        <f>SUMIFS(CategoryMonthlyRecords[Gross Sales],CategoryMonthlyRecords[Period],$D$3,CategoryMonthlyRecords[Category],$A24)</f>
        <v>59985.68</v>
      </c>
      <c r="C24" s="215">
        <f t="shared" si="0"/>
        <v>1.1184850420594649E-2</v>
      </c>
      <c r="D24" s="214">
        <f>SUMIFS(CategoryMonthlyRecords[Net Sales],CategoryMonthlyRecords[Period],$D$3,CategoryMonthlyRecords[Category],$A24)</f>
        <v>13161.939700000001</v>
      </c>
      <c r="E24" s="215">
        <f t="shared" si="1"/>
        <v>0.21941802943635882</v>
      </c>
      <c r="F24" s="213" t="str">
        <f t="shared" si="2"/>
        <v>Build pipeline</v>
      </c>
    </row>
    <row r="25" spans="1:12" ht="18" customHeight="1">
      <c r="A25" s="213" t="s">
        <v>176</v>
      </c>
      <c r="B25" s="214">
        <f>SUMIFS(CategoryMonthlyRecords[Gross Sales],CategoryMonthlyRecords[Period],$D$3,CategoryMonthlyRecords[Category],$A25)</f>
        <v>20000</v>
      </c>
      <c r="C25" s="215">
        <f t="shared" si="0"/>
        <v>3.7291735029409182E-3</v>
      </c>
      <c r="D25" s="214">
        <f>SUMIFS(CategoryMonthlyRecords[Net Sales],CategoryMonthlyRecords[Period],$D$3,CategoryMonthlyRecords[Category],$A25)</f>
        <v>3387.6220000000003</v>
      </c>
      <c r="E25" s="215">
        <f t="shared" si="1"/>
        <v>0.16938110000000001</v>
      </c>
      <c r="F25" s="213" t="str">
        <f t="shared" si="2"/>
        <v>Build pipeline</v>
      </c>
    </row>
    <row r="26" spans="1:12" ht="18" customHeight="1">
      <c r="A26" s="213" t="s">
        <v>177</v>
      </c>
      <c r="B26" s="214">
        <f>SUMIFS(CategoryMonthlyRecords[Gross Sales],CategoryMonthlyRecords[Period],$D$3,CategoryMonthlyRecords[Category],$A26)</f>
        <v>0</v>
      </c>
      <c r="C26" s="215">
        <f t="shared" si="0"/>
        <v>0</v>
      </c>
      <c r="D26" s="214">
        <f>SUMIFS(CategoryMonthlyRecords[Net Sales],CategoryMonthlyRecords[Period],$D$3,CategoryMonthlyRecords[Category],$A26)</f>
        <v>0</v>
      </c>
      <c r="E26" s="215">
        <f t="shared" si="1"/>
        <v>0</v>
      </c>
      <c r="F26" s="213" t="str">
        <f t="shared" si="2"/>
        <v>No sales</v>
      </c>
    </row>
    <row r="27" spans="1:12" ht="18" customHeight="1">
      <c r="A27" s="213" t="s">
        <v>178</v>
      </c>
      <c r="B27" s="214">
        <f>SUMIFS(CategoryMonthlyRecords[Gross Sales],CategoryMonthlyRecords[Period],$D$3,CategoryMonthlyRecords[Category],$A27)</f>
        <v>1670</v>
      </c>
      <c r="C27" s="215">
        <f t="shared" si="0"/>
        <v>3.1138598749556667E-4</v>
      </c>
      <c r="D27" s="214">
        <f>SUMIFS(CategoryMonthlyRecords[Net Sales],CategoryMonthlyRecords[Period],$D$3,CategoryMonthlyRecords[Category],$A27)</f>
        <v>405.52100999999993</v>
      </c>
      <c r="E27" s="215">
        <f t="shared" si="1"/>
        <v>0.24282695209580835</v>
      </c>
      <c r="F27" s="213" t="str">
        <f t="shared" si="2"/>
        <v>Build pipeline</v>
      </c>
    </row>
    <row r="29" spans="1:12" ht="15">
      <c r="A29" s="280" t="s">
        <v>179</v>
      </c>
      <c r="B29" s="280"/>
      <c r="C29" s="280"/>
      <c r="D29" s="280"/>
      <c r="E29" s="280"/>
      <c r="F29" s="280"/>
      <c r="H29" s="280" t="s">
        <v>180</v>
      </c>
      <c r="I29" s="280"/>
      <c r="J29" s="280"/>
      <c r="K29" s="280"/>
      <c r="L29" s="280"/>
    </row>
    <row r="31" spans="1:12">
      <c r="A31" s="212" t="s">
        <v>181</v>
      </c>
      <c r="B31" s="212" t="s">
        <v>182</v>
      </c>
      <c r="C31" s="212" t="s">
        <v>183</v>
      </c>
      <c r="D31" s="212" t="s">
        <v>156</v>
      </c>
      <c r="E31" s="212" t="s">
        <v>165</v>
      </c>
      <c r="F31" s="212" t="s">
        <v>184</v>
      </c>
    </row>
    <row r="32" spans="1:12" ht="18" customHeight="1">
      <c r="A32" s="216" t="str">
        <f>'Commission Summary'!A7</f>
        <v>ARNOLD ORTIZ</v>
      </c>
      <c r="B32" s="213" t="str">
        <f>'Commission Summary'!B7</f>
        <v>direct</v>
      </c>
      <c r="C32" s="214">
        <f ca="1">'Commission Summary'!C7</f>
        <v>113401</v>
      </c>
      <c r="D32" s="214">
        <f ca="1">'Commission Summary'!D7</f>
        <v>26067.4</v>
      </c>
      <c r="E32" s="215">
        <f ca="1">IFERROR(D32/C32,0)</f>
        <v>0.22986922513910812</v>
      </c>
      <c r="F32" s="213" t="str">
        <f ca="1">IF(C32=0,"Inactive",IF(E32&lt;10%,"Low margin",IF(C32&gt;=AVERAGEIF($C$32:$C$41,"&gt;0"),"Scale","Develop")))</f>
        <v>Develop</v>
      </c>
    </row>
    <row r="33" spans="1:12" ht="18" customHeight="1">
      <c r="A33" s="216" t="str">
        <f>'Commission Summary'!A8</f>
        <v>JENNIFER DUM-OGAN - ONLINE</v>
      </c>
      <c r="B33" s="213" t="str">
        <f>'Commission Summary'!B8</f>
        <v>online</v>
      </c>
      <c r="C33" s="214">
        <f ca="1">'Commission Summary'!C8</f>
        <v>23556.880000000001</v>
      </c>
      <c r="D33" s="214">
        <f ca="1">'Commission Summary'!D8</f>
        <v>7491.37</v>
      </c>
      <c r="E33" s="215">
        <f t="shared" ref="E33:E41" ca="1" si="3">IFERROR(D33/C33,0)</f>
        <v>0.31801197781709628</v>
      </c>
      <c r="F33" s="213" t="str">
        <f t="shared" ref="F33:F41" ca="1" si="4">IF(C33=0,"Inactive",IF(E33&lt;10%,"Low margin",IF(C33&gt;=AVERAGEIF($C$32:$C$41,"&gt;0"),"Scale","Develop")))</f>
        <v>Develop</v>
      </c>
    </row>
    <row r="34" spans="1:12" ht="18" customHeight="1">
      <c r="A34" s="216" t="str">
        <f>'Commission Summary'!A9</f>
        <v>JOVY VILLANUEVA</v>
      </c>
      <c r="B34" s="213" t="str">
        <f>'Commission Summary'!B9</f>
        <v>direct</v>
      </c>
      <c r="C34" s="214">
        <f ca="1">'Commission Summary'!C9</f>
        <v>33922</v>
      </c>
      <c r="D34" s="214">
        <f ca="1">'Commission Summary'!D9</f>
        <v>6104.24</v>
      </c>
      <c r="E34" s="215">
        <f t="shared" ca="1" si="3"/>
        <v>0.1799492954424857</v>
      </c>
      <c r="F34" s="213" t="str">
        <f t="shared" ca="1" si="4"/>
        <v>Develop</v>
      </c>
    </row>
    <row r="35" spans="1:12" ht="18" customHeight="1">
      <c r="A35" s="216" t="str">
        <f>'Commission Summary'!A10</f>
        <v>MARIVIC BRILLANTES</v>
      </c>
      <c r="B35" s="213" t="str">
        <f>'Commission Summary'!B10</f>
        <v>direct</v>
      </c>
      <c r="C35" s="214">
        <f ca="1">'Commission Summary'!C10</f>
        <v>0</v>
      </c>
      <c r="D35" s="214">
        <f ca="1">'Commission Summary'!D10</f>
        <v>0</v>
      </c>
      <c r="E35" s="215">
        <f t="shared" ca="1" si="3"/>
        <v>0</v>
      </c>
      <c r="F35" s="213" t="str">
        <f t="shared" ca="1" si="4"/>
        <v>Inactive</v>
      </c>
    </row>
    <row r="36" spans="1:12" ht="18" customHeight="1">
      <c r="A36" s="216" t="str">
        <f>'Commission Summary'!A11</f>
        <v>MICHAEL PLAZA</v>
      </c>
      <c r="B36" s="213" t="str">
        <f>'Commission Summary'!B11</f>
        <v>direct</v>
      </c>
      <c r="C36" s="214">
        <f ca="1">'Commission Summary'!C11</f>
        <v>817590.78</v>
      </c>
      <c r="D36" s="214">
        <f ca="1">'Commission Summary'!D11</f>
        <v>223600.76</v>
      </c>
      <c r="E36" s="215">
        <f t="shared" ca="1" si="3"/>
        <v>0.27348737959104674</v>
      </c>
      <c r="F36" s="213" t="str">
        <f t="shared" ca="1" si="4"/>
        <v>Scale</v>
      </c>
    </row>
    <row r="37" spans="1:12" ht="18" customHeight="1">
      <c r="A37" s="216" t="str">
        <f>'Commission Summary'!A12</f>
        <v>MODESTO PAG-ARIGON</v>
      </c>
      <c r="B37" s="213" t="str">
        <f>'Commission Summary'!B12</f>
        <v>direct</v>
      </c>
      <c r="C37" s="214">
        <f ca="1">'Commission Summary'!C12</f>
        <v>0</v>
      </c>
      <c r="D37" s="214">
        <f ca="1">'Commission Summary'!D12</f>
        <v>0</v>
      </c>
      <c r="E37" s="215">
        <f t="shared" ca="1" si="3"/>
        <v>0</v>
      </c>
      <c r="F37" s="213" t="str">
        <f t="shared" ca="1" si="4"/>
        <v>Inactive</v>
      </c>
    </row>
    <row r="38" spans="1:12" ht="18" customHeight="1">
      <c r="A38" s="216" t="str">
        <f>'Commission Summary'!A13</f>
        <v>MODESTO PAG-ARIGON - ONLINE</v>
      </c>
      <c r="B38" s="213" t="str">
        <f>'Commission Summary'!B13</f>
        <v>online</v>
      </c>
      <c r="C38" s="214">
        <f ca="1">'Commission Summary'!C13</f>
        <v>48611.93</v>
      </c>
      <c r="D38" s="214">
        <f ca="1">'Commission Summary'!D13</f>
        <v>15357.74</v>
      </c>
      <c r="E38" s="215">
        <f t="shared" ca="1" si="3"/>
        <v>0.31592532944073604</v>
      </c>
      <c r="F38" s="213" t="str">
        <f t="shared" ca="1" si="4"/>
        <v>Develop</v>
      </c>
    </row>
    <row r="39" spans="1:12" ht="18" customHeight="1">
      <c r="A39" s="216" t="str">
        <f>'Commission Summary'!A14</f>
        <v>RAMONITO VILLANUEVA - ONLINE</v>
      </c>
      <c r="B39" s="213" t="str">
        <f>'Commission Summary'!B14</f>
        <v>online</v>
      </c>
      <c r="C39" s="214">
        <f ca="1">'Commission Summary'!C14</f>
        <v>44225.99</v>
      </c>
      <c r="D39" s="214">
        <f ca="1">'Commission Summary'!D14</f>
        <v>14231.88</v>
      </c>
      <c r="E39" s="215">
        <f t="shared" ca="1" si="3"/>
        <v>0.3217990145613473</v>
      </c>
      <c r="F39" s="213" t="str">
        <f t="shared" ca="1" si="4"/>
        <v>Develop</v>
      </c>
    </row>
    <row r="40" spans="1:12" ht="18" customHeight="1">
      <c r="A40" s="216" t="str">
        <f>'Commission Summary'!A15</f>
        <v>ROCKY DELA PENA</v>
      </c>
      <c r="B40" s="213" t="str">
        <f>'Commission Summary'!B15</f>
        <v>direct</v>
      </c>
      <c r="C40" s="214">
        <f ca="1">'Commission Summary'!C15</f>
        <v>45600</v>
      </c>
      <c r="D40" s="214">
        <f ca="1">'Commission Summary'!D15</f>
        <v>22038.31</v>
      </c>
      <c r="E40" s="215">
        <f t="shared" ca="1" si="3"/>
        <v>0.48329627192982461</v>
      </c>
      <c r="F40" s="213" t="str">
        <f t="shared" ca="1" si="4"/>
        <v>Develop</v>
      </c>
    </row>
    <row r="41" spans="1:12" ht="18" customHeight="1">
      <c r="A41" s="216" t="str">
        <f>'Commission Summary'!A16</f>
        <v>ROD SANTIAGO</v>
      </c>
      <c r="B41" s="213" t="str">
        <f>'Commission Summary'!B16</f>
        <v>direct</v>
      </c>
      <c r="C41" s="214">
        <f ca="1">'Commission Summary'!C16</f>
        <v>1354410</v>
      </c>
      <c r="D41" s="214">
        <f ca="1">'Commission Summary'!D16</f>
        <v>224652.49</v>
      </c>
      <c r="E41" s="215">
        <f t="shared" ca="1" si="3"/>
        <v>0.16586741828545271</v>
      </c>
      <c r="F41" s="213" t="str">
        <f t="shared" ca="1" si="4"/>
        <v>Scale</v>
      </c>
    </row>
    <row r="45" spans="1:12" ht="15">
      <c r="A45" s="280" t="s">
        <v>185</v>
      </c>
      <c r="B45" s="280"/>
      <c r="C45" s="280"/>
      <c r="D45" s="280"/>
      <c r="E45" s="280"/>
      <c r="F45" s="280"/>
      <c r="H45" s="280" t="s">
        <v>186</v>
      </c>
      <c r="I45" s="280"/>
      <c r="J45" s="280"/>
      <c r="K45" s="280"/>
      <c r="L45" s="280"/>
    </row>
    <row r="47" spans="1:12" ht="25.5">
      <c r="A47" s="212" t="s">
        <v>154</v>
      </c>
      <c r="B47" s="212" t="s">
        <v>155</v>
      </c>
      <c r="C47" s="212" t="s">
        <v>156</v>
      </c>
    </row>
    <row r="48" spans="1:12">
      <c r="A48" s="217">
        <f>EDATE($D$3,ROW()-49)</f>
        <v>46204</v>
      </c>
      <c r="B48" s="218">
        <f>SUMIFS(CategoryMonthlyRecords[Gross Sales],CategoryMonthlyRecords[Period],A48)</f>
        <v>5062842.55</v>
      </c>
      <c r="C48" s="218">
        <f>SUMIFS(CategoryMonthlyRecords[Net Sales],CategoryMonthlyRecords[Period],A48)</f>
        <v>800129.45431500021</v>
      </c>
    </row>
    <row r="49" spans="1:6">
      <c r="A49" s="217">
        <f t="shared" ref="A49:A50" si="5">EDATE($D$3,ROW()-49)</f>
        <v>46235</v>
      </c>
      <c r="B49" s="218">
        <f>SUMIFS(CategoryMonthlyRecords[Gross Sales],CategoryMonthlyRecords[Period],A49)</f>
        <v>5363118.6599999992</v>
      </c>
      <c r="C49" s="218">
        <f>SUMIFS(CategoryMonthlyRecords[Net Sales],CategoryMonthlyRecords[Period],A49)</f>
        <v>1192244.1926299995</v>
      </c>
    </row>
    <row r="50" spans="1:6">
      <c r="A50" s="217">
        <f t="shared" si="5"/>
        <v>46266</v>
      </c>
      <c r="B50" s="218">
        <f>SUMIFS(CategoryMonthlyRecords[Gross Sales],CategoryMonthlyRecords[Period],A50)</f>
        <v>0</v>
      </c>
      <c r="C50" s="218">
        <f>SUMIFS(CategoryMonthlyRecords[Net Sales],CategoryMonthlyRecords[Period],A50)</f>
        <v>0</v>
      </c>
    </row>
    <row r="51" spans="1:6">
      <c r="A51" s="281" t="s">
        <v>187</v>
      </c>
      <c r="B51" s="281"/>
      <c r="C51" s="281"/>
      <c r="D51" s="281"/>
      <c r="E51" s="281"/>
      <c r="F51" s="281"/>
    </row>
    <row r="52" spans="1:6" ht="15">
      <c r="A52" s="280" t="s">
        <v>188</v>
      </c>
      <c r="B52" s="280"/>
      <c r="C52" s="280"/>
      <c r="D52" s="280"/>
      <c r="E52" s="280"/>
      <c r="F52" s="280"/>
    </row>
    <row r="53" spans="1:6" ht="25.5">
      <c r="A53" s="212" t="s">
        <v>189</v>
      </c>
      <c r="B53" s="212" t="s">
        <v>190</v>
      </c>
      <c r="C53" s="212"/>
      <c r="D53" s="212" t="s">
        <v>191</v>
      </c>
      <c r="E53" s="212"/>
      <c r="F53" s="212"/>
    </row>
    <row r="54" spans="1:6" ht="30" customHeight="1">
      <c r="A54" s="219" t="s">
        <v>192</v>
      </c>
      <c r="B54" s="277" t="str">
        <f>TEXT($G$6,"0.0%")&amp;" vs prior month"</f>
        <v>5.9% vs prior month</v>
      </c>
      <c r="C54" s="277"/>
      <c r="D54" s="278" t="s">
        <v>193</v>
      </c>
      <c r="E54" s="278"/>
      <c r="F54" s="278"/>
    </row>
    <row r="55" spans="1:6" ht="30" customHeight="1">
      <c r="A55" s="219" t="s">
        <v>194</v>
      </c>
      <c r="B55" s="277" t="str" cm="1">
        <f t="array" ref="B55">TEXT(IFERROR(SUM(LARGE($B$16:$B$27,{1,2}))/$A$6,0),"0.0%")&amp;" from top 2 categories"</f>
        <v>62.9% from top 2 categories</v>
      </c>
      <c r="C55" s="277"/>
      <c r="D55" s="278" t="s">
        <v>195</v>
      </c>
      <c r="E55" s="278"/>
      <c r="F55" s="278"/>
    </row>
    <row r="56" spans="1:6" ht="30" customHeight="1">
      <c r="A56" s="219" t="s">
        <v>196</v>
      </c>
      <c r="B56" s="277" t="str">
        <f ca="1">COUNTIF($C$32:$C$41,0)&amp;" agents with zero sales"</f>
        <v>2 agents with zero sales</v>
      </c>
      <c r="C56" s="277"/>
      <c r="D56" s="278" t="s">
        <v>197</v>
      </c>
      <c r="E56" s="278"/>
      <c r="F56" s="278"/>
    </row>
    <row r="57" spans="1:6" ht="30" customHeight="1">
      <c r="A57" s="219" t="s">
        <v>198</v>
      </c>
      <c r="B57" s="277" t="str">
        <f>TEXT($K$6,"0.0%")&amp;" Ikot collection rate"</f>
        <v>91.4% Ikot collection rate</v>
      </c>
      <c r="C57" s="277"/>
      <c r="D57" s="278" t="s">
        <v>199</v>
      </c>
      <c r="E57" s="278"/>
      <c r="F57" s="278"/>
    </row>
    <row r="58" spans="1:6" ht="30" customHeight="1">
      <c r="A58" s="219" t="s">
        <v>200</v>
      </c>
      <c r="B58" s="277" t="str">
        <f>TEXT($E$6,"0.0%")&amp;" net sales yield"</f>
        <v>22.2% net sales yield</v>
      </c>
      <c r="C58" s="277"/>
      <c r="D58" s="278" t="s">
        <v>201</v>
      </c>
      <c r="E58" s="278"/>
      <c r="F58" s="278"/>
    </row>
  </sheetData>
  <mergeCells count="34">
    <mergeCell ref="A1:L1"/>
    <mergeCell ref="A2:L2"/>
    <mergeCell ref="A5:B5"/>
    <mergeCell ref="C5:D5"/>
    <mergeCell ref="E5:F5"/>
    <mergeCell ref="G5:H5"/>
    <mergeCell ref="I5:J5"/>
    <mergeCell ref="K5:L5"/>
    <mergeCell ref="K6:L6"/>
    <mergeCell ref="A8:L8"/>
    <mergeCell ref="A13:F13"/>
    <mergeCell ref="H13:L13"/>
    <mergeCell ref="A29:F29"/>
    <mergeCell ref="H29:L29"/>
    <mergeCell ref="A6:B6"/>
    <mergeCell ref="C6:D6"/>
    <mergeCell ref="E6:F6"/>
    <mergeCell ref="G6:H6"/>
    <mergeCell ref="I6:J6"/>
    <mergeCell ref="B58:C58"/>
    <mergeCell ref="D58:F58"/>
    <mergeCell ref="A9:L11"/>
    <mergeCell ref="B55:C55"/>
    <mergeCell ref="D55:F55"/>
    <mergeCell ref="B56:C56"/>
    <mergeCell ref="D56:F56"/>
    <mergeCell ref="B57:C57"/>
    <mergeCell ref="D57:F57"/>
    <mergeCell ref="A45:F45"/>
    <mergeCell ref="H45:L45"/>
    <mergeCell ref="A51:F51"/>
    <mergeCell ref="A52:F52"/>
    <mergeCell ref="B54:C54"/>
    <mergeCell ref="D54:F54"/>
  </mergeCells>
  <conditionalFormatting sqref="F16:F27">
    <cfRule type="expression" dxfId="3" priority="1">
      <formula>$F16="Margin risk"</formula>
    </cfRule>
    <cfRule type="expression" dxfId="2" priority="2">
      <formula>$F16="Protect &amp; grow"</formula>
    </cfRule>
  </conditionalFormatting>
  <conditionalFormatting sqref="F32:F41">
    <cfRule type="expression" dxfId="1" priority="3">
      <formula>$F32="Inactive"</formula>
    </cfRule>
    <cfRule type="expression" dxfId="0" priority="4">
      <formula>$F32="Low margin"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5"/>
  <sheetViews>
    <sheetView topLeftCell="A10" workbookViewId="0">
      <selection activeCell="C25" sqref="C25"/>
    </sheetView>
  </sheetViews>
  <sheetFormatPr defaultColWidth="9" defaultRowHeight="12.75"/>
  <cols>
    <col min="1" max="1" width="38.140625" customWidth="1"/>
    <col min="2" max="2" width="19" customWidth="1"/>
    <col min="3" max="3" width="21" customWidth="1"/>
    <col min="4" max="4" width="19" customWidth="1"/>
    <col min="5" max="5" width="15.28515625" customWidth="1"/>
    <col min="6" max="6" width="19" customWidth="1"/>
    <col min="7" max="7" width="12.28515625" customWidth="1"/>
    <col min="8" max="8" width="13.7109375" customWidth="1"/>
    <col min="9" max="9" width="11" customWidth="1"/>
    <col min="10" max="10" width="13.42578125" customWidth="1"/>
  </cols>
  <sheetData>
    <row r="1" spans="1:10" ht="25.5" customHeight="1">
      <c r="A1" s="193" t="s">
        <v>7</v>
      </c>
      <c r="D1" s="286" t="s">
        <v>2</v>
      </c>
      <c r="E1" s="287"/>
      <c r="F1" s="287"/>
    </row>
    <row r="3" spans="1:10" ht="18">
      <c r="A3" s="194" t="s">
        <v>4</v>
      </c>
      <c r="B3" s="195" t="str">
        <f>'Executive Summary'!B3</f>
        <v>August</v>
      </c>
    </row>
    <row r="5" spans="1:10" ht="13.5">
      <c r="A5" s="288" t="s">
        <v>202</v>
      </c>
      <c r="B5" s="289"/>
      <c r="C5" s="289"/>
      <c r="D5" s="289"/>
      <c r="E5" s="289"/>
      <c r="F5" s="289"/>
    </row>
    <row r="6" spans="1:10" s="15" customFormat="1" ht="25.5">
      <c r="A6" s="196" t="s">
        <v>181</v>
      </c>
      <c r="B6" s="196" t="s">
        <v>182</v>
      </c>
      <c r="C6" s="196" t="s">
        <v>203</v>
      </c>
      <c r="D6" s="196" t="s">
        <v>204</v>
      </c>
      <c r="E6" s="196" t="s">
        <v>205</v>
      </c>
      <c r="F6" s="197" t="s">
        <v>206</v>
      </c>
      <c r="G6" s="196" t="s">
        <v>207</v>
      </c>
      <c r="H6" s="196" t="s">
        <v>208</v>
      </c>
      <c r="I6" s="197" t="s">
        <v>209</v>
      </c>
      <c r="J6" s="197" t="s">
        <v>210</v>
      </c>
    </row>
    <row r="7" spans="1:10">
      <c r="A7" t="str">
        <f>'Monthly Commission'!B6</f>
        <v>ARNOLD ORTIZ</v>
      </c>
      <c r="B7" t="str">
        <f>'Monthly Commission'!C6</f>
        <v>direct</v>
      </c>
      <c r="C7" s="55">
        <f ca="1">'Monthly Commission'!D6</f>
        <v>113401</v>
      </c>
      <c r="D7" s="55">
        <f ca="1">'Monthly Commission'!E6</f>
        <v>26067.4</v>
      </c>
      <c r="E7" s="198">
        <f ca="1">'Monthly Commission'!F6</f>
        <v>0.2</v>
      </c>
      <c r="F7" s="55">
        <f ca="1">'Monthly Commission'!G6</f>
        <v>5213.4800000000005</v>
      </c>
      <c r="G7" s="55">
        <f>IFERROR(INDEX('Agent Expense'!$B$5:$M$14,MATCH(A7,'Agent Expense'!$A$5:$A$14,0),MATCH($A$3,'Agent Expense'!$B$4:$M$4,0)),0)</f>
        <v>2454</v>
      </c>
      <c r="H7" s="55">
        <f ca="1">F7-G7</f>
        <v>2759.4800000000005</v>
      </c>
      <c r="I7" s="55">
        <f t="shared" ref="I7:I16" ca="1" si="0">H7*Agent_Savings_Rate</f>
        <v>137.97400000000002</v>
      </c>
      <c r="J7" s="199">
        <f ca="1">H7-I7</f>
        <v>2621.5060000000003</v>
      </c>
    </row>
    <row r="8" spans="1:10">
      <c r="A8" t="str">
        <f>'Monthly Commission'!B7</f>
        <v>JENNIFER DUM-OGAN - ONLINE</v>
      </c>
      <c r="B8" t="str">
        <f>'Monthly Commission'!C7</f>
        <v>online</v>
      </c>
      <c r="C8" s="55">
        <f ca="1">'Monthly Commission'!D7</f>
        <v>23556.880000000001</v>
      </c>
      <c r="D8" s="55">
        <f ca="1">'Monthly Commission'!E7</f>
        <v>7491.37</v>
      </c>
      <c r="E8" s="198">
        <f ca="1">'Monthly Commission'!F7</f>
        <v>0.2</v>
      </c>
      <c r="F8" s="55">
        <f ca="1">'Monthly Commission'!G7</f>
        <v>1498.2740000000001</v>
      </c>
      <c r="G8" s="55">
        <f>IFERROR(INDEX('Agent Expense'!$B$5:$M$14,MATCH(A8,'Agent Expense'!$A$5:$A$14,0),MATCH($A$3,'Agent Expense'!$B$4:$M$4,0)),0)</f>
        <v>1000</v>
      </c>
      <c r="H8" s="55">
        <f t="shared" ref="H8:H16" ca="1" si="1">F8-G8</f>
        <v>498.27400000000011</v>
      </c>
      <c r="I8" s="55"/>
      <c r="J8" s="199">
        <f t="shared" ref="J8:J16" ca="1" si="2">H8-I8</f>
        <v>498.27400000000011</v>
      </c>
    </row>
    <row r="9" spans="1:10">
      <c r="A9" t="str">
        <f>'Monthly Commission'!B8</f>
        <v>JOVY VILLANUEVA</v>
      </c>
      <c r="B9" t="str">
        <f>'Monthly Commission'!C8</f>
        <v>direct</v>
      </c>
      <c r="C9" s="55">
        <f ca="1">'Monthly Commission'!D8</f>
        <v>33922</v>
      </c>
      <c r="D9" s="55">
        <f ca="1">'Monthly Commission'!E8</f>
        <v>6104.24</v>
      </c>
      <c r="E9" s="198">
        <f>'Monthly Commission'!F8</f>
        <v>0.2</v>
      </c>
      <c r="F9" s="55">
        <f ca="1">'Monthly Commission'!G8</f>
        <v>1220.848</v>
      </c>
      <c r="G9" s="55">
        <f>IFERROR(INDEX('Agent Expense'!$B$5:$M$14,MATCH(A9,'Agent Expense'!$A$5:$A$14,0),MATCH($A$3,'Agent Expense'!$B$4:$M$4,0)),0)</f>
        <v>0</v>
      </c>
      <c r="H9" s="55">
        <f t="shared" ca="1" si="1"/>
        <v>1220.848</v>
      </c>
      <c r="I9" s="55">
        <f t="shared" ca="1" si="0"/>
        <v>61.042400000000001</v>
      </c>
      <c r="J9" s="199">
        <f t="shared" ca="1" si="2"/>
        <v>1159.8055999999999</v>
      </c>
    </row>
    <row r="10" spans="1:10">
      <c r="A10" t="str">
        <f>'Monthly Commission'!B9</f>
        <v>MARIVIC BRILLANTES</v>
      </c>
      <c r="B10" t="str">
        <f>'Monthly Commission'!C9</f>
        <v>direct</v>
      </c>
      <c r="C10" s="55">
        <f ca="1">'Monthly Commission'!D9</f>
        <v>0</v>
      </c>
      <c r="D10" s="55">
        <f ca="1">'Monthly Commission'!E9</f>
        <v>0</v>
      </c>
      <c r="E10" s="198" t="str">
        <f ca="1">'Monthly Commission'!F9</f>
        <v/>
      </c>
      <c r="F10" s="55">
        <f ca="1">'Monthly Commission'!G9</f>
        <v>0</v>
      </c>
      <c r="G10" s="55">
        <f>IFERROR(INDEX('Agent Expense'!$B$5:$M$14,MATCH(A10,'Agent Expense'!$A$5:$A$14,0),MATCH($A$3,'Agent Expense'!$B$4:$M$4,0)),0)</f>
        <v>0</v>
      </c>
      <c r="H10" s="55">
        <f t="shared" ca="1" si="1"/>
        <v>0</v>
      </c>
      <c r="I10" s="55">
        <f t="shared" ca="1" si="0"/>
        <v>0</v>
      </c>
      <c r="J10" s="199">
        <f t="shared" ca="1" si="2"/>
        <v>0</v>
      </c>
    </row>
    <row r="11" spans="1:10">
      <c r="A11" t="str">
        <f>'Monthly Commission'!B10</f>
        <v>MICHAEL PLAZA</v>
      </c>
      <c r="B11" t="str">
        <f>'Monthly Commission'!C10</f>
        <v>direct</v>
      </c>
      <c r="C11" s="55">
        <f ca="1">'Monthly Commission'!D10</f>
        <v>817590.78</v>
      </c>
      <c r="D11" s="55">
        <f ca="1">'Monthly Commission'!E10</f>
        <v>223600.76</v>
      </c>
      <c r="E11" s="198">
        <f ca="1">'Monthly Commission'!F10</f>
        <v>0.3</v>
      </c>
      <c r="F11" s="55">
        <f ca="1">'Monthly Commission'!G10</f>
        <v>67080.228000000003</v>
      </c>
      <c r="G11" s="55">
        <f>IFERROR(INDEX('Agent Expense'!$B$5:$M$14,MATCH(A11,'Agent Expense'!$A$5:$A$14,0),MATCH($A$3,'Agent Expense'!$B$4:$M$4,0)),0)</f>
        <v>0</v>
      </c>
      <c r="H11" s="55">
        <f t="shared" ca="1" si="1"/>
        <v>67080.228000000003</v>
      </c>
      <c r="I11" s="55">
        <f t="shared" ca="1" si="0"/>
        <v>3354.0114000000003</v>
      </c>
      <c r="J11" s="199">
        <f t="shared" ca="1" si="2"/>
        <v>63726.2166</v>
      </c>
    </row>
    <row r="12" spans="1:10">
      <c r="A12" t="str">
        <f>'Monthly Commission'!B11</f>
        <v>MODESTO PAG-ARIGON</v>
      </c>
      <c r="B12" t="str">
        <f>'Monthly Commission'!C11</f>
        <v>direct</v>
      </c>
      <c r="C12" s="55">
        <f ca="1">'Monthly Commission'!D11</f>
        <v>0</v>
      </c>
      <c r="D12" s="55">
        <f ca="1">'Monthly Commission'!E11</f>
        <v>0</v>
      </c>
      <c r="E12" s="198" t="str">
        <f ca="1">'Monthly Commission'!F11</f>
        <v/>
      </c>
      <c r="F12" s="55">
        <f ca="1">'Monthly Commission'!G11</f>
        <v>0</v>
      </c>
      <c r="G12" s="55">
        <f>IFERROR(INDEX('Agent Expense'!$B$5:$M$14,MATCH(A12,'Agent Expense'!$A$5:$A$14,0),MATCH($A$3,'Agent Expense'!$B$4:$M$4,0)),0)</f>
        <v>0</v>
      </c>
      <c r="H12" s="55">
        <f t="shared" ca="1" si="1"/>
        <v>0</v>
      </c>
      <c r="I12" s="55">
        <f t="shared" ca="1" si="0"/>
        <v>0</v>
      </c>
      <c r="J12" s="199">
        <f t="shared" ca="1" si="2"/>
        <v>0</v>
      </c>
    </row>
    <row r="13" spans="1:10">
      <c r="A13" t="str">
        <f>'Monthly Commission'!B12</f>
        <v>MODESTO PAG-ARIGON - ONLINE</v>
      </c>
      <c r="B13" t="str">
        <f>'Monthly Commission'!C12</f>
        <v>online</v>
      </c>
      <c r="C13" s="55">
        <f ca="1">'Monthly Commission'!D12</f>
        <v>48611.93</v>
      </c>
      <c r="D13" s="55">
        <f ca="1">'Monthly Commission'!E12</f>
        <v>15357.74</v>
      </c>
      <c r="E13" s="198">
        <f ca="1">'Monthly Commission'!F12</f>
        <v>0.2</v>
      </c>
      <c r="F13" s="55">
        <f ca="1">'Monthly Commission'!G12</f>
        <v>3071.5480000000002</v>
      </c>
      <c r="G13" s="55">
        <f>IFERROR(INDEX('Agent Expense'!$B$5:$M$14,MATCH(A13,'Agent Expense'!$A$5:$A$14,0),MATCH($A$3,'Agent Expense'!$B$4:$M$4,0)),0)</f>
        <v>1000</v>
      </c>
      <c r="H13" s="55">
        <f t="shared" ca="1" si="1"/>
        <v>2071.5480000000002</v>
      </c>
      <c r="I13" s="55"/>
      <c r="J13" s="199">
        <f t="shared" ca="1" si="2"/>
        <v>2071.5480000000002</v>
      </c>
    </row>
    <row r="14" spans="1:10">
      <c r="A14" t="str">
        <f>'Monthly Commission'!B13</f>
        <v>RAMONITO VILLANUEVA - ONLINE</v>
      </c>
      <c r="B14" t="str">
        <f>'Monthly Commission'!C13</f>
        <v>online</v>
      </c>
      <c r="C14" s="55">
        <f ca="1">'Monthly Commission'!D13</f>
        <v>44225.99</v>
      </c>
      <c r="D14" s="55">
        <f ca="1">'Monthly Commission'!E13</f>
        <v>14231.88</v>
      </c>
      <c r="E14" s="198">
        <f ca="1">'Monthly Commission'!F13</f>
        <v>0.2</v>
      </c>
      <c r="F14" s="55">
        <f ca="1">'Monthly Commission'!G13</f>
        <v>2846.3760000000002</v>
      </c>
      <c r="G14" s="55">
        <f>IFERROR(INDEX('Agent Expense'!$B$5:$M$14,MATCH(A14,'Agent Expense'!$A$5:$A$14,0),MATCH($A$3,'Agent Expense'!$B$4:$M$4,0)),0)</f>
        <v>1000</v>
      </c>
      <c r="H14" s="55">
        <f t="shared" ca="1" si="1"/>
        <v>1846.3760000000002</v>
      </c>
      <c r="I14" s="55"/>
      <c r="J14" s="199">
        <f t="shared" ca="1" si="2"/>
        <v>1846.3760000000002</v>
      </c>
    </row>
    <row r="15" spans="1:10">
      <c r="A15" t="str">
        <f>'Monthly Commission'!B14</f>
        <v>ROCKY DELA PENA</v>
      </c>
      <c r="B15" t="str">
        <f>'Monthly Commission'!C14</f>
        <v>direct</v>
      </c>
      <c r="C15" s="55">
        <f ca="1">'Monthly Commission'!D14</f>
        <v>45600</v>
      </c>
      <c r="D15" s="55">
        <f ca="1">'Monthly Commission'!E14</f>
        <v>22038.31</v>
      </c>
      <c r="E15" s="198">
        <f ca="1">'Monthly Commission'!F14</f>
        <v>0.2</v>
      </c>
      <c r="F15" s="55">
        <f ca="1">'Monthly Commission'!G14</f>
        <v>4407.6620000000003</v>
      </c>
      <c r="G15" s="55">
        <f>IFERROR(INDEX('Agent Expense'!$B$5:$M$14,MATCH(A15,'Agent Expense'!$A$5:$A$14,0),MATCH($A$3,'Agent Expense'!$B$4:$M$4,0)),0)</f>
        <v>0</v>
      </c>
      <c r="H15" s="55">
        <f t="shared" ca="1" si="1"/>
        <v>4407.6620000000003</v>
      </c>
      <c r="I15" s="55">
        <f t="shared" ca="1" si="0"/>
        <v>220.38310000000001</v>
      </c>
      <c r="J15" s="199">
        <f t="shared" ca="1" si="2"/>
        <v>4187.2789000000002</v>
      </c>
    </row>
    <row r="16" spans="1:10">
      <c r="A16" t="str">
        <f>'Monthly Commission'!B15</f>
        <v>ROD SANTIAGO</v>
      </c>
      <c r="B16" t="str">
        <f>'Monthly Commission'!C15</f>
        <v>direct</v>
      </c>
      <c r="C16" s="55">
        <f ca="1">'Monthly Commission'!D15</f>
        <v>1354410</v>
      </c>
      <c r="D16" s="55">
        <f ca="1">'Monthly Commission'!E15</f>
        <v>224652.49</v>
      </c>
      <c r="E16" s="198">
        <f ca="1">'Monthly Commission'!F15</f>
        <v>0.3</v>
      </c>
      <c r="F16" s="55">
        <f ca="1">'Monthly Commission'!G15</f>
        <v>67395.746999999988</v>
      </c>
      <c r="G16" s="55">
        <f>IFERROR(INDEX('Agent Expense'!$B$5:$M$14,MATCH(A16,'Agent Expense'!$A$5:$A$14,0),MATCH($A$3,'Agent Expense'!$B$4:$M$4,0)),0)</f>
        <v>0</v>
      </c>
      <c r="H16" s="55">
        <f t="shared" ca="1" si="1"/>
        <v>67395.746999999988</v>
      </c>
      <c r="I16" s="55">
        <f t="shared" ca="1" si="0"/>
        <v>3369.7873499999996</v>
      </c>
      <c r="J16" s="199">
        <f t="shared" ca="1" si="2"/>
        <v>64025.95964999999</v>
      </c>
    </row>
    <row r="17" spans="1:10">
      <c r="A17" s="200" t="str">
        <f>'Monthly Commission'!B16</f>
        <v>TOTAL</v>
      </c>
      <c r="B17" s="200">
        <f>'Monthly Commission'!C16</f>
        <v>0</v>
      </c>
      <c r="C17" s="201">
        <f ca="1">'Monthly Commission'!D16</f>
        <v>2481318.58</v>
      </c>
      <c r="D17" s="201">
        <f ca="1">'Monthly Commission'!E16</f>
        <v>539544.18999999994</v>
      </c>
      <c r="E17" s="202">
        <f ca="1">'Monthly Commission'!F16</f>
        <v>0.28307998831383951</v>
      </c>
      <c r="F17" s="201">
        <f ca="1">'Monthly Commission'!G16</f>
        <v>152734.163</v>
      </c>
      <c r="G17" s="203">
        <f>SUM(G7:G16)</f>
        <v>5454</v>
      </c>
      <c r="H17" s="203">
        <f ca="1">SUM(H7:H16)</f>
        <v>147280.163</v>
      </c>
      <c r="I17" s="203">
        <f ca="1">SUM(I7:I16)</f>
        <v>7143.1982499999995</v>
      </c>
      <c r="J17" s="203">
        <f ca="1">SUM(J7:J16)</f>
        <v>140136.96474999998</v>
      </c>
    </row>
    <row r="19" spans="1:10" ht="13.5">
      <c r="A19" s="288" t="s">
        <v>211</v>
      </c>
      <c r="B19" s="289"/>
      <c r="C19" s="289"/>
    </row>
    <row r="20" spans="1:10">
      <c r="A20" s="204" t="s">
        <v>212</v>
      </c>
      <c r="B20" s="204" t="s">
        <v>65</v>
      </c>
      <c r="C20" s="204" t="s">
        <v>206</v>
      </c>
    </row>
    <row r="21" spans="1:10">
      <c r="A21" t="str">
        <f>'Back Office Commission'!A7</f>
        <v>Bert</v>
      </c>
      <c r="B21" s="55" t="str">
        <f>'Back Office Commission'!B7</f>
        <v>Manager</v>
      </c>
      <c r="C21" s="55">
        <f ca="1">'Back Office Commission'!C7</f>
        <v>33645.19340039519</v>
      </c>
    </row>
    <row r="22" spans="1:10">
      <c r="A22" t="str">
        <f>'Back Office Commission'!A8</f>
        <v>Riza</v>
      </c>
      <c r="B22" s="55" t="str">
        <f>'Back Office Commission'!B8</f>
        <v>Sales Staff + Admin</v>
      </c>
      <c r="C22" s="55">
        <f ca="1">'Back Office Commission'!C8</f>
        <v>14433.670223890393</v>
      </c>
    </row>
    <row r="23" spans="1:10">
      <c r="A23" t="str">
        <f>'Back Office Commission'!A9</f>
        <v>Shiena</v>
      </c>
      <c r="B23" s="55" t="str">
        <f>'Back Office Commission'!B9</f>
        <v>Purchasing</v>
      </c>
      <c r="C23" s="55">
        <f>'Back Office Commission'!C9</f>
        <v>4387.8035952999944</v>
      </c>
    </row>
    <row r="24" spans="1:10">
      <c r="A24" t="str">
        <f>'Back Office Commission'!A10</f>
        <v>Raymart</v>
      </c>
      <c r="B24" s="55" t="str">
        <f>'Back Office Commission'!B10</f>
        <v>Raymart (Ikot)</v>
      </c>
      <c r="C24" s="55">
        <f>'Back Office Commission'!C10</f>
        <v>2542.02</v>
      </c>
    </row>
    <row r="25" spans="1:10">
      <c r="A25" t="str">
        <f>'Back Office Commission'!A11</f>
        <v>Glydal</v>
      </c>
      <c r="B25" s="55" t="str">
        <f>'Back Office Commission'!B11</f>
        <v>Admin</v>
      </c>
      <c r="C25" s="55">
        <f>'Back Office Commission'!C11</f>
        <v>2193.9017976499972</v>
      </c>
    </row>
    <row r="26" spans="1:10">
      <c r="A26" t="str">
        <f>'Back Office Commission'!A12</f>
        <v>Vincent</v>
      </c>
      <c r="B26" s="55" t="str">
        <f>'Back Office Commission'!B12</f>
        <v>Logistics</v>
      </c>
      <c r="C26" s="55">
        <f>'Back Office Commission'!C12</f>
        <v>1462.6011984333315</v>
      </c>
    </row>
    <row r="27" spans="1:10">
      <c r="A27" t="str">
        <f>'Back Office Commission'!A13</f>
        <v>Jojo</v>
      </c>
      <c r="B27" s="55" t="str">
        <f>'Back Office Commission'!B13</f>
        <v>Logistics</v>
      </c>
      <c r="C27" s="55">
        <f>'Back Office Commission'!C13</f>
        <v>1462.6011984333315</v>
      </c>
    </row>
    <row r="28" spans="1:10">
      <c r="A28" s="205" t="str">
        <f>'Back Office Commission'!A14</f>
        <v>Mark</v>
      </c>
      <c r="B28" s="206" t="str">
        <f>'Back Office Commission'!B14</f>
        <v>Logistics</v>
      </c>
      <c r="C28" s="55">
        <f>'Back Office Commission'!C14</f>
        <v>1462.6011984333315</v>
      </c>
    </row>
    <row r="29" spans="1:10">
      <c r="A29" t="str">
        <f>'Back Office Commission'!A15</f>
        <v>Rod</v>
      </c>
      <c r="B29" s="55" t="str">
        <f>'Back Office Commission'!B15</f>
        <v>Marketing</v>
      </c>
      <c r="C29" s="55">
        <f>'Back Office Commission'!C15</f>
        <v>4387.8035952999944</v>
      </c>
    </row>
    <row r="30" spans="1:10">
      <c r="A30" s="200" t="str">
        <f>'Back Office Commission'!A16</f>
        <v>GRAND TOTAL</v>
      </c>
      <c r="B30" s="201">
        <f>'Back Office Commission'!B16</f>
        <v>0</v>
      </c>
      <c r="C30" s="201">
        <f ca="1">SUM(C21:C29)</f>
        <v>65978.196207835557</v>
      </c>
    </row>
    <row r="31" spans="1:10">
      <c r="A31" s="289"/>
      <c r="B31" s="289"/>
    </row>
    <row r="32" spans="1:10" ht="13.5" customHeight="1">
      <c r="A32" s="288" t="s">
        <v>213</v>
      </c>
      <c r="B32" s="289"/>
      <c r="C32" s="289"/>
    </row>
    <row r="33" spans="1:3">
      <c r="A33" s="134" t="s">
        <v>214</v>
      </c>
      <c r="B33" s="207"/>
      <c r="C33" s="55">
        <f ca="1">F17</f>
        <v>152734.163</v>
      </c>
    </row>
    <row r="34" spans="1:3">
      <c r="A34" s="134" t="s">
        <v>215</v>
      </c>
      <c r="B34" s="207"/>
      <c r="C34" s="55">
        <f ca="1">C30</f>
        <v>65978.196207835557</v>
      </c>
    </row>
    <row r="35" spans="1:3">
      <c r="A35" s="208" t="s">
        <v>216</v>
      </c>
      <c r="B35" s="208"/>
      <c r="C35" s="209">
        <f ca="1">ROUND(C33,2)+ROUND(C34,2)</f>
        <v>218712.36</v>
      </c>
    </row>
  </sheetData>
  <mergeCells count="5">
    <mergeCell ref="D1:F1"/>
    <mergeCell ref="A5:F5"/>
    <mergeCell ref="A19:C19"/>
    <mergeCell ref="A31:B31"/>
    <mergeCell ref="A32:C32"/>
  </mergeCells>
  <dataValidations count="1">
    <dataValidation type="list" allowBlank="1" showInputMessage="1" showErrorMessage="1" sqref="A3" xr:uid="{00000000-0002-0000-0200-000000000000}">
      <formula1>"January,February,March,April,May,June,July,August,September,October,November,December"</formula1>
    </dataValidation>
  </dataValidations>
  <hyperlinks>
    <hyperlink ref="D1:F1" location="'Executive Summary'!A1" display="➤ Executive Summary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7"/>
  <sheetViews>
    <sheetView topLeftCell="A30" workbookViewId="0">
      <selection activeCell="B1" sqref="B1"/>
    </sheetView>
  </sheetViews>
  <sheetFormatPr defaultColWidth="9" defaultRowHeight="12.75"/>
  <cols>
    <col min="1" max="1" width="61" customWidth="1"/>
    <col min="2" max="2" width="49.5703125" customWidth="1"/>
    <col min="3" max="3" width="43.85546875" customWidth="1"/>
  </cols>
  <sheetData>
    <row r="1" spans="1:2" ht="25.5">
      <c r="A1" s="188" t="s">
        <v>217</v>
      </c>
      <c r="B1" s="7" t="s">
        <v>2</v>
      </c>
    </row>
    <row r="3" spans="1:2" ht="15.75">
      <c r="A3" s="189" t="s">
        <v>218</v>
      </c>
    </row>
    <row r="4" spans="1:2" ht="25.5">
      <c r="A4" t="s">
        <v>219</v>
      </c>
    </row>
    <row r="5" spans="1:2">
      <c r="A5" t="s">
        <v>220</v>
      </c>
    </row>
    <row r="6" spans="1:2">
      <c r="A6" t="s">
        <v>221</v>
      </c>
    </row>
    <row r="7" spans="1:2">
      <c r="A7" t="s">
        <v>222</v>
      </c>
    </row>
    <row r="9" spans="1:2" ht="15.75">
      <c r="A9" s="189" t="s">
        <v>223</v>
      </c>
    </row>
    <row r="10" spans="1:2">
      <c r="A10" s="134"/>
    </row>
    <row r="11" spans="1:2">
      <c r="A11" t="s">
        <v>224</v>
      </c>
    </row>
    <row r="12" spans="1:2">
      <c r="A12" t="s">
        <v>225</v>
      </c>
    </row>
    <row r="13" spans="1:2" ht="25.5">
      <c r="A13" t="s">
        <v>226</v>
      </c>
    </row>
    <row r="14" spans="1:2">
      <c r="A14" t="s">
        <v>227</v>
      </c>
    </row>
    <row r="15" spans="1:2" ht="25.5">
      <c r="A15" s="134" t="s">
        <v>228</v>
      </c>
    </row>
    <row r="17" spans="1:1">
      <c r="A17" t="s">
        <v>229</v>
      </c>
    </row>
    <row r="18" spans="1:1" ht="25.5">
      <c r="A18" t="s">
        <v>230</v>
      </c>
    </row>
    <row r="19" spans="1:1" ht="25.5">
      <c r="A19" s="134" t="s">
        <v>231</v>
      </c>
    </row>
    <row r="21" spans="1:1">
      <c r="A21" t="s">
        <v>232</v>
      </c>
    </row>
    <row r="22" spans="1:1" ht="25.5">
      <c r="A22" t="s">
        <v>233</v>
      </c>
    </row>
    <row r="23" spans="1:1">
      <c r="A23" s="134" t="s">
        <v>234</v>
      </c>
    </row>
    <row r="25" spans="1:1" ht="25.5">
      <c r="A25" t="s">
        <v>235</v>
      </c>
    </row>
    <row r="27" spans="1:1" ht="15.75">
      <c r="A27" s="189" t="s">
        <v>236</v>
      </c>
    </row>
    <row r="29" spans="1:1">
      <c r="A29" s="134" t="s">
        <v>237</v>
      </c>
    </row>
    <row r="30" spans="1:1" ht="25.5">
      <c r="A30" t="str">
        <f>"   • Direct Agents: "&amp;TEXT(Agent_Base_Rate,"0%")&amp;" when paid gross sales ≤ "&amp;TEXT(Agent_High_Sales_Threshold,"₱#,##0")&amp;"; "&amp;TEXT(Agent_High_Rate,"0%")&amp;" when above it"</f>
        <v xml:space="preserve">   • Direct Agents: 20% when paid gross sales ≤ ₱200,000; 30% when above it</v>
      </c>
    </row>
    <row r="31" spans="1:1" ht="25.5">
      <c r="A31" t="str">
        <f>"   • Online Agents: "&amp;TEXT(Agent_Online_Rate,"0%")&amp;" from the Executive Summary command center"</f>
        <v xml:space="preserve">   • Online Agents: 20% from the Executive Summary command center</v>
      </c>
    </row>
    <row r="32" spans="1:1">
      <c r="A32" t="s">
        <v>238</v>
      </c>
    </row>
    <row r="34" spans="1:1">
      <c r="A34" s="134" t="s">
        <v>239</v>
      </c>
    </row>
    <row r="35" spans="1:1" ht="25.5">
      <c r="A35" t="s">
        <v>240</v>
      </c>
    </row>
    <row r="36" spans="1:1" ht="25.5">
      <c r="A36" t="s">
        <v>241</v>
      </c>
    </row>
    <row r="37" spans="1:1" ht="25.5">
      <c r="A37" t="s">
        <v>242</v>
      </c>
    </row>
    <row r="38" spans="1:1" ht="25.5">
      <c r="A38" t="s">
        <v>243</v>
      </c>
    </row>
    <row r="39" spans="1:1">
      <c r="A39" s="134" t="s">
        <v>244</v>
      </c>
    </row>
    <row r="40" spans="1:1">
      <c r="A40" t="str">
        <f>"   • "&amp;TEXT(Sales_Staff_Rate,"0.0%")&amp;" if Store gross sales exceed "&amp;TEXT(Sales_Staff_Threshold,"₱#,##0")</f>
        <v xml:space="preserve">   • 0.5% if Store gross sales exceed ₱1,500,000</v>
      </c>
    </row>
    <row r="41" spans="1:1">
      <c r="A41" t="s">
        <v>245</v>
      </c>
    </row>
    <row r="42" spans="1:1" ht="25.5">
      <c r="A42" t="s">
        <v>246</v>
      </c>
    </row>
    <row r="44" spans="1:1">
      <c r="A44" s="134" t="s">
        <v>247</v>
      </c>
    </row>
    <row r="45" spans="1:1">
      <c r="A45" t="str">
        <f>"   • "&amp;TEXT(Ikot_Commission_Rate,"0.0%")&amp;" of Net Ikot Sales (Ikot Sales - Ikot Expenses) for the month"</f>
        <v xml:space="preserve">   • 1.0% of Net Ikot Sales (Ikot Sales - Ikot Expenses) for the month</v>
      </c>
    </row>
    <row r="47" spans="1:1">
      <c r="A47" s="134" t="s">
        <v>248</v>
      </c>
    </row>
    <row r="48" spans="1:1" ht="25.5">
      <c r="A48" t="str">
        <f>"   • Each department receives "&amp;TEXT(Back_Office_Rate,"0.0%")&amp;" of pre-commission Bottomline if it exceeds "&amp;TEXT(Back_Office_Threshold,"₱#,##0")</f>
        <v xml:space="preserve">   • Each department receives 1.0% of pre-commission Bottomline if it exceeds ₱300,000</v>
      </c>
    </row>
    <row r="49" spans="1:3" ht="25.5">
      <c r="A49" t="s">
        <v>249</v>
      </c>
    </row>
    <row r="50" spans="1:3" ht="25.5">
      <c r="A50" t="str">
        <f>"   • If Bottomline before Back Office commission is ≤ "&amp;TEXT(Back_Office_Threshold,"₱#,##0")&amp;", no commission is paid under this category"</f>
        <v xml:space="preserve">   • If Bottomline before Back Office commission is ≤ ₱300,000, no commission is paid under this category</v>
      </c>
    </row>
    <row r="52" spans="1:3" ht="15.75">
      <c r="A52" s="189" t="s">
        <v>250</v>
      </c>
    </row>
    <row r="53" spans="1:3">
      <c r="A53" t="s">
        <v>251</v>
      </c>
      <c r="B53" t="s">
        <v>252</v>
      </c>
      <c r="C53" t="s">
        <v>253</v>
      </c>
    </row>
    <row r="54" spans="1:3">
      <c r="A54" t="s">
        <v>254</v>
      </c>
      <c r="B54" t="s">
        <v>255</v>
      </c>
      <c r="C54" t="s">
        <v>104</v>
      </c>
    </row>
    <row r="55" spans="1:3">
      <c r="A55" t="s">
        <v>92</v>
      </c>
      <c r="B55" t="s">
        <v>256</v>
      </c>
      <c r="C55" t="s">
        <v>257</v>
      </c>
    </row>
    <row r="56" spans="1:3">
      <c r="A56" s="134" t="s">
        <v>76</v>
      </c>
      <c r="B56" t="s">
        <v>258</v>
      </c>
      <c r="C56" t="s">
        <v>259</v>
      </c>
    </row>
    <row r="57" spans="1:3" ht="25.5">
      <c r="A57" t="s">
        <v>12</v>
      </c>
      <c r="B57" t="s">
        <v>260</v>
      </c>
      <c r="C57" t="s">
        <v>261</v>
      </c>
    </row>
    <row r="58" spans="1:3">
      <c r="A58" t="s">
        <v>259</v>
      </c>
      <c r="B58" t="s">
        <v>262</v>
      </c>
      <c r="C58" t="s">
        <v>263</v>
      </c>
    </row>
    <row r="59" spans="1:3">
      <c r="A59" t="s">
        <v>264</v>
      </c>
      <c r="B59" t="s">
        <v>265</v>
      </c>
      <c r="C59" t="s">
        <v>266</v>
      </c>
    </row>
    <row r="60" spans="1:3">
      <c r="A60" t="s">
        <v>267</v>
      </c>
      <c r="B60" t="s">
        <v>268</v>
      </c>
      <c r="C60" t="s">
        <v>269</v>
      </c>
    </row>
    <row r="61" spans="1:3" ht="25.5">
      <c r="A61" t="s">
        <v>270</v>
      </c>
      <c r="B61" t="s">
        <v>271</v>
      </c>
      <c r="C61" t="s">
        <v>272</v>
      </c>
    </row>
    <row r="62" spans="1:3">
      <c r="A62" t="s">
        <v>273</v>
      </c>
      <c r="B62" t="s">
        <v>274</v>
      </c>
      <c r="C62" t="s">
        <v>275</v>
      </c>
    </row>
    <row r="63" spans="1:3">
      <c r="A63" t="s">
        <v>145</v>
      </c>
      <c r="B63" t="s">
        <v>276</v>
      </c>
      <c r="C63" t="s">
        <v>273</v>
      </c>
    </row>
    <row r="65" spans="1:3" ht="15.75">
      <c r="A65" s="190" t="s">
        <v>277</v>
      </c>
      <c r="B65" s="190"/>
      <c r="C65" s="190"/>
    </row>
    <row r="66" spans="1:3" ht="25.5">
      <c r="A66" s="191" t="s">
        <v>278</v>
      </c>
    </row>
    <row r="67" spans="1:3" ht="25.5">
      <c r="A67" s="191" t="s">
        <v>279</v>
      </c>
    </row>
    <row r="68" spans="1:3" ht="25.5">
      <c r="A68" s="191" t="s">
        <v>280</v>
      </c>
    </row>
    <row r="69" spans="1:3" ht="25.5">
      <c r="A69" s="191" t="s">
        <v>281</v>
      </c>
    </row>
    <row r="70" spans="1:3">
      <c r="A70" s="134" t="s">
        <v>282</v>
      </c>
    </row>
    <row r="71" spans="1:3">
      <c r="A71" t="s">
        <v>10</v>
      </c>
      <c r="B71" t="s">
        <v>283</v>
      </c>
      <c r="C71" t="str">
        <f>TEXT(Agent_Base_Rate,"0%")&amp;"/"&amp;TEXT(Agent_High_Rate,"0%")&amp;" direct tiers; "&amp;TEXT(Agent_Online_Rate,"0%")&amp;" online"</f>
        <v>20%/30% direct tiers; 20% online</v>
      </c>
    </row>
    <row r="72" spans="1:3" ht="25.5">
      <c r="A72" t="s">
        <v>284</v>
      </c>
      <c r="B72" t="s">
        <v>285</v>
      </c>
      <c r="C72" t="str">
        <f>"At least "&amp;TEXT(Manager_Sales_Threshold,"₱#,##0")&amp;": "&amp;TEXT(Manager_High_Rate,"0.0%")&amp;"; otherwise "&amp;TEXT(Manager_Base_Rate,"0.0%")</f>
        <v>At least %Comm!B31:C42: Executive Summary!B3; otherwise Gross sales ratio</v>
      </c>
    </row>
    <row r="73" spans="1:3">
      <c r="A73" t="s">
        <v>286</v>
      </c>
      <c r="B73" t="s">
        <v>287</v>
      </c>
      <c r="C73" t="str">
        <f>"Only if Store Gross &gt; "&amp;TEXT(Sales_Staff_Threshold,"₱#,##0")&amp;"; rate "&amp;TEXT(Sales_Staff_Rate,"0.0%")</f>
        <v>Only if Store Gross &gt; ₱1,500,000; rate 0.5%</v>
      </c>
    </row>
    <row r="74" spans="1:3">
      <c r="A74" t="s">
        <v>288</v>
      </c>
      <c r="B74" t="s">
        <v>289</v>
      </c>
      <c r="C74" t="str">
        <f>"Selected month rate: "&amp;TEXT(Ikot_Commission_Rate,"0.0%")</f>
        <v>Selected month rate: 1.0%</v>
      </c>
    </row>
    <row r="75" spans="1:3">
      <c r="A75" t="s">
        <v>31</v>
      </c>
      <c r="B75" t="s">
        <v>290</v>
      </c>
      <c r="C75" t="str">
        <f>"Pool "&amp;TEXT(Back_Office_Rate,"0.0%")&amp;" only if Bottomline &gt; "&amp;TEXT(Back_Office_Threshold,"₱#,##0")</f>
        <v>Pool 1.0% only if Bottomline &gt; ₱300,000</v>
      </c>
    </row>
    <row r="76" spans="1:3">
      <c r="A76" t="s">
        <v>19</v>
      </c>
      <c r="B76" t="s">
        <v>291</v>
      </c>
      <c r="C76" t="s">
        <v>292</v>
      </c>
    </row>
    <row r="77" spans="1:3">
      <c r="A77" t="s">
        <v>293</v>
      </c>
      <c r="B77" t="s">
        <v>294</v>
      </c>
      <c r="C77" t="str">
        <f>"Tithes "&amp;TEXT(Tithes_Rate,"0.0%")&amp;"; Offering "&amp;TEXT(Offering_Multiplier,"0%")&amp;" of tithes"</f>
        <v>Tithes 10.0%; Offering 100% of tithes</v>
      </c>
    </row>
    <row r="79" spans="1:3">
      <c r="A79" t="s">
        <v>295</v>
      </c>
    </row>
    <row r="80" spans="1:3">
      <c r="A80" s="134">
        <v>1</v>
      </c>
      <c r="B80" t="s">
        <v>296</v>
      </c>
      <c r="C80" t="s">
        <v>297</v>
      </c>
    </row>
    <row r="81" spans="1:3" ht="25.5">
      <c r="A81" s="30">
        <v>2</v>
      </c>
      <c r="B81" s="30" t="s">
        <v>298</v>
      </c>
      <c r="C81" s="30" t="s">
        <v>299</v>
      </c>
    </row>
    <row r="82" spans="1:3">
      <c r="A82" s="192">
        <v>3</v>
      </c>
      <c r="B82" s="192" t="s">
        <v>300</v>
      </c>
      <c r="C82" s="192" t="s">
        <v>301</v>
      </c>
    </row>
    <row r="83" spans="1:3" ht="25.5">
      <c r="A83" s="32">
        <v>4</v>
      </c>
      <c r="B83" s="32" t="s">
        <v>302</v>
      </c>
      <c r="C83" s="32" t="s">
        <v>303</v>
      </c>
    </row>
    <row r="84" spans="1:3">
      <c r="A84" s="192">
        <v>5</v>
      </c>
      <c r="B84" s="192" t="s">
        <v>304</v>
      </c>
      <c r="C84" s="192" t="s">
        <v>305</v>
      </c>
    </row>
    <row r="85" spans="1:3" ht="25.5">
      <c r="A85" s="32">
        <v>6</v>
      </c>
      <c r="B85" s="32" t="s">
        <v>306</v>
      </c>
      <c r="C85" s="32" t="s">
        <v>307</v>
      </c>
    </row>
    <row r="86" spans="1:3">
      <c r="A86" s="192">
        <v>7</v>
      </c>
      <c r="B86" s="192" t="s">
        <v>308</v>
      </c>
      <c r="C86" s="192" t="s">
        <v>309</v>
      </c>
    </row>
    <row r="87" spans="1:3">
      <c r="A87" s="32"/>
      <c r="B87" s="32"/>
      <c r="C87" s="32"/>
    </row>
    <row r="88" spans="1:3">
      <c r="A88" t="s">
        <v>310</v>
      </c>
    </row>
    <row r="89" spans="1:3" ht="38.25">
      <c r="A89" s="134" t="s">
        <v>311</v>
      </c>
      <c r="B89" t="s">
        <v>312</v>
      </c>
      <c r="C89" t="s">
        <v>313</v>
      </c>
    </row>
    <row r="106" spans="2:2">
      <c r="B106" s="30"/>
    </row>
    <row r="107" spans="2:2">
      <c r="B107" s="192"/>
    </row>
    <row r="108" spans="2:2">
      <c r="B108" s="32"/>
    </row>
    <row r="109" spans="2:2">
      <c r="B109" s="192"/>
    </row>
    <row r="110" spans="2:2">
      <c r="B110" s="32"/>
    </row>
    <row r="111" spans="2:2">
      <c r="B111" s="192"/>
    </row>
    <row r="112" spans="2:2">
      <c r="B112" s="32"/>
    </row>
    <row r="113" spans="1:2">
      <c r="B113" s="192"/>
    </row>
    <row r="114" spans="1:2">
      <c r="B114" s="32"/>
    </row>
    <row r="115" spans="1:2">
      <c r="B115" s="192"/>
    </row>
    <row r="116" spans="1:2">
      <c r="B116" s="32"/>
    </row>
    <row r="120" spans="1:2" ht="15.75">
      <c r="A120" s="189"/>
    </row>
    <row r="124" spans="1:2">
      <c r="A124" s="30"/>
    </row>
    <row r="125" spans="1:2">
      <c r="A125" s="192"/>
    </row>
    <row r="126" spans="1:2">
      <c r="A126" s="32"/>
    </row>
    <row r="127" spans="1:2">
      <c r="A127" s="192"/>
    </row>
    <row r="128" spans="1:2">
      <c r="A128" s="32"/>
    </row>
    <row r="129" spans="1:1">
      <c r="A129" s="192"/>
    </row>
    <row r="131" spans="1:1" ht="15.75">
      <c r="A131" s="189"/>
    </row>
    <row r="133" spans="1:1">
      <c r="A133" s="134"/>
    </row>
    <row r="138" spans="1:1">
      <c r="A138" s="134"/>
    </row>
    <row r="143" spans="1:1" ht="15.75">
      <c r="A143" s="189"/>
    </row>
    <row r="145" spans="1:1">
      <c r="A145" s="30"/>
    </row>
    <row r="146" spans="1:1">
      <c r="A146" s="192"/>
    </row>
    <row r="147" spans="1:1">
      <c r="A147" s="32"/>
    </row>
    <row r="148" spans="1:1">
      <c r="A148" s="192"/>
    </row>
    <row r="149" spans="1:1">
      <c r="A149" s="32"/>
    </row>
    <row r="150" spans="1:1">
      <c r="A150" s="192"/>
    </row>
    <row r="151" spans="1:1">
      <c r="A151" s="32"/>
    </row>
    <row r="152" spans="1:1">
      <c r="A152" s="192"/>
    </row>
    <row r="153" spans="1:1">
      <c r="A153" s="32"/>
    </row>
    <row r="154" spans="1:1">
      <c r="A154" s="192"/>
    </row>
    <row r="155" spans="1:1">
      <c r="A155" s="32"/>
    </row>
    <row r="157" spans="1:1">
      <c r="A157" s="138"/>
    </row>
  </sheetData>
  <hyperlinks>
    <hyperlink ref="B1" location="'Executive Summary'!A1" display="➤ Executive Summary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4"/>
  <sheetViews>
    <sheetView topLeftCell="A5" workbookViewId="0">
      <selection activeCell="I19" sqref="I19"/>
    </sheetView>
  </sheetViews>
  <sheetFormatPr defaultColWidth="9" defaultRowHeight="12.75"/>
  <cols>
    <col min="1" max="1" width="7.140625" customWidth="1"/>
    <col min="2" max="2" width="38.140625" customWidth="1"/>
    <col min="3" max="3" width="6" customWidth="1"/>
    <col min="4" max="4" width="11.7109375" customWidth="1"/>
    <col min="5" max="5" width="10.85546875" customWidth="1"/>
    <col min="6" max="6" width="8.85546875" customWidth="1"/>
    <col min="7" max="7" width="10.140625" customWidth="1"/>
    <col min="10" max="10" width="9" style="29" customWidth="1"/>
    <col min="11" max="11" width="9" customWidth="1"/>
    <col min="12" max="12" width="7.28515625" customWidth="1"/>
    <col min="13" max="13" width="9.140625" customWidth="1"/>
    <col min="14" max="14" width="7" customWidth="1"/>
  </cols>
  <sheetData>
    <row r="1" spans="1:14" ht="25.5">
      <c r="A1" s="290" t="s">
        <v>314</v>
      </c>
      <c r="B1" s="289"/>
      <c r="C1" s="289"/>
      <c r="D1" s="289"/>
      <c r="E1" s="289"/>
      <c r="F1" s="289"/>
      <c r="G1" s="289"/>
      <c r="J1" s="29" t="s">
        <v>315</v>
      </c>
    </row>
    <row r="3" spans="1:14" ht="38.25">
      <c r="A3" s="134" t="s">
        <v>316</v>
      </c>
      <c r="B3" s="179" t="str">
        <f>'Executive Summary'!B3</f>
        <v>August</v>
      </c>
      <c r="D3" s="269" t="s">
        <v>2</v>
      </c>
      <c r="E3" s="270"/>
      <c r="F3" s="270"/>
      <c r="G3" s="270"/>
      <c r="J3" s="29" t="s">
        <v>317</v>
      </c>
      <c r="K3">
        <f>MATCH(B3,{"January","February","March","April","May","June","July","August","September","October","November","December"},0)</f>
        <v>8</v>
      </c>
    </row>
    <row r="5" spans="1:14" s="29" customFormat="1" ht="38.25">
      <c r="A5" s="47" t="s">
        <v>318</v>
      </c>
      <c r="B5" s="47" t="s">
        <v>181</v>
      </c>
      <c r="C5" s="47" t="s">
        <v>182</v>
      </c>
      <c r="D5" s="47" t="s">
        <v>203</v>
      </c>
      <c r="E5" s="47" t="s">
        <v>204</v>
      </c>
      <c r="F5" s="47" t="s">
        <v>205</v>
      </c>
      <c r="G5" s="47" t="s">
        <v>206</v>
      </c>
      <c r="J5" s="29" t="s">
        <v>319</v>
      </c>
      <c r="K5" s="29" t="s">
        <v>320</v>
      </c>
      <c r="L5" s="29" t="s">
        <v>321</v>
      </c>
      <c r="M5" s="29" t="s">
        <v>322</v>
      </c>
      <c r="N5" s="29" t="s">
        <v>323</v>
      </c>
    </row>
    <row r="6" spans="1:14">
      <c r="A6" s="41">
        <v>1</v>
      </c>
      <c r="B6" s="32" t="s">
        <v>324</v>
      </c>
      <c r="C6" s="41" t="s">
        <v>325</v>
      </c>
      <c r="D6" s="177" cm="1">
        <f t="array" aca="1" ref="D6" ca="1">IFERROR(VALUE(INDIRECT("AgentYearlySales!"&amp;VLOOKUP($K$3,$J$6:$N$16,2,FALSE)&amp;11)),0)</f>
        <v>113401</v>
      </c>
      <c r="E6" s="177" cm="1">
        <f t="array" aca="1" ref="E6" ca="1">IFERROR(VALUE(INDIRECT("AgentYearlySales!"&amp;VLOOKUP($K$3,$J$6:$N$16,4,FALSE)&amp;11)),0)</f>
        <v>26067.4</v>
      </c>
      <c r="F6" s="180">
        <f t="shared" ref="F6:F15" ca="1" si="0">IF(D6=0,"",IF(LOWER(C6)="online",Agent_Online_Rate,IF(D6&gt;Agent_High_Sales_Threshold,Agent_High_Rate,Agent_Base_Rate)))</f>
        <v>0.2</v>
      </c>
      <c r="G6" s="177">
        <f t="shared" ref="G6:G15" ca="1" si="1">IF(E6&lt;=0,0,E6*F6)</f>
        <v>5213.4800000000005</v>
      </c>
      <c r="J6" s="29">
        <v>1</v>
      </c>
      <c r="K6" t="s">
        <v>326</v>
      </c>
      <c r="L6" t="s">
        <v>327</v>
      </c>
      <c r="M6" t="s">
        <v>328</v>
      </c>
      <c r="N6" t="s">
        <v>329</v>
      </c>
    </row>
    <row r="7" spans="1:14">
      <c r="A7" s="181">
        <v>2</v>
      </c>
      <c r="B7" s="182" t="s">
        <v>330</v>
      </c>
      <c r="C7" s="181" t="s">
        <v>331</v>
      </c>
      <c r="D7" s="183" cm="1">
        <f t="array" aca="1" ref="D7" ca="1">IFERROR(VALUE(INDIRECT("AgentYearlySales!"&amp;VLOOKUP($K$3,$J$6:$N$16,2,FALSE)&amp;12)),0)</f>
        <v>23556.880000000001</v>
      </c>
      <c r="E7" s="183" cm="1">
        <f t="array" aca="1" ref="E7" ca="1">IFERROR(VALUE(INDIRECT("AgentYearlySales!"&amp;VLOOKUP($K$3,$J$6:$N$16,4,FALSE)&amp;12)),0)</f>
        <v>7491.37</v>
      </c>
      <c r="F7" s="184">
        <f t="shared" ca="1" si="0"/>
        <v>0.2</v>
      </c>
      <c r="G7" s="183">
        <f t="shared" ca="1" si="1"/>
        <v>1498.2740000000001</v>
      </c>
      <c r="J7" s="29">
        <v>2</v>
      </c>
      <c r="K7" t="s">
        <v>332</v>
      </c>
      <c r="L7" t="s">
        <v>333</v>
      </c>
      <c r="M7" t="s">
        <v>334</v>
      </c>
      <c r="N7" t="s">
        <v>335</v>
      </c>
    </row>
    <row r="8" spans="1:14">
      <c r="A8" s="41">
        <v>3</v>
      </c>
      <c r="B8" s="32" t="s">
        <v>336</v>
      </c>
      <c r="C8" s="41" t="s">
        <v>325</v>
      </c>
      <c r="D8" s="177" cm="1">
        <f t="array" aca="1" ref="D8" ca="1">IFERROR(VALUE(INDIRECT("AgentYearlySales!"&amp;VLOOKUP($K$3,$J$6:$N$16,2,FALSE)&amp;13)),0)</f>
        <v>33922</v>
      </c>
      <c r="E8" s="177" cm="1">
        <f t="array" aca="1" ref="E8" ca="1">IFERROR(VALUE(INDIRECT("AgentYearlySales!"&amp;VLOOKUP($K$3,$J$6:$N$16,4,FALSE)&amp;13)),0)</f>
        <v>6104.24</v>
      </c>
      <c r="F8" s="180">
        <v>0.2</v>
      </c>
      <c r="G8" s="177">
        <f t="shared" ca="1" si="1"/>
        <v>1220.848</v>
      </c>
      <c r="J8" s="29">
        <v>3</v>
      </c>
      <c r="K8" t="s">
        <v>337</v>
      </c>
      <c r="L8" t="s">
        <v>338</v>
      </c>
      <c r="M8" t="s">
        <v>339</v>
      </c>
      <c r="N8" t="s">
        <v>340</v>
      </c>
    </row>
    <row r="9" spans="1:14">
      <c r="A9" s="41">
        <v>4</v>
      </c>
      <c r="B9" s="32" t="s">
        <v>341</v>
      </c>
      <c r="C9" s="41" t="s">
        <v>325</v>
      </c>
      <c r="D9" s="177" cm="1">
        <f t="array" aca="1" ref="D9" ca="1">IFERROR(VALUE(INDIRECT("AgentYearlySales!"&amp;VLOOKUP($K$3,$J$6:$N$16,2,FALSE)&amp;14)),0)</f>
        <v>0</v>
      </c>
      <c r="E9" s="177" cm="1">
        <f t="array" aca="1" ref="E9" ca="1">IFERROR(VALUE(INDIRECT("AgentYearlySales!"&amp;VLOOKUP($K$3,$J$6:$N$16,4,FALSE)&amp;14)),0)</f>
        <v>0</v>
      </c>
      <c r="F9" s="180" t="str">
        <f t="shared" ca="1" si="0"/>
        <v/>
      </c>
      <c r="G9" s="177">
        <f t="shared" ca="1" si="1"/>
        <v>0</v>
      </c>
      <c r="J9" s="29">
        <v>4</v>
      </c>
      <c r="K9" t="s">
        <v>342</v>
      </c>
      <c r="L9" t="s">
        <v>343</v>
      </c>
      <c r="M9" t="s">
        <v>344</v>
      </c>
      <c r="N9" t="s">
        <v>345</v>
      </c>
    </row>
    <row r="10" spans="1:14">
      <c r="A10" s="41">
        <v>5</v>
      </c>
      <c r="B10" s="32" t="s">
        <v>346</v>
      </c>
      <c r="C10" s="41" t="s">
        <v>325</v>
      </c>
      <c r="D10" s="177" cm="1">
        <f t="array" aca="1" ref="D10" ca="1">IFERROR(VALUE(INDIRECT("AgentYearlySales!"&amp;VLOOKUP($K$3,$J$6:$N$16,2,FALSE)&amp;15)),0)</f>
        <v>817590.78</v>
      </c>
      <c r="E10" s="177" cm="1">
        <f t="array" aca="1" ref="E10" ca="1">IFERROR(VALUE(INDIRECT("AgentYearlySales!"&amp;VLOOKUP($K$3,$J$6:$N$16,4,FALSE)&amp;15)),0)</f>
        <v>223600.76</v>
      </c>
      <c r="F10" s="180">
        <f t="shared" ca="1" si="0"/>
        <v>0.3</v>
      </c>
      <c r="G10" s="177">
        <f t="shared" ca="1" si="1"/>
        <v>67080.228000000003</v>
      </c>
      <c r="J10" s="29">
        <v>5</v>
      </c>
      <c r="K10" t="s">
        <v>347</v>
      </c>
      <c r="L10" t="s">
        <v>348</v>
      </c>
      <c r="M10" t="s">
        <v>349</v>
      </c>
      <c r="N10" t="s">
        <v>350</v>
      </c>
    </row>
    <row r="11" spans="1:14">
      <c r="A11" s="41">
        <v>6</v>
      </c>
      <c r="B11" s="32" t="s">
        <v>351</v>
      </c>
      <c r="C11" s="41" t="s">
        <v>325</v>
      </c>
      <c r="D11" s="177" cm="1">
        <f t="array" aca="1" ref="D11" ca="1">IFERROR(VALUE(INDIRECT("AgentYearlySales!"&amp;VLOOKUP($K$3,$J$6:$N$16,2,FALSE)&amp;16)),0)</f>
        <v>0</v>
      </c>
      <c r="E11" s="177" cm="1">
        <f t="array" aca="1" ref="E11" ca="1">IFERROR(VALUE(INDIRECT("AgentYearlySales!"&amp;VLOOKUP($K$3,$J$6:$N$16,4,FALSE)&amp;16)),0)</f>
        <v>0</v>
      </c>
      <c r="F11" s="180" t="str">
        <f t="shared" ca="1" si="0"/>
        <v/>
      </c>
      <c r="G11" s="177">
        <f t="shared" ca="1" si="1"/>
        <v>0</v>
      </c>
      <c r="J11" s="29">
        <v>6</v>
      </c>
      <c r="K11" t="s">
        <v>352</v>
      </c>
      <c r="L11" t="s">
        <v>353</v>
      </c>
      <c r="M11" t="s">
        <v>354</v>
      </c>
      <c r="N11" t="s">
        <v>355</v>
      </c>
    </row>
    <row r="12" spans="1:14">
      <c r="A12" s="181">
        <v>7</v>
      </c>
      <c r="B12" s="182" t="s">
        <v>356</v>
      </c>
      <c r="C12" s="181" t="s">
        <v>331</v>
      </c>
      <c r="D12" s="183" cm="1">
        <f t="array" aca="1" ref="D12" ca="1">IFERROR(VALUE(INDIRECT("AgentYearlySales!"&amp;VLOOKUP($K$3,$J$6:$N$16,2,FALSE)&amp;17)),0)</f>
        <v>48611.93</v>
      </c>
      <c r="E12" s="183" cm="1">
        <f t="array" aca="1" ref="E12" ca="1">IFERROR(VALUE(INDIRECT("AgentYearlySales!"&amp;VLOOKUP($K$3,$J$6:$N$16,4,FALSE)&amp;17)),0)</f>
        <v>15357.74</v>
      </c>
      <c r="F12" s="184">
        <f t="shared" ca="1" si="0"/>
        <v>0.2</v>
      </c>
      <c r="G12" s="183">
        <f t="shared" ca="1" si="1"/>
        <v>3071.5480000000002</v>
      </c>
      <c r="J12" s="29">
        <v>7</v>
      </c>
      <c r="K12" t="s">
        <v>357</v>
      </c>
      <c r="L12" t="s">
        <v>358</v>
      </c>
      <c r="M12" t="s">
        <v>359</v>
      </c>
      <c r="N12" t="s">
        <v>360</v>
      </c>
    </row>
    <row r="13" spans="1:14">
      <c r="A13" s="181">
        <v>8</v>
      </c>
      <c r="B13" s="182" t="s">
        <v>361</v>
      </c>
      <c r="C13" s="181" t="s">
        <v>331</v>
      </c>
      <c r="D13" s="183" cm="1">
        <f t="array" aca="1" ref="D13" ca="1">IFERROR(VALUE(INDIRECT("AgentYearlySales!"&amp;VLOOKUP($K$3,$J$6:$N$16,2,FALSE)&amp;18)),0)</f>
        <v>44225.99</v>
      </c>
      <c r="E13" s="183" cm="1">
        <f t="array" aca="1" ref="E13" ca="1">IFERROR(VALUE(INDIRECT("AgentYearlySales!"&amp;VLOOKUP($K$3,$J$6:$N$16,4,FALSE)&amp;18)),0)</f>
        <v>14231.88</v>
      </c>
      <c r="F13" s="184">
        <f t="shared" ca="1" si="0"/>
        <v>0.2</v>
      </c>
      <c r="G13" s="183">
        <f t="shared" ca="1" si="1"/>
        <v>2846.3760000000002</v>
      </c>
      <c r="J13" s="29">
        <v>8</v>
      </c>
      <c r="K13" t="s">
        <v>362</v>
      </c>
      <c r="L13" t="s">
        <v>363</v>
      </c>
      <c r="M13" t="s">
        <v>364</v>
      </c>
      <c r="N13" t="s">
        <v>365</v>
      </c>
    </row>
    <row r="14" spans="1:14">
      <c r="A14" s="41">
        <v>9</v>
      </c>
      <c r="B14" s="32" t="s">
        <v>366</v>
      </c>
      <c r="C14" s="41" t="s">
        <v>325</v>
      </c>
      <c r="D14" s="177" cm="1">
        <f t="array" aca="1" ref="D14" ca="1">IFERROR(VALUE(INDIRECT("AgentYearlySales!"&amp;VLOOKUP($K$3,$J$6:$N$16,2,FALSE)&amp;19)),0)</f>
        <v>45600</v>
      </c>
      <c r="E14" s="177" cm="1">
        <f t="array" aca="1" ref="E14" ca="1">IFERROR(VALUE(INDIRECT("AgentYearlySales!"&amp;VLOOKUP($K$3,$J$6:$N$16,4,FALSE)&amp;19)),0)</f>
        <v>22038.31</v>
      </c>
      <c r="F14" s="180">
        <f t="shared" ca="1" si="0"/>
        <v>0.2</v>
      </c>
      <c r="G14" s="177">
        <f t="shared" ca="1" si="1"/>
        <v>4407.6620000000003</v>
      </c>
      <c r="J14" s="29">
        <v>9</v>
      </c>
      <c r="K14" t="s">
        <v>367</v>
      </c>
      <c r="L14" t="s">
        <v>368</v>
      </c>
      <c r="M14" t="s">
        <v>369</v>
      </c>
      <c r="N14" t="s">
        <v>370</v>
      </c>
    </row>
    <row r="15" spans="1:14">
      <c r="A15" s="41">
        <v>10</v>
      </c>
      <c r="B15" s="32" t="s">
        <v>371</v>
      </c>
      <c r="C15" s="41" t="s">
        <v>325</v>
      </c>
      <c r="D15" s="177" cm="1">
        <f t="array" aca="1" ref="D15" ca="1">IFERROR(VALUE(INDIRECT("AgentYearlySales!"&amp;VLOOKUP($K$3,$J$6:$N$16,2,FALSE)&amp;20)),0)</f>
        <v>1354410</v>
      </c>
      <c r="E15" s="177" cm="1">
        <f t="array" aca="1" ref="E15" ca="1">IFERROR(VALUE(INDIRECT("AgentYearlySales!"&amp;VLOOKUP($K$3,$J$6:$N$16,4,FALSE)&amp;20)),0)</f>
        <v>224652.49</v>
      </c>
      <c r="F15" s="180">
        <f t="shared" ca="1" si="0"/>
        <v>0.3</v>
      </c>
      <c r="G15" s="177">
        <f t="shared" ca="1" si="1"/>
        <v>67395.746999999988</v>
      </c>
      <c r="J15" s="29">
        <v>10</v>
      </c>
      <c r="K15" t="s">
        <v>372</v>
      </c>
      <c r="L15" t="s">
        <v>373</v>
      </c>
      <c r="M15" t="s">
        <v>374</v>
      </c>
      <c r="N15" t="s">
        <v>375</v>
      </c>
    </row>
    <row r="16" spans="1:14">
      <c r="A16" s="159"/>
      <c r="B16" s="31" t="s">
        <v>376</v>
      </c>
      <c r="C16" s="31"/>
      <c r="D16" s="185">
        <f ca="1">SUM(D6:D15)</f>
        <v>2481318.58</v>
      </c>
      <c r="E16" s="185">
        <f ca="1">SUM(E6:E15)</f>
        <v>539544.18999999994</v>
      </c>
      <c r="F16" s="186">
        <f ca="1">IFERROR(G16/E16,0)</f>
        <v>0.28307998831383951</v>
      </c>
      <c r="G16" s="185">
        <f ca="1">SUM(G6:G15)</f>
        <v>152734.163</v>
      </c>
      <c r="J16" s="29">
        <v>12</v>
      </c>
      <c r="K16" t="s">
        <v>377</v>
      </c>
      <c r="L16" t="s">
        <v>378</v>
      </c>
      <c r="M16" t="s">
        <v>379</v>
      </c>
      <c r="N16" t="s">
        <v>380</v>
      </c>
    </row>
    <row r="18" spans="1:7">
      <c r="A18" s="291" t="s">
        <v>381</v>
      </c>
      <c r="B18" s="291"/>
      <c r="C18" s="291"/>
      <c r="D18" s="291"/>
      <c r="E18" s="291"/>
      <c r="F18" s="291"/>
      <c r="G18" s="291"/>
    </row>
    <row r="19" spans="1:7" ht="38.25">
      <c r="A19" s="173" t="s">
        <v>318</v>
      </c>
      <c r="B19" s="173" t="s">
        <v>181</v>
      </c>
      <c r="C19" s="173" t="s">
        <v>182</v>
      </c>
      <c r="D19" s="173" t="s">
        <v>382</v>
      </c>
      <c r="E19" s="173" t="s">
        <v>383</v>
      </c>
      <c r="F19" s="173" t="s">
        <v>384</v>
      </c>
      <c r="G19" s="173" t="s">
        <v>35</v>
      </c>
    </row>
    <row r="20" spans="1:7">
      <c r="A20" s="32">
        <v>1</v>
      </c>
      <c r="B20" s="32" t="s">
        <v>324</v>
      </c>
      <c r="C20" s="32" t="s">
        <v>325</v>
      </c>
      <c r="D20" s="33">
        <f t="shared" ref="D20:D29" ca="1" si="2">G6</f>
        <v>5213.4800000000005</v>
      </c>
      <c r="E20" s="33" cm="1">
        <f t="array" aca="1" ref="E20" ca="1">IFERROR(VALUE(INDIRECT("AgentYearlySales!"&amp;VLOOKUP($K$3,$J$6:$N$16,5,FALSE)&amp;11)),0)</f>
        <v>5213.4800000000005</v>
      </c>
      <c r="F20" s="33">
        <f t="shared" ref="F20:F29" ca="1" si="3">D20-E20</f>
        <v>0</v>
      </c>
      <c r="G20" s="32" t="str">
        <f t="shared" ref="G20:G30" ca="1" si="4">IF(ABS(F20)&lt;1,"✓ Match",IF(F20&gt;0,"Underpaid","Overpaid"))</f>
        <v>✓ Match</v>
      </c>
    </row>
    <row r="21" spans="1:7">
      <c r="A21" s="182">
        <v>2</v>
      </c>
      <c r="B21" s="182" t="s">
        <v>330</v>
      </c>
      <c r="C21" s="182" t="s">
        <v>331</v>
      </c>
      <c r="D21" s="187">
        <f t="shared" ca="1" si="2"/>
        <v>1498.2740000000001</v>
      </c>
      <c r="E21" s="187" cm="1">
        <f t="array" aca="1" ref="E21" ca="1">IFERROR(VALUE(INDIRECT("AgentYearlySales!"&amp;VLOOKUP($K$3,$J$6:$N$16,5,FALSE)&amp;12)),0)</f>
        <v>1498.2740000000001</v>
      </c>
      <c r="F21" s="187">
        <f t="shared" ca="1" si="3"/>
        <v>0</v>
      </c>
      <c r="G21" s="182" t="str">
        <f t="shared" ca="1" si="4"/>
        <v>✓ Match</v>
      </c>
    </row>
    <row r="22" spans="1:7">
      <c r="A22" s="32">
        <v>3</v>
      </c>
      <c r="B22" s="32" t="s">
        <v>336</v>
      </c>
      <c r="C22" s="32" t="s">
        <v>325</v>
      </c>
      <c r="D22" s="33">
        <f t="shared" ca="1" si="2"/>
        <v>1220.848</v>
      </c>
      <c r="E22" s="33" cm="1">
        <f t="array" aca="1" ref="E22" ca="1">IFERROR(VALUE(INDIRECT("AgentYearlySales!"&amp;VLOOKUP($K$3,$J$6:$N$16,5,FALSE)&amp;13)),0)</f>
        <v>1220.848</v>
      </c>
      <c r="F22" s="33">
        <f t="shared" ca="1" si="3"/>
        <v>0</v>
      </c>
      <c r="G22" s="32" t="str">
        <f t="shared" ca="1" si="4"/>
        <v>✓ Match</v>
      </c>
    </row>
    <row r="23" spans="1:7">
      <c r="A23" s="32">
        <v>4</v>
      </c>
      <c r="B23" s="32" t="s">
        <v>341</v>
      </c>
      <c r="C23" s="32" t="s">
        <v>325</v>
      </c>
      <c r="D23" s="33">
        <f t="shared" ca="1" si="2"/>
        <v>0</v>
      </c>
      <c r="E23" s="33" cm="1">
        <f t="array" aca="1" ref="E23" ca="1">IFERROR(VALUE(INDIRECT("AgentYearlySales!"&amp;VLOOKUP($K$3,$J$6:$N$16,5,FALSE)&amp;14)),0)</f>
        <v>0</v>
      </c>
      <c r="F23" s="33">
        <f t="shared" ca="1" si="3"/>
        <v>0</v>
      </c>
      <c r="G23" s="32" t="str">
        <f t="shared" ca="1" si="4"/>
        <v>✓ Match</v>
      </c>
    </row>
    <row r="24" spans="1:7">
      <c r="A24" s="32">
        <v>5</v>
      </c>
      <c r="B24" s="32" t="s">
        <v>346</v>
      </c>
      <c r="C24" s="32" t="s">
        <v>325</v>
      </c>
      <c r="D24" s="33">
        <f t="shared" ca="1" si="2"/>
        <v>67080.228000000003</v>
      </c>
      <c r="E24" s="33" cm="1">
        <f t="array" aca="1" ref="E24" ca="1">IFERROR(VALUE(INDIRECT("AgentYearlySales!"&amp;VLOOKUP($K$3,$J$6:$N$16,5,FALSE)&amp;15)),0)</f>
        <v>67080.228000000003</v>
      </c>
      <c r="F24" s="33">
        <f t="shared" ca="1" si="3"/>
        <v>0</v>
      </c>
      <c r="G24" s="32" t="str">
        <f t="shared" ca="1" si="4"/>
        <v>✓ Match</v>
      </c>
    </row>
    <row r="25" spans="1:7">
      <c r="A25" s="32">
        <v>6</v>
      </c>
      <c r="B25" s="32" t="s">
        <v>351</v>
      </c>
      <c r="C25" s="32" t="s">
        <v>325</v>
      </c>
      <c r="D25" s="33">
        <f t="shared" ca="1" si="2"/>
        <v>0</v>
      </c>
      <c r="E25" s="33" cm="1">
        <f t="array" aca="1" ref="E25" ca="1">IFERROR(VALUE(INDIRECT("AgentYearlySales!"&amp;VLOOKUP($K$3,$J$6:$N$16,5,FALSE)&amp;16)),0)</f>
        <v>0</v>
      </c>
      <c r="F25" s="33">
        <f t="shared" ca="1" si="3"/>
        <v>0</v>
      </c>
      <c r="G25" s="32" t="str">
        <f t="shared" ca="1" si="4"/>
        <v>✓ Match</v>
      </c>
    </row>
    <row r="26" spans="1:7">
      <c r="A26" s="182">
        <v>7</v>
      </c>
      <c r="B26" s="182" t="s">
        <v>356</v>
      </c>
      <c r="C26" s="182" t="s">
        <v>331</v>
      </c>
      <c r="D26" s="187">
        <f t="shared" ca="1" si="2"/>
        <v>3071.5480000000002</v>
      </c>
      <c r="E26" s="187" cm="1">
        <f t="array" aca="1" ref="E26" ca="1">IFERROR(VALUE(INDIRECT("AgentYearlySales!"&amp;VLOOKUP($K$3,$J$6:$N$16,5,FALSE)&amp;17)),0)</f>
        <v>3071.5480000000002</v>
      </c>
      <c r="F26" s="187">
        <f t="shared" ca="1" si="3"/>
        <v>0</v>
      </c>
      <c r="G26" s="182" t="str">
        <f t="shared" ca="1" si="4"/>
        <v>✓ Match</v>
      </c>
    </row>
    <row r="27" spans="1:7">
      <c r="A27" s="182">
        <v>8</v>
      </c>
      <c r="B27" s="182" t="s">
        <v>361</v>
      </c>
      <c r="C27" s="182" t="s">
        <v>331</v>
      </c>
      <c r="D27" s="187">
        <f t="shared" ca="1" si="2"/>
        <v>2846.3760000000002</v>
      </c>
      <c r="E27" s="187" cm="1">
        <f t="array" aca="1" ref="E27" ca="1">IFERROR(VALUE(INDIRECT("AgentYearlySales!"&amp;VLOOKUP($K$3,$J$6:$N$16,5,FALSE)&amp;18)),0)</f>
        <v>2846.3760000000002</v>
      </c>
      <c r="F27" s="187">
        <f t="shared" ca="1" si="3"/>
        <v>0</v>
      </c>
      <c r="G27" s="182" t="str">
        <f t="shared" ca="1" si="4"/>
        <v>✓ Match</v>
      </c>
    </row>
    <row r="28" spans="1:7">
      <c r="A28" s="32">
        <v>9</v>
      </c>
      <c r="B28" s="32" t="s">
        <v>366</v>
      </c>
      <c r="C28" s="32" t="s">
        <v>325</v>
      </c>
      <c r="D28" s="33">
        <f t="shared" ca="1" si="2"/>
        <v>4407.6620000000003</v>
      </c>
      <c r="E28" s="33" cm="1">
        <f t="array" aca="1" ref="E28" ca="1">IFERROR(VALUE(INDIRECT("AgentYearlySales!"&amp;VLOOKUP($K$3,$J$6:$N$16,5,FALSE)&amp;19)),0)</f>
        <v>4407.6620000000003</v>
      </c>
      <c r="F28" s="33">
        <f t="shared" ca="1" si="3"/>
        <v>0</v>
      </c>
      <c r="G28" s="32" t="str">
        <f t="shared" ca="1" si="4"/>
        <v>✓ Match</v>
      </c>
    </row>
    <row r="29" spans="1:7">
      <c r="A29" s="32">
        <v>10</v>
      </c>
      <c r="B29" s="32" t="s">
        <v>371</v>
      </c>
      <c r="C29" s="32" t="s">
        <v>325</v>
      </c>
      <c r="D29" s="33">
        <f t="shared" ca="1" si="2"/>
        <v>67395.746999999988</v>
      </c>
      <c r="E29" s="33" cm="1">
        <f t="array" aca="1" ref="E29" ca="1">IFERROR(VALUE(INDIRECT("AgentYearlySales!"&amp;VLOOKUP($K$3,$J$6:$N$16,5,FALSE)&amp;20)),0)</f>
        <v>67395.746999999988</v>
      </c>
      <c r="F29" s="33">
        <f t="shared" ca="1" si="3"/>
        <v>0</v>
      </c>
      <c r="G29" s="32" t="str">
        <f t="shared" ca="1" si="4"/>
        <v>✓ Match</v>
      </c>
    </row>
    <row r="30" spans="1:7">
      <c r="A30" s="31"/>
      <c r="B30" s="31" t="s">
        <v>376</v>
      </c>
      <c r="C30" s="31"/>
      <c r="D30" s="175">
        <f ca="1">SUM(D20:D29)</f>
        <v>152734.163</v>
      </c>
      <c r="E30" s="175">
        <f ca="1">SUM(E20:E29)</f>
        <v>152734.163</v>
      </c>
      <c r="F30" s="175">
        <f ca="1">SUM(F20:F29)</f>
        <v>0</v>
      </c>
      <c r="G30" s="31" t="str">
        <f t="shared" ca="1" si="4"/>
        <v>✓ Match</v>
      </c>
    </row>
    <row r="32" spans="1:7">
      <c r="A32" s="292" t="s">
        <v>385</v>
      </c>
      <c r="B32" s="289"/>
      <c r="C32" s="289"/>
      <c r="D32" s="289"/>
      <c r="E32" s="289"/>
      <c r="F32" s="289"/>
      <c r="G32" s="289"/>
    </row>
    <row r="33" spans="1:7">
      <c r="A33" s="289" t="s">
        <v>386</v>
      </c>
      <c r="B33" s="289"/>
      <c r="C33" s="289"/>
      <c r="D33" s="289"/>
      <c r="E33" s="289"/>
      <c r="F33" s="289"/>
      <c r="G33" s="289"/>
    </row>
    <row r="34" spans="1:7">
      <c r="A34" s="289" t="s">
        <v>387</v>
      </c>
      <c r="B34" s="289"/>
      <c r="C34" s="289"/>
      <c r="D34" s="289"/>
      <c r="E34" s="289"/>
      <c r="F34" s="289"/>
      <c r="G34" s="289"/>
    </row>
  </sheetData>
  <mergeCells count="6">
    <mergeCell ref="A34:G34"/>
    <mergeCell ref="A1:G1"/>
    <mergeCell ref="D3:G3"/>
    <mergeCell ref="A18:G18"/>
    <mergeCell ref="A32:G32"/>
    <mergeCell ref="A33:G33"/>
  </mergeCells>
  <hyperlinks>
    <hyperlink ref="D3" location="'Executive Summary'!A1" display="➤ Executive Summary" xr:uid="{00000000-0004-0000-0400-000000000000}"/>
  </hyperlink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65"/>
  <sheetViews>
    <sheetView tabSelected="1" workbookViewId="0">
      <selection activeCell="F59" sqref="F59"/>
    </sheetView>
  </sheetViews>
  <sheetFormatPr defaultColWidth="30.42578125" defaultRowHeight="12.75"/>
  <cols>
    <col min="1" max="1" width="32.5703125" customWidth="1"/>
    <col min="2" max="2" width="21.140625" customWidth="1"/>
    <col min="3" max="3" width="32.5703125" style="6" customWidth="1"/>
    <col min="4" max="4" width="21.140625" customWidth="1"/>
    <col min="5" max="5" width="12" customWidth="1"/>
    <col min="6" max="6" width="30.42578125" style="29"/>
  </cols>
  <sheetData>
    <row r="1" spans="1:11" ht="36">
      <c r="A1" s="154" t="s">
        <v>211</v>
      </c>
      <c r="C1" s="269" t="s">
        <v>2</v>
      </c>
      <c r="D1" s="270"/>
      <c r="F1"/>
    </row>
    <row r="3" spans="1:11">
      <c r="A3" s="134" t="s">
        <v>316</v>
      </c>
      <c r="B3" s="155" t="str">
        <f>'Executive Summary'!B3</f>
        <v>August</v>
      </c>
      <c r="J3" t="s">
        <v>317</v>
      </c>
      <c r="K3">
        <f>MATCH(B3,{"January","February","March","April","May","June","July","August","September","October","November","December"},0)</f>
        <v>8</v>
      </c>
    </row>
    <row r="5" spans="1:11">
      <c r="A5" s="294" t="s">
        <v>388</v>
      </c>
      <c r="B5" s="294"/>
      <c r="C5" s="294"/>
    </row>
    <row r="6" spans="1:11">
      <c r="A6" s="30" t="s">
        <v>212</v>
      </c>
      <c r="B6" s="30" t="s">
        <v>65</v>
      </c>
      <c r="C6" s="156" t="s">
        <v>206</v>
      </c>
    </row>
    <row r="7" spans="1:11">
      <c r="A7" s="32" t="s">
        <v>389</v>
      </c>
      <c r="B7" s="32" t="s">
        <v>284</v>
      </c>
      <c r="C7" s="157">
        <f ca="1">E38</f>
        <v>33645.19340039519</v>
      </c>
    </row>
    <row r="8" spans="1:11">
      <c r="A8" s="32" t="s">
        <v>390</v>
      </c>
      <c r="B8" s="32" t="s">
        <v>708</v>
      </c>
      <c r="C8" s="157">
        <f ca="1">E43+F53</f>
        <v>14433.670223890393</v>
      </c>
    </row>
    <row r="9" spans="1:11">
      <c r="A9" s="32" t="s">
        <v>391</v>
      </c>
      <c r="B9" s="32" t="s">
        <v>392</v>
      </c>
      <c r="C9" s="157">
        <f>F52</f>
        <v>4387.8035952999944</v>
      </c>
    </row>
    <row r="10" spans="1:11">
      <c r="A10" s="32" t="s">
        <v>288</v>
      </c>
      <c r="B10" s="32" t="s">
        <v>29</v>
      </c>
      <c r="C10" s="157">
        <f>E48</f>
        <v>2542.02</v>
      </c>
    </row>
    <row r="11" spans="1:11">
      <c r="A11" s="32" t="s">
        <v>393</v>
      </c>
      <c r="B11" s="32" t="s">
        <v>394</v>
      </c>
      <c r="C11" s="157">
        <f>F53</f>
        <v>2193.9017976499972</v>
      </c>
    </row>
    <row r="12" spans="1:11">
      <c r="A12" s="32" t="s">
        <v>395</v>
      </c>
      <c r="B12" s="32" t="s">
        <v>396</v>
      </c>
      <c r="C12" s="157">
        <f>F54</f>
        <v>1462.6011984333315</v>
      </c>
    </row>
    <row r="13" spans="1:11">
      <c r="A13" s="32" t="s">
        <v>397</v>
      </c>
      <c r="B13" s="32" t="s">
        <v>396</v>
      </c>
      <c r="C13" s="157">
        <f>F54</f>
        <v>1462.6011984333315</v>
      </c>
    </row>
    <row r="14" spans="1:11">
      <c r="A14" s="32" t="s">
        <v>398</v>
      </c>
      <c r="B14" s="32" t="s">
        <v>396</v>
      </c>
      <c r="C14" s="157">
        <f>F54</f>
        <v>1462.6011984333315</v>
      </c>
    </row>
    <row r="15" spans="1:11">
      <c r="A15" s="32" t="s">
        <v>399</v>
      </c>
      <c r="B15" s="32" t="s">
        <v>400</v>
      </c>
      <c r="C15" s="157">
        <f>F55</f>
        <v>4387.8035952999944</v>
      </c>
    </row>
    <row r="16" spans="1:11">
      <c r="A16" s="31" t="s">
        <v>216</v>
      </c>
      <c r="B16" s="31"/>
      <c r="C16" s="158">
        <f ca="1">SUM(C7:C15)</f>
        <v>65978.196207835557</v>
      </c>
    </row>
    <row r="17" spans="1:14">
      <c r="J17" s="134"/>
      <c r="K17" s="134"/>
      <c r="L17" s="134"/>
      <c r="M17" s="134"/>
      <c r="N17" s="134"/>
    </row>
    <row r="19" spans="1:14">
      <c r="A19" s="295" t="s">
        <v>401</v>
      </c>
      <c r="B19" s="295"/>
      <c r="C19" s="295"/>
      <c r="D19" s="295"/>
      <c r="J19" s="134" t="s">
        <v>319</v>
      </c>
      <c r="K19" s="134" t="s">
        <v>320</v>
      </c>
      <c r="L19" s="134" t="s">
        <v>321</v>
      </c>
      <c r="M19" s="134" t="s">
        <v>322</v>
      </c>
      <c r="N19" s="134" t="s">
        <v>323</v>
      </c>
    </row>
    <row r="20" spans="1:14">
      <c r="A20" s="31" t="s">
        <v>402</v>
      </c>
      <c r="B20" s="31" t="s">
        <v>142</v>
      </c>
      <c r="C20" s="159" t="s">
        <v>403</v>
      </c>
      <c r="D20" s="31" t="s">
        <v>404</v>
      </c>
      <c r="J20">
        <v>1</v>
      </c>
      <c r="K20" t="s">
        <v>326</v>
      </c>
      <c r="L20" t="s">
        <v>327</v>
      </c>
      <c r="M20" t="s">
        <v>328</v>
      </c>
      <c r="N20" t="s">
        <v>329</v>
      </c>
    </row>
    <row r="21" spans="1:14">
      <c r="A21" s="32" t="s">
        <v>405</v>
      </c>
      <c r="B21" s="160" t="s">
        <v>259</v>
      </c>
      <c r="C21" s="32" t="s">
        <v>406</v>
      </c>
      <c r="D21" s="161" cm="1">
        <f t="array" aca="1" ref="D21" ca="1">IFERROR(VALUE(INDIRECT("AgentYearlySales!"&amp;VLOOKUP($K$3,$J$20:$N$37,2,FALSE)&amp;21)),0)</f>
        <v>2848080.08</v>
      </c>
      <c r="J21">
        <v>2</v>
      </c>
      <c r="K21" t="s">
        <v>332</v>
      </c>
      <c r="L21" t="s">
        <v>333</v>
      </c>
      <c r="M21" t="s">
        <v>334</v>
      </c>
      <c r="N21" t="s">
        <v>335</v>
      </c>
    </row>
    <row r="22" spans="1:14">
      <c r="A22" s="32" t="s">
        <v>407</v>
      </c>
      <c r="B22" s="160" t="s">
        <v>264</v>
      </c>
      <c r="C22" s="32" t="s">
        <v>408</v>
      </c>
      <c r="D22" s="161">
        <f>SUMIFS(CategoryMonthlyRecords[Net Sales],CategoryMonthlyRecords[Period],"&gt;="&amp;DATE(2026,$K$3,1),CategoryMonthlyRecords[Period],"&lt;"&amp;EDATE(DATE(2026,$K$3,1),1))</f>
        <v>1192244.1926299995</v>
      </c>
      <c r="E22" s="162"/>
      <c r="J22">
        <v>3</v>
      </c>
      <c r="K22" t="s">
        <v>337</v>
      </c>
      <c r="L22" t="s">
        <v>338</v>
      </c>
      <c r="M22" t="s">
        <v>339</v>
      </c>
      <c r="N22" t="s">
        <v>340</v>
      </c>
    </row>
    <row r="23" spans="1:14">
      <c r="A23" s="32" t="s">
        <v>14</v>
      </c>
      <c r="B23" s="160" t="s">
        <v>270</v>
      </c>
      <c r="C23" s="32" t="s">
        <v>409</v>
      </c>
      <c r="D23" s="161" cm="1">
        <f t="array" ref="D23">INDEX('Store Expenses'!D34:O34,1,K3)</f>
        <v>753463.83310000005</v>
      </c>
      <c r="J23">
        <v>4</v>
      </c>
      <c r="K23" t="s">
        <v>342</v>
      </c>
      <c r="L23" t="s">
        <v>343</v>
      </c>
      <c r="M23" t="s">
        <v>344</v>
      </c>
      <c r="N23" t="s">
        <v>345</v>
      </c>
    </row>
    <row r="24" spans="1:14">
      <c r="A24" s="32" t="s">
        <v>146</v>
      </c>
      <c r="B24" s="160" t="s">
        <v>410</v>
      </c>
      <c r="C24" s="32" t="s">
        <v>411</v>
      </c>
      <c r="D24" s="161">
        <f>D22-D23</f>
        <v>438780.35952999943</v>
      </c>
      <c r="J24">
        <v>5</v>
      </c>
      <c r="K24" t="s">
        <v>347</v>
      </c>
      <c r="L24" t="s">
        <v>348</v>
      </c>
      <c r="M24" t="s">
        <v>349</v>
      </c>
      <c r="N24" t="s">
        <v>350</v>
      </c>
    </row>
    <row r="25" spans="1:14">
      <c r="A25" s="160" t="s">
        <v>412</v>
      </c>
      <c r="B25" s="32" t="s">
        <v>145</v>
      </c>
      <c r="C25" s="32" t="s">
        <v>413</v>
      </c>
      <c r="D25" s="161" cm="1">
        <f t="array" ref="D25">INDEX('Ikot Summary'!$B$27:$M$28,2,K3)</f>
        <v>265250</v>
      </c>
      <c r="J25">
        <v>6</v>
      </c>
      <c r="K25" t="s">
        <v>352</v>
      </c>
      <c r="L25" t="s">
        <v>353</v>
      </c>
      <c r="M25" t="s">
        <v>354</v>
      </c>
      <c r="N25" t="s">
        <v>355</v>
      </c>
    </row>
    <row r="26" spans="1:14">
      <c r="A26" s="160" t="s">
        <v>414</v>
      </c>
      <c r="B26" s="32" t="s">
        <v>273</v>
      </c>
      <c r="C26" s="32" t="s">
        <v>706</v>
      </c>
      <c r="D26" s="161">
        <f>SUMIFS('Ikot Sales'!I:I,'Ikot Sales'!A:A,"RAYMART",'Ikot Sales'!B:B,"&gt;="&amp;DATE(2026,$K$3,1),'Ikot Sales'!B:B,"&lt;"&amp;EDATE(DATE(2026,$K$3,1),1))</f>
        <v>11048</v>
      </c>
      <c r="J26">
        <v>7</v>
      </c>
      <c r="K26" t="s">
        <v>357</v>
      </c>
      <c r="L26" t="s">
        <v>358</v>
      </c>
      <c r="M26" t="s">
        <v>359</v>
      </c>
      <c r="N26" t="s">
        <v>360</v>
      </c>
    </row>
    <row r="27" spans="1:14">
      <c r="A27" s="32" t="s">
        <v>415</v>
      </c>
      <c r="B27" s="160" t="s">
        <v>264</v>
      </c>
      <c r="C27" s="32" t="s">
        <v>408</v>
      </c>
      <c r="D27" s="161">
        <f>SUMIFS(CategoryMonthlyRecords[Gross Sales],CategoryMonthlyRecords[Period],"&gt;="&amp;DATE(2026,$K$3,1),CategoryMonthlyRecords[Period],"&lt;"&amp;EDATE(DATE(2026,$K$3,1),1))</f>
        <v>5363118.6599999992</v>
      </c>
      <c r="J27">
        <v>8</v>
      </c>
      <c r="K27" t="s">
        <v>362</v>
      </c>
      <c r="L27" t="s">
        <v>363</v>
      </c>
      <c r="M27" t="s">
        <v>364</v>
      </c>
      <c r="N27" t="s">
        <v>365</v>
      </c>
    </row>
    <row r="28" spans="1:14" ht="25.5">
      <c r="A28" s="163" t="s">
        <v>416</v>
      </c>
      <c r="B28" s="163" t="s">
        <v>410</v>
      </c>
      <c r="C28" s="163" t="s">
        <v>146</v>
      </c>
      <c r="D28" s="164">
        <f>D24</f>
        <v>438780.35952999943</v>
      </c>
      <c r="J28">
        <v>10</v>
      </c>
      <c r="K28" t="s">
        <v>372</v>
      </c>
      <c r="L28" t="s">
        <v>373</v>
      </c>
      <c r="M28" t="s">
        <v>374</v>
      </c>
      <c r="N28" t="s">
        <v>375</v>
      </c>
    </row>
    <row r="29" spans="1:14" ht="25.5">
      <c r="A29" s="163" t="s">
        <v>417</v>
      </c>
      <c r="B29" s="163" t="s">
        <v>410</v>
      </c>
      <c r="C29" s="163" t="s">
        <v>418</v>
      </c>
      <c r="D29" s="164">
        <f ca="1">D28-C16</f>
        <v>372802.16332216386</v>
      </c>
    </row>
    <row r="30" spans="1:14" ht="25.5">
      <c r="A30" s="160" t="s">
        <v>419</v>
      </c>
      <c r="B30" s="32" t="s">
        <v>410</v>
      </c>
      <c r="C30" s="32" t="s">
        <v>420</v>
      </c>
      <c r="D30" s="161">
        <f ca="1">D29*Tithes_Rate</f>
        <v>37280.216332216391</v>
      </c>
      <c r="J30">
        <v>11</v>
      </c>
      <c r="K30" t="s">
        <v>421</v>
      </c>
      <c r="L30" t="s">
        <v>422</v>
      </c>
      <c r="M30" t="s">
        <v>423</v>
      </c>
      <c r="N30" t="s">
        <v>424</v>
      </c>
    </row>
    <row r="31" spans="1:14">
      <c r="A31" s="160" t="s">
        <v>425</v>
      </c>
      <c r="B31" s="32" t="s">
        <v>410</v>
      </c>
      <c r="C31" s="32" t="s">
        <v>426</v>
      </c>
      <c r="D31" s="161">
        <f ca="1">D30*Offering_Multiplier</f>
        <v>37280.216332216391</v>
      </c>
      <c r="J31">
        <v>12</v>
      </c>
      <c r="K31" t="s">
        <v>377</v>
      </c>
      <c r="L31" t="s">
        <v>378</v>
      </c>
      <c r="M31" t="s">
        <v>379</v>
      </c>
      <c r="N31" t="s">
        <v>380</v>
      </c>
    </row>
    <row r="32" spans="1:14">
      <c r="A32" s="165"/>
      <c r="B32" s="166"/>
      <c r="C32" s="166"/>
      <c r="D32" s="162"/>
    </row>
    <row r="33" spans="1:5">
      <c r="A33" s="166"/>
      <c r="B33" s="166"/>
      <c r="C33" s="167"/>
      <c r="D33" s="55"/>
    </row>
    <row r="34" spans="1:5">
      <c r="A34" s="293" t="s">
        <v>427</v>
      </c>
      <c r="B34" s="293"/>
      <c r="C34" s="293"/>
      <c r="D34" s="293"/>
      <c r="E34" s="293"/>
    </row>
    <row r="35" spans="1:5" ht="25.5">
      <c r="A35" s="168" t="s">
        <v>428</v>
      </c>
      <c r="B35" s="169" t="s">
        <v>429</v>
      </c>
      <c r="C35" s="168" t="s">
        <v>430</v>
      </c>
      <c r="D35" s="168" t="s">
        <v>431</v>
      </c>
      <c r="E35" s="168" t="s">
        <v>206</v>
      </c>
    </row>
    <row r="36" spans="1:5">
      <c r="A36" s="170">
        <v>5.0000000000000001E-3</v>
      </c>
      <c r="B36" s="171" cm="1">
        <f t="array" ref="B36">SUMPRODUCT((MONTH(CategoryMonthlyRecords[Period])=$K$3)*CategoryMonthlyRecords[Gross Sales]*(SUMIF('%Comm'!$B$31:$B$42,CategoryMonthlyRecords[Category],'%Comm'!$C$31:$C$42)=$A36))</f>
        <v>2629025</v>
      </c>
      <c r="C36" s="171">
        <f ca="1">IF($B$38=0,0,($D$23+'Commission Summary'!$C$33)*B36/$B$38)</f>
        <v>444222.35227903811</v>
      </c>
      <c r="D36" s="171">
        <f ca="1">MAX(B36-C36,0)</f>
        <v>2184802.6477209618</v>
      </c>
      <c r="E36" s="171">
        <f ca="1">D36*A36</f>
        <v>10924.01323860481</v>
      </c>
    </row>
    <row r="37" spans="1:5">
      <c r="A37" s="170">
        <v>0.01</v>
      </c>
      <c r="B37" s="171" cm="1">
        <f t="array" ref="B37">SUMPRODUCT((MONTH(CategoryMonthlyRecords[Period])=$K$3)*CategoryMonthlyRecords[Gross Sales]*(SUMIF('%Comm'!$B$31:$B$42,CategoryMonthlyRecords[Category],'%Comm'!$C$31:$C$42)=$A37))</f>
        <v>2734093.6599999997</v>
      </c>
      <c r="C37" s="171">
        <f ca="1">IF($B$38=0,0,($D$23+'Commission Summary'!$C$33)*B37/$B$38)</f>
        <v>461975.64382096194</v>
      </c>
      <c r="D37" s="171">
        <f t="shared" ref="D37" ca="1" si="0">MAX(B37-C37,0)</f>
        <v>2272118.0161790377</v>
      </c>
      <c r="E37" s="171">
        <f t="shared" ref="E37" ca="1" si="1">D37*A37</f>
        <v>22721.180161790377</v>
      </c>
    </row>
    <row r="38" spans="1:5">
      <c r="A38" s="31" t="s">
        <v>376</v>
      </c>
      <c r="B38" s="172">
        <f>SUM(B36:B37)</f>
        <v>5363118.66</v>
      </c>
      <c r="C38" s="172">
        <f ca="1">SUM(C36:C37)</f>
        <v>906197.99610000011</v>
      </c>
      <c r="D38" s="172">
        <f ca="1">SUM(D36:D37)</f>
        <v>4456920.6638999991</v>
      </c>
      <c r="E38" s="172">
        <f ca="1">SUM(E36:E37)</f>
        <v>33645.19340039519</v>
      </c>
    </row>
    <row r="40" spans="1:5">
      <c r="A40" s="293" t="s">
        <v>432</v>
      </c>
      <c r="B40" s="293"/>
      <c r="C40" s="293"/>
      <c r="D40" s="293"/>
      <c r="E40" s="293"/>
    </row>
    <row r="41" spans="1:5">
      <c r="A41" s="173" t="s">
        <v>433</v>
      </c>
      <c r="B41" s="173" t="s">
        <v>434</v>
      </c>
      <c r="C41" s="168" t="s">
        <v>435</v>
      </c>
      <c r="D41" s="173" t="s">
        <v>436</v>
      </c>
      <c r="E41" s="173" t="s">
        <v>206</v>
      </c>
    </row>
    <row r="42" spans="1:5">
      <c r="A42" s="32" t="s">
        <v>437</v>
      </c>
      <c r="B42" s="161">
        <f ca="1">D21</f>
        <v>2848080.08</v>
      </c>
      <c r="C42" s="43">
        <f>Sales_Staff_Rate</f>
        <v>5.0000000000000001E-3</v>
      </c>
      <c r="D42" s="161">
        <f ca="1">IF(AND(D21&gt;Sales_Staff_Threshold,D27&gt;0),MAX(D21-(D23*D21/D27),0),0)</f>
        <v>2447953.6852480788</v>
      </c>
      <c r="E42" s="161">
        <f ca="1">D42*C42</f>
        <v>12239.768426240395</v>
      </c>
    </row>
    <row r="43" spans="1:5">
      <c r="A43" s="31" t="s">
        <v>376</v>
      </c>
      <c r="B43" s="31"/>
      <c r="C43" s="159"/>
      <c r="D43" s="174"/>
      <c r="E43" s="174">
        <f ca="1">SUM(E42:E42)</f>
        <v>12239.768426240395</v>
      </c>
    </row>
    <row r="44" spans="1:5">
      <c r="E44" s="55"/>
    </row>
    <row r="45" spans="1:5">
      <c r="A45" s="293" t="s">
        <v>438</v>
      </c>
      <c r="B45" s="293"/>
      <c r="C45" s="293"/>
      <c r="D45" s="293"/>
      <c r="E45" s="293"/>
    </row>
    <row r="46" spans="1:5">
      <c r="A46" s="173" t="s">
        <v>433</v>
      </c>
      <c r="B46" s="173" t="s">
        <v>434</v>
      </c>
      <c r="C46" s="168" t="s">
        <v>435</v>
      </c>
      <c r="D46" s="173" t="s">
        <v>436</v>
      </c>
      <c r="E46" s="173" t="s">
        <v>206</v>
      </c>
    </row>
    <row r="47" spans="1:5">
      <c r="A47" s="32" t="s">
        <v>439</v>
      </c>
      <c r="B47" s="33">
        <f>D25-D26</f>
        <v>254202</v>
      </c>
      <c r="C47" s="43">
        <f>Ikot_Commission_Rate</f>
        <v>0.01</v>
      </c>
      <c r="D47" s="33">
        <f>D25-D26</f>
        <v>254202</v>
      </c>
      <c r="E47" s="33">
        <f>D47*C47</f>
        <v>2542.02</v>
      </c>
    </row>
    <row r="48" spans="1:5">
      <c r="A48" s="31" t="s">
        <v>376</v>
      </c>
      <c r="B48" s="31"/>
      <c r="C48" s="159"/>
      <c r="D48" s="175"/>
      <c r="E48" s="175">
        <f>E47</f>
        <v>2542.02</v>
      </c>
    </row>
    <row r="50" spans="1:6">
      <c r="A50" s="293" t="s">
        <v>440</v>
      </c>
      <c r="B50" s="293"/>
      <c r="C50" s="293"/>
      <c r="D50" s="293"/>
      <c r="E50" s="293"/>
    </row>
    <row r="51" spans="1:6">
      <c r="A51" s="173" t="s">
        <v>441</v>
      </c>
      <c r="B51" s="173" t="s">
        <v>442</v>
      </c>
      <c r="C51" s="168" t="s">
        <v>443</v>
      </c>
      <c r="D51" s="173" t="s">
        <v>444</v>
      </c>
      <c r="E51" s="173" t="s">
        <v>445</v>
      </c>
      <c r="F51" s="176" t="s">
        <v>446</v>
      </c>
    </row>
    <row r="52" spans="1:6">
      <c r="A52" s="32" t="s">
        <v>392</v>
      </c>
      <c r="B52" s="32" t="s">
        <v>391</v>
      </c>
      <c r="C52" s="177">
        <v>1</v>
      </c>
      <c r="D52" s="32" t="str">
        <f>IF($D$28&gt;Back_Office_Threshold,"Yes","No")</f>
        <v>Yes</v>
      </c>
      <c r="E52" s="161">
        <f>IF(D52="Yes",$D$28*Back_Office_Rate,0)</f>
        <v>4387.8035952999944</v>
      </c>
      <c r="F52" s="178">
        <f>E52/C52</f>
        <v>4387.8035952999944</v>
      </c>
    </row>
    <row r="53" spans="1:6">
      <c r="A53" s="32" t="s">
        <v>394</v>
      </c>
      <c r="B53" s="32" t="s">
        <v>447</v>
      </c>
      <c r="C53" s="177">
        <v>2</v>
      </c>
      <c r="D53" s="32" t="str">
        <f>IF($D$28&gt;Back_Office_Threshold,"Yes","No")</f>
        <v>Yes</v>
      </c>
      <c r="E53" s="161">
        <f>IF(D53="Yes",$D$28*Back_Office_Rate,0)</f>
        <v>4387.8035952999944</v>
      </c>
      <c r="F53" s="178">
        <f>E53/C53</f>
        <v>2193.9017976499972</v>
      </c>
    </row>
    <row r="54" spans="1:6">
      <c r="A54" s="32" t="s">
        <v>396</v>
      </c>
      <c r="B54" s="32" t="s">
        <v>448</v>
      </c>
      <c r="C54" s="177">
        <v>3</v>
      </c>
      <c r="D54" s="32" t="str">
        <f>IF($D$28&gt;Back_Office_Threshold,"Yes","No")</f>
        <v>Yes</v>
      </c>
      <c r="E54" s="161">
        <f>IF(D54="Yes",$D$28*Back_Office_Rate,0)</f>
        <v>4387.8035952999944</v>
      </c>
      <c r="F54" s="178">
        <f>E54/C54</f>
        <v>1462.6011984333315</v>
      </c>
    </row>
    <row r="55" spans="1:6">
      <c r="A55" s="32" t="s">
        <v>400</v>
      </c>
      <c r="B55" s="32" t="s">
        <v>399</v>
      </c>
      <c r="C55" s="177">
        <v>1</v>
      </c>
      <c r="D55" s="32" t="str">
        <f>IF($D$28&gt;Back_Office_Threshold,"Yes","No")</f>
        <v>Yes</v>
      </c>
      <c r="E55" s="161">
        <f>IF(D55="Yes",$D$28*Back_Office_Rate,0)</f>
        <v>4387.8035952999944</v>
      </c>
      <c r="F55" s="178">
        <f>E55/C55</f>
        <v>4387.8035952999944</v>
      </c>
    </row>
    <row r="56" spans="1:6">
      <c r="A56" s="31" t="s">
        <v>376</v>
      </c>
      <c r="B56" s="31"/>
      <c r="C56" s="159">
        <f>SUM(C52:C55)</f>
        <v>7</v>
      </c>
      <c r="D56" s="31"/>
      <c r="E56" s="174">
        <f>SUM(E52:E55)</f>
        <v>17551.214381199978</v>
      </c>
      <c r="F56" s="178">
        <f>SUM(F52:F55)</f>
        <v>12432.110186683318</v>
      </c>
    </row>
    <row r="60" spans="1:6">
      <c r="A60" s="292" t="s">
        <v>385</v>
      </c>
      <c r="B60" s="289"/>
      <c r="C60" s="289"/>
      <c r="D60" s="289"/>
      <c r="E60" s="289"/>
    </row>
    <row r="61" spans="1:6">
      <c r="A61" s="289" t="str">
        <f>"• Manager: "&amp;TEXT(Manager_High_Rate,"0.0%")&amp;" if overall gross sales ≥ "&amp;TEXT(Manager_Sales_Threshold,"₱#,##0")&amp;"; otherwise "&amp;TEXT(Manager_Base_Rate,"0.0%")&amp;", after monthly expenses"</f>
        <v>• Manager: Executive Summary!B3 if overall gross sales ≥ %Comm!B31:C42; otherwise Gross sales ratio, after monthly expenses</v>
      </c>
      <c r="B61" s="289"/>
      <c r="C61" s="289"/>
      <c r="D61" s="289"/>
      <c r="E61" s="289"/>
    </row>
    <row r="62" spans="1:6">
      <c r="A62" s="289" t="str">
        <f>"• Sales Staff: "&amp;TEXT(Sales_Staff_Rate,"0.0%")&amp;" of eligible net store basis if Store gross &gt; "&amp;TEXT(Sales_Staff_Threshold,"₱#,##0")</f>
        <v>• Sales Staff: 0.5% of eligible net store basis if Store gross &gt; ₱1,500,000</v>
      </c>
      <c r="B62" s="289"/>
      <c r="C62" s="289"/>
      <c r="D62" s="289"/>
      <c r="E62" s="289"/>
    </row>
    <row r="63" spans="1:6">
      <c r="A63" s="289" t="str">
        <f>"• Raymart: "&amp;TEXT(Ikot_Commission_Rate,"0.0%")&amp;" of Net Ikot Sales (Ikot Sales − Ikot Expenses)"</f>
        <v>• Raymart: 1.0% of Net Ikot Sales (Ikot Sales − Ikot Expenses)</v>
      </c>
      <c r="B63" s="289"/>
      <c r="C63" s="289"/>
      <c r="D63" s="289"/>
      <c r="E63" s="289"/>
    </row>
    <row r="64" spans="1:6">
      <c r="A64" s="289" t="str">
        <f>"• Back Office staff: "&amp;TEXT(Back_Office_Rate,"0.0%")&amp;" departmental pool if pre-commission Bottomline &gt; "&amp;TEXT(Back_Office_Threshold,"₱#,##0")</f>
        <v>• Back Office staff: 1.0% departmental pool if pre-commission Bottomline &gt; ₱300,000</v>
      </c>
      <c r="B64" s="289"/>
      <c r="C64" s="289"/>
      <c r="D64" s="289"/>
      <c r="E64" s="289"/>
    </row>
    <row r="65" spans="1:5">
      <c r="A65" s="289" t="str">
        <f>"• Tithes: "&amp;TEXT(Tithes_Rate,"0.0%")&amp;" of true Bottomline; Offering: "&amp;TEXT(Offering_Multiplier,"0%")&amp;" of tithes"</f>
        <v>• Tithes: 10.0% of true Bottomline; Offering: 100% of tithes</v>
      </c>
      <c r="B65" s="289"/>
      <c r="C65" s="289"/>
      <c r="D65" s="289"/>
      <c r="E65" s="289"/>
    </row>
  </sheetData>
  <mergeCells count="13">
    <mergeCell ref="C1:D1"/>
    <mergeCell ref="A5:C5"/>
    <mergeCell ref="A19:D19"/>
    <mergeCell ref="A34:E34"/>
    <mergeCell ref="A40:E40"/>
    <mergeCell ref="A63:E63"/>
    <mergeCell ref="A64:E64"/>
    <mergeCell ref="A65:E65"/>
    <mergeCell ref="A45:E45"/>
    <mergeCell ref="A50:E50"/>
    <mergeCell ref="A60:E60"/>
    <mergeCell ref="A61:E61"/>
    <mergeCell ref="A62:E62"/>
  </mergeCells>
  <hyperlinks>
    <hyperlink ref="C1" location="'Executive Summary'!A1" display="➤ Executive Summary" xr:uid="{00000000-0004-0000-0500-000000000000}"/>
  </hyperlink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10"/>
  <sheetViews>
    <sheetView topLeftCell="A20" workbookViewId="0">
      <selection activeCell="E38" sqref="E38"/>
    </sheetView>
  </sheetViews>
  <sheetFormatPr defaultColWidth="9" defaultRowHeight="12.75"/>
  <cols>
    <col min="1" max="1" width="58" customWidth="1"/>
    <col min="2" max="2" width="25.140625" customWidth="1"/>
    <col min="3" max="3" width="10.85546875" customWidth="1"/>
    <col min="4" max="4" width="13.85546875" customWidth="1"/>
    <col min="5" max="5" width="13.140625" customWidth="1"/>
    <col min="6" max="6" width="11.7109375" customWidth="1"/>
    <col min="7" max="7" width="17.42578125" customWidth="1"/>
    <col min="8" max="8" width="13.140625" customWidth="1"/>
    <col min="9" max="9" width="12.7109375" customWidth="1"/>
    <col min="10" max="10" width="10.85546875" customWidth="1"/>
    <col min="11" max="11" width="14.85546875" customWidth="1"/>
    <col min="12" max="12" width="20.42578125" customWidth="1"/>
    <col min="13" max="13" width="11.85546875" customWidth="1"/>
    <col min="14" max="14" width="38.140625" customWidth="1"/>
  </cols>
  <sheetData>
    <row r="1" spans="1:14" ht="25.5">
      <c r="A1" s="136" t="s">
        <v>449</v>
      </c>
      <c r="B1" s="137"/>
      <c r="C1" s="137"/>
      <c r="D1" s="137"/>
      <c r="E1" s="137"/>
      <c r="F1" s="296" t="s">
        <v>2</v>
      </c>
      <c r="G1" s="297"/>
      <c r="H1" s="297"/>
      <c r="I1" s="137"/>
      <c r="J1" s="137"/>
      <c r="K1" s="137"/>
      <c r="L1" s="137"/>
      <c r="M1" s="137"/>
      <c r="N1" s="137"/>
    </row>
    <row r="2" spans="1:14">
      <c r="A2" s="298" t="s">
        <v>450</v>
      </c>
      <c r="B2" s="298"/>
      <c r="C2" s="298"/>
      <c r="D2" s="298"/>
      <c r="E2" s="298"/>
      <c r="F2" s="298"/>
      <c r="G2" s="298"/>
      <c r="H2" s="298"/>
      <c r="I2" s="298"/>
      <c r="J2" s="298"/>
      <c r="K2" s="298"/>
      <c r="L2" s="298"/>
      <c r="M2" s="298"/>
      <c r="N2" s="298"/>
    </row>
    <row r="4" spans="1:14">
      <c r="A4" s="299" t="s">
        <v>451</v>
      </c>
      <c r="B4" s="299"/>
      <c r="C4" s="299"/>
      <c r="D4" s="299"/>
      <c r="E4" s="299"/>
      <c r="F4" s="299"/>
      <c r="G4" s="299"/>
      <c r="H4" s="299"/>
      <c r="I4" s="299"/>
      <c r="J4" s="299"/>
      <c r="K4" s="299"/>
      <c r="L4" s="299"/>
      <c r="M4" s="299"/>
      <c r="N4" s="299"/>
    </row>
    <row r="6" spans="1:14" ht="25.5">
      <c r="A6" t="s">
        <v>154</v>
      </c>
      <c r="B6" t="s">
        <v>65</v>
      </c>
      <c r="C6" t="s">
        <v>452</v>
      </c>
      <c r="D6" t="s">
        <v>155</v>
      </c>
      <c r="E6" t="s">
        <v>453</v>
      </c>
      <c r="F6" t="s">
        <v>454</v>
      </c>
      <c r="G6" t="s">
        <v>455</v>
      </c>
      <c r="H6" t="s">
        <v>456</v>
      </c>
      <c r="I6" t="s">
        <v>457</v>
      </c>
      <c r="J6" t="s">
        <v>458</v>
      </c>
      <c r="K6" t="s">
        <v>459</v>
      </c>
      <c r="L6" t="s">
        <v>10</v>
      </c>
      <c r="M6" t="s">
        <v>156</v>
      </c>
      <c r="N6" t="s">
        <v>460</v>
      </c>
    </row>
    <row r="7" spans="1:14">
      <c r="A7" s="139">
        <v>46174</v>
      </c>
      <c r="B7" t="s">
        <v>167</v>
      </c>
      <c r="C7" s="55">
        <v>23</v>
      </c>
      <c r="D7" s="140">
        <v>1540200</v>
      </c>
      <c r="E7" s="140">
        <v>1284640</v>
      </c>
      <c r="F7" s="141">
        <v>0.01</v>
      </c>
      <c r="G7" s="140">
        <f>CategoryMonthlyRecords[[#This Row],[Base Cost]]*CategoryMonthlyRecords[[#This Row],[Add-on %]]</f>
        <v>12846.4</v>
      </c>
      <c r="H7" s="140">
        <f>CategoryMonthlyRecords[[#This Row],[Base Cost]]+CategoryMonthlyRecords[[#This Row],[Add-on Amount]]</f>
        <v>1297486.3999999999</v>
      </c>
      <c r="I7" s="140">
        <f>CategoryMonthlyRecords[[#This Row],[Gross Sales]]-CategoryMonthlyRecords[[#This Row],[Capital]]</f>
        <v>242713.60000000009</v>
      </c>
      <c r="J7" t="s">
        <v>461</v>
      </c>
      <c r="K7" s="141">
        <v>0</v>
      </c>
      <c r="L7" s="140">
        <f>MAX(0,CategoryMonthlyRecords[[#This Row],[Markup]]*CategoryMonthlyRecords[[#This Row],[Commission Rate]])</f>
        <v>0</v>
      </c>
      <c r="M7" s="140">
        <f>CategoryMonthlyRecords[[#This Row],[Markup]]-CategoryMonthlyRecords[[#This Row],[Agent Commission]]+CategoryMonthlyRecords[[#This Row],[Add-on Amount]]</f>
        <v>255560.00000000009</v>
      </c>
      <c r="N7" t="s">
        <v>462</v>
      </c>
    </row>
    <row r="8" spans="1:14">
      <c r="A8" s="139">
        <v>46174</v>
      </c>
      <c r="B8" t="s">
        <v>168</v>
      </c>
      <c r="C8" s="55">
        <v>1944</v>
      </c>
      <c r="D8" s="140">
        <v>751895.6</v>
      </c>
      <c r="E8" s="140">
        <v>522676.98</v>
      </c>
      <c r="F8" s="141">
        <v>7.0000000000000007E-2</v>
      </c>
      <c r="G8" s="140">
        <f>CategoryMonthlyRecords[[#This Row],[Base Cost]]*CategoryMonthlyRecords[[#This Row],[Add-on %]]</f>
        <v>36587.388600000006</v>
      </c>
      <c r="H8" s="140">
        <f>CategoryMonthlyRecords[[#This Row],[Base Cost]]+CategoryMonthlyRecords[[#This Row],[Add-on Amount]]</f>
        <v>559264.36859999993</v>
      </c>
      <c r="I8" s="140">
        <f>CategoryMonthlyRecords[[#This Row],[Gross Sales]]-CategoryMonthlyRecords[[#This Row],[Capital]]</f>
        <v>192631.23140000005</v>
      </c>
      <c r="J8" t="s">
        <v>181</v>
      </c>
      <c r="K8" s="141">
        <v>0.15</v>
      </c>
      <c r="L8" s="140">
        <f>MAX(0,CategoryMonthlyRecords[[#This Row],[Markup]]*CategoryMonthlyRecords[[#This Row],[Commission Rate]])</f>
        <v>28894.684710000005</v>
      </c>
      <c r="M8" s="140">
        <f>CategoryMonthlyRecords[[#This Row],[Markup]]-CategoryMonthlyRecords[[#This Row],[Agent Commission]]+CategoryMonthlyRecords[[#This Row],[Add-on Amount]]</f>
        <v>200323.93529000005</v>
      </c>
      <c r="N8" t="s">
        <v>462</v>
      </c>
    </row>
    <row r="9" spans="1:14">
      <c r="A9" s="139">
        <v>46174</v>
      </c>
      <c r="B9" t="s">
        <v>169</v>
      </c>
      <c r="C9" s="55">
        <v>5421.93</v>
      </c>
      <c r="D9" s="140">
        <v>1012643.19</v>
      </c>
      <c r="E9" s="140">
        <v>786462.09</v>
      </c>
      <c r="F9" s="141">
        <v>0.01</v>
      </c>
      <c r="G9" s="140">
        <f>CategoryMonthlyRecords[[#This Row],[Base Cost]]*CategoryMonthlyRecords[[#This Row],[Add-on %]]</f>
        <v>7864.6208999999999</v>
      </c>
      <c r="H9" s="140">
        <f>CategoryMonthlyRecords[[#This Row],[Base Cost]]+CategoryMonthlyRecords[[#This Row],[Add-on Amount]]</f>
        <v>794326.71089999995</v>
      </c>
      <c r="I9" s="140">
        <f>CategoryMonthlyRecords[[#This Row],[Gross Sales]]-CategoryMonthlyRecords[[#This Row],[Capital]]</f>
        <v>218316.4791</v>
      </c>
      <c r="J9" t="s">
        <v>181</v>
      </c>
      <c r="K9" s="141">
        <v>0.15</v>
      </c>
      <c r="L9" s="140">
        <f>MAX(0,CategoryMonthlyRecords[[#This Row],[Markup]]*CategoryMonthlyRecords[[#This Row],[Commission Rate]])</f>
        <v>32747.471865</v>
      </c>
      <c r="M9" s="140">
        <f>CategoryMonthlyRecords[[#This Row],[Markup]]-CategoryMonthlyRecords[[#This Row],[Agent Commission]]+CategoryMonthlyRecords[[#This Row],[Add-on Amount]]</f>
        <v>193433.62813500001</v>
      </c>
      <c r="N9" t="s">
        <v>462</v>
      </c>
    </row>
    <row r="10" spans="1:14">
      <c r="A10" s="139">
        <v>46174</v>
      </c>
      <c r="B10" t="s">
        <v>170</v>
      </c>
      <c r="C10" s="55">
        <v>628</v>
      </c>
      <c r="D10" s="140">
        <v>1531349.11</v>
      </c>
      <c r="E10" s="140">
        <v>1402649.09</v>
      </c>
      <c r="F10" s="141">
        <v>0.01</v>
      </c>
      <c r="G10" s="140">
        <f>CategoryMonthlyRecords[[#This Row],[Base Cost]]*CategoryMonthlyRecords[[#This Row],[Add-on %]]</f>
        <v>14026.490900000001</v>
      </c>
      <c r="H10" s="140">
        <f>CategoryMonthlyRecords[[#This Row],[Base Cost]]+CategoryMonthlyRecords[[#This Row],[Add-on Amount]]</f>
        <v>1416675.5809000002</v>
      </c>
      <c r="I10" s="140">
        <f>CategoryMonthlyRecords[[#This Row],[Gross Sales]]-CategoryMonthlyRecords[[#This Row],[Capital]]</f>
        <v>114673.52909999993</v>
      </c>
      <c r="J10" t="s">
        <v>181</v>
      </c>
      <c r="K10" s="141">
        <v>0.15</v>
      </c>
      <c r="L10" s="140">
        <f>MAX(0,CategoryMonthlyRecords[[#This Row],[Markup]]*CategoryMonthlyRecords[[#This Row],[Commission Rate]])</f>
        <v>17201.029364999988</v>
      </c>
      <c r="M10" s="140">
        <f>CategoryMonthlyRecords[[#This Row],[Markup]]-CategoryMonthlyRecords[[#This Row],[Agent Commission]]+CategoryMonthlyRecords[[#This Row],[Add-on Amount]]</f>
        <v>111498.99063499994</v>
      </c>
      <c r="N10" t="s">
        <v>462</v>
      </c>
    </row>
    <row r="11" spans="1:14">
      <c r="A11" s="139">
        <v>46174</v>
      </c>
      <c r="B11" t="s">
        <v>171</v>
      </c>
      <c r="C11" s="55">
        <v>36</v>
      </c>
      <c r="D11" s="140">
        <v>309600</v>
      </c>
      <c r="E11" s="140">
        <v>253368</v>
      </c>
      <c r="F11" s="141">
        <v>0.01</v>
      </c>
      <c r="G11" s="140">
        <f>CategoryMonthlyRecords[[#This Row],[Base Cost]]*CategoryMonthlyRecords[[#This Row],[Add-on %]]</f>
        <v>2533.6799999999998</v>
      </c>
      <c r="H11" s="140">
        <f>CategoryMonthlyRecords[[#This Row],[Base Cost]]+CategoryMonthlyRecords[[#This Row],[Add-on Amount]]</f>
        <v>255901.68</v>
      </c>
      <c r="I11" s="140">
        <f>CategoryMonthlyRecords[[#This Row],[Gross Sales]]-CategoryMonthlyRecords[[#This Row],[Capital]]</f>
        <v>53698.320000000007</v>
      </c>
      <c r="J11" t="s">
        <v>461</v>
      </c>
      <c r="K11" s="141">
        <v>0</v>
      </c>
      <c r="L11" s="140">
        <f>MAX(0,CategoryMonthlyRecords[[#This Row],[Markup]]*CategoryMonthlyRecords[[#This Row],[Commission Rate]])</f>
        <v>0</v>
      </c>
      <c r="M11" s="140">
        <f>CategoryMonthlyRecords[[#This Row],[Markup]]-CategoryMonthlyRecords[[#This Row],[Agent Commission]]+CategoryMonthlyRecords[[#This Row],[Add-on Amount]]</f>
        <v>56232.000000000007</v>
      </c>
      <c r="N11" t="s">
        <v>462</v>
      </c>
    </row>
    <row r="12" spans="1:14">
      <c r="A12" s="139">
        <v>46174</v>
      </c>
      <c r="B12" t="s">
        <v>172</v>
      </c>
      <c r="C12" s="55">
        <v>1454</v>
      </c>
      <c r="D12" s="140">
        <v>114627.84</v>
      </c>
      <c r="E12" s="140">
        <v>71853.7</v>
      </c>
      <c r="F12" s="141">
        <v>0.02</v>
      </c>
      <c r="G12" s="140">
        <f>CategoryMonthlyRecords[[#This Row],[Base Cost]]*CategoryMonthlyRecords[[#This Row],[Add-on %]]</f>
        <v>1437.0740000000001</v>
      </c>
      <c r="H12" s="140">
        <f>CategoryMonthlyRecords[[#This Row],[Base Cost]]+CategoryMonthlyRecords[[#This Row],[Add-on Amount]]</f>
        <v>73290.77399999999</v>
      </c>
      <c r="I12" s="140">
        <f>CategoryMonthlyRecords[[#This Row],[Gross Sales]]-CategoryMonthlyRecords[[#This Row],[Capital]]</f>
        <v>41337.066000000006</v>
      </c>
      <c r="J12" t="s">
        <v>181</v>
      </c>
      <c r="K12" s="141">
        <v>0.3</v>
      </c>
      <c r="L12" s="140">
        <f>MAX(0,CategoryMonthlyRecords[[#This Row],[Markup]]*CategoryMonthlyRecords[[#This Row],[Commission Rate]])</f>
        <v>12401.119800000002</v>
      </c>
      <c r="M12" s="140">
        <f>CategoryMonthlyRecords[[#This Row],[Markup]]-CategoryMonthlyRecords[[#This Row],[Agent Commission]]+CategoryMonthlyRecords[[#This Row],[Add-on Amount]]</f>
        <v>30373.020200000006</v>
      </c>
      <c r="N12" t="s">
        <v>462</v>
      </c>
    </row>
    <row r="13" spans="1:14">
      <c r="A13" s="139">
        <v>46174</v>
      </c>
      <c r="B13" t="s">
        <v>173</v>
      </c>
      <c r="C13" s="55">
        <v>2</v>
      </c>
      <c r="D13" s="140">
        <v>135760</v>
      </c>
      <c r="E13" s="140">
        <v>115720.93</v>
      </c>
      <c r="F13" s="141">
        <v>0</v>
      </c>
      <c r="G13" s="140">
        <f>CategoryMonthlyRecords[[#This Row],[Base Cost]]*CategoryMonthlyRecords[[#This Row],[Add-on %]]</f>
        <v>0</v>
      </c>
      <c r="H13" s="140">
        <f>CategoryMonthlyRecords[[#This Row],[Base Cost]]+CategoryMonthlyRecords[[#This Row],[Add-on Amount]]</f>
        <v>115720.93</v>
      </c>
      <c r="I13" s="140">
        <f>CategoryMonthlyRecords[[#This Row],[Gross Sales]]-CategoryMonthlyRecords[[#This Row],[Capital]]</f>
        <v>20039.070000000007</v>
      </c>
      <c r="J13" t="s">
        <v>461</v>
      </c>
      <c r="K13" s="141">
        <v>0</v>
      </c>
      <c r="L13" s="140">
        <f>MAX(0,CategoryMonthlyRecords[[#This Row],[Markup]]*CategoryMonthlyRecords[[#This Row],[Commission Rate]])</f>
        <v>0</v>
      </c>
      <c r="M13" s="140">
        <f>CategoryMonthlyRecords[[#This Row],[Markup]]-CategoryMonthlyRecords[[#This Row],[Agent Commission]]+CategoryMonthlyRecords[[#This Row],[Add-on Amount]]</f>
        <v>20039.070000000007</v>
      </c>
      <c r="N13" t="s">
        <v>462</v>
      </c>
    </row>
    <row r="14" spans="1:14">
      <c r="A14" s="139">
        <v>46174</v>
      </c>
      <c r="B14" t="s">
        <v>174</v>
      </c>
      <c r="C14" s="55">
        <v>80</v>
      </c>
      <c r="D14" s="140">
        <v>45818.5</v>
      </c>
      <c r="E14" s="140">
        <v>25873.14</v>
      </c>
      <c r="F14" s="141">
        <v>0.03</v>
      </c>
      <c r="G14" s="140">
        <f>CategoryMonthlyRecords[[#This Row],[Base Cost]]*CategoryMonthlyRecords[[#This Row],[Add-on %]]</f>
        <v>776.19419999999991</v>
      </c>
      <c r="H14" s="140">
        <f>CategoryMonthlyRecords[[#This Row],[Base Cost]]+CategoryMonthlyRecords[[#This Row],[Add-on Amount]]</f>
        <v>26649.334199999998</v>
      </c>
      <c r="I14" s="140">
        <f>CategoryMonthlyRecords[[#This Row],[Gross Sales]]-CategoryMonthlyRecords[[#This Row],[Capital]]</f>
        <v>19169.165800000002</v>
      </c>
      <c r="J14" t="s">
        <v>181</v>
      </c>
      <c r="K14" s="141">
        <v>0.3</v>
      </c>
      <c r="L14" s="140">
        <f>MAX(0,CategoryMonthlyRecords[[#This Row],[Markup]]*CategoryMonthlyRecords[[#This Row],[Commission Rate]])</f>
        <v>5750.7497400000002</v>
      </c>
      <c r="M14" s="140">
        <f>CategoryMonthlyRecords[[#This Row],[Markup]]-CategoryMonthlyRecords[[#This Row],[Agent Commission]]+CategoryMonthlyRecords[[#This Row],[Add-on Amount]]</f>
        <v>14194.610260000003</v>
      </c>
      <c r="N14" t="s">
        <v>462</v>
      </c>
    </row>
    <row r="15" spans="1:14">
      <c r="A15" s="139">
        <v>46174</v>
      </c>
      <c r="B15" t="s">
        <v>175</v>
      </c>
      <c r="C15" s="55">
        <v>222</v>
      </c>
      <c r="D15" s="140">
        <v>56748.03</v>
      </c>
      <c r="E15" s="140">
        <v>42979.57</v>
      </c>
      <c r="F15" s="141">
        <v>0.03</v>
      </c>
      <c r="G15" s="140">
        <f>CategoryMonthlyRecords[[#This Row],[Base Cost]]*CategoryMonthlyRecords[[#This Row],[Add-on %]]</f>
        <v>1289.3870999999999</v>
      </c>
      <c r="H15" s="140">
        <f>CategoryMonthlyRecords[[#This Row],[Base Cost]]+CategoryMonthlyRecords[[#This Row],[Add-on Amount]]</f>
        <v>44268.9571</v>
      </c>
      <c r="I15" s="140">
        <f>CategoryMonthlyRecords[[#This Row],[Gross Sales]]-CategoryMonthlyRecords[[#This Row],[Capital]]</f>
        <v>12479.072899999999</v>
      </c>
      <c r="J15" t="s">
        <v>181</v>
      </c>
      <c r="K15" s="141">
        <v>0.3</v>
      </c>
      <c r="L15" s="140">
        <f>MAX(0,CategoryMonthlyRecords[[#This Row],[Markup]]*CategoryMonthlyRecords[[#This Row],[Commission Rate]])</f>
        <v>3743.7218699999994</v>
      </c>
      <c r="M15" s="140">
        <f>CategoryMonthlyRecords[[#This Row],[Markup]]-CategoryMonthlyRecords[[#This Row],[Agent Commission]]+CategoryMonthlyRecords[[#This Row],[Add-on Amount]]</f>
        <v>10024.73813</v>
      </c>
      <c r="N15" t="s">
        <v>462</v>
      </c>
    </row>
    <row r="16" spans="1:14">
      <c r="A16" s="139">
        <v>46174</v>
      </c>
      <c r="B16" t="s">
        <v>176</v>
      </c>
      <c r="C16" s="55">
        <v>20</v>
      </c>
      <c r="D16" s="140">
        <v>46840</v>
      </c>
      <c r="E16" s="140">
        <v>33964</v>
      </c>
      <c r="F16" s="141">
        <v>0.03</v>
      </c>
      <c r="G16" s="140">
        <f>CategoryMonthlyRecords[[#This Row],[Base Cost]]*CategoryMonthlyRecords[[#This Row],[Add-on %]]</f>
        <v>1018.92</v>
      </c>
      <c r="H16" s="140">
        <f>CategoryMonthlyRecords[[#This Row],[Base Cost]]+CategoryMonthlyRecords[[#This Row],[Add-on Amount]]</f>
        <v>34982.92</v>
      </c>
      <c r="I16" s="140">
        <f>CategoryMonthlyRecords[[#This Row],[Gross Sales]]-CategoryMonthlyRecords[[#This Row],[Capital]]</f>
        <v>11857.080000000002</v>
      </c>
      <c r="J16" t="s">
        <v>181</v>
      </c>
      <c r="K16" s="141">
        <v>0.3</v>
      </c>
      <c r="L16" s="140">
        <f>MAX(0,CategoryMonthlyRecords[[#This Row],[Markup]]*CategoryMonthlyRecords[[#This Row],[Commission Rate]])</f>
        <v>3557.1240000000003</v>
      </c>
      <c r="M16" s="140">
        <f>CategoryMonthlyRecords[[#This Row],[Markup]]-CategoryMonthlyRecords[[#This Row],[Agent Commission]]+CategoryMonthlyRecords[[#This Row],[Add-on Amount]]</f>
        <v>9318.876000000002</v>
      </c>
      <c r="N16" t="s">
        <v>462</v>
      </c>
    </row>
    <row r="17" spans="1:14">
      <c r="A17" s="139">
        <v>46174</v>
      </c>
      <c r="B17" t="s">
        <v>177</v>
      </c>
      <c r="C17" s="55">
        <v>5</v>
      </c>
      <c r="D17" s="140">
        <v>2040</v>
      </c>
      <c r="E17" s="140">
        <v>1560</v>
      </c>
      <c r="F17" s="141">
        <v>0.01</v>
      </c>
      <c r="G17" s="140">
        <f>CategoryMonthlyRecords[[#This Row],[Base Cost]]*CategoryMonthlyRecords[[#This Row],[Add-on %]]</f>
        <v>15.6</v>
      </c>
      <c r="H17" s="140">
        <f>CategoryMonthlyRecords[[#This Row],[Base Cost]]+CategoryMonthlyRecords[[#This Row],[Add-on Amount]]</f>
        <v>1575.6</v>
      </c>
      <c r="I17" s="140">
        <f>CategoryMonthlyRecords[[#This Row],[Gross Sales]]-CategoryMonthlyRecords[[#This Row],[Capital]]</f>
        <v>464.40000000000009</v>
      </c>
      <c r="J17" t="s">
        <v>461</v>
      </c>
      <c r="K17" s="141">
        <v>0</v>
      </c>
      <c r="L17" s="140">
        <f>MAX(0,CategoryMonthlyRecords[[#This Row],[Markup]]*CategoryMonthlyRecords[[#This Row],[Commission Rate]])</f>
        <v>0</v>
      </c>
      <c r="M17" s="140">
        <f>CategoryMonthlyRecords[[#This Row],[Markup]]-CategoryMonthlyRecords[[#This Row],[Agent Commission]]+CategoryMonthlyRecords[[#This Row],[Add-on Amount]]</f>
        <v>480.00000000000011</v>
      </c>
      <c r="N17" t="s">
        <v>462</v>
      </c>
    </row>
    <row r="18" spans="1:14">
      <c r="A18" s="139">
        <v>46174</v>
      </c>
      <c r="B18" t="s">
        <v>178</v>
      </c>
      <c r="C18" s="55">
        <v>2</v>
      </c>
      <c r="D18" s="140">
        <v>550</v>
      </c>
      <c r="E18" s="140">
        <v>301</v>
      </c>
      <c r="F18" s="141">
        <v>0.03</v>
      </c>
      <c r="G18" s="140">
        <f>CategoryMonthlyRecords[[#This Row],[Base Cost]]*CategoryMonthlyRecords[[#This Row],[Add-on %]]</f>
        <v>9.0299999999999994</v>
      </c>
      <c r="H18" s="140">
        <f>CategoryMonthlyRecords[[#This Row],[Base Cost]]+CategoryMonthlyRecords[[#This Row],[Add-on Amount]]</f>
        <v>310.02999999999997</v>
      </c>
      <c r="I18" s="140">
        <f>CategoryMonthlyRecords[[#This Row],[Gross Sales]]-CategoryMonthlyRecords[[#This Row],[Capital]]</f>
        <v>239.97000000000003</v>
      </c>
      <c r="J18" t="s">
        <v>181</v>
      </c>
      <c r="K18" s="141">
        <v>0.3</v>
      </c>
      <c r="L18" s="140">
        <f>MAX(0,CategoryMonthlyRecords[[#This Row],[Markup]]*CategoryMonthlyRecords[[#This Row],[Commission Rate]])</f>
        <v>71.991</v>
      </c>
      <c r="M18" s="140">
        <f>CategoryMonthlyRecords[[#This Row],[Markup]]-CategoryMonthlyRecords[[#This Row],[Agent Commission]]+CategoryMonthlyRecords[[#This Row],[Add-on Amount]]</f>
        <v>177.00900000000004</v>
      </c>
      <c r="N18" t="s">
        <v>462</v>
      </c>
    </row>
    <row r="19" spans="1:14" s="135" customFormat="1">
      <c r="A19" s="142">
        <v>46204</v>
      </c>
      <c r="B19" s="135" t="s">
        <v>169</v>
      </c>
      <c r="C19" s="143">
        <v>5293.5</v>
      </c>
      <c r="D19" s="144">
        <v>1574144.69</v>
      </c>
      <c r="E19" s="144">
        <v>1290851.1399999999</v>
      </c>
      <c r="F19" s="145">
        <v>0.01</v>
      </c>
      <c r="G19" s="144">
        <f>CategoryMonthlyRecords[[#This Row],[Base Cost]]*CategoryMonthlyRecords[[#This Row],[Add-on %]]</f>
        <v>12908.511399999999</v>
      </c>
      <c r="H19" s="144">
        <f>CategoryMonthlyRecords[[#This Row],[Base Cost]]+CategoryMonthlyRecords[[#This Row],[Add-on Amount]]</f>
        <v>1303759.6513999999</v>
      </c>
      <c r="I19" s="144">
        <f>CategoryMonthlyRecords[[#This Row],[Gross Sales]]-CategoryMonthlyRecords[[#This Row],[Capital]]</f>
        <v>270385.03860000009</v>
      </c>
      <c r="J19" s="135" t="s">
        <v>181</v>
      </c>
      <c r="K19" s="145">
        <v>0.15</v>
      </c>
      <c r="L19" s="144">
        <f>MAX(0,CategoryMonthlyRecords[[#This Row],[Markup]]*CategoryMonthlyRecords[[#This Row],[Commission Rate]])</f>
        <v>40557.75579000001</v>
      </c>
      <c r="M19" s="144">
        <f>CategoryMonthlyRecords[[#This Row],[Markup]]-CategoryMonthlyRecords[[#This Row],[Agent Commission]]+CategoryMonthlyRecords[[#This Row],[Add-on Amount]]</f>
        <v>242735.79421000005</v>
      </c>
      <c r="N19" s="135" t="s">
        <v>463</v>
      </c>
    </row>
    <row r="20" spans="1:14" s="135" customFormat="1">
      <c r="A20" s="142">
        <v>46204</v>
      </c>
      <c r="B20" s="135" t="s">
        <v>170</v>
      </c>
      <c r="C20" s="143">
        <v>532</v>
      </c>
      <c r="D20" s="144">
        <v>1800319.56</v>
      </c>
      <c r="E20" s="144">
        <v>1564671.82</v>
      </c>
      <c r="F20" s="145">
        <v>0.01</v>
      </c>
      <c r="G20" s="144">
        <f>CategoryMonthlyRecords[[#This Row],[Base Cost]]*CategoryMonthlyRecords[[#This Row],[Add-on %]]</f>
        <v>15646.718200000001</v>
      </c>
      <c r="H20" s="144">
        <f>CategoryMonthlyRecords[[#This Row],[Base Cost]]+CategoryMonthlyRecords[[#This Row],[Add-on Amount]]</f>
        <v>1580318.5382000001</v>
      </c>
      <c r="I20" s="144">
        <f>CategoryMonthlyRecords[[#This Row],[Gross Sales]]-CategoryMonthlyRecords[[#This Row],[Capital]]</f>
        <v>220001.02179999999</v>
      </c>
      <c r="J20" s="135" t="s">
        <v>181</v>
      </c>
      <c r="K20" s="145">
        <v>0.15</v>
      </c>
      <c r="L20" s="144">
        <f>MAX(0,CategoryMonthlyRecords[[#This Row],[Markup]]*CategoryMonthlyRecords[[#This Row],[Commission Rate]])</f>
        <v>33000.153269999995</v>
      </c>
      <c r="M20" s="144">
        <f>CategoryMonthlyRecords[[#This Row],[Markup]]-CategoryMonthlyRecords[[#This Row],[Agent Commission]]+CategoryMonthlyRecords[[#This Row],[Add-on Amount]]</f>
        <v>202647.58672999998</v>
      </c>
      <c r="N20" s="135" t="s">
        <v>463</v>
      </c>
    </row>
    <row r="21" spans="1:14" s="135" customFormat="1">
      <c r="A21" s="142">
        <v>46204</v>
      </c>
      <c r="B21" s="135" t="s">
        <v>168</v>
      </c>
      <c r="C21" s="143">
        <v>1732</v>
      </c>
      <c r="D21" s="144">
        <v>706257.55</v>
      </c>
      <c r="E21" s="144">
        <v>512567.63</v>
      </c>
      <c r="F21" s="145">
        <v>7.0000000000000007E-2</v>
      </c>
      <c r="G21" s="144">
        <f>CategoryMonthlyRecords[[#This Row],[Base Cost]]*CategoryMonthlyRecords[[#This Row],[Add-on %]]</f>
        <v>35879.734100000001</v>
      </c>
      <c r="H21" s="144">
        <f>CategoryMonthlyRecords[[#This Row],[Base Cost]]+CategoryMonthlyRecords[[#This Row],[Add-on Amount]]</f>
        <v>548447.36410000001</v>
      </c>
      <c r="I21" s="144">
        <f>CategoryMonthlyRecords[[#This Row],[Gross Sales]]-CategoryMonthlyRecords[[#This Row],[Capital]]</f>
        <v>157810.18590000004</v>
      </c>
      <c r="J21" s="135" t="s">
        <v>181</v>
      </c>
      <c r="K21" s="145">
        <v>0.15</v>
      </c>
      <c r="L21" s="144">
        <f>MAX(0,CategoryMonthlyRecords[[#This Row],[Markup]]*CategoryMonthlyRecords[[#This Row],[Commission Rate]])</f>
        <v>23671.527885000007</v>
      </c>
      <c r="M21" s="144">
        <f>CategoryMonthlyRecords[[#This Row],[Markup]]-CategoryMonthlyRecords[[#This Row],[Agent Commission]]+CategoryMonthlyRecords[[#This Row],[Add-on Amount]]</f>
        <v>170018.39211500002</v>
      </c>
      <c r="N21" s="135" t="s">
        <v>463</v>
      </c>
    </row>
    <row r="22" spans="1:14" s="135" customFormat="1">
      <c r="A22" s="142">
        <v>46204</v>
      </c>
      <c r="B22" s="135" t="s">
        <v>167</v>
      </c>
      <c r="C22" s="143">
        <v>8</v>
      </c>
      <c r="D22" s="144">
        <v>840000</v>
      </c>
      <c r="E22" s="144">
        <v>688051.19999999995</v>
      </c>
      <c r="F22" s="145">
        <v>0.01</v>
      </c>
      <c r="G22" s="144">
        <f>CategoryMonthlyRecords[[#This Row],[Base Cost]]*CategoryMonthlyRecords[[#This Row],[Add-on %]]</f>
        <v>6880.5119999999997</v>
      </c>
      <c r="H22" s="144">
        <f>CategoryMonthlyRecords[[#This Row],[Base Cost]]+CategoryMonthlyRecords[[#This Row],[Add-on Amount]]</f>
        <v>694931.71199999994</v>
      </c>
      <c r="I22" s="144">
        <f>CategoryMonthlyRecords[[#This Row],[Gross Sales]]-CategoryMonthlyRecords[[#This Row],[Capital]]</f>
        <v>145068.28800000006</v>
      </c>
      <c r="J22" s="135" t="s">
        <v>461</v>
      </c>
      <c r="K22" s="145">
        <v>0</v>
      </c>
      <c r="L22" s="144">
        <f>MAX(0,CategoryMonthlyRecords[[#This Row],[Markup]]*CategoryMonthlyRecords[[#This Row],[Commission Rate]])</f>
        <v>0</v>
      </c>
      <c r="M22" s="144">
        <f>CategoryMonthlyRecords[[#This Row],[Markup]]-CategoryMonthlyRecords[[#This Row],[Agent Commission]]+CategoryMonthlyRecords[[#This Row],[Add-on Amount]]</f>
        <v>151948.80000000005</v>
      </c>
      <c r="N22" s="135" t="s">
        <v>463</v>
      </c>
    </row>
    <row r="23" spans="1:14" s="135" customFormat="1">
      <c r="A23" s="142">
        <v>46204</v>
      </c>
      <c r="B23" s="135" t="s">
        <v>172</v>
      </c>
      <c r="C23" s="143">
        <v>562</v>
      </c>
      <c r="D23" s="144">
        <v>51225.919999999998</v>
      </c>
      <c r="E23" s="144">
        <v>31171.54</v>
      </c>
      <c r="F23" s="145">
        <v>0.02</v>
      </c>
      <c r="G23" s="144">
        <f>CategoryMonthlyRecords[[#This Row],[Base Cost]]*CategoryMonthlyRecords[[#This Row],[Add-on %]]</f>
        <v>623.43079999999998</v>
      </c>
      <c r="H23" s="144">
        <f>CategoryMonthlyRecords[[#This Row],[Base Cost]]+CategoryMonthlyRecords[[#This Row],[Add-on Amount]]</f>
        <v>31794.970799999999</v>
      </c>
      <c r="I23" s="144">
        <f>CategoryMonthlyRecords[[#This Row],[Gross Sales]]-CategoryMonthlyRecords[[#This Row],[Capital]]</f>
        <v>19430.949199999999</v>
      </c>
      <c r="J23" s="135" t="s">
        <v>181</v>
      </c>
      <c r="K23" s="145">
        <v>0.3</v>
      </c>
      <c r="L23" s="144">
        <f>MAX(0,CategoryMonthlyRecords[[#This Row],[Markup]]*CategoryMonthlyRecords[[#This Row],[Commission Rate]])</f>
        <v>5829.2847599999996</v>
      </c>
      <c r="M23" s="144">
        <f>CategoryMonthlyRecords[[#This Row],[Markup]]-CategoryMonthlyRecords[[#This Row],[Agent Commission]]+CategoryMonthlyRecords[[#This Row],[Add-on Amount]]</f>
        <v>14225.095240000001</v>
      </c>
      <c r="N23" s="135" t="s">
        <v>463</v>
      </c>
    </row>
    <row r="24" spans="1:14" s="135" customFormat="1">
      <c r="A24" s="142">
        <v>46204</v>
      </c>
      <c r="B24" s="135" t="s">
        <v>175</v>
      </c>
      <c r="C24" s="143">
        <v>115</v>
      </c>
      <c r="D24" s="144">
        <v>47669.2</v>
      </c>
      <c r="E24" s="144">
        <v>35059.03</v>
      </c>
      <c r="F24" s="145">
        <v>0.03</v>
      </c>
      <c r="G24" s="144">
        <f>CategoryMonthlyRecords[[#This Row],[Base Cost]]*CategoryMonthlyRecords[[#This Row],[Add-on %]]</f>
        <v>1051.7709</v>
      </c>
      <c r="H24" s="144">
        <f>CategoryMonthlyRecords[[#This Row],[Base Cost]]+CategoryMonthlyRecords[[#This Row],[Add-on Amount]]</f>
        <v>36110.800900000002</v>
      </c>
      <c r="I24" s="144">
        <f>CategoryMonthlyRecords[[#This Row],[Gross Sales]]-CategoryMonthlyRecords[[#This Row],[Capital]]</f>
        <v>11558.399099999995</v>
      </c>
      <c r="J24" s="135" t="s">
        <v>181</v>
      </c>
      <c r="K24" s="145">
        <v>0.3</v>
      </c>
      <c r="L24" s="144">
        <f>MAX(0,CategoryMonthlyRecords[[#This Row],[Markup]]*CategoryMonthlyRecords[[#This Row],[Commission Rate]])</f>
        <v>3467.5197299999986</v>
      </c>
      <c r="M24" s="144">
        <f>CategoryMonthlyRecords[[#This Row],[Markup]]-CategoryMonthlyRecords[[#This Row],[Agent Commission]]+CategoryMonthlyRecords[[#This Row],[Add-on Amount]]</f>
        <v>9142.6502699999965</v>
      </c>
      <c r="N24" s="135" t="s">
        <v>463</v>
      </c>
    </row>
    <row r="25" spans="1:14" s="135" customFormat="1">
      <c r="A25" s="142">
        <v>46204</v>
      </c>
      <c r="B25" s="135" t="s">
        <v>174</v>
      </c>
      <c r="C25" s="143">
        <v>59</v>
      </c>
      <c r="D25" s="144">
        <v>30885.63</v>
      </c>
      <c r="E25" s="144">
        <v>19764.95</v>
      </c>
      <c r="F25" s="145">
        <v>0.03</v>
      </c>
      <c r="G25" s="144">
        <f>CategoryMonthlyRecords[[#This Row],[Base Cost]]*CategoryMonthlyRecords[[#This Row],[Add-on %]]</f>
        <v>592.94849999999997</v>
      </c>
      <c r="H25" s="144">
        <f>CategoryMonthlyRecords[[#This Row],[Base Cost]]+CategoryMonthlyRecords[[#This Row],[Add-on Amount]]</f>
        <v>20357.898499999999</v>
      </c>
      <c r="I25" s="144">
        <f>CategoryMonthlyRecords[[#This Row],[Gross Sales]]-CategoryMonthlyRecords[[#This Row],[Capital]]</f>
        <v>10527.731500000002</v>
      </c>
      <c r="J25" s="135" t="s">
        <v>181</v>
      </c>
      <c r="K25" s="145">
        <v>0.3</v>
      </c>
      <c r="L25" s="144">
        <f>MAX(0,CategoryMonthlyRecords[[#This Row],[Markup]]*CategoryMonthlyRecords[[#This Row],[Commission Rate]])</f>
        <v>3158.3194500000004</v>
      </c>
      <c r="M25" s="144">
        <f>CategoryMonthlyRecords[[#This Row],[Markup]]-CategoryMonthlyRecords[[#This Row],[Agent Commission]]+CategoryMonthlyRecords[[#This Row],[Add-on Amount]]</f>
        <v>7962.3605500000012</v>
      </c>
      <c r="N25" s="135" t="s">
        <v>463</v>
      </c>
    </row>
    <row r="26" spans="1:14" s="135" customFormat="1">
      <c r="A26" s="142">
        <v>46204</v>
      </c>
      <c r="B26" s="135" t="s">
        <v>176</v>
      </c>
      <c r="C26" s="143">
        <v>4</v>
      </c>
      <c r="D26" s="144">
        <v>8740</v>
      </c>
      <c r="E26" s="144">
        <v>6792.8</v>
      </c>
      <c r="F26" s="145">
        <v>0.03</v>
      </c>
      <c r="G26" s="144">
        <f>CategoryMonthlyRecords[[#This Row],[Base Cost]]*CategoryMonthlyRecords[[#This Row],[Add-on %]]</f>
        <v>203.78399999999999</v>
      </c>
      <c r="H26" s="144">
        <f>CategoryMonthlyRecords[[#This Row],[Base Cost]]+CategoryMonthlyRecords[[#This Row],[Add-on Amount]]</f>
        <v>6996.5839999999998</v>
      </c>
      <c r="I26" s="144">
        <f>CategoryMonthlyRecords[[#This Row],[Gross Sales]]-CategoryMonthlyRecords[[#This Row],[Capital]]</f>
        <v>1743.4160000000002</v>
      </c>
      <c r="J26" s="135" t="s">
        <v>181</v>
      </c>
      <c r="K26" s="145">
        <v>0.3</v>
      </c>
      <c r="L26" s="144">
        <f>MAX(0,CategoryMonthlyRecords[[#This Row],[Markup]]*CategoryMonthlyRecords[[#This Row],[Commission Rate]])</f>
        <v>523.02480000000003</v>
      </c>
      <c r="M26" s="144">
        <f>CategoryMonthlyRecords[[#This Row],[Markup]]-CategoryMonthlyRecords[[#This Row],[Agent Commission]]+CategoryMonthlyRecords[[#This Row],[Add-on Amount]]</f>
        <v>1424.1752000000001</v>
      </c>
      <c r="N26" s="135" t="s">
        <v>463</v>
      </c>
    </row>
    <row r="27" spans="1:14" s="135" customFormat="1">
      <c r="A27" s="142">
        <v>46204</v>
      </c>
      <c r="B27" s="135" t="s">
        <v>178</v>
      </c>
      <c r="C27" s="143">
        <v>12</v>
      </c>
      <c r="D27" s="144">
        <v>3600</v>
      </c>
      <c r="E27" s="144">
        <v>3575.4</v>
      </c>
      <c r="F27" s="145">
        <v>0.03</v>
      </c>
      <c r="G27" s="144">
        <f>CategoryMonthlyRecords[[#This Row],[Base Cost]]*CategoryMonthlyRecords[[#This Row],[Add-on %]]</f>
        <v>107.262</v>
      </c>
      <c r="H27" s="144">
        <f>CategoryMonthlyRecords[[#This Row],[Base Cost]]+CategoryMonthlyRecords[[#This Row],[Add-on Amount]]</f>
        <v>3682.6620000000003</v>
      </c>
      <c r="I27" s="144">
        <f>CategoryMonthlyRecords[[#This Row],[Gross Sales]]-CategoryMonthlyRecords[[#This Row],[Capital]]</f>
        <v>-82.662000000000262</v>
      </c>
      <c r="J27" s="135" t="s">
        <v>181</v>
      </c>
      <c r="K27" s="145">
        <v>0.3</v>
      </c>
      <c r="L27" s="144">
        <f>MAX(0,CategoryMonthlyRecords[[#This Row],[Markup]]*CategoryMonthlyRecords[[#This Row],[Commission Rate]])</f>
        <v>0</v>
      </c>
      <c r="M27" s="144">
        <f>CategoryMonthlyRecords[[#This Row],[Markup]]-CategoryMonthlyRecords[[#This Row],[Agent Commission]]+CategoryMonthlyRecords[[#This Row],[Add-on Amount]]</f>
        <v>24.599999999999739</v>
      </c>
      <c r="N27" s="135" t="s">
        <v>463</v>
      </c>
    </row>
    <row r="28" spans="1:14" s="135" customFormat="1">
      <c r="A28" s="146">
        <v>46235</v>
      </c>
      <c r="B28" s="147" t="s">
        <v>167</v>
      </c>
      <c r="C28" s="148">
        <v>12</v>
      </c>
      <c r="D28" s="149">
        <v>1571000</v>
      </c>
      <c r="E28" s="149">
        <v>1316643.6000000001</v>
      </c>
      <c r="F28" s="150">
        <v>0.01</v>
      </c>
      <c r="G28" s="149">
        <f>CategoryMonthlyRecords[[#This Row],[Base Cost]]*CategoryMonthlyRecords[[#This Row],[Add-on %]]</f>
        <v>13166.436000000002</v>
      </c>
      <c r="H28" s="149">
        <f>CategoryMonthlyRecords[[#This Row],[Base Cost]]+CategoryMonthlyRecords[[#This Row],[Add-on Amount]]</f>
        <v>1329810.0360000001</v>
      </c>
      <c r="I28" s="149">
        <f>CategoryMonthlyRecords[[#This Row],[Gross Sales]]-CategoryMonthlyRecords[[#This Row],[Capital]]</f>
        <v>241189.96399999992</v>
      </c>
      <c r="J28" s="147" t="s">
        <v>461</v>
      </c>
      <c r="K28" s="150">
        <v>0</v>
      </c>
      <c r="L28" s="149">
        <f>MAX(0,CategoryMonthlyRecords[[#This Row],[Markup]]*CategoryMonthlyRecords[[#This Row],[Commission Rate]])</f>
        <v>0</v>
      </c>
      <c r="M28" s="149">
        <f>CategoryMonthlyRecords[[#This Row],[Markup]]-CategoryMonthlyRecords[[#This Row],[Agent Commission]]+CategoryMonthlyRecords[[#This Row],[Add-on Amount]]</f>
        <v>254356.39999999991</v>
      </c>
      <c r="N28" s="147" t="s">
        <v>464</v>
      </c>
    </row>
    <row r="29" spans="1:14" s="135" customFormat="1">
      <c r="A29" s="146">
        <v>46235</v>
      </c>
      <c r="B29" s="147" t="s">
        <v>168</v>
      </c>
      <c r="C29" s="148">
        <v>724</v>
      </c>
      <c r="D29" s="149">
        <v>447523.27</v>
      </c>
      <c r="E29" s="149">
        <v>329890.59000000003</v>
      </c>
      <c r="F29" s="150">
        <v>7.0000000000000007E-2</v>
      </c>
      <c r="G29" s="149">
        <f>CategoryMonthlyRecords[[#This Row],[Base Cost]]*CategoryMonthlyRecords[[#This Row],[Add-on %]]</f>
        <v>23092.341300000004</v>
      </c>
      <c r="H29" s="149">
        <f>CategoryMonthlyRecords[[#This Row],[Base Cost]]+CategoryMonthlyRecords[[#This Row],[Add-on Amount]]</f>
        <v>352982.93130000005</v>
      </c>
      <c r="I29" s="149">
        <f>CategoryMonthlyRecords[[#This Row],[Gross Sales]]-CategoryMonthlyRecords[[#This Row],[Capital]]</f>
        <v>94540.338699999964</v>
      </c>
      <c r="J29" s="147" t="s">
        <v>181</v>
      </c>
      <c r="K29" s="150">
        <v>0.15</v>
      </c>
      <c r="L29" s="149">
        <f>MAX(0,CategoryMonthlyRecords[[#This Row],[Markup]]*CategoryMonthlyRecords[[#This Row],[Commission Rate]])</f>
        <v>14181.050804999993</v>
      </c>
      <c r="M29" s="149">
        <f>CategoryMonthlyRecords[[#This Row],[Markup]]-CategoryMonthlyRecords[[#This Row],[Agent Commission]]+CategoryMonthlyRecords[[#This Row],[Add-on Amount]]</f>
        <v>103451.62919499997</v>
      </c>
      <c r="N29" s="147" t="s">
        <v>464</v>
      </c>
    </row>
    <row r="30" spans="1:14" s="135" customFormat="1">
      <c r="A30" s="146">
        <v>46235</v>
      </c>
      <c r="B30" s="147" t="s">
        <v>169</v>
      </c>
      <c r="C30" s="148">
        <v>5891</v>
      </c>
      <c r="D30" s="149">
        <v>1801410.42</v>
      </c>
      <c r="E30" s="149">
        <v>1402325.62</v>
      </c>
      <c r="F30" s="150">
        <v>0.01</v>
      </c>
      <c r="G30" s="149">
        <f>CategoryMonthlyRecords[[#This Row],[Base Cost]]*CategoryMonthlyRecords[[#This Row],[Add-on %]]</f>
        <v>14023.256200000002</v>
      </c>
      <c r="H30" s="149">
        <f>CategoryMonthlyRecords[[#This Row],[Base Cost]]+CategoryMonthlyRecords[[#This Row],[Add-on Amount]]</f>
        <v>1416348.8762000001</v>
      </c>
      <c r="I30" s="149">
        <f>CategoryMonthlyRecords[[#This Row],[Gross Sales]]-CategoryMonthlyRecords[[#This Row],[Capital]]</f>
        <v>385061.54379999987</v>
      </c>
      <c r="J30" s="147" t="s">
        <v>181</v>
      </c>
      <c r="K30" s="150">
        <v>0.15</v>
      </c>
      <c r="L30" s="149">
        <f>MAX(0,CategoryMonthlyRecords[[#This Row],[Markup]]*CategoryMonthlyRecords[[#This Row],[Commission Rate]])</f>
        <v>57759.231569999982</v>
      </c>
      <c r="M30" s="149">
        <f>CategoryMonthlyRecords[[#This Row],[Markup]]-CategoryMonthlyRecords[[#This Row],[Agent Commission]]+CategoryMonthlyRecords[[#This Row],[Add-on Amount]]</f>
        <v>341325.56842999987</v>
      </c>
      <c r="N30" s="147" t="s">
        <v>464</v>
      </c>
    </row>
    <row r="31" spans="1:14">
      <c r="A31" s="146">
        <v>46235</v>
      </c>
      <c r="B31" s="147" t="s">
        <v>170</v>
      </c>
      <c r="C31" s="148">
        <v>194</v>
      </c>
      <c r="D31" s="149">
        <v>320496.52</v>
      </c>
      <c r="E31" s="149">
        <v>190502.85</v>
      </c>
      <c r="F31" s="150">
        <v>0.01</v>
      </c>
      <c r="G31" s="149">
        <f>CategoryMonthlyRecords[[#This Row],[Base Cost]]*CategoryMonthlyRecords[[#This Row],[Add-on %]]</f>
        <v>1905.0285000000001</v>
      </c>
      <c r="H31" s="149">
        <f>CategoryMonthlyRecords[[#This Row],[Base Cost]]+CategoryMonthlyRecords[[#This Row],[Add-on Amount]]</f>
        <v>192407.87849999999</v>
      </c>
      <c r="I31" s="149">
        <f>CategoryMonthlyRecords[[#This Row],[Gross Sales]]-CategoryMonthlyRecords[[#This Row],[Capital]]</f>
        <v>128088.64150000003</v>
      </c>
      <c r="J31" s="147" t="s">
        <v>181</v>
      </c>
      <c r="K31" s="150">
        <v>0.15</v>
      </c>
      <c r="L31" s="149">
        <f>MAX(0,CategoryMonthlyRecords[[#This Row],[Markup]]*CategoryMonthlyRecords[[#This Row],[Commission Rate]])</f>
        <v>19213.296225000002</v>
      </c>
      <c r="M31" s="149">
        <f>CategoryMonthlyRecords[[#This Row],[Markup]]-CategoryMonthlyRecords[[#This Row],[Agent Commission]]+CategoryMonthlyRecords[[#This Row],[Add-on Amount]]</f>
        <v>110780.37377500003</v>
      </c>
      <c r="N31" s="147" t="s">
        <v>464</v>
      </c>
    </row>
    <row r="32" spans="1:14">
      <c r="A32" s="146">
        <v>46235</v>
      </c>
      <c r="B32" s="147" t="s">
        <v>176</v>
      </c>
      <c r="C32" s="148">
        <v>1</v>
      </c>
      <c r="D32" s="149">
        <v>20000</v>
      </c>
      <c r="E32" s="149">
        <v>15358</v>
      </c>
      <c r="F32" s="150">
        <v>0.03</v>
      </c>
      <c r="G32" s="149">
        <f>CategoryMonthlyRecords[[#This Row],[Base Cost]]*CategoryMonthlyRecords[[#This Row],[Add-on %]]</f>
        <v>460.74</v>
      </c>
      <c r="H32" s="149">
        <f>CategoryMonthlyRecords[[#This Row],[Base Cost]]+CategoryMonthlyRecords[[#This Row],[Add-on Amount]]</f>
        <v>15818.74</v>
      </c>
      <c r="I32" s="149">
        <f>CategoryMonthlyRecords[[#This Row],[Gross Sales]]-CategoryMonthlyRecords[[#This Row],[Capital]]</f>
        <v>4181.26</v>
      </c>
      <c r="J32" s="147" t="s">
        <v>181</v>
      </c>
      <c r="K32" s="150">
        <v>0.3</v>
      </c>
      <c r="L32" s="149">
        <f>MAX(0,CategoryMonthlyRecords[[#This Row],[Markup]]*CategoryMonthlyRecords[[#This Row],[Commission Rate]])</f>
        <v>1254.3779999999999</v>
      </c>
      <c r="M32" s="149">
        <f>CategoryMonthlyRecords[[#This Row],[Markup]]-CategoryMonthlyRecords[[#This Row],[Agent Commission]]+CategoryMonthlyRecords[[#This Row],[Add-on Amount]]</f>
        <v>3387.6220000000003</v>
      </c>
      <c r="N32" s="147" t="s">
        <v>464</v>
      </c>
    </row>
    <row r="33" spans="1:14">
      <c r="A33" s="146">
        <v>46235</v>
      </c>
      <c r="B33" s="147" t="s">
        <v>172</v>
      </c>
      <c r="C33" s="148">
        <v>1158</v>
      </c>
      <c r="D33" s="149">
        <v>64772.01</v>
      </c>
      <c r="E33" s="149">
        <v>38457.599999999999</v>
      </c>
      <c r="F33" s="150">
        <v>0.02</v>
      </c>
      <c r="G33" s="149">
        <f>CategoryMonthlyRecords[[#This Row],[Base Cost]]*CategoryMonthlyRecords[[#This Row],[Add-on %]]</f>
        <v>769.15200000000004</v>
      </c>
      <c r="H33" s="149">
        <f>CategoryMonthlyRecords[[#This Row],[Base Cost]]+CategoryMonthlyRecords[[#This Row],[Add-on Amount]]</f>
        <v>39226.752</v>
      </c>
      <c r="I33" s="149">
        <f>CategoryMonthlyRecords[[#This Row],[Gross Sales]]-CategoryMonthlyRecords[[#This Row],[Capital]]</f>
        <v>25545.258000000002</v>
      </c>
      <c r="J33" s="147" t="s">
        <v>181</v>
      </c>
      <c r="K33" s="150">
        <v>0.3</v>
      </c>
      <c r="L33" s="149">
        <f>MAX(0,CategoryMonthlyRecords[[#This Row],[Markup]]*CategoryMonthlyRecords[[#This Row],[Commission Rate]])</f>
        <v>7663.5774000000001</v>
      </c>
      <c r="M33" s="149">
        <f>CategoryMonthlyRecords[[#This Row],[Markup]]-CategoryMonthlyRecords[[#This Row],[Agent Commission]]+CategoryMonthlyRecords[[#This Row],[Add-on Amount]]</f>
        <v>18650.832600000002</v>
      </c>
      <c r="N33" s="147" t="s">
        <v>464</v>
      </c>
    </row>
    <row r="34" spans="1:14">
      <c r="A34" s="146">
        <v>46235</v>
      </c>
      <c r="B34" s="147" t="s">
        <v>175</v>
      </c>
      <c r="C34" s="148">
        <v>46</v>
      </c>
      <c r="D34" s="149">
        <v>59985.68</v>
      </c>
      <c r="E34" s="149">
        <v>41719.300000000003</v>
      </c>
      <c r="F34" s="150">
        <v>0.03</v>
      </c>
      <c r="G34" s="149">
        <f>CategoryMonthlyRecords[[#This Row],[Base Cost]]*CategoryMonthlyRecords[[#This Row],[Add-on %]]</f>
        <v>1251.579</v>
      </c>
      <c r="H34" s="149">
        <f>CategoryMonthlyRecords[[#This Row],[Base Cost]]+CategoryMonthlyRecords[[#This Row],[Add-on Amount]]</f>
        <v>42970.879000000001</v>
      </c>
      <c r="I34" s="149">
        <f>CategoryMonthlyRecords[[#This Row],[Gross Sales]]-CategoryMonthlyRecords[[#This Row],[Capital]]</f>
        <v>17014.800999999999</v>
      </c>
      <c r="J34" s="147" t="s">
        <v>181</v>
      </c>
      <c r="K34" s="150">
        <v>0.3</v>
      </c>
      <c r="L34" s="149">
        <f>MAX(0,CategoryMonthlyRecords[[#This Row],[Markup]]*CategoryMonthlyRecords[[#This Row],[Commission Rate]])</f>
        <v>5104.4402999999993</v>
      </c>
      <c r="M34" s="149">
        <f>CategoryMonthlyRecords[[#This Row],[Markup]]-CategoryMonthlyRecords[[#This Row],[Agent Commission]]+CategoryMonthlyRecords[[#This Row],[Add-on Amount]]</f>
        <v>13161.939700000001</v>
      </c>
      <c r="N34" s="147" t="s">
        <v>464</v>
      </c>
    </row>
    <row r="35" spans="1:14">
      <c r="A35" s="146">
        <v>46235</v>
      </c>
      <c r="B35" t="s">
        <v>173</v>
      </c>
      <c r="C35" s="148">
        <v>13</v>
      </c>
      <c r="D35" s="149">
        <v>1058025</v>
      </c>
      <c r="E35" s="149">
        <v>715429</v>
      </c>
      <c r="F35" s="150">
        <v>0</v>
      </c>
      <c r="G35" s="149">
        <f>CategoryMonthlyRecords[[#This Row],[Base Cost]]*CategoryMonthlyRecords[[#This Row],[Add-on %]]</f>
        <v>0</v>
      </c>
      <c r="H35" s="149">
        <f>CategoryMonthlyRecords[[#This Row],[Base Cost]]+CategoryMonthlyRecords[[#This Row],[Add-on Amount]]</f>
        <v>715429</v>
      </c>
      <c r="I35" s="149">
        <f>CategoryMonthlyRecords[[#This Row],[Gross Sales]]-CategoryMonthlyRecords[[#This Row],[Capital]]</f>
        <v>342596</v>
      </c>
      <c r="J35" s="147" t="s">
        <v>461</v>
      </c>
      <c r="K35" s="150">
        <v>0</v>
      </c>
      <c r="L35" s="149">
        <f>MAX(0,CategoryMonthlyRecords[[#This Row],[Markup]]*CategoryMonthlyRecords[[#This Row],[Commission Rate]])</f>
        <v>0</v>
      </c>
      <c r="M35" s="149">
        <f>CategoryMonthlyRecords[[#This Row],[Markup]]-CategoryMonthlyRecords[[#This Row],[Agent Commission]]+CategoryMonthlyRecords[[#This Row],[Add-on Amount]]</f>
        <v>342596</v>
      </c>
      <c r="N35" s="147"/>
    </row>
    <row r="36" spans="1:14">
      <c r="A36" s="146">
        <v>46235</v>
      </c>
      <c r="B36" t="s">
        <v>174</v>
      </c>
      <c r="C36" s="148">
        <v>26</v>
      </c>
      <c r="D36" s="149">
        <v>18235.759999999998</v>
      </c>
      <c r="E36" s="149">
        <v>12498.88</v>
      </c>
      <c r="F36" s="150">
        <v>0.03</v>
      </c>
      <c r="G36" s="149">
        <f>CategoryMonthlyRecords[[#This Row],[Base Cost]]*CategoryMonthlyRecords[[#This Row],[Add-on %]]</f>
        <v>374.96639999999996</v>
      </c>
      <c r="H36" s="149">
        <f>CategoryMonthlyRecords[[#This Row],[Base Cost]]+CategoryMonthlyRecords[[#This Row],[Add-on Amount]]</f>
        <v>12873.846399999999</v>
      </c>
      <c r="I36" s="149">
        <f>CategoryMonthlyRecords[[#This Row],[Gross Sales]]-CategoryMonthlyRecords[[#This Row],[Capital]]</f>
        <v>5361.9135999999999</v>
      </c>
      <c r="J36" s="147" t="s">
        <v>181</v>
      </c>
      <c r="K36" s="150">
        <v>0.3</v>
      </c>
      <c r="L36" s="149">
        <f>MAX(0,CategoryMonthlyRecords[[#This Row],[Markup]]*CategoryMonthlyRecords[[#This Row],[Commission Rate]])</f>
        <v>1608.5740799999999</v>
      </c>
      <c r="M36" s="149">
        <f>CategoryMonthlyRecords[[#This Row],[Markup]]-CategoryMonthlyRecords[[#This Row],[Agent Commission]]+CategoryMonthlyRecords[[#This Row],[Add-on Amount]]</f>
        <v>4128.3059199999998</v>
      </c>
      <c r="N36" s="147"/>
    </row>
    <row r="37" spans="1:14">
      <c r="A37" s="146">
        <v>46235</v>
      </c>
      <c r="B37" t="s">
        <v>178</v>
      </c>
      <c r="C37" s="148">
        <v>6</v>
      </c>
      <c r="D37" s="149">
        <v>1670</v>
      </c>
      <c r="E37" s="149">
        <v>1104.8900000000001</v>
      </c>
      <c r="F37" s="150">
        <v>0.03</v>
      </c>
      <c r="G37" s="149">
        <f>CategoryMonthlyRecords[[#This Row],[Base Cost]]*CategoryMonthlyRecords[[#This Row],[Add-on %]]</f>
        <v>33.146700000000003</v>
      </c>
      <c r="H37" s="149">
        <f>CategoryMonthlyRecords[[#This Row],[Base Cost]]+CategoryMonthlyRecords[[#This Row],[Add-on Amount]]</f>
        <v>1138.0367000000001</v>
      </c>
      <c r="I37" s="149">
        <f>CategoryMonthlyRecords[[#This Row],[Gross Sales]]-CategoryMonthlyRecords[[#This Row],[Capital]]</f>
        <v>531.96329999999989</v>
      </c>
      <c r="J37" s="147" t="s">
        <v>181</v>
      </c>
      <c r="K37" s="150">
        <v>0.3</v>
      </c>
      <c r="L37" s="149">
        <f>MAX(0,CategoryMonthlyRecords[[#This Row],[Markup]]*CategoryMonthlyRecords[[#This Row],[Commission Rate]])</f>
        <v>159.58898999999997</v>
      </c>
      <c r="M37" s="149">
        <f>CategoryMonthlyRecords[[#This Row],[Markup]]-CategoryMonthlyRecords[[#This Row],[Agent Commission]]+CategoryMonthlyRecords[[#This Row],[Add-on Amount]]</f>
        <v>405.52100999999993</v>
      </c>
      <c r="N37" s="147"/>
    </row>
    <row r="38" spans="1:14">
      <c r="A38" s="146">
        <v>46235</v>
      </c>
      <c r="B38" t="s">
        <v>171</v>
      </c>
      <c r="C38" s="148"/>
      <c r="D38" s="149"/>
      <c r="E38" s="149"/>
      <c r="F38" s="150">
        <v>0.01</v>
      </c>
      <c r="G38" s="149">
        <f>CategoryMonthlyRecords[[#This Row],[Base Cost]]*CategoryMonthlyRecords[[#This Row],[Add-on %]]</f>
        <v>0</v>
      </c>
      <c r="H38" s="149">
        <f>CategoryMonthlyRecords[[#This Row],[Base Cost]]+CategoryMonthlyRecords[[#This Row],[Add-on Amount]]</f>
        <v>0</v>
      </c>
      <c r="I38" s="149">
        <f>CategoryMonthlyRecords[[#This Row],[Gross Sales]]-CategoryMonthlyRecords[[#This Row],[Capital]]</f>
        <v>0</v>
      </c>
      <c r="J38" s="147" t="s">
        <v>461</v>
      </c>
      <c r="K38" s="150">
        <v>0</v>
      </c>
      <c r="L38" s="149">
        <f>MAX(0,CategoryMonthlyRecords[[#This Row],[Markup]]*CategoryMonthlyRecords[[#This Row],[Commission Rate]])</f>
        <v>0</v>
      </c>
      <c r="M38" s="149">
        <f>CategoryMonthlyRecords[[#This Row],[Markup]]-CategoryMonthlyRecords[[#This Row],[Agent Commission]]+CategoryMonthlyRecords[[#This Row],[Add-on Amount]]</f>
        <v>0</v>
      </c>
      <c r="N38" s="147" t="s">
        <v>705</v>
      </c>
    </row>
    <row r="39" spans="1:14">
      <c r="A39" s="146">
        <v>46235</v>
      </c>
      <c r="B39" t="s">
        <v>177</v>
      </c>
      <c r="C39" s="148"/>
      <c r="D39" s="149"/>
      <c r="E39" s="149"/>
      <c r="F39" s="150">
        <v>0.01</v>
      </c>
      <c r="G39" s="149">
        <f>CategoryMonthlyRecords[[#This Row],[Base Cost]]*CategoryMonthlyRecords[[#This Row],[Add-on %]]</f>
        <v>0</v>
      </c>
      <c r="H39" s="149">
        <f>CategoryMonthlyRecords[[#This Row],[Base Cost]]+CategoryMonthlyRecords[[#This Row],[Add-on Amount]]</f>
        <v>0</v>
      </c>
      <c r="I39" s="149">
        <f>CategoryMonthlyRecords[[#This Row],[Gross Sales]]-CategoryMonthlyRecords[[#This Row],[Capital]]</f>
        <v>0</v>
      </c>
      <c r="J39" s="147" t="s">
        <v>461</v>
      </c>
      <c r="K39" s="150">
        <v>0</v>
      </c>
      <c r="L39" s="149">
        <f>MAX(0,CategoryMonthlyRecords[[#This Row],[Markup]]*CategoryMonthlyRecords[[#This Row],[Commission Rate]])</f>
        <v>0</v>
      </c>
      <c r="M39" s="149">
        <f>CategoryMonthlyRecords[[#This Row],[Markup]]-CategoryMonthlyRecords[[#This Row],[Agent Commission]]+CategoryMonthlyRecords[[#This Row],[Add-on Amount]]</f>
        <v>0</v>
      </c>
      <c r="N39" s="147" t="s">
        <v>705</v>
      </c>
    </row>
    <row r="40" spans="1:14" ht="25.5">
      <c r="A40" s="146">
        <v>46266</v>
      </c>
      <c r="B40" s="147" t="s">
        <v>167</v>
      </c>
      <c r="C40" s="148"/>
      <c r="D40" s="151"/>
      <c r="E40" s="151"/>
      <c r="F40" s="150">
        <v>0.01</v>
      </c>
      <c r="G40" s="151">
        <f>CategoryMonthlyRecords[[#This Row],[Base Cost]]*CategoryMonthlyRecords[[#This Row],[Add-on %]]</f>
        <v>0</v>
      </c>
      <c r="H40" s="151">
        <f>CategoryMonthlyRecords[[#This Row],[Base Cost]]+CategoryMonthlyRecords[[#This Row],[Add-on Amount]]</f>
        <v>0</v>
      </c>
      <c r="I40" s="151">
        <f>CategoryMonthlyRecords[[#This Row],[Gross Sales]]-CategoryMonthlyRecords[[#This Row],[Capital]]</f>
        <v>0</v>
      </c>
      <c r="J40" s="147" t="s">
        <v>461</v>
      </c>
      <c r="K40" s="150">
        <v>0</v>
      </c>
      <c r="L40" s="151">
        <f>MAX(0,CategoryMonthlyRecords[[#This Row],[Markup]]*CategoryMonthlyRecords[[#This Row],[Commission Rate]])</f>
        <v>0</v>
      </c>
      <c r="M40" s="151">
        <f>CategoryMonthlyRecords[[#This Row],[Markup]]-CategoryMonthlyRecords[[#This Row],[Agent Commission]]+CategoryMonthlyRecords[[#This Row],[Add-on Amount]]</f>
        <v>0</v>
      </c>
      <c r="N40" s="147" t="s">
        <v>465</v>
      </c>
    </row>
    <row r="41" spans="1:14" ht="25.5">
      <c r="A41" s="146">
        <v>46266</v>
      </c>
      <c r="B41" s="147" t="s">
        <v>168</v>
      </c>
      <c r="C41" s="148"/>
      <c r="D41" s="151"/>
      <c r="E41" s="151"/>
      <c r="F41" s="150">
        <v>7.0000000000000007E-2</v>
      </c>
      <c r="G41" s="151">
        <f>CategoryMonthlyRecords[[#This Row],[Base Cost]]*CategoryMonthlyRecords[[#This Row],[Add-on %]]</f>
        <v>0</v>
      </c>
      <c r="H41" s="151">
        <f>CategoryMonthlyRecords[[#This Row],[Base Cost]]+CategoryMonthlyRecords[[#This Row],[Add-on Amount]]</f>
        <v>0</v>
      </c>
      <c r="I41" s="151">
        <f>CategoryMonthlyRecords[[#This Row],[Gross Sales]]-CategoryMonthlyRecords[[#This Row],[Capital]]</f>
        <v>0</v>
      </c>
      <c r="J41" s="147" t="s">
        <v>181</v>
      </c>
      <c r="K41" s="150">
        <v>0.15</v>
      </c>
      <c r="L41" s="151">
        <f>MAX(0,CategoryMonthlyRecords[[#This Row],[Markup]]*CategoryMonthlyRecords[[#This Row],[Commission Rate]])</f>
        <v>0</v>
      </c>
      <c r="M41" s="151">
        <f>CategoryMonthlyRecords[[#This Row],[Markup]]-CategoryMonthlyRecords[[#This Row],[Agent Commission]]+CategoryMonthlyRecords[[#This Row],[Add-on Amount]]</f>
        <v>0</v>
      </c>
      <c r="N41" s="147" t="s">
        <v>465</v>
      </c>
    </row>
    <row r="42" spans="1:14" ht="25.5">
      <c r="A42" s="146">
        <v>46266</v>
      </c>
      <c r="B42" s="147" t="s">
        <v>169</v>
      </c>
      <c r="C42" s="148"/>
      <c r="D42" s="151"/>
      <c r="E42" s="151"/>
      <c r="F42" s="150">
        <v>0.01</v>
      </c>
      <c r="G42" s="151">
        <f>CategoryMonthlyRecords[[#This Row],[Base Cost]]*CategoryMonthlyRecords[[#This Row],[Add-on %]]</f>
        <v>0</v>
      </c>
      <c r="H42" s="151">
        <f>CategoryMonthlyRecords[[#This Row],[Base Cost]]+CategoryMonthlyRecords[[#This Row],[Add-on Amount]]</f>
        <v>0</v>
      </c>
      <c r="I42" s="151">
        <f>CategoryMonthlyRecords[[#This Row],[Gross Sales]]-CategoryMonthlyRecords[[#This Row],[Capital]]</f>
        <v>0</v>
      </c>
      <c r="J42" s="147" t="s">
        <v>181</v>
      </c>
      <c r="K42" s="150">
        <v>0.15</v>
      </c>
      <c r="L42" s="151">
        <f>MAX(0,CategoryMonthlyRecords[[#This Row],[Markup]]*CategoryMonthlyRecords[[#This Row],[Commission Rate]])</f>
        <v>0</v>
      </c>
      <c r="M42" s="151">
        <f>CategoryMonthlyRecords[[#This Row],[Markup]]-CategoryMonthlyRecords[[#This Row],[Agent Commission]]+CategoryMonthlyRecords[[#This Row],[Add-on Amount]]</f>
        <v>0</v>
      </c>
      <c r="N42" s="147" t="s">
        <v>465</v>
      </c>
    </row>
    <row r="43" spans="1:14" ht="25.5">
      <c r="A43" s="146">
        <v>46266</v>
      </c>
      <c r="B43" s="147" t="s">
        <v>170</v>
      </c>
      <c r="C43" s="148"/>
      <c r="D43" s="151"/>
      <c r="E43" s="151"/>
      <c r="F43" s="150">
        <v>0.01</v>
      </c>
      <c r="G43" s="151">
        <f>CategoryMonthlyRecords[[#This Row],[Base Cost]]*CategoryMonthlyRecords[[#This Row],[Add-on %]]</f>
        <v>0</v>
      </c>
      <c r="H43" s="151">
        <f>CategoryMonthlyRecords[[#This Row],[Base Cost]]+CategoryMonthlyRecords[[#This Row],[Add-on Amount]]</f>
        <v>0</v>
      </c>
      <c r="I43" s="151">
        <f>CategoryMonthlyRecords[[#This Row],[Gross Sales]]-CategoryMonthlyRecords[[#This Row],[Capital]]</f>
        <v>0</v>
      </c>
      <c r="J43" s="147" t="s">
        <v>181</v>
      </c>
      <c r="K43" s="150">
        <v>0.15</v>
      </c>
      <c r="L43" s="151">
        <f>MAX(0,CategoryMonthlyRecords[[#This Row],[Markup]]*CategoryMonthlyRecords[[#This Row],[Commission Rate]])</f>
        <v>0</v>
      </c>
      <c r="M43" s="151">
        <f>CategoryMonthlyRecords[[#This Row],[Markup]]-CategoryMonthlyRecords[[#This Row],[Agent Commission]]+CategoryMonthlyRecords[[#This Row],[Add-on Amount]]</f>
        <v>0</v>
      </c>
      <c r="N43" s="147" t="s">
        <v>465</v>
      </c>
    </row>
    <row r="44" spans="1:14" ht="25.5">
      <c r="A44" s="146">
        <v>46266</v>
      </c>
      <c r="B44" s="147" t="s">
        <v>171</v>
      </c>
      <c r="C44" s="148"/>
      <c r="D44" s="151"/>
      <c r="E44" s="151"/>
      <c r="F44" s="150">
        <v>0.01</v>
      </c>
      <c r="G44" s="151">
        <f>CategoryMonthlyRecords[[#This Row],[Base Cost]]*CategoryMonthlyRecords[[#This Row],[Add-on %]]</f>
        <v>0</v>
      </c>
      <c r="H44" s="151">
        <f>CategoryMonthlyRecords[[#This Row],[Base Cost]]+CategoryMonthlyRecords[[#This Row],[Add-on Amount]]</f>
        <v>0</v>
      </c>
      <c r="I44" s="151">
        <f>CategoryMonthlyRecords[[#This Row],[Gross Sales]]-CategoryMonthlyRecords[[#This Row],[Capital]]</f>
        <v>0</v>
      </c>
      <c r="J44" s="147" t="s">
        <v>461</v>
      </c>
      <c r="K44" s="150">
        <v>0</v>
      </c>
      <c r="L44" s="151">
        <f>MAX(0,CategoryMonthlyRecords[[#This Row],[Markup]]*CategoryMonthlyRecords[[#This Row],[Commission Rate]])</f>
        <v>0</v>
      </c>
      <c r="M44" s="151">
        <f>CategoryMonthlyRecords[[#This Row],[Markup]]-CategoryMonthlyRecords[[#This Row],[Agent Commission]]+CategoryMonthlyRecords[[#This Row],[Add-on Amount]]</f>
        <v>0</v>
      </c>
      <c r="N44" s="147" t="s">
        <v>465</v>
      </c>
    </row>
    <row r="45" spans="1:14" ht="25.5">
      <c r="A45" s="146">
        <v>46266</v>
      </c>
      <c r="B45" s="147" t="s">
        <v>172</v>
      </c>
      <c r="C45" s="148"/>
      <c r="D45" s="151"/>
      <c r="E45" s="151"/>
      <c r="F45" s="150">
        <v>0.02</v>
      </c>
      <c r="G45" s="151">
        <f>CategoryMonthlyRecords[[#This Row],[Base Cost]]*CategoryMonthlyRecords[[#This Row],[Add-on %]]</f>
        <v>0</v>
      </c>
      <c r="H45" s="151">
        <f>CategoryMonthlyRecords[[#This Row],[Base Cost]]+CategoryMonthlyRecords[[#This Row],[Add-on Amount]]</f>
        <v>0</v>
      </c>
      <c r="I45" s="151">
        <f>CategoryMonthlyRecords[[#This Row],[Gross Sales]]-CategoryMonthlyRecords[[#This Row],[Capital]]</f>
        <v>0</v>
      </c>
      <c r="J45" s="147" t="s">
        <v>181</v>
      </c>
      <c r="K45" s="150">
        <v>0.3</v>
      </c>
      <c r="L45" s="151">
        <f>MAX(0,CategoryMonthlyRecords[[#This Row],[Markup]]*CategoryMonthlyRecords[[#This Row],[Commission Rate]])</f>
        <v>0</v>
      </c>
      <c r="M45" s="151">
        <f>CategoryMonthlyRecords[[#This Row],[Markup]]-CategoryMonthlyRecords[[#This Row],[Agent Commission]]+CategoryMonthlyRecords[[#This Row],[Add-on Amount]]</f>
        <v>0</v>
      </c>
      <c r="N45" s="147" t="s">
        <v>465</v>
      </c>
    </row>
    <row r="46" spans="1:14" ht="25.5">
      <c r="A46" s="146">
        <v>46266</v>
      </c>
      <c r="B46" s="147" t="s">
        <v>173</v>
      </c>
      <c r="C46" s="148"/>
      <c r="D46" s="151"/>
      <c r="E46" s="151"/>
      <c r="F46" s="150">
        <v>0</v>
      </c>
      <c r="G46" s="151">
        <f>CategoryMonthlyRecords[[#This Row],[Base Cost]]*CategoryMonthlyRecords[[#This Row],[Add-on %]]</f>
        <v>0</v>
      </c>
      <c r="H46" s="151">
        <f>CategoryMonthlyRecords[[#This Row],[Base Cost]]+CategoryMonthlyRecords[[#This Row],[Add-on Amount]]</f>
        <v>0</v>
      </c>
      <c r="I46" s="151">
        <f>CategoryMonthlyRecords[[#This Row],[Gross Sales]]-CategoryMonthlyRecords[[#This Row],[Capital]]</f>
        <v>0</v>
      </c>
      <c r="J46" s="147" t="s">
        <v>461</v>
      </c>
      <c r="K46" s="150">
        <v>0</v>
      </c>
      <c r="L46" s="151">
        <f>MAX(0,CategoryMonthlyRecords[[#This Row],[Markup]]*CategoryMonthlyRecords[[#This Row],[Commission Rate]])</f>
        <v>0</v>
      </c>
      <c r="M46" s="151">
        <f>CategoryMonthlyRecords[[#This Row],[Markup]]-CategoryMonthlyRecords[[#This Row],[Agent Commission]]+CategoryMonthlyRecords[[#This Row],[Add-on Amount]]</f>
        <v>0</v>
      </c>
      <c r="N46" s="147" t="s">
        <v>465</v>
      </c>
    </row>
    <row r="47" spans="1:14" ht="25.5">
      <c r="A47" s="146">
        <v>46266</v>
      </c>
      <c r="B47" s="147" t="s">
        <v>174</v>
      </c>
      <c r="C47" s="148"/>
      <c r="D47" s="151"/>
      <c r="E47" s="151"/>
      <c r="F47" s="150">
        <v>0.03</v>
      </c>
      <c r="G47" s="151">
        <f>CategoryMonthlyRecords[[#This Row],[Base Cost]]*CategoryMonthlyRecords[[#This Row],[Add-on %]]</f>
        <v>0</v>
      </c>
      <c r="H47" s="151">
        <f>CategoryMonthlyRecords[[#This Row],[Base Cost]]+CategoryMonthlyRecords[[#This Row],[Add-on Amount]]</f>
        <v>0</v>
      </c>
      <c r="I47" s="151">
        <f>CategoryMonthlyRecords[[#This Row],[Gross Sales]]-CategoryMonthlyRecords[[#This Row],[Capital]]</f>
        <v>0</v>
      </c>
      <c r="J47" s="147" t="s">
        <v>181</v>
      </c>
      <c r="K47" s="150">
        <v>0.3</v>
      </c>
      <c r="L47" s="151">
        <f>MAX(0,CategoryMonthlyRecords[[#This Row],[Markup]]*CategoryMonthlyRecords[[#This Row],[Commission Rate]])</f>
        <v>0</v>
      </c>
      <c r="M47" s="151">
        <f>CategoryMonthlyRecords[[#This Row],[Markup]]-CategoryMonthlyRecords[[#This Row],[Agent Commission]]+CategoryMonthlyRecords[[#This Row],[Add-on Amount]]</f>
        <v>0</v>
      </c>
      <c r="N47" s="147" t="s">
        <v>465</v>
      </c>
    </row>
    <row r="48" spans="1:14" ht="25.5">
      <c r="A48" s="146">
        <v>46266</v>
      </c>
      <c r="B48" s="147" t="s">
        <v>175</v>
      </c>
      <c r="C48" s="148"/>
      <c r="D48" s="151"/>
      <c r="E48" s="151"/>
      <c r="F48" s="150">
        <v>0.03</v>
      </c>
      <c r="G48" s="151">
        <f>CategoryMonthlyRecords[[#This Row],[Base Cost]]*CategoryMonthlyRecords[[#This Row],[Add-on %]]</f>
        <v>0</v>
      </c>
      <c r="H48" s="151">
        <f>CategoryMonthlyRecords[[#This Row],[Base Cost]]+CategoryMonthlyRecords[[#This Row],[Add-on Amount]]</f>
        <v>0</v>
      </c>
      <c r="I48" s="151">
        <f>CategoryMonthlyRecords[[#This Row],[Gross Sales]]-CategoryMonthlyRecords[[#This Row],[Capital]]</f>
        <v>0</v>
      </c>
      <c r="J48" s="147" t="s">
        <v>181</v>
      </c>
      <c r="K48" s="150">
        <v>0.3</v>
      </c>
      <c r="L48" s="151">
        <f>MAX(0,CategoryMonthlyRecords[[#This Row],[Markup]]*CategoryMonthlyRecords[[#This Row],[Commission Rate]])</f>
        <v>0</v>
      </c>
      <c r="M48" s="151">
        <f>CategoryMonthlyRecords[[#This Row],[Markup]]-CategoryMonthlyRecords[[#This Row],[Agent Commission]]+CategoryMonthlyRecords[[#This Row],[Add-on Amount]]</f>
        <v>0</v>
      </c>
      <c r="N48" s="147" t="s">
        <v>465</v>
      </c>
    </row>
    <row r="49" spans="1:14" ht="25.5">
      <c r="A49" s="146">
        <v>46266</v>
      </c>
      <c r="B49" s="147" t="s">
        <v>176</v>
      </c>
      <c r="C49" s="148"/>
      <c r="D49" s="151"/>
      <c r="E49" s="151"/>
      <c r="F49" s="150">
        <v>0.03</v>
      </c>
      <c r="G49" s="151">
        <f>CategoryMonthlyRecords[[#This Row],[Base Cost]]*CategoryMonthlyRecords[[#This Row],[Add-on %]]</f>
        <v>0</v>
      </c>
      <c r="H49" s="151">
        <f>CategoryMonthlyRecords[[#This Row],[Base Cost]]+CategoryMonthlyRecords[[#This Row],[Add-on Amount]]</f>
        <v>0</v>
      </c>
      <c r="I49" s="151">
        <f>CategoryMonthlyRecords[[#This Row],[Gross Sales]]-CategoryMonthlyRecords[[#This Row],[Capital]]</f>
        <v>0</v>
      </c>
      <c r="J49" s="147" t="s">
        <v>181</v>
      </c>
      <c r="K49" s="150">
        <v>0.3</v>
      </c>
      <c r="L49" s="151">
        <f>MAX(0,CategoryMonthlyRecords[[#This Row],[Markup]]*CategoryMonthlyRecords[[#This Row],[Commission Rate]])</f>
        <v>0</v>
      </c>
      <c r="M49" s="151">
        <f>CategoryMonthlyRecords[[#This Row],[Markup]]-CategoryMonthlyRecords[[#This Row],[Agent Commission]]+CategoryMonthlyRecords[[#This Row],[Add-on Amount]]</f>
        <v>0</v>
      </c>
      <c r="N49" s="147" t="s">
        <v>465</v>
      </c>
    </row>
    <row r="50" spans="1:14" ht="25.5">
      <c r="A50" s="146">
        <v>46266</v>
      </c>
      <c r="B50" s="147" t="s">
        <v>177</v>
      </c>
      <c r="C50" s="148"/>
      <c r="D50" s="151"/>
      <c r="E50" s="151"/>
      <c r="F50" s="150">
        <v>0.01</v>
      </c>
      <c r="G50" s="151">
        <f>CategoryMonthlyRecords[[#This Row],[Base Cost]]*CategoryMonthlyRecords[[#This Row],[Add-on %]]</f>
        <v>0</v>
      </c>
      <c r="H50" s="151">
        <f>CategoryMonthlyRecords[[#This Row],[Base Cost]]+CategoryMonthlyRecords[[#This Row],[Add-on Amount]]</f>
        <v>0</v>
      </c>
      <c r="I50" s="151">
        <f>CategoryMonthlyRecords[[#This Row],[Gross Sales]]-CategoryMonthlyRecords[[#This Row],[Capital]]</f>
        <v>0</v>
      </c>
      <c r="J50" s="147" t="s">
        <v>461</v>
      </c>
      <c r="K50" s="150">
        <v>0</v>
      </c>
      <c r="L50" s="151">
        <f>MAX(0,CategoryMonthlyRecords[[#This Row],[Markup]]*CategoryMonthlyRecords[[#This Row],[Commission Rate]])</f>
        <v>0</v>
      </c>
      <c r="M50" s="151">
        <f>CategoryMonthlyRecords[[#This Row],[Markup]]-CategoryMonthlyRecords[[#This Row],[Agent Commission]]+CategoryMonthlyRecords[[#This Row],[Add-on Amount]]</f>
        <v>0</v>
      </c>
      <c r="N50" s="147" t="s">
        <v>465</v>
      </c>
    </row>
    <row r="51" spans="1:14" ht="25.5">
      <c r="A51" s="146">
        <v>46266</v>
      </c>
      <c r="B51" s="147" t="s">
        <v>178</v>
      </c>
      <c r="C51" s="148"/>
      <c r="D51" s="151"/>
      <c r="E51" s="151"/>
      <c r="F51" s="150">
        <v>0.03</v>
      </c>
      <c r="G51" s="151">
        <f>CategoryMonthlyRecords[[#This Row],[Base Cost]]*CategoryMonthlyRecords[[#This Row],[Add-on %]]</f>
        <v>0</v>
      </c>
      <c r="H51" s="151">
        <f>CategoryMonthlyRecords[[#This Row],[Base Cost]]+CategoryMonthlyRecords[[#This Row],[Add-on Amount]]</f>
        <v>0</v>
      </c>
      <c r="I51" s="151">
        <f>CategoryMonthlyRecords[[#This Row],[Gross Sales]]-CategoryMonthlyRecords[[#This Row],[Capital]]</f>
        <v>0</v>
      </c>
      <c r="J51" s="147" t="s">
        <v>181</v>
      </c>
      <c r="K51" s="150">
        <v>0.3</v>
      </c>
      <c r="L51" s="151">
        <f>MAX(0,CategoryMonthlyRecords[[#This Row],[Markup]]*CategoryMonthlyRecords[[#This Row],[Commission Rate]])</f>
        <v>0</v>
      </c>
      <c r="M51" s="151">
        <f>CategoryMonthlyRecords[[#This Row],[Markup]]-CategoryMonthlyRecords[[#This Row],[Agent Commission]]+CategoryMonthlyRecords[[#This Row],[Add-on Amount]]</f>
        <v>0</v>
      </c>
      <c r="N51" s="147" t="s">
        <v>465</v>
      </c>
    </row>
    <row r="52" spans="1:14" ht="25.5">
      <c r="A52" s="146">
        <v>46296</v>
      </c>
      <c r="B52" s="147" t="s">
        <v>167</v>
      </c>
      <c r="C52" s="148"/>
      <c r="D52" s="151"/>
      <c r="E52" s="151"/>
      <c r="F52" s="150">
        <v>0.01</v>
      </c>
      <c r="G52" s="151">
        <f>CategoryMonthlyRecords[[#This Row],[Base Cost]]*CategoryMonthlyRecords[[#This Row],[Add-on %]]</f>
        <v>0</v>
      </c>
      <c r="H52" s="151">
        <f>CategoryMonthlyRecords[[#This Row],[Base Cost]]+CategoryMonthlyRecords[[#This Row],[Add-on Amount]]</f>
        <v>0</v>
      </c>
      <c r="I52" s="151">
        <f>CategoryMonthlyRecords[[#This Row],[Gross Sales]]-CategoryMonthlyRecords[[#This Row],[Capital]]</f>
        <v>0</v>
      </c>
      <c r="J52" s="147" t="s">
        <v>461</v>
      </c>
      <c r="K52" s="150">
        <v>0</v>
      </c>
      <c r="L52" s="151">
        <f>MAX(0,CategoryMonthlyRecords[[#This Row],[Markup]]*CategoryMonthlyRecords[[#This Row],[Commission Rate]])</f>
        <v>0</v>
      </c>
      <c r="M52" s="151">
        <f>CategoryMonthlyRecords[[#This Row],[Markup]]-CategoryMonthlyRecords[[#This Row],[Agent Commission]]+CategoryMonthlyRecords[[#This Row],[Add-on Amount]]</f>
        <v>0</v>
      </c>
      <c r="N52" s="147" t="s">
        <v>466</v>
      </c>
    </row>
    <row r="53" spans="1:14" ht="25.5">
      <c r="A53" s="146">
        <v>46296</v>
      </c>
      <c r="B53" s="147" t="s">
        <v>168</v>
      </c>
      <c r="C53" s="148"/>
      <c r="D53" s="151"/>
      <c r="E53" s="151"/>
      <c r="F53" s="150">
        <v>7.0000000000000007E-2</v>
      </c>
      <c r="G53" s="151">
        <f>CategoryMonthlyRecords[[#This Row],[Base Cost]]*CategoryMonthlyRecords[[#This Row],[Add-on %]]</f>
        <v>0</v>
      </c>
      <c r="H53" s="151">
        <f>CategoryMonthlyRecords[[#This Row],[Base Cost]]+CategoryMonthlyRecords[[#This Row],[Add-on Amount]]</f>
        <v>0</v>
      </c>
      <c r="I53" s="151">
        <f>CategoryMonthlyRecords[[#This Row],[Gross Sales]]-CategoryMonthlyRecords[[#This Row],[Capital]]</f>
        <v>0</v>
      </c>
      <c r="J53" s="147" t="s">
        <v>181</v>
      </c>
      <c r="K53" s="150">
        <v>0.15</v>
      </c>
      <c r="L53" s="151">
        <f>MAX(0,CategoryMonthlyRecords[[#This Row],[Markup]]*CategoryMonthlyRecords[[#This Row],[Commission Rate]])</f>
        <v>0</v>
      </c>
      <c r="M53" s="151">
        <f>CategoryMonthlyRecords[[#This Row],[Markup]]-CategoryMonthlyRecords[[#This Row],[Agent Commission]]+CategoryMonthlyRecords[[#This Row],[Add-on Amount]]</f>
        <v>0</v>
      </c>
      <c r="N53" s="147" t="s">
        <v>466</v>
      </c>
    </row>
    <row r="54" spans="1:14" ht="25.5">
      <c r="A54" s="146">
        <v>46296</v>
      </c>
      <c r="B54" s="147" t="s">
        <v>169</v>
      </c>
      <c r="C54" s="148"/>
      <c r="D54" s="151"/>
      <c r="E54" s="151"/>
      <c r="F54" s="150">
        <v>0.01</v>
      </c>
      <c r="G54" s="151">
        <f>CategoryMonthlyRecords[[#This Row],[Base Cost]]*CategoryMonthlyRecords[[#This Row],[Add-on %]]</f>
        <v>0</v>
      </c>
      <c r="H54" s="151">
        <f>CategoryMonthlyRecords[[#This Row],[Base Cost]]+CategoryMonthlyRecords[[#This Row],[Add-on Amount]]</f>
        <v>0</v>
      </c>
      <c r="I54" s="151">
        <f>CategoryMonthlyRecords[[#This Row],[Gross Sales]]-CategoryMonthlyRecords[[#This Row],[Capital]]</f>
        <v>0</v>
      </c>
      <c r="J54" s="147" t="s">
        <v>181</v>
      </c>
      <c r="K54" s="150">
        <v>0.15</v>
      </c>
      <c r="L54" s="151">
        <f>MAX(0,CategoryMonthlyRecords[[#This Row],[Markup]]*CategoryMonthlyRecords[[#This Row],[Commission Rate]])</f>
        <v>0</v>
      </c>
      <c r="M54" s="151">
        <f>CategoryMonthlyRecords[[#This Row],[Markup]]-CategoryMonthlyRecords[[#This Row],[Agent Commission]]+CategoryMonthlyRecords[[#This Row],[Add-on Amount]]</f>
        <v>0</v>
      </c>
      <c r="N54" s="147" t="s">
        <v>466</v>
      </c>
    </row>
    <row r="55" spans="1:14" ht="25.5">
      <c r="A55" s="146">
        <v>46296</v>
      </c>
      <c r="B55" s="147" t="s">
        <v>170</v>
      </c>
      <c r="C55" s="148"/>
      <c r="D55" s="151"/>
      <c r="E55" s="151"/>
      <c r="F55" s="150">
        <v>0.01</v>
      </c>
      <c r="G55" s="151">
        <f>CategoryMonthlyRecords[[#This Row],[Base Cost]]*CategoryMonthlyRecords[[#This Row],[Add-on %]]</f>
        <v>0</v>
      </c>
      <c r="H55" s="151">
        <f>CategoryMonthlyRecords[[#This Row],[Base Cost]]+CategoryMonthlyRecords[[#This Row],[Add-on Amount]]</f>
        <v>0</v>
      </c>
      <c r="I55" s="151">
        <f>CategoryMonthlyRecords[[#This Row],[Gross Sales]]-CategoryMonthlyRecords[[#This Row],[Capital]]</f>
        <v>0</v>
      </c>
      <c r="J55" s="147" t="s">
        <v>181</v>
      </c>
      <c r="K55" s="150">
        <v>0.15</v>
      </c>
      <c r="L55" s="151">
        <f>MAX(0,CategoryMonthlyRecords[[#This Row],[Markup]]*CategoryMonthlyRecords[[#This Row],[Commission Rate]])</f>
        <v>0</v>
      </c>
      <c r="M55" s="151">
        <f>CategoryMonthlyRecords[[#This Row],[Markup]]-CategoryMonthlyRecords[[#This Row],[Agent Commission]]+CategoryMonthlyRecords[[#This Row],[Add-on Amount]]</f>
        <v>0</v>
      </c>
      <c r="N55" s="147" t="s">
        <v>466</v>
      </c>
    </row>
    <row r="56" spans="1:14" ht="25.5">
      <c r="A56" s="146">
        <v>46296</v>
      </c>
      <c r="B56" s="147" t="s">
        <v>171</v>
      </c>
      <c r="C56" s="148"/>
      <c r="D56" s="151"/>
      <c r="E56" s="151"/>
      <c r="F56" s="150">
        <v>0.01</v>
      </c>
      <c r="G56" s="151">
        <f>CategoryMonthlyRecords[[#This Row],[Base Cost]]*CategoryMonthlyRecords[[#This Row],[Add-on %]]</f>
        <v>0</v>
      </c>
      <c r="H56" s="151">
        <f>CategoryMonthlyRecords[[#This Row],[Base Cost]]+CategoryMonthlyRecords[[#This Row],[Add-on Amount]]</f>
        <v>0</v>
      </c>
      <c r="I56" s="151">
        <f>CategoryMonthlyRecords[[#This Row],[Gross Sales]]-CategoryMonthlyRecords[[#This Row],[Capital]]</f>
        <v>0</v>
      </c>
      <c r="J56" s="147" t="s">
        <v>461</v>
      </c>
      <c r="K56" s="150">
        <v>0</v>
      </c>
      <c r="L56" s="151">
        <f>MAX(0,CategoryMonthlyRecords[[#This Row],[Markup]]*CategoryMonthlyRecords[[#This Row],[Commission Rate]])</f>
        <v>0</v>
      </c>
      <c r="M56" s="151">
        <f>CategoryMonthlyRecords[[#This Row],[Markup]]-CategoryMonthlyRecords[[#This Row],[Agent Commission]]+CategoryMonthlyRecords[[#This Row],[Add-on Amount]]</f>
        <v>0</v>
      </c>
      <c r="N56" s="147" t="s">
        <v>466</v>
      </c>
    </row>
    <row r="57" spans="1:14" ht="25.5">
      <c r="A57" s="146">
        <v>46296</v>
      </c>
      <c r="B57" s="147" t="s">
        <v>172</v>
      </c>
      <c r="C57" s="148"/>
      <c r="D57" s="151"/>
      <c r="E57" s="151"/>
      <c r="F57" s="150">
        <v>0.02</v>
      </c>
      <c r="G57" s="151">
        <f>CategoryMonthlyRecords[[#This Row],[Base Cost]]*CategoryMonthlyRecords[[#This Row],[Add-on %]]</f>
        <v>0</v>
      </c>
      <c r="H57" s="151">
        <f>CategoryMonthlyRecords[[#This Row],[Base Cost]]+CategoryMonthlyRecords[[#This Row],[Add-on Amount]]</f>
        <v>0</v>
      </c>
      <c r="I57" s="151">
        <f>CategoryMonthlyRecords[[#This Row],[Gross Sales]]-CategoryMonthlyRecords[[#This Row],[Capital]]</f>
        <v>0</v>
      </c>
      <c r="J57" s="147" t="s">
        <v>181</v>
      </c>
      <c r="K57" s="150">
        <v>0.3</v>
      </c>
      <c r="L57" s="151">
        <f>MAX(0,CategoryMonthlyRecords[[#This Row],[Markup]]*CategoryMonthlyRecords[[#This Row],[Commission Rate]])</f>
        <v>0</v>
      </c>
      <c r="M57" s="151">
        <f>CategoryMonthlyRecords[[#This Row],[Markup]]-CategoryMonthlyRecords[[#This Row],[Agent Commission]]+CategoryMonthlyRecords[[#This Row],[Add-on Amount]]</f>
        <v>0</v>
      </c>
      <c r="N57" s="147" t="s">
        <v>466</v>
      </c>
    </row>
    <row r="58" spans="1:14" ht="25.5">
      <c r="A58" s="146">
        <v>46296</v>
      </c>
      <c r="B58" s="147" t="s">
        <v>173</v>
      </c>
      <c r="C58" s="148"/>
      <c r="D58" s="151"/>
      <c r="E58" s="151"/>
      <c r="F58" s="150">
        <v>0</v>
      </c>
      <c r="G58" s="151">
        <f>CategoryMonthlyRecords[[#This Row],[Base Cost]]*CategoryMonthlyRecords[[#This Row],[Add-on %]]</f>
        <v>0</v>
      </c>
      <c r="H58" s="151">
        <f>CategoryMonthlyRecords[[#This Row],[Base Cost]]+CategoryMonthlyRecords[[#This Row],[Add-on Amount]]</f>
        <v>0</v>
      </c>
      <c r="I58" s="151">
        <f>CategoryMonthlyRecords[[#This Row],[Gross Sales]]-CategoryMonthlyRecords[[#This Row],[Capital]]</f>
        <v>0</v>
      </c>
      <c r="J58" s="147" t="s">
        <v>461</v>
      </c>
      <c r="K58" s="150">
        <v>0</v>
      </c>
      <c r="L58" s="151">
        <f>MAX(0,CategoryMonthlyRecords[[#This Row],[Markup]]*CategoryMonthlyRecords[[#This Row],[Commission Rate]])</f>
        <v>0</v>
      </c>
      <c r="M58" s="151">
        <f>CategoryMonthlyRecords[[#This Row],[Markup]]-CategoryMonthlyRecords[[#This Row],[Agent Commission]]+CategoryMonthlyRecords[[#This Row],[Add-on Amount]]</f>
        <v>0</v>
      </c>
      <c r="N58" s="147" t="s">
        <v>466</v>
      </c>
    </row>
    <row r="59" spans="1:14" ht="25.5">
      <c r="A59" s="146">
        <v>46296</v>
      </c>
      <c r="B59" s="147" t="s">
        <v>174</v>
      </c>
      <c r="C59" s="148"/>
      <c r="D59" s="151"/>
      <c r="E59" s="151"/>
      <c r="F59" s="150">
        <v>0.03</v>
      </c>
      <c r="G59" s="151">
        <f>CategoryMonthlyRecords[[#This Row],[Base Cost]]*CategoryMonthlyRecords[[#This Row],[Add-on %]]</f>
        <v>0</v>
      </c>
      <c r="H59" s="151">
        <f>CategoryMonthlyRecords[[#This Row],[Base Cost]]+CategoryMonthlyRecords[[#This Row],[Add-on Amount]]</f>
        <v>0</v>
      </c>
      <c r="I59" s="151">
        <f>CategoryMonthlyRecords[[#This Row],[Gross Sales]]-CategoryMonthlyRecords[[#This Row],[Capital]]</f>
        <v>0</v>
      </c>
      <c r="J59" s="147" t="s">
        <v>181</v>
      </c>
      <c r="K59" s="150">
        <v>0.3</v>
      </c>
      <c r="L59" s="151">
        <f>MAX(0,CategoryMonthlyRecords[[#This Row],[Markup]]*CategoryMonthlyRecords[[#This Row],[Commission Rate]])</f>
        <v>0</v>
      </c>
      <c r="M59" s="151">
        <f>CategoryMonthlyRecords[[#This Row],[Markup]]-CategoryMonthlyRecords[[#This Row],[Agent Commission]]+CategoryMonthlyRecords[[#This Row],[Add-on Amount]]</f>
        <v>0</v>
      </c>
      <c r="N59" s="147" t="s">
        <v>466</v>
      </c>
    </row>
    <row r="60" spans="1:14" ht="25.5">
      <c r="A60" s="146">
        <v>46296</v>
      </c>
      <c r="B60" s="147" t="s">
        <v>175</v>
      </c>
      <c r="C60" s="148"/>
      <c r="D60" s="151"/>
      <c r="E60" s="151"/>
      <c r="F60" s="150">
        <v>0.03</v>
      </c>
      <c r="G60" s="151">
        <f>CategoryMonthlyRecords[[#This Row],[Base Cost]]*CategoryMonthlyRecords[[#This Row],[Add-on %]]</f>
        <v>0</v>
      </c>
      <c r="H60" s="151">
        <f>CategoryMonthlyRecords[[#This Row],[Base Cost]]+CategoryMonthlyRecords[[#This Row],[Add-on Amount]]</f>
        <v>0</v>
      </c>
      <c r="I60" s="151">
        <f>CategoryMonthlyRecords[[#This Row],[Gross Sales]]-CategoryMonthlyRecords[[#This Row],[Capital]]</f>
        <v>0</v>
      </c>
      <c r="J60" s="147" t="s">
        <v>181</v>
      </c>
      <c r="K60" s="150">
        <v>0.3</v>
      </c>
      <c r="L60" s="151">
        <f>MAX(0,CategoryMonthlyRecords[[#This Row],[Markup]]*CategoryMonthlyRecords[[#This Row],[Commission Rate]])</f>
        <v>0</v>
      </c>
      <c r="M60" s="151">
        <f>CategoryMonthlyRecords[[#This Row],[Markup]]-CategoryMonthlyRecords[[#This Row],[Agent Commission]]+CategoryMonthlyRecords[[#This Row],[Add-on Amount]]</f>
        <v>0</v>
      </c>
      <c r="N60" s="147" t="s">
        <v>466</v>
      </c>
    </row>
    <row r="61" spans="1:14" ht="25.5">
      <c r="A61" s="146">
        <v>46296</v>
      </c>
      <c r="B61" s="147" t="s">
        <v>176</v>
      </c>
      <c r="C61" s="148"/>
      <c r="D61" s="151"/>
      <c r="E61" s="151"/>
      <c r="F61" s="150">
        <v>0.03</v>
      </c>
      <c r="G61" s="151">
        <f>CategoryMonthlyRecords[[#This Row],[Base Cost]]*CategoryMonthlyRecords[[#This Row],[Add-on %]]</f>
        <v>0</v>
      </c>
      <c r="H61" s="151">
        <f>CategoryMonthlyRecords[[#This Row],[Base Cost]]+CategoryMonthlyRecords[[#This Row],[Add-on Amount]]</f>
        <v>0</v>
      </c>
      <c r="I61" s="151">
        <f>CategoryMonthlyRecords[[#This Row],[Gross Sales]]-CategoryMonthlyRecords[[#This Row],[Capital]]</f>
        <v>0</v>
      </c>
      <c r="J61" s="147" t="s">
        <v>181</v>
      </c>
      <c r="K61" s="150">
        <v>0.3</v>
      </c>
      <c r="L61" s="151">
        <f>MAX(0,CategoryMonthlyRecords[[#This Row],[Markup]]*CategoryMonthlyRecords[[#This Row],[Commission Rate]])</f>
        <v>0</v>
      </c>
      <c r="M61" s="151">
        <f>CategoryMonthlyRecords[[#This Row],[Markup]]-CategoryMonthlyRecords[[#This Row],[Agent Commission]]+CategoryMonthlyRecords[[#This Row],[Add-on Amount]]</f>
        <v>0</v>
      </c>
      <c r="N61" s="147" t="s">
        <v>466</v>
      </c>
    </row>
    <row r="62" spans="1:14" ht="25.5">
      <c r="A62" s="146">
        <v>46296</v>
      </c>
      <c r="B62" s="147" t="s">
        <v>177</v>
      </c>
      <c r="C62" s="148"/>
      <c r="D62" s="151"/>
      <c r="E62" s="151"/>
      <c r="F62" s="150">
        <v>0.01</v>
      </c>
      <c r="G62" s="151">
        <f>CategoryMonthlyRecords[[#This Row],[Base Cost]]*CategoryMonthlyRecords[[#This Row],[Add-on %]]</f>
        <v>0</v>
      </c>
      <c r="H62" s="151">
        <f>CategoryMonthlyRecords[[#This Row],[Base Cost]]+CategoryMonthlyRecords[[#This Row],[Add-on Amount]]</f>
        <v>0</v>
      </c>
      <c r="I62" s="151">
        <f>CategoryMonthlyRecords[[#This Row],[Gross Sales]]-CategoryMonthlyRecords[[#This Row],[Capital]]</f>
        <v>0</v>
      </c>
      <c r="J62" s="147" t="s">
        <v>461</v>
      </c>
      <c r="K62" s="150">
        <v>0</v>
      </c>
      <c r="L62" s="151">
        <f>MAX(0,CategoryMonthlyRecords[[#This Row],[Markup]]*CategoryMonthlyRecords[[#This Row],[Commission Rate]])</f>
        <v>0</v>
      </c>
      <c r="M62" s="151">
        <f>CategoryMonthlyRecords[[#This Row],[Markup]]-CategoryMonthlyRecords[[#This Row],[Agent Commission]]+CategoryMonthlyRecords[[#This Row],[Add-on Amount]]</f>
        <v>0</v>
      </c>
      <c r="N62" s="147" t="s">
        <v>466</v>
      </c>
    </row>
    <row r="63" spans="1:14" ht="25.5">
      <c r="A63" s="146">
        <v>46296</v>
      </c>
      <c r="B63" s="147" t="s">
        <v>178</v>
      </c>
      <c r="C63" s="148"/>
      <c r="D63" s="151"/>
      <c r="E63" s="151"/>
      <c r="F63" s="150">
        <v>0.03</v>
      </c>
      <c r="G63" s="151">
        <f>CategoryMonthlyRecords[[#This Row],[Base Cost]]*CategoryMonthlyRecords[[#This Row],[Add-on %]]</f>
        <v>0</v>
      </c>
      <c r="H63" s="151">
        <f>CategoryMonthlyRecords[[#This Row],[Base Cost]]+CategoryMonthlyRecords[[#This Row],[Add-on Amount]]</f>
        <v>0</v>
      </c>
      <c r="I63" s="151">
        <f>CategoryMonthlyRecords[[#This Row],[Gross Sales]]-CategoryMonthlyRecords[[#This Row],[Capital]]</f>
        <v>0</v>
      </c>
      <c r="J63" s="147" t="s">
        <v>181</v>
      </c>
      <c r="K63" s="150">
        <v>0.3</v>
      </c>
      <c r="L63" s="151">
        <f>MAX(0,CategoryMonthlyRecords[[#This Row],[Markup]]*CategoryMonthlyRecords[[#This Row],[Commission Rate]])</f>
        <v>0</v>
      </c>
      <c r="M63" s="151">
        <f>CategoryMonthlyRecords[[#This Row],[Markup]]-CategoryMonthlyRecords[[#This Row],[Agent Commission]]+CategoryMonthlyRecords[[#This Row],[Add-on Amount]]</f>
        <v>0</v>
      </c>
      <c r="N63" s="147" t="s">
        <v>466</v>
      </c>
    </row>
    <row r="64" spans="1:14" ht="25.5">
      <c r="A64" s="146">
        <v>46327</v>
      </c>
      <c r="B64" s="147" t="s">
        <v>167</v>
      </c>
      <c r="C64" s="148"/>
      <c r="D64" s="151"/>
      <c r="E64" s="151"/>
      <c r="F64" s="150">
        <v>0.01</v>
      </c>
      <c r="G64" s="151">
        <f>CategoryMonthlyRecords[[#This Row],[Base Cost]]*CategoryMonthlyRecords[[#This Row],[Add-on %]]</f>
        <v>0</v>
      </c>
      <c r="H64" s="151">
        <f>CategoryMonthlyRecords[[#This Row],[Base Cost]]+CategoryMonthlyRecords[[#This Row],[Add-on Amount]]</f>
        <v>0</v>
      </c>
      <c r="I64" s="151">
        <f>CategoryMonthlyRecords[[#This Row],[Gross Sales]]-CategoryMonthlyRecords[[#This Row],[Capital]]</f>
        <v>0</v>
      </c>
      <c r="J64" s="147" t="s">
        <v>461</v>
      </c>
      <c r="K64" s="150">
        <v>0</v>
      </c>
      <c r="L64" s="151">
        <f>MAX(0,CategoryMonthlyRecords[[#This Row],[Markup]]*CategoryMonthlyRecords[[#This Row],[Commission Rate]])</f>
        <v>0</v>
      </c>
      <c r="M64" s="151">
        <f>CategoryMonthlyRecords[[#This Row],[Markup]]-CategoryMonthlyRecords[[#This Row],[Agent Commission]]+CategoryMonthlyRecords[[#This Row],[Add-on Amount]]</f>
        <v>0</v>
      </c>
      <c r="N64" s="147" t="s">
        <v>467</v>
      </c>
    </row>
    <row r="65" spans="1:14" ht="25.5">
      <c r="A65" s="146">
        <v>46327</v>
      </c>
      <c r="B65" s="147" t="s">
        <v>168</v>
      </c>
      <c r="C65" s="148"/>
      <c r="D65" s="151"/>
      <c r="E65" s="151"/>
      <c r="F65" s="150">
        <v>7.0000000000000007E-2</v>
      </c>
      <c r="G65" s="151">
        <f>CategoryMonthlyRecords[[#This Row],[Base Cost]]*CategoryMonthlyRecords[[#This Row],[Add-on %]]</f>
        <v>0</v>
      </c>
      <c r="H65" s="151">
        <f>CategoryMonthlyRecords[[#This Row],[Base Cost]]+CategoryMonthlyRecords[[#This Row],[Add-on Amount]]</f>
        <v>0</v>
      </c>
      <c r="I65" s="151">
        <f>CategoryMonthlyRecords[[#This Row],[Gross Sales]]-CategoryMonthlyRecords[[#This Row],[Capital]]</f>
        <v>0</v>
      </c>
      <c r="J65" s="147" t="s">
        <v>181</v>
      </c>
      <c r="K65" s="150">
        <v>0.15</v>
      </c>
      <c r="L65" s="151">
        <f>MAX(0,CategoryMonthlyRecords[[#This Row],[Markup]]*CategoryMonthlyRecords[[#This Row],[Commission Rate]])</f>
        <v>0</v>
      </c>
      <c r="M65" s="151">
        <f>CategoryMonthlyRecords[[#This Row],[Markup]]-CategoryMonthlyRecords[[#This Row],[Agent Commission]]+CategoryMonthlyRecords[[#This Row],[Add-on Amount]]</f>
        <v>0</v>
      </c>
      <c r="N65" s="147" t="s">
        <v>467</v>
      </c>
    </row>
    <row r="66" spans="1:14" ht="25.5">
      <c r="A66" s="146">
        <v>46327</v>
      </c>
      <c r="B66" s="147" t="s">
        <v>169</v>
      </c>
      <c r="C66" s="148"/>
      <c r="D66" s="151"/>
      <c r="E66" s="151"/>
      <c r="F66" s="150">
        <v>0.01</v>
      </c>
      <c r="G66" s="151">
        <f>CategoryMonthlyRecords[[#This Row],[Base Cost]]*CategoryMonthlyRecords[[#This Row],[Add-on %]]</f>
        <v>0</v>
      </c>
      <c r="H66" s="151">
        <f>CategoryMonthlyRecords[[#This Row],[Base Cost]]+CategoryMonthlyRecords[[#This Row],[Add-on Amount]]</f>
        <v>0</v>
      </c>
      <c r="I66" s="151">
        <f>CategoryMonthlyRecords[[#This Row],[Gross Sales]]-CategoryMonthlyRecords[[#This Row],[Capital]]</f>
        <v>0</v>
      </c>
      <c r="J66" s="147" t="s">
        <v>181</v>
      </c>
      <c r="K66" s="150">
        <v>0.15</v>
      </c>
      <c r="L66" s="151">
        <f>MAX(0,CategoryMonthlyRecords[[#This Row],[Markup]]*CategoryMonthlyRecords[[#This Row],[Commission Rate]])</f>
        <v>0</v>
      </c>
      <c r="M66" s="151">
        <f>CategoryMonthlyRecords[[#This Row],[Markup]]-CategoryMonthlyRecords[[#This Row],[Agent Commission]]+CategoryMonthlyRecords[[#This Row],[Add-on Amount]]</f>
        <v>0</v>
      </c>
      <c r="N66" s="147" t="s">
        <v>467</v>
      </c>
    </row>
    <row r="67" spans="1:14" ht="25.5">
      <c r="A67" s="146">
        <v>46327</v>
      </c>
      <c r="B67" s="147" t="s">
        <v>170</v>
      </c>
      <c r="C67" s="148"/>
      <c r="D67" s="151"/>
      <c r="E67" s="151"/>
      <c r="F67" s="150">
        <v>0.01</v>
      </c>
      <c r="G67" s="151">
        <f>CategoryMonthlyRecords[[#This Row],[Base Cost]]*CategoryMonthlyRecords[[#This Row],[Add-on %]]</f>
        <v>0</v>
      </c>
      <c r="H67" s="151">
        <f>CategoryMonthlyRecords[[#This Row],[Base Cost]]+CategoryMonthlyRecords[[#This Row],[Add-on Amount]]</f>
        <v>0</v>
      </c>
      <c r="I67" s="151">
        <f>CategoryMonthlyRecords[[#This Row],[Gross Sales]]-CategoryMonthlyRecords[[#This Row],[Capital]]</f>
        <v>0</v>
      </c>
      <c r="J67" s="147" t="s">
        <v>181</v>
      </c>
      <c r="K67" s="150">
        <v>0.15</v>
      </c>
      <c r="L67" s="151">
        <f>MAX(0,CategoryMonthlyRecords[[#This Row],[Markup]]*CategoryMonthlyRecords[[#This Row],[Commission Rate]])</f>
        <v>0</v>
      </c>
      <c r="M67" s="151">
        <f>CategoryMonthlyRecords[[#This Row],[Markup]]-CategoryMonthlyRecords[[#This Row],[Agent Commission]]+CategoryMonthlyRecords[[#This Row],[Add-on Amount]]</f>
        <v>0</v>
      </c>
      <c r="N67" s="147" t="s">
        <v>467</v>
      </c>
    </row>
    <row r="68" spans="1:14" ht="25.5">
      <c r="A68" s="146">
        <v>46327</v>
      </c>
      <c r="B68" s="147" t="s">
        <v>171</v>
      </c>
      <c r="C68" s="148"/>
      <c r="D68" s="151"/>
      <c r="E68" s="151"/>
      <c r="F68" s="150">
        <v>0.01</v>
      </c>
      <c r="G68" s="151">
        <f>CategoryMonthlyRecords[[#This Row],[Base Cost]]*CategoryMonthlyRecords[[#This Row],[Add-on %]]</f>
        <v>0</v>
      </c>
      <c r="H68" s="151">
        <f>CategoryMonthlyRecords[[#This Row],[Base Cost]]+CategoryMonthlyRecords[[#This Row],[Add-on Amount]]</f>
        <v>0</v>
      </c>
      <c r="I68" s="151">
        <f>CategoryMonthlyRecords[[#This Row],[Gross Sales]]-CategoryMonthlyRecords[[#This Row],[Capital]]</f>
        <v>0</v>
      </c>
      <c r="J68" s="147" t="s">
        <v>461</v>
      </c>
      <c r="K68" s="150">
        <v>0</v>
      </c>
      <c r="L68" s="151">
        <f>MAX(0,CategoryMonthlyRecords[[#This Row],[Markup]]*CategoryMonthlyRecords[[#This Row],[Commission Rate]])</f>
        <v>0</v>
      </c>
      <c r="M68" s="151">
        <f>CategoryMonthlyRecords[[#This Row],[Markup]]-CategoryMonthlyRecords[[#This Row],[Agent Commission]]+CategoryMonthlyRecords[[#This Row],[Add-on Amount]]</f>
        <v>0</v>
      </c>
      <c r="N68" s="147" t="s">
        <v>467</v>
      </c>
    </row>
    <row r="69" spans="1:14" ht="25.5">
      <c r="A69" s="146">
        <v>46327</v>
      </c>
      <c r="B69" s="147" t="s">
        <v>172</v>
      </c>
      <c r="C69" s="148"/>
      <c r="D69" s="151"/>
      <c r="E69" s="151"/>
      <c r="F69" s="150">
        <v>0.02</v>
      </c>
      <c r="G69" s="151">
        <f>CategoryMonthlyRecords[[#This Row],[Base Cost]]*CategoryMonthlyRecords[[#This Row],[Add-on %]]</f>
        <v>0</v>
      </c>
      <c r="H69" s="151">
        <f>CategoryMonthlyRecords[[#This Row],[Base Cost]]+CategoryMonthlyRecords[[#This Row],[Add-on Amount]]</f>
        <v>0</v>
      </c>
      <c r="I69" s="151">
        <f>CategoryMonthlyRecords[[#This Row],[Gross Sales]]-CategoryMonthlyRecords[[#This Row],[Capital]]</f>
        <v>0</v>
      </c>
      <c r="J69" s="147" t="s">
        <v>181</v>
      </c>
      <c r="K69" s="150">
        <v>0.3</v>
      </c>
      <c r="L69" s="151">
        <f>MAX(0,CategoryMonthlyRecords[[#This Row],[Markup]]*CategoryMonthlyRecords[[#This Row],[Commission Rate]])</f>
        <v>0</v>
      </c>
      <c r="M69" s="151">
        <f>CategoryMonthlyRecords[[#This Row],[Markup]]-CategoryMonthlyRecords[[#This Row],[Agent Commission]]+CategoryMonthlyRecords[[#This Row],[Add-on Amount]]</f>
        <v>0</v>
      </c>
      <c r="N69" s="147" t="s">
        <v>467</v>
      </c>
    </row>
    <row r="70" spans="1:14" ht="25.5">
      <c r="A70" s="146">
        <v>46327</v>
      </c>
      <c r="B70" s="147" t="s">
        <v>173</v>
      </c>
      <c r="C70" s="148"/>
      <c r="D70" s="151"/>
      <c r="E70" s="151"/>
      <c r="F70" s="150">
        <v>0</v>
      </c>
      <c r="G70" s="151">
        <f>CategoryMonthlyRecords[[#This Row],[Base Cost]]*CategoryMonthlyRecords[[#This Row],[Add-on %]]</f>
        <v>0</v>
      </c>
      <c r="H70" s="151">
        <f>CategoryMonthlyRecords[[#This Row],[Base Cost]]+CategoryMonthlyRecords[[#This Row],[Add-on Amount]]</f>
        <v>0</v>
      </c>
      <c r="I70" s="151">
        <f>CategoryMonthlyRecords[[#This Row],[Gross Sales]]-CategoryMonthlyRecords[[#This Row],[Capital]]</f>
        <v>0</v>
      </c>
      <c r="J70" s="147" t="s">
        <v>461</v>
      </c>
      <c r="K70" s="150">
        <v>0</v>
      </c>
      <c r="L70" s="151">
        <f>MAX(0,CategoryMonthlyRecords[[#This Row],[Markup]]*CategoryMonthlyRecords[[#This Row],[Commission Rate]])</f>
        <v>0</v>
      </c>
      <c r="M70" s="151">
        <f>CategoryMonthlyRecords[[#This Row],[Markup]]-CategoryMonthlyRecords[[#This Row],[Agent Commission]]+CategoryMonthlyRecords[[#This Row],[Add-on Amount]]</f>
        <v>0</v>
      </c>
      <c r="N70" s="147" t="s">
        <v>467</v>
      </c>
    </row>
    <row r="71" spans="1:14" ht="25.5">
      <c r="A71" s="146">
        <v>46327</v>
      </c>
      <c r="B71" s="147" t="s">
        <v>174</v>
      </c>
      <c r="C71" s="148"/>
      <c r="D71" s="151"/>
      <c r="E71" s="151"/>
      <c r="F71" s="150">
        <v>0.03</v>
      </c>
      <c r="G71" s="151">
        <f>CategoryMonthlyRecords[[#This Row],[Base Cost]]*CategoryMonthlyRecords[[#This Row],[Add-on %]]</f>
        <v>0</v>
      </c>
      <c r="H71" s="151">
        <f>CategoryMonthlyRecords[[#This Row],[Base Cost]]+CategoryMonthlyRecords[[#This Row],[Add-on Amount]]</f>
        <v>0</v>
      </c>
      <c r="I71" s="151">
        <f>CategoryMonthlyRecords[[#This Row],[Gross Sales]]-CategoryMonthlyRecords[[#This Row],[Capital]]</f>
        <v>0</v>
      </c>
      <c r="J71" s="147" t="s">
        <v>181</v>
      </c>
      <c r="K71" s="150">
        <v>0.3</v>
      </c>
      <c r="L71" s="151">
        <f>MAX(0,CategoryMonthlyRecords[[#This Row],[Markup]]*CategoryMonthlyRecords[[#This Row],[Commission Rate]])</f>
        <v>0</v>
      </c>
      <c r="M71" s="151">
        <f>CategoryMonthlyRecords[[#This Row],[Markup]]-CategoryMonthlyRecords[[#This Row],[Agent Commission]]+CategoryMonthlyRecords[[#This Row],[Add-on Amount]]</f>
        <v>0</v>
      </c>
      <c r="N71" s="147" t="s">
        <v>467</v>
      </c>
    </row>
    <row r="72" spans="1:14" ht="25.5">
      <c r="A72" s="146">
        <v>46327</v>
      </c>
      <c r="B72" s="147" t="s">
        <v>175</v>
      </c>
      <c r="C72" s="148"/>
      <c r="D72" s="151"/>
      <c r="E72" s="151"/>
      <c r="F72" s="150">
        <v>0.03</v>
      </c>
      <c r="G72" s="151">
        <f>CategoryMonthlyRecords[[#This Row],[Base Cost]]*CategoryMonthlyRecords[[#This Row],[Add-on %]]</f>
        <v>0</v>
      </c>
      <c r="H72" s="151">
        <f>CategoryMonthlyRecords[[#This Row],[Base Cost]]+CategoryMonthlyRecords[[#This Row],[Add-on Amount]]</f>
        <v>0</v>
      </c>
      <c r="I72" s="151">
        <f>CategoryMonthlyRecords[[#This Row],[Gross Sales]]-CategoryMonthlyRecords[[#This Row],[Capital]]</f>
        <v>0</v>
      </c>
      <c r="J72" s="147" t="s">
        <v>181</v>
      </c>
      <c r="K72" s="150">
        <v>0.3</v>
      </c>
      <c r="L72" s="151">
        <f>MAX(0,CategoryMonthlyRecords[[#This Row],[Markup]]*CategoryMonthlyRecords[[#This Row],[Commission Rate]])</f>
        <v>0</v>
      </c>
      <c r="M72" s="151">
        <f>CategoryMonthlyRecords[[#This Row],[Markup]]-CategoryMonthlyRecords[[#This Row],[Agent Commission]]+CategoryMonthlyRecords[[#This Row],[Add-on Amount]]</f>
        <v>0</v>
      </c>
      <c r="N72" s="147" t="s">
        <v>467</v>
      </c>
    </row>
    <row r="73" spans="1:14" ht="25.5">
      <c r="A73" s="146">
        <v>46327</v>
      </c>
      <c r="B73" s="147" t="s">
        <v>176</v>
      </c>
      <c r="C73" s="148"/>
      <c r="D73" s="151"/>
      <c r="E73" s="151"/>
      <c r="F73" s="150">
        <v>0.03</v>
      </c>
      <c r="G73" s="151">
        <f>CategoryMonthlyRecords[[#This Row],[Base Cost]]*CategoryMonthlyRecords[[#This Row],[Add-on %]]</f>
        <v>0</v>
      </c>
      <c r="H73" s="151">
        <f>CategoryMonthlyRecords[[#This Row],[Base Cost]]+CategoryMonthlyRecords[[#This Row],[Add-on Amount]]</f>
        <v>0</v>
      </c>
      <c r="I73" s="151">
        <f>CategoryMonthlyRecords[[#This Row],[Gross Sales]]-CategoryMonthlyRecords[[#This Row],[Capital]]</f>
        <v>0</v>
      </c>
      <c r="J73" s="147" t="s">
        <v>181</v>
      </c>
      <c r="K73" s="150">
        <v>0.3</v>
      </c>
      <c r="L73" s="151">
        <f>MAX(0,CategoryMonthlyRecords[[#This Row],[Markup]]*CategoryMonthlyRecords[[#This Row],[Commission Rate]])</f>
        <v>0</v>
      </c>
      <c r="M73" s="151">
        <f>CategoryMonthlyRecords[[#This Row],[Markup]]-CategoryMonthlyRecords[[#This Row],[Agent Commission]]+CategoryMonthlyRecords[[#This Row],[Add-on Amount]]</f>
        <v>0</v>
      </c>
      <c r="N73" s="147" t="s">
        <v>467</v>
      </c>
    </row>
    <row r="74" spans="1:14" ht="25.5">
      <c r="A74" s="146">
        <v>46327</v>
      </c>
      <c r="B74" s="147" t="s">
        <v>177</v>
      </c>
      <c r="C74" s="148"/>
      <c r="D74" s="151"/>
      <c r="E74" s="151"/>
      <c r="F74" s="150">
        <v>0.01</v>
      </c>
      <c r="G74" s="151">
        <f>CategoryMonthlyRecords[[#This Row],[Base Cost]]*CategoryMonthlyRecords[[#This Row],[Add-on %]]</f>
        <v>0</v>
      </c>
      <c r="H74" s="151">
        <f>CategoryMonthlyRecords[[#This Row],[Base Cost]]+CategoryMonthlyRecords[[#This Row],[Add-on Amount]]</f>
        <v>0</v>
      </c>
      <c r="I74" s="151">
        <f>CategoryMonthlyRecords[[#This Row],[Gross Sales]]-CategoryMonthlyRecords[[#This Row],[Capital]]</f>
        <v>0</v>
      </c>
      <c r="J74" s="147" t="s">
        <v>461</v>
      </c>
      <c r="K74" s="150">
        <v>0</v>
      </c>
      <c r="L74" s="151">
        <f>MAX(0,CategoryMonthlyRecords[[#This Row],[Markup]]*CategoryMonthlyRecords[[#This Row],[Commission Rate]])</f>
        <v>0</v>
      </c>
      <c r="M74" s="151">
        <f>CategoryMonthlyRecords[[#This Row],[Markup]]-CategoryMonthlyRecords[[#This Row],[Agent Commission]]+CategoryMonthlyRecords[[#This Row],[Add-on Amount]]</f>
        <v>0</v>
      </c>
      <c r="N74" s="147" t="s">
        <v>467</v>
      </c>
    </row>
    <row r="75" spans="1:14" ht="25.5">
      <c r="A75" s="146">
        <v>46327</v>
      </c>
      <c r="B75" s="147" t="s">
        <v>178</v>
      </c>
      <c r="C75" s="148"/>
      <c r="D75" s="151"/>
      <c r="E75" s="151"/>
      <c r="F75" s="150">
        <v>0.03</v>
      </c>
      <c r="G75" s="151">
        <f>CategoryMonthlyRecords[[#This Row],[Base Cost]]*CategoryMonthlyRecords[[#This Row],[Add-on %]]</f>
        <v>0</v>
      </c>
      <c r="H75" s="151">
        <f>CategoryMonthlyRecords[[#This Row],[Base Cost]]+CategoryMonthlyRecords[[#This Row],[Add-on Amount]]</f>
        <v>0</v>
      </c>
      <c r="I75" s="151">
        <f>CategoryMonthlyRecords[[#This Row],[Gross Sales]]-CategoryMonthlyRecords[[#This Row],[Capital]]</f>
        <v>0</v>
      </c>
      <c r="J75" s="147" t="s">
        <v>181</v>
      </c>
      <c r="K75" s="150">
        <v>0.3</v>
      </c>
      <c r="L75" s="151">
        <f>MAX(0,CategoryMonthlyRecords[[#This Row],[Markup]]*CategoryMonthlyRecords[[#This Row],[Commission Rate]])</f>
        <v>0</v>
      </c>
      <c r="M75" s="151">
        <f>CategoryMonthlyRecords[[#This Row],[Markup]]-CategoryMonthlyRecords[[#This Row],[Agent Commission]]+CategoryMonthlyRecords[[#This Row],[Add-on Amount]]</f>
        <v>0</v>
      </c>
      <c r="N75" s="147" t="s">
        <v>467</v>
      </c>
    </row>
    <row r="76" spans="1:14" ht="25.5">
      <c r="A76" s="146">
        <v>46357</v>
      </c>
      <c r="B76" s="147" t="s">
        <v>167</v>
      </c>
      <c r="C76" s="148"/>
      <c r="D76" s="151"/>
      <c r="E76" s="151"/>
      <c r="F76" s="150">
        <v>0.01</v>
      </c>
      <c r="G76" s="151">
        <f>CategoryMonthlyRecords[[#This Row],[Base Cost]]*CategoryMonthlyRecords[[#This Row],[Add-on %]]</f>
        <v>0</v>
      </c>
      <c r="H76" s="151">
        <f>CategoryMonthlyRecords[[#This Row],[Base Cost]]+CategoryMonthlyRecords[[#This Row],[Add-on Amount]]</f>
        <v>0</v>
      </c>
      <c r="I76" s="151">
        <f>CategoryMonthlyRecords[[#This Row],[Gross Sales]]-CategoryMonthlyRecords[[#This Row],[Capital]]</f>
        <v>0</v>
      </c>
      <c r="J76" s="147" t="s">
        <v>461</v>
      </c>
      <c r="K76" s="150">
        <v>0</v>
      </c>
      <c r="L76" s="151">
        <f>MAX(0,CategoryMonthlyRecords[[#This Row],[Markup]]*CategoryMonthlyRecords[[#This Row],[Commission Rate]])</f>
        <v>0</v>
      </c>
      <c r="M76" s="151">
        <f>CategoryMonthlyRecords[[#This Row],[Markup]]-CategoryMonthlyRecords[[#This Row],[Agent Commission]]+CategoryMonthlyRecords[[#This Row],[Add-on Amount]]</f>
        <v>0</v>
      </c>
      <c r="N76" s="147" t="s">
        <v>468</v>
      </c>
    </row>
    <row r="77" spans="1:14" ht="25.5">
      <c r="A77" s="146">
        <v>46357</v>
      </c>
      <c r="B77" s="147" t="s">
        <v>168</v>
      </c>
      <c r="C77" s="148"/>
      <c r="D77" s="151"/>
      <c r="E77" s="151"/>
      <c r="F77" s="150">
        <v>7.0000000000000007E-2</v>
      </c>
      <c r="G77" s="151">
        <f>CategoryMonthlyRecords[[#This Row],[Base Cost]]*CategoryMonthlyRecords[[#This Row],[Add-on %]]</f>
        <v>0</v>
      </c>
      <c r="H77" s="151">
        <f>CategoryMonthlyRecords[[#This Row],[Base Cost]]+CategoryMonthlyRecords[[#This Row],[Add-on Amount]]</f>
        <v>0</v>
      </c>
      <c r="I77" s="151">
        <f>CategoryMonthlyRecords[[#This Row],[Gross Sales]]-CategoryMonthlyRecords[[#This Row],[Capital]]</f>
        <v>0</v>
      </c>
      <c r="J77" s="147" t="s">
        <v>181</v>
      </c>
      <c r="K77" s="150">
        <v>0.15</v>
      </c>
      <c r="L77" s="151">
        <f>MAX(0,CategoryMonthlyRecords[[#This Row],[Markup]]*CategoryMonthlyRecords[[#This Row],[Commission Rate]])</f>
        <v>0</v>
      </c>
      <c r="M77" s="151">
        <f>CategoryMonthlyRecords[[#This Row],[Markup]]-CategoryMonthlyRecords[[#This Row],[Agent Commission]]+CategoryMonthlyRecords[[#This Row],[Add-on Amount]]</f>
        <v>0</v>
      </c>
      <c r="N77" s="147" t="s">
        <v>468</v>
      </c>
    </row>
    <row r="78" spans="1:14" ht="25.5">
      <c r="A78" s="146">
        <v>46357</v>
      </c>
      <c r="B78" s="147" t="s">
        <v>169</v>
      </c>
      <c r="C78" s="148"/>
      <c r="D78" s="151"/>
      <c r="E78" s="151"/>
      <c r="F78" s="150">
        <v>0.01</v>
      </c>
      <c r="G78" s="151">
        <f>CategoryMonthlyRecords[[#This Row],[Base Cost]]*CategoryMonthlyRecords[[#This Row],[Add-on %]]</f>
        <v>0</v>
      </c>
      <c r="H78" s="151">
        <f>CategoryMonthlyRecords[[#This Row],[Base Cost]]+CategoryMonthlyRecords[[#This Row],[Add-on Amount]]</f>
        <v>0</v>
      </c>
      <c r="I78" s="151">
        <f>CategoryMonthlyRecords[[#This Row],[Gross Sales]]-CategoryMonthlyRecords[[#This Row],[Capital]]</f>
        <v>0</v>
      </c>
      <c r="J78" s="147" t="s">
        <v>181</v>
      </c>
      <c r="K78" s="150">
        <v>0.15</v>
      </c>
      <c r="L78" s="151">
        <f>MAX(0,CategoryMonthlyRecords[[#This Row],[Markup]]*CategoryMonthlyRecords[[#This Row],[Commission Rate]])</f>
        <v>0</v>
      </c>
      <c r="M78" s="151">
        <f>CategoryMonthlyRecords[[#This Row],[Markup]]-CategoryMonthlyRecords[[#This Row],[Agent Commission]]+CategoryMonthlyRecords[[#This Row],[Add-on Amount]]</f>
        <v>0</v>
      </c>
      <c r="N78" s="147" t="s">
        <v>468</v>
      </c>
    </row>
    <row r="79" spans="1:14" ht="25.5">
      <c r="A79" s="146">
        <v>46357</v>
      </c>
      <c r="B79" s="147" t="s">
        <v>170</v>
      </c>
      <c r="C79" s="148"/>
      <c r="D79" s="151"/>
      <c r="E79" s="151"/>
      <c r="F79" s="150">
        <v>0.01</v>
      </c>
      <c r="G79" s="151">
        <f>CategoryMonthlyRecords[[#This Row],[Base Cost]]*CategoryMonthlyRecords[[#This Row],[Add-on %]]</f>
        <v>0</v>
      </c>
      <c r="H79" s="151">
        <f>CategoryMonthlyRecords[[#This Row],[Base Cost]]+CategoryMonthlyRecords[[#This Row],[Add-on Amount]]</f>
        <v>0</v>
      </c>
      <c r="I79" s="151">
        <f>CategoryMonthlyRecords[[#This Row],[Gross Sales]]-CategoryMonthlyRecords[[#This Row],[Capital]]</f>
        <v>0</v>
      </c>
      <c r="J79" s="147" t="s">
        <v>181</v>
      </c>
      <c r="K79" s="150">
        <v>0.15</v>
      </c>
      <c r="L79" s="151">
        <f>MAX(0,CategoryMonthlyRecords[[#This Row],[Markup]]*CategoryMonthlyRecords[[#This Row],[Commission Rate]])</f>
        <v>0</v>
      </c>
      <c r="M79" s="151">
        <f>CategoryMonthlyRecords[[#This Row],[Markup]]-CategoryMonthlyRecords[[#This Row],[Agent Commission]]+CategoryMonthlyRecords[[#This Row],[Add-on Amount]]</f>
        <v>0</v>
      </c>
      <c r="N79" s="147" t="s">
        <v>468</v>
      </c>
    </row>
    <row r="80" spans="1:14" ht="25.5">
      <c r="A80" s="146">
        <v>46357</v>
      </c>
      <c r="B80" s="147" t="s">
        <v>171</v>
      </c>
      <c r="C80" s="148"/>
      <c r="D80" s="151"/>
      <c r="E80" s="151"/>
      <c r="F80" s="150">
        <v>0.01</v>
      </c>
      <c r="G80" s="151">
        <f>CategoryMonthlyRecords[[#This Row],[Base Cost]]*CategoryMonthlyRecords[[#This Row],[Add-on %]]</f>
        <v>0</v>
      </c>
      <c r="H80" s="151">
        <f>CategoryMonthlyRecords[[#This Row],[Base Cost]]+CategoryMonthlyRecords[[#This Row],[Add-on Amount]]</f>
        <v>0</v>
      </c>
      <c r="I80" s="151">
        <f>CategoryMonthlyRecords[[#This Row],[Gross Sales]]-CategoryMonthlyRecords[[#This Row],[Capital]]</f>
        <v>0</v>
      </c>
      <c r="J80" s="147" t="s">
        <v>461</v>
      </c>
      <c r="K80" s="150">
        <v>0</v>
      </c>
      <c r="L80" s="151">
        <f>MAX(0,CategoryMonthlyRecords[[#This Row],[Markup]]*CategoryMonthlyRecords[[#This Row],[Commission Rate]])</f>
        <v>0</v>
      </c>
      <c r="M80" s="151">
        <f>CategoryMonthlyRecords[[#This Row],[Markup]]-CategoryMonthlyRecords[[#This Row],[Agent Commission]]+CategoryMonthlyRecords[[#This Row],[Add-on Amount]]</f>
        <v>0</v>
      </c>
      <c r="N80" s="147" t="s">
        <v>468</v>
      </c>
    </row>
    <row r="81" spans="1:14" ht="25.5">
      <c r="A81" s="146">
        <v>46357</v>
      </c>
      <c r="B81" s="147" t="s">
        <v>172</v>
      </c>
      <c r="C81" s="148"/>
      <c r="D81" s="151"/>
      <c r="E81" s="151"/>
      <c r="F81" s="150">
        <v>0.02</v>
      </c>
      <c r="G81" s="151">
        <f>CategoryMonthlyRecords[[#This Row],[Base Cost]]*CategoryMonthlyRecords[[#This Row],[Add-on %]]</f>
        <v>0</v>
      </c>
      <c r="H81" s="151">
        <f>CategoryMonthlyRecords[[#This Row],[Base Cost]]+CategoryMonthlyRecords[[#This Row],[Add-on Amount]]</f>
        <v>0</v>
      </c>
      <c r="I81" s="151">
        <f>CategoryMonthlyRecords[[#This Row],[Gross Sales]]-CategoryMonthlyRecords[[#This Row],[Capital]]</f>
        <v>0</v>
      </c>
      <c r="J81" s="147" t="s">
        <v>181</v>
      </c>
      <c r="K81" s="150">
        <v>0.3</v>
      </c>
      <c r="L81" s="151">
        <f>MAX(0,CategoryMonthlyRecords[[#This Row],[Markup]]*CategoryMonthlyRecords[[#This Row],[Commission Rate]])</f>
        <v>0</v>
      </c>
      <c r="M81" s="151">
        <f>CategoryMonthlyRecords[[#This Row],[Markup]]-CategoryMonthlyRecords[[#This Row],[Agent Commission]]+CategoryMonthlyRecords[[#This Row],[Add-on Amount]]</f>
        <v>0</v>
      </c>
      <c r="N81" s="147" t="s">
        <v>468</v>
      </c>
    </row>
    <row r="82" spans="1:14" ht="25.5">
      <c r="A82" s="146">
        <v>46357</v>
      </c>
      <c r="B82" s="147" t="s">
        <v>173</v>
      </c>
      <c r="C82" s="148"/>
      <c r="D82" s="151"/>
      <c r="E82" s="151"/>
      <c r="F82" s="150">
        <v>0</v>
      </c>
      <c r="G82" s="151">
        <f>CategoryMonthlyRecords[[#This Row],[Base Cost]]*CategoryMonthlyRecords[[#This Row],[Add-on %]]</f>
        <v>0</v>
      </c>
      <c r="H82" s="151">
        <f>CategoryMonthlyRecords[[#This Row],[Base Cost]]+CategoryMonthlyRecords[[#This Row],[Add-on Amount]]</f>
        <v>0</v>
      </c>
      <c r="I82" s="151">
        <f>CategoryMonthlyRecords[[#This Row],[Gross Sales]]-CategoryMonthlyRecords[[#This Row],[Capital]]</f>
        <v>0</v>
      </c>
      <c r="J82" s="147" t="s">
        <v>461</v>
      </c>
      <c r="K82" s="150">
        <v>0</v>
      </c>
      <c r="L82" s="151">
        <f>MAX(0,CategoryMonthlyRecords[[#This Row],[Markup]]*CategoryMonthlyRecords[[#This Row],[Commission Rate]])</f>
        <v>0</v>
      </c>
      <c r="M82" s="151">
        <f>CategoryMonthlyRecords[[#This Row],[Markup]]-CategoryMonthlyRecords[[#This Row],[Agent Commission]]+CategoryMonthlyRecords[[#This Row],[Add-on Amount]]</f>
        <v>0</v>
      </c>
      <c r="N82" s="147" t="s">
        <v>468</v>
      </c>
    </row>
    <row r="83" spans="1:14" ht="25.5">
      <c r="A83" s="146">
        <v>46357</v>
      </c>
      <c r="B83" s="147" t="s">
        <v>174</v>
      </c>
      <c r="C83" s="148"/>
      <c r="D83" s="151"/>
      <c r="E83" s="151"/>
      <c r="F83" s="150">
        <v>0.03</v>
      </c>
      <c r="G83" s="151">
        <f>CategoryMonthlyRecords[[#This Row],[Base Cost]]*CategoryMonthlyRecords[[#This Row],[Add-on %]]</f>
        <v>0</v>
      </c>
      <c r="H83" s="151">
        <f>CategoryMonthlyRecords[[#This Row],[Base Cost]]+CategoryMonthlyRecords[[#This Row],[Add-on Amount]]</f>
        <v>0</v>
      </c>
      <c r="I83" s="151">
        <f>CategoryMonthlyRecords[[#This Row],[Gross Sales]]-CategoryMonthlyRecords[[#This Row],[Capital]]</f>
        <v>0</v>
      </c>
      <c r="J83" s="147" t="s">
        <v>181</v>
      </c>
      <c r="K83" s="150">
        <v>0.3</v>
      </c>
      <c r="L83" s="151">
        <f>MAX(0,CategoryMonthlyRecords[[#This Row],[Markup]]*CategoryMonthlyRecords[[#This Row],[Commission Rate]])</f>
        <v>0</v>
      </c>
      <c r="M83" s="151">
        <f>CategoryMonthlyRecords[[#This Row],[Markup]]-CategoryMonthlyRecords[[#This Row],[Agent Commission]]+CategoryMonthlyRecords[[#This Row],[Add-on Amount]]</f>
        <v>0</v>
      </c>
      <c r="N83" s="147" t="s">
        <v>468</v>
      </c>
    </row>
    <row r="84" spans="1:14" ht="25.5">
      <c r="A84" s="146">
        <v>46357</v>
      </c>
      <c r="B84" s="147" t="s">
        <v>175</v>
      </c>
      <c r="C84" s="148"/>
      <c r="D84" s="151"/>
      <c r="E84" s="151"/>
      <c r="F84" s="150">
        <v>0.03</v>
      </c>
      <c r="G84" s="151">
        <f>CategoryMonthlyRecords[[#This Row],[Base Cost]]*CategoryMonthlyRecords[[#This Row],[Add-on %]]</f>
        <v>0</v>
      </c>
      <c r="H84" s="151">
        <f>CategoryMonthlyRecords[[#This Row],[Base Cost]]+CategoryMonthlyRecords[[#This Row],[Add-on Amount]]</f>
        <v>0</v>
      </c>
      <c r="I84" s="151">
        <f>CategoryMonthlyRecords[[#This Row],[Gross Sales]]-CategoryMonthlyRecords[[#This Row],[Capital]]</f>
        <v>0</v>
      </c>
      <c r="J84" s="147" t="s">
        <v>181</v>
      </c>
      <c r="K84" s="150">
        <v>0.3</v>
      </c>
      <c r="L84" s="151">
        <f>MAX(0,CategoryMonthlyRecords[[#This Row],[Markup]]*CategoryMonthlyRecords[[#This Row],[Commission Rate]])</f>
        <v>0</v>
      </c>
      <c r="M84" s="151">
        <f>CategoryMonthlyRecords[[#This Row],[Markup]]-CategoryMonthlyRecords[[#This Row],[Agent Commission]]+CategoryMonthlyRecords[[#This Row],[Add-on Amount]]</f>
        <v>0</v>
      </c>
      <c r="N84" s="147" t="s">
        <v>468</v>
      </c>
    </row>
    <row r="85" spans="1:14" ht="25.5">
      <c r="A85" s="146">
        <v>46357</v>
      </c>
      <c r="B85" s="147" t="s">
        <v>176</v>
      </c>
      <c r="C85" s="148"/>
      <c r="D85" s="151"/>
      <c r="E85" s="151"/>
      <c r="F85" s="150">
        <v>0.03</v>
      </c>
      <c r="G85" s="151">
        <f>CategoryMonthlyRecords[[#This Row],[Base Cost]]*CategoryMonthlyRecords[[#This Row],[Add-on %]]</f>
        <v>0</v>
      </c>
      <c r="H85" s="151">
        <f>CategoryMonthlyRecords[[#This Row],[Base Cost]]+CategoryMonthlyRecords[[#This Row],[Add-on Amount]]</f>
        <v>0</v>
      </c>
      <c r="I85" s="151">
        <f>CategoryMonthlyRecords[[#This Row],[Gross Sales]]-CategoryMonthlyRecords[[#This Row],[Capital]]</f>
        <v>0</v>
      </c>
      <c r="J85" s="147" t="s">
        <v>181</v>
      </c>
      <c r="K85" s="150">
        <v>0.3</v>
      </c>
      <c r="L85" s="151">
        <f>MAX(0,CategoryMonthlyRecords[[#This Row],[Markup]]*CategoryMonthlyRecords[[#This Row],[Commission Rate]])</f>
        <v>0</v>
      </c>
      <c r="M85" s="151">
        <f>CategoryMonthlyRecords[[#This Row],[Markup]]-CategoryMonthlyRecords[[#This Row],[Agent Commission]]+CategoryMonthlyRecords[[#This Row],[Add-on Amount]]</f>
        <v>0</v>
      </c>
      <c r="N85" s="147" t="s">
        <v>468</v>
      </c>
    </row>
    <row r="86" spans="1:14" ht="25.5">
      <c r="A86" s="146">
        <v>46357</v>
      </c>
      <c r="B86" s="147" t="s">
        <v>177</v>
      </c>
      <c r="C86" s="148"/>
      <c r="D86" s="151"/>
      <c r="E86" s="151"/>
      <c r="F86" s="150">
        <v>0.01</v>
      </c>
      <c r="G86" s="151">
        <f>CategoryMonthlyRecords[[#This Row],[Base Cost]]*CategoryMonthlyRecords[[#This Row],[Add-on %]]</f>
        <v>0</v>
      </c>
      <c r="H86" s="151">
        <f>CategoryMonthlyRecords[[#This Row],[Base Cost]]+CategoryMonthlyRecords[[#This Row],[Add-on Amount]]</f>
        <v>0</v>
      </c>
      <c r="I86" s="151">
        <f>CategoryMonthlyRecords[[#This Row],[Gross Sales]]-CategoryMonthlyRecords[[#This Row],[Capital]]</f>
        <v>0</v>
      </c>
      <c r="J86" s="147" t="s">
        <v>461</v>
      </c>
      <c r="K86" s="150">
        <v>0</v>
      </c>
      <c r="L86" s="151">
        <f>MAX(0,CategoryMonthlyRecords[[#This Row],[Markup]]*CategoryMonthlyRecords[[#This Row],[Commission Rate]])</f>
        <v>0</v>
      </c>
      <c r="M86" s="151">
        <f>CategoryMonthlyRecords[[#This Row],[Markup]]-CategoryMonthlyRecords[[#This Row],[Agent Commission]]+CategoryMonthlyRecords[[#This Row],[Add-on Amount]]</f>
        <v>0</v>
      </c>
      <c r="N86" s="147" t="s">
        <v>468</v>
      </c>
    </row>
    <row r="87" spans="1:14" ht="25.5">
      <c r="A87" s="146">
        <v>46357</v>
      </c>
      <c r="B87" s="147" t="s">
        <v>178</v>
      </c>
      <c r="C87" s="148"/>
      <c r="D87" s="151"/>
      <c r="E87" s="151"/>
      <c r="F87" s="150">
        <v>0.03</v>
      </c>
      <c r="G87" s="151">
        <f>CategoryMonthlyRecords[[#This Row],[Base Cost]]*CategoryMonthlyRecords[[#This Row],[Add-on %]]</f>
        <v>0</v>
      </c>
      <c r="H87" s="151">
        <f>CategoryMonthlyRecords[[#This Row],[Base Cost]]+CategoryMonthlyRecords[[#This Row],[Add-on Amount]]</f>
        <v>0</v>
      </c>
      <c r="I87" s="151">
        <f>CategoryMonthlyRecords[[#This Row],[Gross Sales]]-CategoryMonthlyRecords[[#This Row],[Capital]]</f>
        <v>0</v>
      </c>
      <c r="J87" s="147" t="s">
        <v>181</v>
      </c>
      <c r="K87" s="150">
        <v>0.3</v>
      </c>
      <c r="L87" s="151">
        <f>MAX(0,CategoryMonthlyRecords[[#This Row],[Markup]]*CategoryMonthlyRecords[[#This Row],[Commission Rate]])</f>
        <v>0</v>
      </c>
      <c r="M87" s="151">
        <f>CategoryMonthlyRecords[[#This Row],[Markup]]-CategoryMonthlyRecords[[#This Row],[Agent Commission]]+CategoryMonthlyRecords[[#This Row],[Add-on Amount]]</f>
        <v>0</v>
      </c>
      <c r="N87" s="147" t="s">
        <v>468</v>
      </c>
    </row>
    <row r="88" spans="1:14">
      <c r="A88" s="152"/>
      <c r="C88" s="55"/>
      <c r="D88" s="153"/>
      <c r="E88" s="153"/>
      <c r="F88" s="141"/>
      <c r="G88" s="153"/>
      <c r="H88" s="153"/>
      <c r="I88" s="153"/>
      <c r="K88" s="141"/>
      <c r="L88" s="153"/>
      <c r="M88" s="153"/>
    </row>
    <row r="89" spans="1:14">
      <c r="A89" s="152"/>
      <c r="C89" s="55"/>
      <c r="D89" s="153"/>
      <c r="E89" s="153"/>
      <c r="F89" s="141"/>
      <c r="G89" s="153"/>
      <c r="H89" s="153"/>
      <c r="I89" s="153"/>
      <c r="K89" s="141"/>
      <c r="L89" s="153"/>
      <c r="M89" s="153"/>
    </row>
    <row r="90" spans="1:14">
      <c r="A90" s="152"/>
      <c r="C90" s="55"/>
      <c r="D90" s="153"/>
      <c r="E90" s="153"/>
      <c r="F90" s="141"/>
      <c r="G90" s="153"/>
      <c r="H90" s="153"/>
      <c r="I90" s="153"/>
      <c r="K90" s="141"/>
      <c r="L90" s="153"/>
      <c r="M90" s="153"/>
    </row>
    <row r="91" spans="1:14">
      <c r="A91" s="152"/>
      <c r="C91" s="55"/>
      <c r="D91" s="153"/>
      <c r="E91" s="153"/>
      <c r="F91" s="141"/>
      <c r="G91" s="153"/>
      <c r="H91" s="153"/>
      <c r="I91" s="153"/>
      <c r="K91" s="141"/>
      <c r="L91" s="153"/>
      <c r="M91" s="153"/>
    </row>
    <row r="92" spans="1:14">
      <c r="A92" s="152"/>
      <c r="C92" s="55"/>
      <c r="D92" s="153"/>
      <c r="E92" s="153"/>
      <c r="F92" s="141"/>
      <c r="G92" s="153"/>
      <c r="H92" s="153"/>
      <c r="I92" s="153"/>
      <c r="K92" s="141"/>
      <c r="L92" s="153"/>
      <c r="M92" s="153"/>
    </row>
    <row r="93" spans="1:14">
      <c r="A93" s="152"/>
      <c r="C93" s="55"/>
      <c r="D93" s="153"/>
      <c r="E93" s="153"/>
      <c r="F93" s="141"/>
      <c r="G93" s="153"/>
      <c r="H93" s="153"/>
      <c r="I93" s="153"/>
      <c r="K93" s="141"/>
      <c r="L93" s="153"/>
      <c r="M93" s="153"/>
    </row>
    <row r="94" spans="1:14">
      <c r="A94" s="152"/>
      <c r="C94" s="55"/>
      <c r="D94" s="153"/>
      <c r="E94" s="153"/>
      <c r="F94" s="141"/>
      <c r="G94" s="153"/>
      <c r="H94" s="153"/>
      <c r="I94" s="153"/>
      <c r="K94" s="141"/>
      <c r="L94" s="153"/>
      <c r="M94" s="153"/>
    </row>
    <row r="95" spans="1:14">
      <c r="A95" s="152"/>
      <c r="C95" s="55"/>
      <c r="D95" s="153"/>
      <c r="E95" s="153"/>
      <c r="F95" s="141"/>
      <c r="G95" s="153"/>
      <c r="H95" s="153"/>
      <c r="I95" s="153"/>
      <c r="K95" s="141"/>
      <c r="L95" s="153"/>
      <c r="M95" s="153"/>
    </row>
    <row r="96" spans="1:14">
      <c r="A96" s="152"/>
      <c r="C96" s="55"/>
      <c r="D96" s="153"/>
      <c r="E96" s="153"/>
      <c r="F96" s="141"/>
      <c r="G96" s="153"/>
      <c r="H96" s="153"/>
      <c r="I96" s="153"/>
      <c r="K96" s="141"/>
      <c r="L96" s="153"/>
      <c r="M96" s="153"/>
    </row>
    <row r="97" spans="1:13">
      <c r="A97" s="152"/>
      <c r="C97" s="55"/>
      <c r="D97" s="153"/>
      <c r="E97" s="153"/>
      <c r="F97" s="141"/>
      <c r="G97" s="153"/>
      <c r="H97" s="153"/>
      <c r="I97" s="153"/>
      <c r="K97" s="141"/>
      <c r="L97" s="153"/>
      <c r="M97" s="153"/>
    </row>
    <row r="98" spans="1:13">
      <c r="A98" s="152"/>
      <c r="C98" s="55"/>
      <c r="D98" s="153"/>
      <c r="E98" s="153"/>
      <c r="F98" s="141"/>
      <c r="G98" s="153"/>
      <c r="H98" s="153"/>
      <c r="I98" s="153"/>
      <c r="K98" s="141"/>
      <c r="L98" s="153"/>
      <c r="M98" s="153"/>
    </row>
    <row r="99" spans="1:13">
      <c r="A99" s="152"/>
      <c r="C99" s="55"/>
      <c r="D99" s="153"/>
      <c r="E99" s="153"/>
      <c r="F99" s="141"/>
      <c r="G99" s="153"/>
      <c r="H99" s="153"/>
      <c r="I99" s="153"/>
      <c r="K99" s="141"/>
      <c r="L99" s="153"/>
      <c r="M99" s="153"/>
    </row>
    <row r="100" spans="1:13">
      <c r="A100" s="152"/>
      <c r="C100" s="55"/>
      <c r="D100" s="153"/>
      <c r="E100" s="153"/>
      <c r="F100" s="141"/>
      <c r="G100" s="153"/>
      <c r="H100" s="153"/>
      <c r="I100" s="153"/>
      <c r="K100" s="141"/>
      <c r="L100" s="153"/>
      <c r="M100" s="153"/>
    </row>
    <row r="101" spans="1:13">
      <c r="A101" s="152"/>
      <c r="C101" s="55"/>
      <c r="D101" s="153"/>
      <c r="E101" s="153"/>
      <c r="F101" s="141"/>
      <c r="G101" s="153"/>
      <c r="H101" s="153"/>
      <c r="I101" s="153"/>
      <c r="K101" s="141"/>
      <c r="L101" s="153"/>
      <c r="M101" s="153"/>
    </row>
    <row r="102" spans="1:13">
      <c r="A102" s="152"/>
      <c r="C102" s="55"/>
      <c r="D102" s="153"/>
      <c r="E102" s="153"/>
      <c r="F102" s="141"/>
      <c r="G102" s="153"/>
      <c r="H102" s="153"/>
      <c r="I102" s="153"/>
      <c r="K102" s="141"/>
      <c r="L102" s="153"/>
      <c r="M102" s="153"/>
    </row>
    <row r="103" spans="1:13">
      <c r="A103" s="152"/>
      <c r="C103" s="55"/>
      <c r="D103" s="153"/>
      <c r="E103" s="153"/>
      <c r="F103" s="141"/>
      <c r="G103" s="153"/>
      <c r="H103" s="153"/>
      <c r="I103" s="153"/>
      <c r="K103" s="141"/>
      <c r="L103" s="153"/>
      <c r="M103" s="153"/>
    </row>
    <row r="104" spans="1:13">
      <c r="A104" s="152"/>
      <c r="C104" s="55"/>
      <c r="D104" s="153"/>
      <c r="E104" s="153"/>
      <c r="F104" s="141"/>
      <c r="G104" s="153"/>
      <c r="H104" s="153"/>
      <c r="I104" s="153"/>
      <c r="K104" s="141"/>
      <c r="L104" s="153"/>
      <c r="M104" s="153"/>
    </row>
    <row r="105" spans="1:13">
      <c r="A105" s="152"/>
      <c r="C105" s="55"/>
      <c r="D105" s="153"/>
      <c r="E105" s="153"/>
      <c r="F105" s="141"/>
      <c r="G105" s="153"/>
      <c r="H105" s="153"/>
      <c r="I105" s="153"/>
      <c r="K105" s="141"/>
      <c r="L105" s="153"/>
      <c r="M105" s="153"/>
    </row>
    <row r="106" spans="1:13">
      <c r="A106" s="152"/>
      <c r="C106" s="55"/>
      <c r="D106" s="153"/>
      <c r="E106" s="153"/>
      <c r="F106" s="141"/>
      <c r="G106" s="153"/>
      <c r="H106" s="153"/>
      <c r="I106" s="153"/>
      <c r="K106" s="141"/>
      <c r="L106" s="153"/>
      <c r="M106" s="153"/>
    </row>
    <row r="107" spans="1:13">
      <c r="A107" s="152"/>
      <c r="C107" s="55"/>
      <c r="D107" s="153"/>
      <c r="E107" s="153"/>
      <c r="F107" s="141"/>
      <c r="G107" s="153"/>
      <c r="H107" s="153"/>
      <c r="I107" s="153"/>
      <c r="K107" s="141"/>
      <c r="L107" s="153"/>
      <c r="M107" s="153"/>
    </row>
    <row r="108" spans="1:13">
      <c r="A108" s="152"/>
      <c r="C108" s="55"/>
      <c r="D108" s="153"/>
      <c r="E108" s="153"/>
      <c r="F108" s="141"/>
      <c r="G108" s="153"/>
      <c r="H108" s="153"/>
      <c r="I108" s="153"/>
      <c r="K108" s="141"/>
      <c r="L108" s="153"/>
      <c r="M108" s="153"/>
    </row>
    <row r="109" spans="1:13">
      <c r="A109" s="152"/>
      <c r="C109" s="55"/>
      <c r="D109" s="153"/>
      <c r="E109" s="153"/>
      <c r="F109" s="141"/>
      <c r="G109" s="153"/>
      <c r="H109" s="153"/>
      <c r="I109" s="153"/>
      <c r="K109" s="141"/>
      <c r="L109" s="153"/>
      <c r="M109" s="153"/>
    </row>
    <row r="110" spans="1:13">
      <c r="A110" s="152"/>
      <c r="C110" s="55"/>
      <c r="D110" s="153"/>
      <c r="E110" s="153"/>
      <c r="F110" s="141"/>
      <c r="G110" s="153"/>
      <c r="H110" s="153"/>
      <c r="I110" s="153"/>
      <c r="K110" s="141"/>
      <c r="L110" s="153"/>
      <c r="M110" s="153"/>
    </row>
  </sheetData>
  <mergeCells count="3">
    <mergeCell ref="F1:H1"/>
    <mergeCell ref="A2:N2"/>
    <mergeCell ref="A4:N4"/>
  </mergeCells>
  <hyperlinks>
    <hyperlink ref="F1" location="'Executive Summary'!A1" display="➤ Executive Summary" xr:uid="{00000000-0004-0000-0600-000000000000}"/>
  </hyperlink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B23"/>
  <sheetViews>
    <sheetView showGridLines="0" topLeftCell="AN1" workbookViewId="0">
      <selection activeCell="A7" sqref="A7:L7"/>
    </sheetView>
  </sheetViews>
  <sheetFormatPr defaultColWidth="9" defaultRowHeight="12.75"/>
  <cols>
    <col min="1" max="1" width="18.85546875" customWidth="1"/>
    <col min="2" max="2" width="14.28515625" customWidth="1"/>
    <col min="3" max="6" width="15.42578125" customWidth="1"/>
    <col min="7" max="7" width="3.42578125" customWidth="1"/>
    <col min="8" max="11" width="15.42578125" customWidth="1"/>
    <col min="12" max="12" width="6.85546875" customWidth="1"/>
    <col min="13" max="13" width="8.5703125" customWidth="1"/>
    <col min="14" max="14" width="3.42578125" customWidth="1"/>
    <col min="15" max="19" width="15.42578125" customWidth="1"/>
    <col min="20" max="20" width="3.42578125" customWidth="1"/>
    <col min="21" max="25" width="15.42578125" customWidth="1"/>
    <col min="26" max="26" width="3.42578125" customWidth="1"/>
    <col min="27" max="31" width="15.42578125" customWidth="1"/>
    <col min="32" max="32" width="3.42578125" customWidth="1"/>
    <col min="33" max="37" width="15.42578125" customWidth="1"/>
    <col min="38" max="38" width="3.42578125" customWidth="1"/>
    <col min="39" max="43" width="15.42578125" customWidth="1"/>
    <col min="44" max="44" width="3.42578125" customWidth="1"/>
    <col min="45" max="49" width="15.42578125" customWidth="1"/>
    <col min="50" max="50" width="3.42578125" customWidth="1"/>
    <col min="51" max="55" width="15.42578125" customWidth="1"/>
    <col min="56" max="56" width="3.42578125" customWidth="1"/>
    <col min="57" max="61" width="15.42578125" customWidth="1"/>
    <col min="62" max="62" width="3.42578125" customWidth="1"/>
    <col min="63" max="67" width="15.42578125" customWidth="1"/>
    <col min="68" max="68" width="3.42578125" customWidth="1"/>
    <col min="69" max="73" width="15.42578125" customWidth="1"/>
    <col min="74" max="74" width="3.42578125" customWidth="1"/>
    <col min="75" max="80" width="15.42578125" customWidth="1"/>
  </cols>
  <sheetData>
    <row r="1" spans="1:80" ht="25.5" customHeight="1">
      <c r="A1" s="121"/>
      <c r="B1" s="121"/>
      <c r="C1" s="121"/>
      <c r="D1" s="121"/>
      <c r="E1" s="269" t="s">
        <v>2</v>
      </c>
      <c r="F1" s="270"/>
      <c r="G1" s="270"/>
      <c r="H1" s="270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1"/>
      <c r="BF1" s="121"/>
      <c r="BG1" s="121"/>
      <c r="BH1" s="121"/>
      <c r="BI1" s="121"/>
      <c r="BJ1" s="121"/>
      <c r="BK1" s="121"/>
      <c r="BL1" s="121"/>
      <c r="BM1" s="121"/>
      <c r="BN1" s="121"/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21"/>
      <c r="BZ1" s="121"/>
      <c r="CA1" s="121"/>
      <c r="CB1" s="121"/>
    </row>
    <row r="2" spans="1:80">
      <c r="A2" s="121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  <c r="AY2" s="121"/>
      <c r="AZ2" s="121"/>
      <c r="BA2" s="121"/>
      <c r="BB2" s="121"/>
      <c r="BC2" s="121"/>
      <c r="BD2" s="121"/>
      <c r="BE2" s="121"/>
      <c r="BF2" s="121"/>
      <c r="BG2" s="121"/>
      <c r="BH2" s="121"/>
      <c r="BI2" s="121"/>
      <c r="BJ2" s="121"/>
      <c r="BK2" s="121"/>
      <c r="BL2" s="121"/>
      <c r="BM2" s="121"/>
      <c r="BN2" s="121"/>
      <c r="BO2" s="121"/>
      <c r="BP2" s="121"/>
      <c r="BQ2" s="121"/>
      <c r="BR2" s="121"/>
      <c r="BS2" s="121"/>
      <c r="BT2" s="121"/>
      <c r="BU2" s="121"/>
      <c r="BV2" s="121"/>
      <c r="BW2" s="121"/>
      <c r="BX2" s="121"/>
      <c r="BY2" s="121"/>
      <c r="BZ2" s="121"/>
      <c r="CA2" s="121"/>
      <c r="CB2" s="121"/>
    </row>
    <row r="3" spans="1:80">
      <c r="A3" s="306" t="s">
        <v>469</v>
      </c>
      <c r="B3" s="306"/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</row>
    <row r="4" spans="1:80">
      <c r="A4" s="306" t="s">
        <v>470</v>
      </c>
      <c r="B4" s="306"/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1"/>
      <c r="CA4" s="121"/>
      <c r="CB4" s="121"/>
    </row>
    <row r="5" spans="1:80">
      <c r="A5" s="306" t="s">
        <v>471</v>
      </c>
      <c r="B5" s="306"/>
      <c r="C5" s="306"/>
      <c r="D5" s="306"/>
      <c r="E5" s="306"/>
      <c r="F5" s="306"/>
      <c r="G5" s="306"/>
      <c r="H5" s="306"/>
      <c r="I5" s="306"/>
      <c r="J5" s="306"/>
      <c r="K5" s="306"/>
      <c r="L5" s="306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</row>
    <row r="6" spans="1:80">
      <c r="A6" s="306" t="s">
        <v>472</v>
      </c>
      <c r="B6" s="306"/>
      <c r="C6" s="306"/>
      <c r="D6" s="306"/>
      <c r="E6" s="306"/>
      <c r="F6" s="306"/>
      <c r="G6" s="306"/>
      <c r="H6" s="306"/>
      <c r="I6" s="306"/>
      <c r="J6" s="306"/>
      <c r="K6" s="306"/>
      <c r="L6" s="306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1"/>
      <c r="BM6" s="121"/>
      <c r="BN6" s="121"/>
      <c r="BO6" s="121"/>
      <c r="BP6" s="121"/>
      <c r="BQ6" s="121"/>
      <c r="BR6" s="121"/>
      <c r="BS6" s="121"/>
      <c r="BT6" s="121"/>
      <c r="BU6" s="121"/>
      <c r="BV6" s="121"/>
      <c r="BW6" s="121"/>
      <c r="BX6" s="121"/>
      <c r="BY6" s="121"/>
      <c r="BZ6" s="121"/>
      <c r="CA6" s="121"/>
      <c r="CB6" s="121"/>
    </row>
    <row r="7" spans="1:80">
      <c r="A7" s="306" t="s">
        <v>473</v>
      </c>
      <c r="B7" s="306"/>
      <c r="C7" s="306"/>
      <c r="D7" s="306"/>
      <c r="E7" s="306"/>
      <c r="F7" s="306"/>
      <c r="G7" s="306"/>
      <c r="H7" s="306"/>
      <c r="I7" s="306"/>
      <c r="J7" s="306"/>
      <c r="K7" s="306"/>
      <c r="L7" s="306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21"/>
    </row>
    <row r="8" spans="1:80">
      <c r="A8" s="121"/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1"/>
      <c r="BF8" s="121"/>
      <c r="BG8" s="121"/>
      <c r="BH8" s="121"/>
      <c r="BI8" s="121"/>
      <c r="BJ8" s="121"/>
      <c r="BK8" s="121"/>
      <c r="BL8" s="121"/>
      <c r="BM8" s="121"/>
      <c r="BN8" s="121"/>
      <c r="BO8" s="121"/>
      <c r="BP8" s="121"/>
      <c r="BQ8" s="121"/>
      <c r="BR8" s="121"/>
      <c r="BS8" s="121"/>
      <c r="BT8" s="121"/>
      <c r="BU8" s="121"/>
      <c r="BV8" s="121"/>
      <c r="BW8" s="121"/>
      <c r="BX8" s="121"/>
      <c r="BY8" s="121"/>
      <c r="BZ8" s="121"/>
      <c r="CA8" s="121"/>
      <c r="CB8" s="121"/>
    </row>
    <row r="9" spans="1:80">
      <c r="A9" s="307" t="s">
        <v>474</v>
      </c>
      <c r="B9" s="307"/>
      <c r="C9" s="305" t="s">
        <v>475</v>
      </c>
      <c r="D9" s="305"/>
      <c r="E9" s="305"/>
      <c r="F9" s="305"/>
      <c r="G9" s="305"/>
      <c r="H9" s="305"/>
      <c r="I9" s="305" t="s">
        <v>476</v>
      </c>
      <c r="J9" s="305"/>
      <c r="K9" s="305"/>
      <c r="L9" s="305"/>
      <c r="M9" s="305"/>
      <c r="N9" s="305"/>
      <c r="O9" s="305"/>
      <c r="P9" s="305" t="s">
        <v>477</v>
      </c>
      <c r="Q9" s="305"/>
      <c r="R9" s="305"/>
      <c r="S9" s="305"/>
      <c r="T9" s="305"/>
      <c r="U9" s="305"/>
      <c r="V9" s="305" t="s">
        <v>478</v>
      </c>
      <c r="W9" s="305"/>
      <c r="X9" s="305"/>
      <c r="Y9" s="305"/>
      <c r="Z9" s="305"/>
      <c r="AA9" s="305"/>
      <c r="AB9" s="305" t="s">
        <v>479</v>
      </c>
      <c r="AC9" s="305"/>
      <c r="AD9" s="305"/>
      <c r="AE9" s="305"/>
      <c r="AF9" s="305"/>
      <c r="AG9" s="305"/>
      <c r="AH9" s="305" t="s">
        <v>480</v>
      </c>
      <c r="AI9" s="305"/>
      <c r="AJ9" s="305"/>
      <c r="AK9" s="305"/>
      <c r="AL9" s="305"/>
      <c r="AM9" s="305"/>
      <c r="AN9" s="305" t="s">
        <v>481</v>
      </c>
      <c r="AO9" s="305"/>
      <c r="AP9" s="305"/>
      <c r="AQ9" s="305"/>
      <c r="AR9" s="305"/>
      <c r="AS9" s="305"/>
      <c r="AT9" s="305" t="s">
        <v>482</v>
      </c>
      <c r="AU9" s="305"/>
      <c r="AV9" s="305"/>
      <c r="AW9" s="305"/>
      <c r="AX9" s="305"/>
      <c r="AY9" s="305"/>
      <c r="AZ9" s="305" t="s">
        <v>483</v>
      </c>
      <c r="BA9" s="305"/>
      <c r="BB9" s="305"/>
      <c r="BC9" s="305"/>
      <c r="BD9" s="305"/>
      <c r="BE9" s="305"/>
      <c r="BF9" s="305" t="s">
        <v>484</v>
      </c>
      <c r="BG9" s="305"/>
      <c r="BH9" s="305"/>
      <c r="BI9" s="305"/>
      <c r="BJ9" s="305"/>
      <c r="BK9" s="305"/>
      <c r="BL9" s="305" t="s">
        <v>485</v>
      </c>
      <c r="BM9" s="305"/>
      <c r="BN9" s="305"/>
      <c r="BO9" s="305"/>
      <c r="BP9" s="305"/>
      <c r="BQ9" s="305"/>
      <c r="BR9" s="305" t="s">
        <v>486</v>
      </c>
      <c r="BS9" s="305"/>
      <c r="BT9" s="305"/>
      <c r="BU9" s="305"/>
      <c r="BV9" s="305"/>
      <c r="BW9" s="305"/>
      <c r="BX9" s="305" t="s">
        <v>376</v>
      </c>
      <c r="BY9" s="305"/>
      <c r="BZ9" s="305"/>
      <c r="CA9" s="305"/>
      <c r="CB9" s="305"/>
    </row>
    <row r="10" spans="1:80">
      <c r="A10" s="303"/>
      <c r="B10" s="303"/>
      <c r="C10" s="123" t="s">
        <v>487</v>
      </c>
      <c r="D10" s="123" t="s">
        <v>488</v>
      </c>
      <c r="E10" s="123" t="s">
        <v>489</v>
      </c>
      <c r="F10" s="123" t="s">
        <v>490</v>
      </c>
      <c r="G10" s="123" t="s">
        <v>491</v>
      </c>
      <c r="H10" s="122" t="s">
        <v>492</v>
      </c>
      <c r="I10" s="123" t="s">
        <v>487</v>
      </c>
      <c r="J10" s="123" t="s">
        <v>488</v>
      </c>
      <c r="K10" s="123" t="s">
        <v>489</v>
      </c>
      <c r="L10" s="304" t="s">
        <v>490</v>
      </c>
      <c r="M10" s="304"/>
      <c r="N10" s="123" t="s">
        <v>491</v>
      </c>
      <c r="O10" s="122" t="s">
        <v>492</v>
      </c>
      <c r="P10" s="123" t="s">
        <v>487</v>
      </c>
      <c r="Q10" s="123" t="s">
        <v>488</v>
      </c>
      <c r="R10" s="123" t="s">
        <v>489</v>
      </c>
      <c r="S10" s="123" t="s">
        <v>490</v>
      </c>
      <c r="T10" s="123" t="s">
        <v>491</v>
      </c>
      <c r="U10" s="122" t="s">
        <v>492</v>
      </c>
      <c r="V10" s="123" t="s">
        <v>487</v>
      </c>
      <c r="W10" s="123" t="s">
        <v>488</v>
      </c>
      <c r="X10" s="123" t="s">
        <v>489</v>
      </c>
      <c r="Y10" s="123" t="s">
        <v>490</v>
      </c>
      <c r="Z10" s="123" t="s">
        <v>491</v>
      </c>
      <c r="AA10" s="122" t="s">
        <v>492</v>
      </c>
      <c r="AB10" s="123" t="s">
        <v>487</v>
      </c>
      <c r="AC10" s="123" t="s">
        <v>488</v>
      </c>
      <c r="AD10" s="123" t="s">
        <v>489</v>
      </c>
      <c r="AE10" s="123" t="s">
        <v>490</v>
      </c>
      <c r="AF10" s="123" t="s">
        <v>491</v>
      </c>
      <c r="AG10" s="122" t="s">
        <v>492</v>
      </c>
      <c r="AH10" s="123" t="s">
        <v>487</v>
      </c>
      <c r="AI10" s="123" t="s">
        <v>488</v>
      </c>
      <c r="AJ10" s="123" t="s">
        <v>489</v>
      </c>
      <c r="AK10" s="123" t="s">
        <v>490</v>
      </c>
      <c r="AL10" s="123" t="s">
        <v>491</v>
      </c>
      <c r="AM10" s="122" t="s">
        <v>492</v>
      </c>
      <c r="AN10" s="123" t="s">
        <v>487</v>
      </c>
      <c r="AO10" s="123" t="s">
        <v>488</v>
      </c>
      <c r="AP10" s="123" t="s">
        <v>489</v>
      </c>
      <c r="AQ10" s="123" t="s">
        <v>490</v>
      </c>
      <c r="AR10" s="123" t="s">
        <v>491</v>
      </c>
      <c r="AS10" s="122" t="s">
        <v>492</v>
      </c>
      <c r="AT10" s="123" t="s">
        <v>487</v>
      </c>
      <c r="AU10" s="123" t="s">
        <v>488</v>
      </c>
      <c r="AV10" s="123" t="s">
        <v>489</v>
      </c>
      <c r="AW10" s="123" t="s">
        <v>490</v>
      </c>
      <c r="AX10" s="123" t="s">
        <v>491</v>
      </c>
      <c r="AY10" s="122" t="s">
        <v>492</v>
      </c>
      <c r="AZ10" s="123" t="s">
        <v>487</v>
      </c>
      <c r="BA10" s="123" t="s">
        <v>488</v>
      </c>
      <c r="BB10" s="123" t="s">
        <v>489</v>
      </c>
      <c r="BC10" s="123" t="s">
        <v>490</v>
      </c>
      <c r="BD10" s="123" t="s">
        <v>491</v>
      </c>
      <c r="BE10" s="122" t="s">
        <v>492</v>
      </c>
      <c r="BF10" s="123" t="s">
        <v>487</v>
      </c>
      <c r="BG10" s="123" t="s">
        <v>488</v>
      </c>
      <c r="BH10" s="123" t="s">
        <v>489</v>
      </c>
      <c r="BI10" s="123" t="s">
        <v>490</v>
      </c>
      <c r="BJ10" s="123" t="s">
        <v>491</v>
      </c>
      <c r="BK10" s="122" t="s">
        <v>492</v>
      </c>
      <c r="BL10" s="123" t="s">
        <v>487</v>
      </c>
      <c r="BM10" s="123" t="s">
        <v>488</v>
      </c>
      <c r="BN10" s="123" t="s">
        <v>489</v>
      </c>
      <c r="BO10" s="123" t="s">
        <v>490</v>
      </c>
      <c r="BP10" s="123" t="s">
        <v>491</v>
      </c>
      <c r="BQ10" s="122" t="s">
        <v>492</v>
      </c>
      <c r="BR10" s="123" t="s">
        <v>487</v>
      </c>
      <c r="BS10" s="123" t="s">
        <v>488</v>
      </c>
      <c r="BT10" s="123" t="s">
        <v>489</v>
      </c>
      <c r="BU10" s="123" t="s">
        <v>490</v>
      </c>
      <c r="BV10" s="123" t="s">
        <v>491</v>
      </c>
      <c r="BW10" s="122" t="s">
        <v>492</v>
      </c>
      <c r="BX10" s="123" t="s">
        <v>487</v>
      </c>
      <c r="BY10" s="123" t="s">
        <v>488</v>
      </c>
      <c r="BZ10" s="123" t="s">
        <v>489</v>
      </c>
      <c r="CA10" s="123" t="s">
        <v>490</v>
      </c>
      <c r="CB10" s="122" t="s">
        <v>492</v>
      </c>
    </row>
    <row r="11" spans="1:80">
      <c r="A11" s="301" t="s">
        <v>493</v>
      </c>
      <c r="B11" s="301"/>
      <c r="C11" s="124"/>
      <c r="D11" s="124"/>
      <c r="E11" s="124"/>
      <c r="F11" s="124"/>
      <c r="G11" s="124"/>
      <c r="H11" s="125"/>
      <c r="I11" s="124"/>
      <c r="J11" s="124"/>
      <c r="K11" s="124"/>
      <c r="L11" s="302"/>
      <c r="M11" s="302"/>
      <c r="N11" s="124"/>
      <c r="O11" s="125"/>
      <c r="P11" s="124"/>
      <c r="Q11" s="124"/>
      <c r="R11" s="124"/>
      <c r="S11" s="124"/>
      <c r="T11" s="124"/>
      <c r="U11" s="125"/>
      <c r="V11" s="124"/>
      <c r="W11" s="124"/>
      <c r="X11" s="124"/>
      <c r="Y11" s="124"/>
      <c r="Z11" s="124"/>
      <c r="AA11" s="125"/>
      <c r="AB11" s="124" t="s">
        <v>494</v>
      </c>
      <c r="AC11" s="124" t="s">
        <v>495</v>
      </c>
      <c r="AD11" s="124" t="s">
        <v>496</v>
      </c>
      <c r="AE11" s="124" t="s">
        <v>497</v>
      </c>
      <c r="AF11" s="124" t="s">
        <v>498</v>
      </c>
      <c r="AG11" s="125" t="s">
        <v>499</v>
      </c>
      <c r="AH11" s="124" t="s">
        <v>500</v>
      </c>
      <c r="AI11" s="124" t="s">
        <v>501</v>
      </c>
      <c r="AJ11" s="124"/>
      <c r="AK11" s="124" t="s">
        <v>502</v>
      </c>
      <c r="AL11" s="124" t="s">
        <v>503</v>
      </c>
      <c r="AM11" s="125" t="s">
        <v>504</v>
      </c>
      <c r="AN11" s="126">
        <v>468723.72</v>
      </c>
      <c r="AO11" s="126">
        <v>335180.17</v>
      </c>
      <c r="AP11" s="126">
        <v>0</v>
      </c>
      <c r="AQ11" s="126">
        <f>IF(COUNTA(AN11:AO11)=0,"",AN11-AO11)</f>
        <v>133543.54999999999</v>
      </c>
      <c r="AR11" s="127">
        <v>0.2</v>
      </c>
      <c r="AS11" s="128">
        <f>IF(OR(AQ11="",AR11=""),"",AQ11*AR11)</f>
        <v>26708.71</v>
      </c>
      <c r="AT11" s="126">
        <v>113401</v>
      </c>
      <c r="AU11" s="126">
        <v>87333.6</v>
      </c>
      <c r="AV11" s="126"/>
      <c r="AW11" s="126">
        <v>26067.4</v>
      </c>
      <c r="AX11" s="127">
        <v>0.2</v>
      </c>
      <c r="AY11" s="128">
        <f>IF(OR(AW11="",AX11=""),"",AW11*AX11)</f>
        <v>5213.4800000000005</v>
      </c>
      <c r="AZ11" s="124"/>
      <c r="BA11" s="124"/>
      <c r="BB11" s="124"/>
      <c r="BC11" s="124"/>
      <c r="BD11" s="124"/>
      <c r="BE11" s="125"/>
      <c r="BF11" s="124"/>
      <c r="BG11" s="124"/>
      <c r="BH11" s="124"/>
      <c r="BI11" s="124"/>
      <c r="BJ11" s="124"/>
      <c r="BK11" s="125"/>
      <c r="BL11" s="124"/>
      <c r="BM11" s="124"/>
      <c r="BN11" s="124"/>
      <c r="BO11" s="124"/>
      <c r="BP11" s="124"/>
      <c r="BQ11" s="125"/>
      <c r="BR11" s="124"/>
      <c r="BS11" s="124"/>
      <c r="BT11" s="124"/>
      <c r="BU11" s="124"/>
      <c r="BV11" s="124"/>
      <c r="BW11" s="125"/>
      <c r="BX11" s="126">
        <f t="shared" ref="BX11:BX21" si="0">IFERROR(VALUE(C11),0)+IFERROR(VALUE(I11),0)+IFERROR(VALUE(P11),0)+IFERROR(VALUE(V11),0)+IFERROR(VALUE(AB11),0)+IFERROR(VALUE(AH11),0)+IFERROR(VALUE(AN11),0)+IFERROR(VALUE(AT11),0)+IFERROR(VALUE(AZ11),0)+IFERROR(VALUE(BF11),0)+IFERROR(VALUE(BL11),0)+IFERROR(VALUE(BR11),0)</f>
        <v>976091.04</v>
      </c>
      <c r="BY11" s="126">
        <f t="shared" ref="BY11:BY21" si="1">IFERROR(VALUE(D11),0)+IFERROR(VALUE(J11),0)+IFERROR(VALUE(Q11),0)+IFERROR(VALUE(W11),0)+IFERROR(VALUE(AC11),0)+IFERROR(VALUE(AI11),0)+IFERROR(VALUE(AO11),0)+IFERROR(VALUE(AU11),0)+IFERROR(VALUE(BA11),0)+IFERROR(VALUE(BG11),0)+IFERROR(VALUE(BM11),0)+IFERROR(VALUE(BS11),0)</f>
        <v>746664.21</v>
      </c>
      <c r="BZ11" s="126">
        <f t="shared" ref="BZ11:BZ20" si="2">IFERROR(VALUE(E11),0)+IFERROR(VALUE(K11),0)+IFERROR(VALUE(R11),0)+IFERROR(VALUE(X11),0)+IFERROR(VALUE(AD11),0)+IFERROR(VALUE(AJ11),0)+IFERROR(VALUE(AP11),0)+IFERROR(VALUE(AV11),0)+IFERROR(VALUE(BB11),0)+IFERROR(VALUE(BH11),0)+IFERROR(VALUE(BN11),0)+IFERROR(VALUE(BT11),0)</f>
        <v>0</v>
      </c>
      <c r="CA11" s="126">
        <f t="shared" ref="CA11:CA20" si="3">IFERROR(VALUE(F11),0)+IFERROR(VALUE(L11),0)+IFERROR(VALUE(S11),0)+IFERROR(VALUE(Y11),0)+IFERROR(VALUE(AE11),0)+IFERROR(VALUE(AK11),0)+IFERROR(VALUE(AQ11),0)+IFERROR(VALUE(AW11),0)+IFERROR(VALUE(BC11),0)+IFERROR(VALUE(BI11),0)+IFERROR(VALUE(BO11),0)+IFERROR(VALUE(BU11),0)</f>
        <v>229426.83</v>
      </c>
      <c r="CB11" s="128">
        <f t="shared" ref="CB11:CB21" si="4">IFERROR(VALUE(H11),0)+IFERROR(VALUE(O11),0)+IFERROR(VALUE(U11),0)+IFERROR(VALUE(AA11),0)+IFERROR(VALUE(AG11),0)+IFERROR(VALUE(AM11),0)+IFERROR(VALUE(AS11),0)+IFERROR(VALUE(AY11),0)+IFERROR(VALUE(BE11),0)+IFERROR(VALUE(BK11),0)+IFERROR(VALUE(BQ11),0)+IFERROR(VALUE(BW11),0)</f>
        <v>52576.950000000004</v>
      </c>
    </row>
    <row r="12" spans="1:80">
      <c r="A12" s="301" t="s">
        <v>505</v>
      </c>
      <c r="B12" s="301"/>
      <c r="C12" s="124"/>
      <c r="D12" s="124"/>
      <c r="E12" s="124"/>
      <c r="F12" s="124"/>
      <c r="G12" s="124"/>
      <c r="H12" s="125"/>
      <c r="I12" s="124"/>
      <c r="J12" s="124"/>
      <c r="K12" s="124"/>
      <c r="L12" s="302"/>
      <c r="M12" s="302"/>
      <c r="N12" s="124"/>
      <c r="O12" s="125"/>
      <c r="P12" s="124"/>
      <c r="Q12" s="124"/>
      <c r="R12" s="124"/>
      <c r="S12" s="124"/>
      <c r="T12" s="124"/>
      <c r="U12" s="125"/>
      <c r="V12" s="124"/>
      <c r="W12" s="124"/>
      <c r="X12" s="124"/>
      <c r="Y12" s="124"/>
      <c r="Z12" s="124"/>
      <c r="AA12" s="125"/>
      <c r="AB12" s="124"/>
      <c r="AC12" s="124"/>
      <c r="AD12" s="124"/>
      <c r="AE12" s="124"/>
      <c r="AF12" s="124"/>
      <c r="AG12" s="125"/>
      <c r="AH12" s="124" t="s">
        <v>506</v>
      </c>
      <c r="AI12" s="124" t="s">
        <v>507</v>
      </c>
      <c r="AJ12" s="124"/>
      <c r="AK12" s="124" t="s">
        <v>508</v>
      </c>
      <c r="AL12" s="124" t="s">
        <v>498</v>
      </c>
      <c r="AM12" s="125" t="s">
        <v>509</v>
      </c>
      <c r="AN12" s="126">
        <v>49567.51</v>
      </c>
      <c r="AO12" s="126">
        <v>32264.51</v>
      </c>
      <c r="AP12" s="126">
        <v>0</v>
      </c>
      <c r="AQ12" s="126">
        <f t="shared" ref="AQ12:AQ21" si="5">IF(COUNTA(AN12:AO12)=0,"",AN12-AO12)</f>
        <v>17303.000000000004</v>
      </c>
      <c r="AR12" s="127">
        <v>0.2</v>
      </c>
      <c r="AS12" s="128">
        <f t="shared" ref="AS12:AS21" si="6">IF(OR(AQ12="",AR12=""),"",AQ12*AR12)</f>
        <v>3460.6000000000008</v>
      </c>
      <c r="AT12" s="126">
        <v>23556.880000000001</v>
      </c>
      <c r="AU12" s="126">
        <v>16065.51</v>
      </c>
      <c r="AV12" s="126"/>
      <c r="AW12" s="126">
        <v>7491.37</v>
      </c>
      <c r="AX12" s="127">
        <v>0.2</v>
      </c>
      <c r="AY12" s="128">
        <f t="shared" ref="AY12:AY21" si="7">IF(OR(AW12="",AX12=""),"",AW12*AX12)</f>
        <v>1498.2740000000001</v>
      </c>
      <c r="AZ12" s="124"/>
      <c r="BA12" s="124"/>
      <c r="BB12" s="124"/>
      <c r="BC12" s="124"/>
      <c r="BD12" s="124"/>
      <c r="BE12" s="125"/>
      <c r="BF12" s="124"/>
      <c r="BG12" s="124"/>
      <c r="BH12" s="124"/>
      <c r="BI12" s="124"/>
      <c r="BJ12" s="124"/>
      <c r="BK12" s="125"/>
      <c r="BL12" s="124"/>
      <c r="BM12" s="124"/>
      <c r="BN12" s="124"/>
      <c r="BO12" s="124"/>
      <c r="BP12" s="124"/>
      <c r="BQ12" s="125"/>
      <c r="BR12" s="124"/>
      <c r="BS12" s="124"/>
      <c r="BT12" s="124"/>
      <c r="BU12" s="124"/>
      <c r="BV12" s="124"/>
      <c r="BW12" s="125"/>
      <c r="BX12" s="126">
        <f t="shared" si="0"/>
        <v>166101.69</v>
      </c>
      <c r="BY12" s="126">
        <f t="shared" si="1"/>
        <v>102915.62999999999</v>
      </c>
      <c r="BZ12" s="126">
        <f t="shared" si="2"/>
        <v>0</v>
      </c>
      <c r="CA12" s="126">
        <f t="shared" si="3"/>
        <v>63186.060000000005</v>
      </c>
      <c r="CB12" s="128">
        <f t="shared" si="4"/>
        <v>12637.214</v>
      </c>
    </row>
    <row r="13" spans="1:80">
      <c r="A13" s="301" t="s">
        <v>510</v>
      </c>
      <c r="B13" s="301"/>
      <c r="C13" s="124"/>
      <c r="D13" s="124"/>
      <c r="E13" s="124"/>
      <c r="F13" s="124"/>
      <c r="G13" s="124"/>
      <c r="H13" s="125"/>
      <c r="I13" s="124"/>
      <c r="J13" s="124"/>
      <c r="K13" s="124"/>
      <c r="L13" s="302"/>
      <c r="M13" s="302"/>
      <c r="N13" s="124"/>
      <c r="O13" s="125"/>
      <c r="P13" s="124"/>
      <c r="Q13" s="124"/>
      <c r="R13" s="124"/>
      <c r="S13" s="124"/>
      <c r="T13" s="124"/>
      <c r="U13" s="125"/>
      <c r="V13" s="124"/>
      <c r="W13" s="124"/>
      <c r="X13" s="124"/>
      <c r="Y13" s="124"/>
      <c r="Z13" s="124"/>
      <c r="AA13" s="125"/>
      <c r="AB13" s="124"/>
      <c r="AC13" s="124"/>
      <c r="AD13" s="124"/>
      <c r="AE13" s="124"/>
      <c r="AF13" s="124"/>
      <c r="AG13" s="125"/>
      <c r="AH13" s="124" t="s">
        <v>511</v>
      </c>
      <c r="AI13" s="124" t="s">
        <v>512</v>
      </c>
      <c r="AJ13" s="124"/>
      <c r="AK13" s="124" t="s">
        <v>513</v>
      </c>
      <c r="AL13" s="124" t="s">
        <v>498</v>
      </c>
      <c r="AM13" s="125" t="s">
        <v>514</v>
      </c>
      <c r="AN13" s="126">
        <v>226674</v>
      </c>
      <c r="AO13" s="126">
        <v>182345.57</v>
      </c>
      <c r="AP13" s="126">
        <v>0</v>
      </c>
      <c r="AQ13" s="126">
        <f t="shared" si="5"/>
        <v>44328.429999999993</v>
      </c>
      <c r="AR13" s="127">
        <v>0.2</v>
      </c>
      <c r="AS13" s="128">
        <f t="shared" si="6"/>
        <v>8865.6859999999997</v>
      </c>
      <c r="AT13" s="126">
        <v>33922</v>
      </c>
      <c r="AU13" s="126">
        <v>27817.759999999998</v>
      </c>
      <c r="AV13" s="126"/>
      <c r="AW13" s="126">
        <v>6104.24</v>
      </c>
      <c r="AX13" s="127">
        <v>0.2</v>
      </c>
      <c r="AY13" s="128">
        <f t="shared" si="7"/>
        <v>1220.848</v>
      </c>
      <c r="AZ13" s="124"/>
      <c r="BA13" s="124"/>
      <c r="BB13" s="124"/>
      <c r="BC13" s="124"/>
      <c r="BD13" s="124"/>
      <c r="BE13" s="125"/>
      <c r="BF13" s="124"/>
      <c r="BG13" s="124"/>
      <c r="BH13" s="124"/>
      <c r="BI13" s="124"/>
      <c r="BJ13" s="124"/>
      <c r="BK13" s="125"/>
      <c r="BL13" s="124"/>
      <c r="BM13" s="124"/>
      <c r="BN13" s="124"/>
      <c r="BO13" s="124"/>
      <c r="BP13" s="124"/>
      <c r="BQ13" s="125"/>
      <c r="BR13" s="124"/>
      <c r="BS13" s="124"/>
      <c r="BT13" s="124"/>
      <c r="BU13" s="124"/>
      <c r="BV13" s="124"/>
      <c r="BW13" s="125"/>
      <c r="BX13" s="126">
        <f t="shared" si="0"/>
        <v>346296</v>
      </c>
      <c r="BY13" s="126">
        <f t="shared" si="1"/>
        <v>276864.38</v>
      </c>
      <c r="BZ13" s="126">
        <f t="shared" si="2"/>
        <v>0</v>
      </c>
      <c r="CA13" s="126">
        <f t="shared" si="3"/>
        <v>69431.62</v>
      </c>
      <c r="CB13" s="128">
        <f t="shared" si="4"/>
        <v>13886.323999999999</v>
      </c>
    </row>
    <row r="14" spans="1:80">
      <c r="A14" s="301" t="s">
        <v>515</v>
      </c>
      <c r="B14" s="301"/>
      <c r="C14" s="124"/>
      <c r="D14" s="124"/>
      <c r="E14" s="124"/>
      <c r="F14" s="124"/>
      <c r="G14" s="124"/>
      <c r="H14" s="125"/>
      <c r="I14" s="124"/>
      <c r="J14" s="124"/>
      <c r="K14" s="124"/>
      <c r="L14" s="302"/>
      <c r="M14" s="302"/>
      <c r="N14" s="124"/>
      <c r="O14" s="125"/>
      <c r="P14" s="124"/>
      <c r="Q14" s="124"/>
      <c r="R14" s="124"/>
      <c r="S14" s="124"/>
      <c r="T14" s="124"/>
      <c r="U14" s="125"/>
      <c r="V14" s="124"/>
      <c r="W14" s="124"/>
      <c r="X14" s="124"/>
      <c r="Y14" s="124"/>
      <c r="Z14" s="124"/>
      <c r="AA14" s="125"/>
      <c r="AB14" s="124"/>
      <c r="AC14" s="124"/>
      <c r="AD14" s="124"/>
      <c r="AE14" s="124"/>
      <c r="AF14" s="124"/>
      <c r="AG14" s="125"/>
      <c r="AH14" s="124" t="s">
        <v>516</v>
      </c>
      <c r="AI14" s="124" t="s">
        <v>517</v>
      </c>
      <c r="AJ14" s="124"/>
      <c r="AK14" s="124" t="s">
        <v>518</v>
      </c>
      <c r="AL14" s="124" t="s">
        <v>498</v>
      </c>
      <c r="AM14" s="125" t="s">
        <v>519</v>
      </c>
      <c r="AN14" s="126"/>
      <c r="AO14" s="126"/>
      <c r="AP14" s="126">
        <v>0</v>
      </c>
      <c r="AQ14" s="126" t="str">
        <f t="shared" si="5"/>
        <v/>
      </c>
      <c r="AR14" s="127">
        <v>0.2</v>
      </c>
      <c r="AS14" s="128" t="str">
        <f t="shared" si="6"/>
        <v/>
      </c>
      <c r="AT14" s="126"/>
      <c r="AU14" s="126"/>
      <c r="AV14" s="126"/>
      <c r="AW14" s="126"/>
      <c r="AX14" s="127"/>
      <c r="AY14" s="128" t="str">
        <f t="shared" si="7"/>
        <v/>
      </c>
      <c r="AZ14" s="124"/>
      <c r="BA14" s="124"/>
      <c r="BB14" s="124"/>
      <c r="BC14" s="124"/>
      <c r="BD14" s="124"/>
      <c r="BE14" s="125"/>
      <c r="BF14" s="124"/>
      <c r="BG14" s="124"/>
      <c r="BH14" s="124"/>
      <c r="BI14" s="124"/>
      <c r="BJ14" s="124"/>
      <c r="BK14" s="125"/>
      <c r="BL14" s="124"/>
      <c r="BM14" s="124"/>
      <c r="BN14" s="124"/>
      <c r="BO14" s="124"/>
      <c r="BP14" s="124"/>
      <c r="BQ14" s="125"/>
      <c r="BR14" s="124"/>
      <c r="BS14" s="124"/>
      <c r="BT14" s="124"/>
      <c r="BU14" s="124"/>
      <c r="BV14" s="124"/>
      <c r="BW14" s="125"/>
      <c r="BX14" s="126">
        <f t="shared" si="0"/>
        <v>2800</v>
      </c>
      <c r="BY14" s="126">
        <f t="shared" si="1"/>
        <v>1895.8</v>
      </c>
      <c r="BZ14" s="126">
        <f t="shared" si="2"/>
        <v>0</v>
      </c>
      <c r="CA14" s="126">
        <f t="shared" si="3"/>
        <v>904.2</v>
      </c>
      <c r="CB14" s="128">
        <f t="shared" si="4"/>
        <v>180.84</v>
      </c>
    </row>
    <row r="15" spans="1:80">
      <c r="A15" s="301" t="s">
        <v>520</v>
      </c>
      <c r="B15" s="301"/>
      <c r="C15" s="124"/>
      <c r="D15" s="124"/>
      <c r="E15" s="124"/>
      <c r="F15" s="124"/>
      <c r="G15" s="124"/>
      <c r="H15" s="125"/>
      <c r="I15" s="124"/>
      <c r="J15" s="124"/>
      <c r="K15" s="124"/>
      <c r="L15" s="302"/>
      <c r="M15" s="302"/>
      <c r="N15" s="124"/>
      <c r="O15" s="125"/>
      <c r="P15" s="124"/>
      <c r="Q15" s="124"/>
      <c r="R15" s="124"/>
      <c r="S15" s="124"/>
      <c r="T15" s="124"/>
      <c r="U15" s="125"/>
      <c r="V15" s="124"/>
      <c r="W15" s="124"/>
      <c r="X15" s="124"/>
      <c r="Y15" s="124"/>
      <c r="Z15" s="124"/>
      <c r="AA15" s="125"/>
      <c r="AB15" s="124"/>
      <c r="AC15" s="124"/>
      <c r="AD15" s="124"/>
      <c r="AE15" s="124"/>
      <c r="AF15" s="124"/>
      <c r="AG15" s="125"/>
      <c r="AH15" s="124" t="s">
        <v>521</v>
      </c>
      <c r="AI15" s="124" t="s">
        <v>522</v>
      </c>
      <c r="AJ15" s="124"/>
      <c r="AK15" s="124" t="s">
        <v>523</v>
      </c>
      <c r="AL15" s="124" t="s">
        <v>503</v>
      </c>
      <c r="AM15" s="125" t="s">
        <v>524</v>
      </c>
      <c r="AN15" s="126">
        <v>592443.9</v>
      </c>
      <c r="AO15" s="126">
        <v>497396.01</v>
      </c>
      <c r="AP15" s="126">
        <v>0</v>
      </c>
      <c r="AQ15" s="126">
        <f t="shared" si="5"/>
        <v>95047.890000000014</v>
      </c>
      <c r="AR15" s="127">
        <v>0.3</v>
      </c>
      <c r="AS15" s="128">
        <f t="shared" si="6"/>
        <v>28514.367000000002</v>
      </c>
      <c r="AT15" s="126">
        <v>817590.78</v>
      </c>
      <c r="AU15" s="126">
        <v>593990.02</v>
      </c>
      <c r="AV15" s="126"/>
      <c r="AW15" s="126">
        <v>223600.76</v>
      </c>
      <c r="AX15" s="127">
        <v>0.3</v>
      </c>
      <c r="AY15" s="128">
        <f t="shared" si="7"/>
        <v>67080.228000000003</v>
      </c>
      <c r="AZ15" s="124"/>
      <c r="BA15" s="124"/>
      <c r="BB15" s="124"/>
      <c r="BC15" s="124"/>
      <c r="BD15" s="124"/>
      <c r="BE15" s="125"/>
      <c r="BF15" s="124"/>
      <c r="BG15" s="124"/>
      <c r="BH15" s="124"/>
      <c r="BI15" s="124"/>
      <c r="BJ15" s="124"/>
      <c r="BK15" s="125"/>
      <c r="BL15" s="124"/>
      <c r="BM15" s="124"/>
      <c r="BN15" s="124"/>
      <c r="BO15" s="124"/>
      <c r="BP15" s="124"/>
      <c r="BQ15" s="125"/>
      <c r="BR15" s="124"/>
      <c r="BS15" s="124"/>
      <c r="BT15" s="124"/>
      <c r="BU15" s="124"/>
      <c r="BV15" s="124"/>
      <c r="BW15" s="125"/>
      <c r="BX15" s="126">
        <f t="shared" si="0"/>
        <v>1904748.6900000002</v>
      </c>
      <c r="BY15" s="126">
        <f t="shared" si="1"/>
        <v>1489474.77</v>
      </c>
      <c r="BZ15" s="126">
        <f t="shared" si="2"/>
        <v>0</v>
      </c>
      <c r="CA15" s="126">
        <f t="shared" si="3"/>
        <v>415273.92000000004</v>
      </c>
      <c r="CB15" s="128">
        <f t="shared" si="4"/>
        <v>124582.175</v>
      </c>
    </row>
    <row r="16" spans="1:80">
      <c r="A16" s="301" t="s">
        <v>525</v>
      </c>
      <c r="B16" s="301"/>
      <c r="C16" s="124"/>
      <c r="D16" s="124"/>
      <c r="E16" s="124"/>
      <c r="F16" s="124"/>
      <c r="G16" s="124"/>
      <c r="H16" s="125"/>
      <c r="I16" s="124"/>
      <c r="J16" s="124"/>
      <c r="K16" s="124"/>
      <c r="L16" s="302"/>
      <c r="M16" s="302"/>
      <c r="N16" s="124"/>
      <c r="O16" s="125"/>
      <c r="P16" s="124"/>
      <c r="Q16" s="124"/>
      <c r="R16" s="124"/>
      <c r="S16" s="124"/>
      <c r="T16" s="124"/>
      <c r="U16" s="125"/>
      <c r="V16" s="124"/>
      <c r="W16" s="124"/>
      <c r="X16" s="124"/>
      <c r="Y16" s="124"/>
      <c r="Z16" s="124"/>
      <c r="AA16" s="125"/>
      <c r="AB16" s="124"/>
      <c r="AC16" s="124"/>
      <c r="AD16" s="124"/>
      <c r="AE16" s="124"/>
      <c r="AF16" s="124"/>
      <c r="AG16" s="125"/>
      <c r="AH16" s="124" t="s">
        <v>526</v>
      </c>
      <c r="AI16" s="124" t="s">
        <v>527</v>
      </c>
      <c r="AJ16" s="124"/>
      <c r="AK16" s="124" t="s">
        <v>528</v>
      </c>
      <c r="AL16" s="124" t="s">
        <v>498</v>
      </c>
      <c r="AM16" s="125" t="s">
        <v>529</v>
      </c>
      <c r="AN16" s="126">
        <v>12460</v>
      </c>
      <c r="AO16" s="126">
        <v>10545.3</v>
      </c>
      <c r="AP16" s="126">
        <v>0</v>
      </c>
      <c r="AQ16" s="126">
        <f t="shared" si="5"/>
        <v>1914.7000000000007</v>
      </c>
      <c r="AR16" s="127">
        <v>0.2</v>
      </c>
      <c r="AS16" s="128">
        <f t="shared" si="6"/>
        <v>382.94000000000017</v>
      </c>
      <c r="AT16" s="126"/>
      <c r="AU16" s="126"/>
      <c r="AV16" s="126"/>
      <c r="AW16" s="126"/>
      <c r="AX16" s="127"/>
      <c r="AY16" s="128" t="str">
        <f t="shared" si="7"/>
        <v/>
      </c>
      <c r="AZ16" s="124"/>
      <c r="BA16" s="124"/>
      <c r="BB16" s="124"/>
      <c r="BC16" s="124"/>
      <c r="BD16" s="124"/>
      <c r="BE16" s="125"/>
      <c r="BF16" s="124"/>
      <c r="BG16" s="124"/>
      <c r="BH16" s="124"/>
      <c r="BI16" s="124"/>
      <c r="BJ16" s="124"/>
      <c r="BK16" s="125"/>
      <c r="BL16" s="124"/>
      <c r="BM16" s="124"/>
      <c r="BN16" s="124"/>
      <c r="BO16" s="124"/>
      <c r="BP16" s="124"/>
      <c r="BQ16" s="125"/>
      <c r="BR16" s="124"/>
      <c r="BS16" s="124"/>
      <c r="BT16" s="124"/>
      <c r="BU16" s="124"/>
      <c r="BV16" s="124"/>
      <c r="BW16" s="125"/>
      <c r="BX16" s="126">
        <f t="shared" si="0"/>
        <v>58265</v>
      </c>
      <c r="BY16" s="126">
        <f t="shared" si="1"/>
        <v>49011.67</v>
      </c>
      <c r="BZ16" s="126">
        <f t="shared" si="2"/>
        <v>0</v>
      </c>
      <c r="CA16" s="126">
        <f t="shared" si="3"/>
        <v>9253.3300000000017</v>
      </c>
      <c r="CB16" s="128">
        <f t="shared" si="4"/>
        <v>1850.67</v>
      </c>
    </row>
    <row r="17" spans="1:80">
      <c r="A17" s="301" t="s">
        <v>530</v>
      </c>
      <c r="B17" s="301"/>
      <c r="C17" s="124"/>
      <c r="D17" s="124"/>
      <c r="E17" s="124"/>
      <c r="F17" s="124"/>
      <c r="G17" s="124"/>
      <c r="H17" s="125"/>
      <c r="I17" s="124"/>
      <c r="J17" s="124"/>
      <c r="K17" s="124"/>
      <c r="L17" s="302"/>
      <c r="M17" s="302"/>
      <c r="N17" s="124"/>
      <c r="O17" s="125"/>
      <c r="P17" s="124"/>
      <c r="Q17" s="124"/>
      <c r="R17" s="124"/>
      <c r="S17" s="124"/>
      <c r="T17" s="124"/>
      <c r="U17" s="125"/>
      <c r="V17" s="124"/>
      <c r="W17" s="124"/>
      <c r="X17" s="124"/>
      <c r="Y17" s="124"/>
      <c r="Z17" s="124"/>
      <c r="AA17" s="125"/>
      <c r="AB17" s="124"/>
      <c r="AC17" s="124"/>
      <c r="AD17" s="124"/>
      <c r="AE17" s="124"/>
      <c r="AF17" s="124"/>
      <c r="AG17" s="125"/>
      <c r="AH17" s="124" t="s">
        <v>531</v>
      </c>
      <c r="AI17" s="124" t="s">
        <v>532</v>
      </c>
      <c r="AJ17" s="124"/>
      <c r="AK17" s="124" t="s">
        <v>533</v>
      </c>
      <c r="AL17" s="124" t="s">
        <v>498</v>
      </c>
      <c r="AM17" s="125" t="s">
        <v>534</v>
      </c>
      <c r="AN17" s="126">
        <v>89099.68</v>
      </c>
      <c r="AO17" s="126">
        <v>70549.919999999998</v>
      </c>
      <c r="AP17" s="126">
        <v>0</v>
      </c>
      <c r="AQ17" s="126">
        <f t="shared" si="5"/>
        <v>18549.759999999995</v>
      </c>
      <c r="AR17" s="127">
        <v>0.2</v>
      </c>
      <c r="AS17" s="128">
        <f t="shared" si="6"/>
        <v>3709.9519999999993</v>
      </c>
      <c r="AT17" s="126">
        <v>48611.93</v>
      </c>
      <c r="AU17" s="126">
        <v>33254.19</v>
      </c>
      <c r="AV17" s="126"/>
      <c r="AW17" s="126">
        <v>15357.74</v>
      </c>
      <c r="AX17" s="127">
        <v>0.2</v>
      </c>
      <c r="AY17" s="128">
        <f t="shared" si="7"/>
        <v>3071.5480000000002</v>
      </c>
      <c r="AZ17" s="124"/>
      <c r="BA17" s="124"/>
      <c r="BB17" s="124"/>
      <c r="BC17" s="124"/>
      <c r="BD17" s="124"/>
      <c r="BE17" s="125"/>
      <c r="BF17" s="124"/>
      <c r="BG17" s="124"/>
      <c r="BH17" s="124"/>
      <c r="BI17" s="124"/>
      <c r="BJ17" s="124"/>
      <c r="BK17" s="125"/>
      <c r="BL17" s="124"/>
      <c r="BM17" s="124"/>
      <c r="BN17" s="124"/>
      <c r="BO17" s="124"/>
      <c r="BP17" s="124"/>
      <c r="BQ17" s="125"/>
      <c r="BR17" s="124"/>
      <c r="BS17" s="124"/>
      <c r="BT17" s="124"/>
      <c r="BU17" s="124"/>
      <c r="BV17" s="124"/>
      <c r="BW17" s="125"/>
      <c r="BX17" s="126">
        <f t="shared" si="0"/>
        <v>299714.62</v>
      </c>
      <c r="BY17" s="126">
        <f t="shared" si="1"/>
        <v>214297.91</v>
      </c>
      <c r="BZ17" s="126">
        <f t="shared" si="2"/>
        <v>0</v>
      </c>
      <c r="CA17" s="126">
        <f t="shared" si="3"/>
        <v>85416.71</v>
      </c>
      <c r="CB17" s="128">
        <f t="shared" si="4"/>
        <v>17083.34</v>
      </c>
    </row>
    <row r="18" spans="1:80">
      <c r="A18" s="301" t="s">
        <v>535</v>
      </c>
      <c r="B18" s="301"/>
      <c r="C18" s="124"/>
      <c r="D18" s="124"/>
      <c r="E18" s="124"/>
      <c r="F18" s="124"/>
      <c r="G18" s="124"/>
      <c r="H18" s="125"/>
      <c r="I18" s="124"/>
      <c r="J18" s="124"/>
      <c r="K18" s="124"/>
      <c r="L18" s="302"/>
      <c r="M18" s="302"/>
      <c r="N18" s="124"/>
      <c r="O18" s="125"/>
      <c r="P18" s="124"/>
      <c r="Q18" s="124"/>
      <c r="R18" s="124"/>
      <c r="S18" s="124"/>
      <c r="T18" s="124"/>
      <c r="U18" s="125"/>
      <c r="V18" s="124"/>
      <c r="W18" s="124"/>
      <c r="X18" s="124"/>
      <c r="Y18" s="124"/>
      <c r="Z18" s="124"/>
      <c r="AA18" s="125"/>
      <c r="AB18" s="124"/>
      <c r="AC18" s="124"/>
      <c r="AD18" s="124"/>
      <c r="AE18" s="124"/>
      <c r="AF18" s="124"/>
      <c r="AG18" s="125"/>
      <c r="AH18" s="124" t="s">
        <v>536</v>
      </c>
      <c r="AI18" s="124" t="s">
        <v>537</v>
      </c>
      <c r="AJ18" s="124"/>
      <c r="AK18" s="124" t="s">
        <v>538</v>
      </c>
      <c r="AL18" s="124" t="s">
        <v>498</v>
      </c>
      <c r="AM18" s="125" t="s">
        <v>539</v>
      </c>
      <c r="AN18" s="126">
        <v>42520.45</v>
      </c>
      <c r="AO18" s="126">
        <v>31779.18</v>
      </c>
      <c r="AP18" s="126">
        <v>0</v>
      </c>
      <c r="AQ18" s="126">
        <f t="shared" si="5"/>
        <v>10741.269999999997</v>
      </c>
      <c r="AR18" s="127">
        <v>0.2</v>
      </c>
      <c r="AS18" s="128">
        <f t="shared" si="6"/>
        <v>2148.2539999999995</v>
      </c>
      <c r="AT18" s="126">
        <v>44225.99</v>
      </c>
      <c r="AU18" s="126">
        <v>29994.11</v>
      </c>
      <c r="AV18" s="126"/>
      <c r="AW18" s="126">
        <v>14231.88</v>
      </c>
      <c r="AX18" s="127">
        <v>0.2</v>
      </c>
      <c r="AY18" s="128">
        <f t="shared" si="7"/>
        <v>2846.3760000000002</v>
      </c>
      <c r="AZ18" s="124"/>
      <c r="BA18" s="124"/>
      <c r="BB18" s="124"/>
      <c r="BC18" s="124"/>
      <c r="BD18" s="124"/>
      <c r="BE18" s="125"/>
      <c r="BF18" s="124"/>
      <c r="BG18" s="124"/>
      <c r="BH18" s="124"/>
      <c r="BI18" s="124"/>
      <c r="BJ18" s="124"/>
      <c r="BK18" s="125"/>
      <c r="BL18" s="124"/>
      <c r="BM18" s="124"/>
      <c r="BN18" s="124"/>
      <c r="BO18" s="124"/>
      <c r="BP18" s="124"/>
      <c r="BQ18" s="125"/>
      <c r="BR18" s="124"/>
      <c r="BS18" s="124"/>
      <c r="BT18" s="124"/>
      <c r="BU18" s="124"/>
      <c r="BV18" s="124"/>
      <c r="BW18" s="125"/>
      <c r="BX18" s="126">
        <f t="shared" si="0"/>
        <v>156219.22</v>
      </c>
      <c r="BY18" s="126">
        <f t="shared" si="1"/>
        <v>109522.49</v>
      </c>
      <c r="BZ18" s="126">
        <f t="shared" si="2"/>
        <v>0</v>
      </c>
      <c r="CA18" s="126">
        <f t="shared" si="3"/>
        <v>46696.729999999996</v>
      </c>
      <c r="CB18" s="128">
        <f t="shared" si="4"/>
        <v>9339.35</v>
      </c>
    </row>
    <row r="19" spans="1:80">
      <c r="A19" s="301" t="s">
        <v>540</v>
      </c>
      <c r="B19" s="301"/>
      <c r="C19" s="124"/>
      <c r="D19" s="124"/>
      <c r="E19" s="124"/>
      <c r="F19" s="124"/>
      <c r="G19" s="124"/>
      <c r="H19" s="125"/>
      <c r="I19" s="124"/>
      <c r="J19" s="124"/>
      <c r="K19" s="124"/>
      <c r="L19" s="302"/>
      <c r="M19" s="302"/>
      <c r="N19" s="124"/>
      <c r="O19" s="125"/>
      <c r="P19" s="124"/>
      <c r="Q19" s="124"/>
      <c r="R19" s="124"/>
      <c r="S19" s="124"/>
      <c r="T19" s="124"/>
      <c r="U19" s="125"/>
      <c r="V19" s="124"/>
      <c r="W19" s="124"/>
      <c r="X19" s="124"/>
      <c r="Y19" s="124"/>
      <c r="Z19" s="124"/>
      <c r="AA19" s="125"/>
      <c r="AB19" s="124"/>
      <c r="AC19" s="124"/>
      <c r="AD19" s="124"/>
      <c r="AE19" s="124"/>
      <c r="AF19" s="124"/>
      <c r="AG19" s="125"/>
      <c r="AH19" s="124" t="s">
        <v>541</v>
      </c>
      <c r="AI19" s="124" t="s">
        <v>542</v>
      </c>
      <c r="AJ19" s="124"/>
      <c r="AK19" s="124" t="s">
        <v>543</v>
      </c>
      <c r="AL19" s="124" t="s">
        <v>498</v>
      </c>
      <c r="AM19" s="125" t="s">
        <v>544</v>
      </c>
      <c r="AN19" s="126">
        <v>27180</v>
      </c>
      <c r="AO19" s="126">
        <v>20642.060000000001</v>
      </c>
      <c r="AP19" s="126">
        <v>0</v>
      </c>
      <c r="AQ19" s="126">
        <f t="shared" si="5"/>
        <v>6537.9399999999987</v>
      </c>
      <c r="AR19" s="127">
        <v>0.2</v>
      </c>
      <c r="AS19" s="128">
        <f t="shared" si="6"/>
        <v>1307.5879999999997</v>
      </c>
      <c r="AT19" s="126">
        <v>45600</v>
      </c>
      <c r="AU19" s="126">
        <v>23561.69</v>
      </c>
      <c r="AV19" s="126"/>
      <c r="AW19" s="126">
        <v>22038.31</v>
      </c>
      <c r="AX19" s="127">
        <v>0.2</v>
      </c>
      <c r="AY19" s="128">
        <f t="shared" si="7"/>
        <v>4407.6620000000003</v>
      </c>
      <c r="AZ19" s="124"/>
      <c r="BA19" s="124"/>
      <c r="BB19" s="124"/>
      <c r="BC19" s="124"/>
      <c r="BD19" s="124"/>
      <c r="BE19" s="125"/>
      <c r="BF19" s="124"/>
      <c r="BG19" s="124"/>
      <c r="BH19" s="124"/>
      <c r="BI19" s="124"/>
      <c r="BJ19" s="124"/>
      <c r="BK19" s="125"/>
      <c r="BL19" s="124"/>
      <c r="BM19" s="124"/>
      <c r="BN19" s="124"/>
      <c r="BO19" s="124"/>
      <c r="BP19" s="124"/>
      <c r="BQ19" s="125"/>
      <c r="BR19" s="124"/>
      <c r="BS19" s="124"/>
      <c r="BT19" s="124"/>
      <c r="BU19" s="124"/>
      <c r="BV19" s="124"/>
      <c r="BW19" s="125"/>
      <c r="BX19" s="126">
        <f t="shared" si="0"/>
        <v>144688</v>
      </c>
      <c r="BY19" s="126">
        <f t="shared" si="1"/>
        <v>92215.81</v>
      </c>
      <c r="BZ19" s="126">
        <f t="shared" si="2"/>
        <v>0</v>
      </c>
      <c r="CA19" s="126">
        <f t="shared" si="3"/>
        <v>52472.19</v>
      </c>
      <c r="CB19" s="128">
        <f t="shared" si="4"/>
        <v>10494.439999999999</v>
      </c>
    </row>
    <row r="20" spans="1:80">
      <c r="A20" s="301" t="s">
        <v>545</v>
      </c>
      <c r="B20" s="301"/>
      <c r="C20" s="124"/>
      <c r="D20" s="124"/>
      <c r="E20" s="124"/>
      <c r="F20" s="124"/>
      <c r="G20" s="124"/>
      <c r="H20" s="125"/>
      <c r="I20" s="124"/>
      <c r="J20" s="124"/>
      <c r="K20" s="124"/>
      <c r="L20" s="302"/>
      <c r="M20" s="302"/>
      <c r="N20" s="124"/>
      <c r="O20" s="125"/>
      <c r="P20" s="124"/>
      <c r="Q20" s="124"/>
      <c r="R20" s="124"/>
      <c r="S20" s="124"/>
      <c r="T20" s="124"/>
      <c r="U20" s="125"/>
      <c r="V20" s="124"/>
      <c r="W20" s="124"/>
      <c r="X20" s="124"/>
      <c r="Y20" s="124"/>
      <c r="Z20" s="124"/>
      <c r="AA20" s="125"/>
      <c r="AB20" s="124"/>
      <c r="AC20" s="124"/>
      <c r="AD20" s="124"/>
      <c r="AE20" s="124"/>
      <c r="AF20" s="124"/>
      <c r="AG20" s="125"/>
      <c r="AH20" s="124" t="s">
        <v>546</v>
      </c>
      <c r="AI20" s="124" t="s">
        <v>547</v>
      </c>
      <c r="AJ20" s="124"/>
      <c r="AK20" s="124" t="s">
        <v>548</v>
      </c>
      <c r="AL20" s="124" t="s">
        <v>503</v>
      </c>
      <c r="AM20" s="125" t="s">
        <v>549</v>
      </c>
      <c r="AN20" s="126">
        <v>319200</v>
      </c>
      <c r="AO20" s="126">
        <v>285809.25</v>
      </c>
      <c r="AP20" s="126">
        <v>0</v>
      </c>
      <c r="AQ20" s="126">
        <f t="shared" si="5"/>
        <v>33390.75</v>
      </c>
      <c r="AR20" s="127">
        <v>0.2</v>
      </c>
      <c r="AS20" s="128">
        <f t="shared" si="6"/>
        <v>6678.1500000000005</v>
      </c>
      <c r="AT20" s="126">
        <v>1354410</v>
      </c>
      <c r="AU20" s="126">
        <v>1129757.51</v>
      </c>
      <c r="AV20" s="126"/>
      <c r="AW20" s="126">
        <v>224652.49</v>
      </c>
      <c r="AX20" s="127">
        <v>0.3</v>
      </c>
      <c r="AY20" s="128">
        <f t="shared" si="7"/>
        <v>67395.746999999988</v>
      </c>
      <c r="AZ20" s="124"/>
      <c r="BA20" s="124"/>
      <c r="BB20" s="124"/>
      <c r="BC20" s="124"/>
      <c r="BD20" s="124"/>
      <c r="BE20" s="125"/>
      <c r="BF20" s="124"/>
      <c r="BG20" s="124"/>
      <c r="BH20" s="124"/>
      <c r="BI20" s="124"/>
      <c r="BJ20" s="124"/>
      <c r="BK20" s="125"/>
      <c r="BL20" s="124"/>
      <c r="BM20" s="124"/>
      <c r="BN20" s="124"/>
      <c r="BO20" s="124"/>
      <c r="BP20" s="124"/>
      <c r="BQ20" s="125"/>
      <c r="BR20" s="124"/>
      <c r="BS20" s="124"/>
      <c r="BT20" s="124"/>
      <c r="BU20" s="124"/>
      <c r="BV20" s="124"/>
      <c r="BW20" s="125"/>
      <c r="BX20" s="126">
        <f t="shared" si="0"/>
        <v>2130925</v>
      </c>
      <c r="BY20" s="126">
        <f t="shared" si="1"/>
        <v>1848866.07</v>
      </c>
      <c r="BZ20" s="126">
        <f t="shared" si="2"/>
        <v>0</v>
      </c>
      <c r="CA20" s="126">
        <f t="shared" si="3"/>
        <v>282058.93</v>
      </c>
      <c r="CB20" s="128">
        <f t="shared" si="4"/>
        <v>81278.606999999989</v>
      </c>
    </row>
    <row r="21" spans="1:80">
      <c r="A21" s="301" t="s">
        <v>550</v>
      </c>
      <c r="B21" s="301"/>
      <c r="C21" s="124" t="s">
        <v>551</v>
      </c>
      <c r="D21" s="124" t="s">
        <v>552</v>
      </c>
      <c r="E21" s="124">
        <f>IF(VALUE(C21)&gt;0,'Store Expenses'!D34,0)</f>
        <v>702225.05</v>
      </c>
      <c r="F21" s="124" t="s">
        <v>553</v>
      </c>
      <c r="G21" s="124" t="s">
        <v>498</v>
      </c>
      <c r="H21" s="125" t="s">
        <v>554</v>
      </c>
      <c r="I21" s="124"/>
      <c r="J21" s="124"/>
      <c r="K21" s="124">
        <f>IF(VALUE(I21)&gt;0,'Store Expenses'!E34,0)</f>
        <v>0</v>
      </c>
      <c r="L21" s="302"/>
      <c r="M21" s="302"/>
      <c r="N21" s="124"/>
      <c r="O21" s="125"/>
      <c r="P21" s="124"/>
      <c r="Q21" s="124"/>
      <c r="R21" s="124">
        <f>IF(VALUE(P21)&gt;0,'Store Expenses'!F34,0)</f>
        <v>0</v>
      </c>
      <c r="S21" s="124"/>
      <c r="T21" s="124"/>
      <c r="U21" s="125"/>
      <c r="V21" s="124"/>
      <c r="W21" s="124"/>
      <c r="X21" s="124">
        <f>IF(VALUE(V21)&gt;0,'Store Expenses'!G34,0)</f>
        <v>0</v>
      </c>
      <c r="Y21" s="124"/>
      <c r="Z21" s="124"/>
      <c r="AA21" s="125"/>
      <c r="AB21" s="124" t="s">
        <v>555</v>
      </c>
      <c r="AC21" s="124" t="s">
        <v>556</v>
      </c>
      <c r="AD21" s="124">
        <f>IF(VALUE(AB21)&gt;0,'Store Expenses'!H34,0)</f>
        <v>1005820.8899999999</v>
      </c>
      <c r="AE21" s="124" t="s">
        <v>557</v>
      </c>
      <c r="AF21" s="124" t="s">
        <v>498</v>
      </c>
      <c r="AG21" s="125" t="s">
        <v>558</v>
      </c>
      <c r="AH21" s="124" t="s">
        <v>559</v>
      </c>
      <c r="AI21" s="124" t="s">
        <v>560</v>
      </c>
      <c r="AJ21" s="124">
        <f>IF(VALUE(AH21)&gt;0,'Store Expenses'!I34,0)</f>
        <v>778781.08310000005</v>
      </c>
      <c r="AK21" s="124" t="s">
        <v>561</v>
      </c>
      <c r="AL21" s="124" t="s">
        <v>503</v>
      </c>
      <c r="AM21" s="125" t="s">
        <v>562</v>
      </c>
      <c r="AN21" s="126">
        <v>3234973.33</v>
      </c>
      <c r="AO21" s="126">
        <v>2685993.53</v>
      </c>
      <c r="AP21" s="126">
        <f>IF(VALUE(AN21)&gt;0,'Store Expenses'!J34,0)</f>
        <v>754819.77310000022</v>
      </c>
      <c r="AQ21" s="126">
        <f t="shared" si="5"/>
        <v>548979.80000000028</v>
      </c>
      <c r="AR21" s="127">
        <v>0.3</v>
      </c>
      <c r="AS21" s="128">
        <f t="shared" si="6"/>
        <v>164693.94000000009</v>
      </c>
      <c r="AT21" s="126">
        <v>2848080.08</v>
      </c>
      <c r="AU21" s="126">
        <v>2094480.23</v>
      </c>
      <c r="AV21" s="126">
        <f>IF(VALUE(AT21)&gt;0,'Store Expenses'!K34,0)</f>
        <v>753463.83310000005</v>
      </c>
      <c r="AW21" s="126">
        <f>IF(AT21=0,"",AT21-AU21)</f>
        <v>753599.85000000009</v>
      </c>
      <c r="AX21" s="127">
        <v>0.3</v>
      </c>
      <c r="AY21" s="128">
        <f t="shared" si="7"/>
        <v>226079.95500000002</v>
      </c>
      <c r="AZ21" s="124"/>
      <c r="BA21" s="124"/>
      <c r="BB21" s="124">
        <f>IF(VALUE(AZ21)&gt;0,'Store Expenses'!L34,0)</f>
        <v>0</v>
      </c>
      <c r="BC21" s="124"/>
      <c r="BD21" s="124"/>
      <c r="BE21" s="125"/>
      <c r="BF21" s="124"/>
      <c r="BG21" s="124"/>
      <c r="BH21" s="124">
        <f>IF(VALUE(BF21)&gt;0,'Store Expenses'!M34,0)</f>
        <v>0</v>
      </c>
      <c r="BI21" s="124"/>
      <c r="BJ21" s="124"/>
      <c r="BK21" s="125"/>
      <c r="BL21" s="124"/>
      <c r="BM21" s="124"/>
      <c r="BN21" s="124">
        <f>IF(VALUE(BL21)&gt;0,'Store Expenses'!N34,0)</f>
        <v>0</v>
      </c>
      <c r="BO21" s="124"/>
      <c r="BP21" s="124"/>
      <c r="BQ21" s="125"/>
      <c r="BR21" s="124"/>
      <c r="BS21" s="124"/>
      <c r="BT21" s="124">
        <f>IF(VALUE(BR21)&gt;0,'Store Expenses'!O34,0)</f>
        <v>0</v>
      </c>
      <c r="BU21" s="124"/>
      <c r="BV21" s="124"/>
      <c r="BW21" s="125"/>
      <c r="BX21" s="126">
        <f t="shared" si="0"/>
        <v>8929205.8000000007</v>
      </c>
      <c r="BY21" s="126">
        <f t="shared" si="1"/>
        <v>7107427.3100000005</v>
      </c>
      <c r="BZ21" s="126">
        <f>E21+K21+R21+X21+AD21+AJ21+AP21+AV21+BB21+BH21+BN21+BT21</f>
        <v>3995110.6293000001</v>
      </c>
      <c r="CA21" s="126">
        <f>BX21-BY21-BZ21</f>
        <v>-2173332.1392999999</v>
      </c>
      <c r="CB21" s="128">
        <f t="shared" si="4"/>
        <v>546078.50500000012</v>
      </c>
    </row>
    <row r="22" spans="1:80">
      <c r="A22" s="121"/>
      <c r="B22" s="121"/>
      <c r="C22" s="129" t="s">
        <v>551</v>
      </c>
      <c r="D22" s="129" t="s">
        <v>552</v>
      </c>
      <c r="E22" s="129" t="s">
        <v>496</v>
      </c>
      <c r="F22" s="129" t="s">
        <v>553</v>
      </c>
      <c r="G22" s="130"/>
      <c r="H22" s="131" t="s">
        <v>554</v>
      </c>
      <c r="I22" s="129" t="s">
        <v>496</v>
      </c>
      <c r="J22" s="129" t="s">
        <v>496</v>
      </c>
      <c r="K22" s="129" t="s">
        <v>496</v>
      </c>
      <c r="L22" s="300" t="s">
        <v>496</v>
      </c>
      <c r="M22" s="300"/>
      <c r="N22" s="130"/>
      <c r="O22" s="131" t="s">
        <v>496</v>
      </c>
      <c r="P22" s="129" t="s">
        <v>496</v>
      </c>
      <c r="Q22" s="129" t="s">
        <v>496</v>
      </c>
      <c r="R22" s="129" t="s">
        <v>496</v>
      </c>
      <c r="S22" s="129" t="s">
        <v>496</v>
      </c>
      <c r="T22" s="130"/>
      <c r="U22" s="131" t="s">
        <v>496</v>
      </c>
      <c r="V22" s="129" t="s">
        <v>496</v>
      </c>
      <c r="W22" s="129" t="s">
        <v>496</v>
      </c>
      <c r="X22" s="129" t="s">
        <v>496</v>
      </c>
      <c r="Y22" s="129" t="s">
        <v>496</v>
      </c>
      <c r="Z22" s="130"/>
      <c r="AA22" s="131" t="s">
        <v>496</v>
      </c>
      <c r="AB22" s="129" t="s">
        <v>563</v>
      </c>
      <c r="AC22" s="129" t="s">
        <v>564</v>
      </c>
      <c r="AD22" s="129" t="s">
        <v>496</v>
      </c>
      <c r="AE22" s="129" t="s">
        <v>565</v>
      </c>
      <c r="AF22" s="130"/>
      <c r="AG22" s="131" t="s">
        <v>566</v>
      </c>
      <c r="AH22" s="129" t="s">
        <v>567</v>
      </c>
      <c r="AI22" s="129" t="s">
        <v>568</v>
      </c>
      <c r="AJ22" s="129"/>
      <c r="AK22" s="129" t="s">
        <v>569</v>
      </c>
      <c r="AL22" s="130"/>
      <c r="AM22" s="131" t="s">
        <v>570</v>
      </c>
      <c r="AN22" s="132">
        <f>SUM(AN11:AN21)</f>
        <v>5062842.59</v>
      </c>
      <c r="AO22" s="132">
        <f>SUM(AO11:AO21)</f>
        <v>4152505.5</v>
      </c>
      <c r="AP22" s="132">
        <f>SUM(AP11:AP20)</f>
        <v>0</v>
      </c>
      <c r="AQ22" s="132">
        <f>SUM(AQ11:AQ21)</f>
        <v>910337.09000000032</v>
      </c>
      <c r="AR22" s="130"/>
      <c r="AS22" s="133">
        <f>SUM(AS11:AS21)</f>
        <v>246470.18700000009</v>
      </c>
      <c r="AT22" s="132">
        <f>SUM(AT11:AT21)</f>
        <v>5329398.66</v>
      </c>
      <c r="AU22" s="132">
        <f>SUM(AU11:AU21)</f>
        <v>4036254.62</v>
      </c>
      <c r="AV22" s="132">
        <f>SUM(AV11:AV20)</f>
        <v>0</v>
      </c>
      <c r="AW22" s="132">
        <f>SUM(AW11:AW21)</f>
        <v>1293144.04</v>
      </c>
      <c r="AX22" s="130"/>
      <c r="AY22" s="133">
        <f>SUM(AY11:AY21)</f>
        <v>378814.11800000002</v>
      </c>
      <c r="AZ22" s="129" t="s">
        <v>496</v>
      </c>
      <c r="BA22" s="129" t="s">
        <v>496</v>
      </c>
      <c r="BB22" s="129" t="s">
        <v>496</v>
      </c>
      <c r="BC22" s="129" t="s">
        <v>496</v>
      </c>
      <c r="BD22" s="130"/>
      <c r="BE22" s="131" t="s">
        <v>496</v>
      </c>
      <c r="BF22" s="129" t="s">
        <v>496</v>
      </c>
      <c r="BG22" s="129" t="s">
        <v>496</v>
      </c>
      <c r="BH22" s="129" t="s">
        <v>496</v>
      </c>
      <c r="BI22" s="129" t="s">
        <v>496</v>
      </c>
      <c r="BJ22" s="130"/>
      <c r="BK22" s="131" t="s">
        <v>496</v>
      </c>
      <c r="BL22" s="129" t="s">
        <v>496</v>
      </c>
      <c r="BM22" s="129" t="s">
        <v>496</v>
      </c>
      <c r="BN22" s="129" t="s">
        <v>496</v>
      </c>
      <c r="BO22" s="129" t="s">
        <v>496</v>
      </c>
      <c r="BP22" s="130"/>
      <c r="BQ22" s="131" t="s">
        <v>496</v>
      </c>
      <c r="BR22" s="129" t="s">
        <v>496</v>
      </c>
      <c r="BS22" s="129" t="s">
        <v>496</v>
      </c>
      <c r="BT22" s="129" t="s">
        <v>496</v>
      </c>
      <c r="BU22" s="129" t="s">
        <v>496</v>
      </c>
      <c r="BV22" s="130"/>
      <c r="BW22" s="131" t="s">
        <v>496</v>
      </c>
      <c r="BX22" s="132">
        <f>SUM(BX11:BX21)</f>
        <v>15115055.060000001</v>
      </c>
      <c r="BY22" s="132">
        <f>SUM(BY11:BY21)</f>
        <v>12039156.050000001</v>
      </c>
      <c r="BZ22" s="132">
        <f>SUM(BZ11:BZ21)</f>
        <v>3995110.6293000001</v>
      </c>
      <c r="CA22" s="132">
        <f>SUM(CA11:CA21)</f>
        <v>-919211.6192999999</v>
      </c>
      <c r="CB22" s="133">
        <f>SUM(CB11:CB21)</f>
        <v>869988.41500000015</v>
      </c>
    </row>
    <row r="23" spans="1:80">
      <c r="A23" s="134" t="s">
        <v>571</v>
      </c>
      <c r="F23" s="55">
        <f>IF(IFERROR(VALUE(F22),0)&gt;0,IFERROR(VALUE(F22),0)-'Store Expenses'!D34,0)</f>
        <v>-701162.45000000007</v>
      </c>
      <c r="L23" s="55">
        <f>IF(IFERROR(VALUE(L22),0)&gt;0,IFERROR(VALUE(L22),0)-'Store Expenses'!E34,0)</f>
        <v>0</v>
      </c>
      <c r="S23" s="55">
        <f>IF(IFERROR(VALUE(S22),0)&gt;0,IFERROR(VALUE(S22),0)-'Store Expenses'!F34,0)</f>
        <v>0</v>
      </c>
      <c r="Y23" s="55">
        <f>IF(IFERROR(VALUE(Y22),0)&gt;0,IFERROR(VALUE(Y22),0)-'Store Expenses'!G34,0)</f>
        <v>0</v>
      </c>
      <c r="AE23" s="55">
        <f>IF(IFERROR(VALUE(AE22),0)&gt;0,IFERROR(VALUE(AE22),0)-'Store Expenses'!H34,0)</f>
        <v>-999433.08999999985</v>
      </c>
      <c r="AK23" s="55">
        <f>IF(IFERROR(VALUE(AK22),0)&gt;0,IFERROR(VALUE(AK22),0)-'Store Expenses'!I34,0)</f>
        <v>86186.396899999934</v>
      </c>
      <c r="AN23" s="55"/>
      <c r="AO23" s="55"/>
      <c r="AP23" s="55"/>
      <c r="AQ23" s="55">
        <f>IF(IFERROR(VALUE(AQ22),0)&gt;0,IFERROR(VALUE(AQ22),0)-'Store Expenses'!J34,0)</f>
        <v>155517.31690000009</v>
      </c>
      <c r="AT23" s="55"/>
      <c r="AU23" s="55"/>
      <c r="AV23" s="55"/>
      <c r="AW23" s="55">
        <f>IF(IFERROR(VALUE(AW22),0)&gt;0,IFERROR(VALUE(AW22),0)-'Store Expenses'!K34,0)</f>
        <v>539680.20689999999</v>
      </c>
      <c r="BC23" s="55">
        <f>IF(IFERROR(VALUE(BC22),0)&gt;0,IFERROR(VALUE(BC22),0)-'Store Expenses'!L34,0)</f>
        <v>0</v>
      </c>
      <c r="BI23" s="55">
        <f>IF(IFERROR(VALUE(BI22),0)&gt;0,IFERROR(VALUE(BI22),0)-'Store Expenses'!M34,0)</f>
        <v>0</v>
      </c>
      <c r="BO23" s="55">
        <f>IF(IFERROR(VALUE(BO22),0)&gt;0,IFERROR(VALUE(BO22),0)-'Store Expenses'!N34,0)</f>
        <v>0</v>
      </c>
      <c r="BU23" s="55">
        <f>IF(IFERROR(VALUE(BU22),0)&gt;0,IFERROR(VALUE(BU22),0)-'Store Expenses'!O34,0)</f>
        <v>0</v>
      </c>
      <c r="CA23" s="55">
        <f>F23+L23+S23+Y23+AE23+AK23+AQ23+AW23+BC23+BI23+BO23+BU23</f>
        <v>-919211.61930000002</v>
      </c>
    </row>
  </sheetData>
  <mergeCells count="45">
    <mergeCell ref="E1:H1"/>
    <mergeCell ref="A3:L3"/>
    <mergeCell ref="A4:L4"/>
    <mergeCell ref="A5:L5"/>
    <mergeCell ref="A6:L6"/>
    <mergeCell ref="A7:L7"/>
    <mergeCell ref="A9:B9"/>
    <mergeCell ref="C9:H9"/>
    <mergeCell ref="I9:O9"/>
    <mergeCell ref="P9:U9"/>
    <mergeCell ref="V9:AA9"/>
    <mergeCell ref="AB9:AG9"/>
    <mergeCell ref="AH9:AM9"/>
    <mergeCell ref="AN9:AS9"/>
    <mergeCell ref="AT9:AY9"/>
    <mergeCell ref="AZ9:BE9"/>
    <mergeCell ref="BF9:BK9"/>
    <mergeCell ref="BL9:BQ9"/>
    <mergeCell ref="BR9:BW9"/>
    <mergeCell ref="BX9:CB9"/>
    <mergeCell ref="A10:B10"/>
    <mergeCell ref="L10:M10"/>
    <mergeCell ref="A11:B11"/>
    <mergeCell ref="L11:M11"/>
    <mergeCell ref="A12:B12"/>
    <mergeCell ref="L12:M12"/>
    <mergeCell ref="A13:B13"/>
    <mergeCell ref="L13:M13"/>
    <mergeCell ref="A14:B14"/>
    <mergeCell ref="L14:M14"/>
    <mergeCell ref="A15:B15"/>
    <mergeCell ref="L15:M15"/>
    <mergeCell ref="A16:B16"/>
    <mergeCell ref="L16:M16"/>
    <mergeCell ref="A17:B17"/>
    <mergeCell ref="L17:M17"/>
    <mergeCell ref="A18:B18"/>
    <mergeCell ref="L18:M18"/>
    <mergeCell ref="L22:M22"/>
    <mergeCell ref="A19:B19"/>
    <mergeCell ref="L19:M19"/>
    <mergeCell ref="A20:B20"/>
    <mergeCell ref="L20:M20"/>
    <mergeCell ref="A21:B21"/>
    <mergeCell ref="L21:M21"/>
  </mergeCells>
  <hyperlinks>
    <hyperlink ref="E1" location="'Executive Summary'!A1" display="➤ Executive Summary" xr:uid="{00000000-0004-0000-0700-000000000000}"/>
  </hyperlinks>
  <pageMargins left="0.25" right="0.25" top="0.25" bottom="0.25" header="0.25" footer="0.25"/>
  <pageSetup paperSize="9" orientation="landscape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A79"/>
  <sheetViews>
    <sheetView workbookViewId="0">
      <pane xSplit="8" ySplit="3" topLeftCell="I4" activePane="bottomRight" state="frozen"/>
      <selection pane="topRight"/>
      <selection pane="bottomLeft"/>
      <selection pane="bottomRight" activeCell="K32" sqref="K32"/>
    </sheetView>
  </sheetViews>
  <sheetFormatPr defaultColWidth="10" defaultRowHeight="18.75" outlineLevelRow="1" outlineLevelCol="1"/>
  <cols>
    <col min="1" max="1" width="3" style="59" customWidth="1"/>
    <col min="2" max="2" width="34.85546875" style="60" customWidth="1"/>
    <col min="3" max="3" width="20" style="61" customWidth="1"/>
    <col min="4" max="4" width="14" style="62" hidden="1" customWidth="1" outlineLevel="1"/>
    <col min="5" max="5" width="15.140625" style="62" hidden="1" customWidth="1" outlineLevel="1"/>
    <col min="6" max="6" width="16" style="62" hidden="1" customWidth="1" outlineLevel="1"/>
    <col min="7" max="7" width="18.28515625" style="62" hidden="1" customWidth="1" outlineLevel="1"/>
    <col min="8" max="8" width="16" style="62" hidden="1" customWidth="1" outlineLevel="1"/>
    <col min="9" max="9" width="16.5703125" style="62" customWidth="1" collapsed="1"/>
    <col min="10" max="10" width="17.5703125" style="62" customWidth="1"/>
    <col min="11" max="11" width="17.7109375" style="62" customWidth="1"/>
    <col min="12" max="12" width="15.28515625" style="62" customWidth="1"/>
    <col min="13" max="15" width="11.5703125" style="62" customWidth="1"/>
    <col min="16" max="24" width="10" style="59"/>
    <col min="25" max="25" width="12" style="59" customWidth="1"/>
    <col min="26" max="26" width="14.5703125" style="63" customWidth="1"/>
    <col min="27" max="16384" width="10" style="59"/>
  </cols>
  <sheetData>
    <row r="1" spans="2:26" ht="25.5" customHeight="1" outlineLevel="1">
      <c r="C1" s="64"/>
      <c r="K1" s="269" t="s">
        <v>2</v>
      </c>
      <c r="L1" s="270"/>
      <c r="M1" s="270"/>
    </row>
    <row r="2" spans="2:26" ht="11.25" customHeight="1" outlineLevel="1"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</row>
    <row r="3" spans="2:26" s="56" customFormat="1" outlineLevel="1">
      <c r="B3" s="65" t="s">
        <v>572</v>
      </c>
      <c r="C3" s="66" t="s">
        <v>573</v>
      </c>
      <c r="D3" s="67" t="s">
        <v>574</v>
      </c>
      <c r="E3" s="68" t="s">
        <v>575</v>
      </c>
      <c r="F3" s="68" t="s">
        <v>576</v>
      </c>
      <c r="G3" s="68" t="s">
        <v>577</v>
      </c>
      <c r="H3" s="68" t="s">
        <v>578</v>
      </c>
      <c r="I3" s="69" t="s">
        <v>579</v>
      </c>
      <c r="J3" s="68" t="s">
        <v>580</v>
      </c>
      <c r="K3" s="68" t="s">
        <v>581</v>
      </c>
      <c r="L3" s="68" t="s">
        <v>582</v>
      </c>
      <c r="M3" s="68" t="s">
        <v>583</v>
      </c>
      <c r="N3" s="68" t="s">
        <v>584</v>
      </c>
      <c r="O3" s="68" t="s">
        <v>585</v>
      </c>
      <c r="Z3" s="70"/>
    </row>
    <row r="4" spans="2:26">
      <c r="B4" s="71" t="s">
        <v>586</v>
      </c>
      <c r="C4" s="72"/>
      <c r="D4" s="73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</row>
    <row r="5" spans="2:26" ht="15.6" customHeight="1">
      <c r="B5" s="75" t="s">
        <v>587</v>
      </c>
      <c r="C5" s="76">
        <v>200000</v>
      </c>
      <c r="D5" s="73">
        <f>Table9[[#This Row],[Annualized]]/12</f>
        <v>16666.666666666668</v>
      </c>
      <c r="E5" s="73">
        <f>Table9[[#This Row],[Annualized]]/12</f>
        <v>16666.666666666668</v>
      </c>
      <c r="F5" s="73">
        <v>16666.669999999998</v>
      </c>
      <c r="G5" s="73">
        <v>16666.669999999998</v>
      </c>
      <c r="H5" s="73">
        <v>16666.669999999998</v>
      </c>
      <c r="I5" s="73">
        <v>16666.669999999998</v>
      </c>
      <c r="J5" s="73">
        <v>16666.669999999998</v>
      </c>
      <c r="K5" s="73">
        <v>16666.669999999998</v>
      </c>
      <c r="L5" s="73">
        <v>16666.669999999998</v>
      </c>
      <c r="M5" s="73">
        <v>16666.669999999998</v>
      </c>
      <c r="N5" s="73">
        <v>16666.669999999998</v>
      </c>
      <c r="O5" s="73">
        <v>16666.669999999998</v>
      </c>
    </row>
    <row r="6" spans="2:26">
      <c r="B6" s="75" t="s">
        <v>588</v>
      </c>
      <c r="C6" s="76">
        <v>200000</v>
      </c>
      <c r="D6" s="73">
        <f>Table9[[#This Row],[Annualized]]/12</f>
        <v>16666.666666666668</v>
      </c>
      <c r="E6" s="73">
        <f>Table9[[#This Row],[Annualized]]/12</f>
        <v>16666.666666666668</v>
      </c>
      <c r="F6" s="73">
        <f>Table9[[#This Row],[Annualized]]/12</f>
        <v>16666.666666666668</v>
      </c>
      <c r="G6" s="77">
        <v>16667.669999999998</v>
      </c>
      <c r="H6" s="77">
        <v>16667.669999999998</v>
      </c>
      <c r="I6" s="73">
        <v>16667.669999999998</v>
      </c>
      <c r="J6" s="73">
        <v>16667.669999999998</v>
      </c>
      <c r="K6" s="73">
        <v>16667.669999999998</v>
      </c>
      <c r="L6" s="73">
        <v>16667.669999999998</v>
      </c>
      <c r="M6" s="73">
        <v>16667.669999999998</v>
      </c>
      <c r="N6" s="73">
        <v>16667.669999999998</v>
      </c>
      <c r="O6" s="73">
        <v>16667.669999999998</v>
      </c>
      <c r="Y6" s="308" t="s">
        <v>589</v>
      </c>
      <c r="Z6" s="309"/>
    </row>
    <row r="7" spans="2:26" ht="15.6" customHeight="1">
      <c r="B7" s="75" t="s">
        <v>590</v>
      </c>
      <c r="C7" s="76">
        <v>50000</v>
      </c>
      <c r="D7" s="73">
        <f>Table9[[#This Row],[Annualized]]/12</f>
        <v>4166.666666666667</v>
      </c>
      <c r="E7" s="73">
        <f>Table9[[#This Row],[Annualized]]/12</f>
        <v>4166.666666666667</v>
      </c>
      <c r="F7" s="73">
        <v>4166.67</v>
      </c>
      <c r="G7" s="73">
        <v>4166.67</v>
      </c>
      <c r="H7" s="73">
        <v>4166.67</v>
      </c>
      <c r="I7" s="73">
        <v>4166.67</v>
      </c>
      <c r="J7" s="73">
        <v>4166.67</v>
      </c>
      <c r="K7" s="73">
        <v>4166.67</v>
      </c>
      <c r="L7" s="73">
        <v>4166.67</v>
      </c>
      <c r="M7" s="73">
        <v>4166.67</v>
      </c>
      <c r="N7" s="73">
        <v>4166.67</v>
      </c>
      <c r="O7" s="73">
        <v>4166.67</v>
      </c>
      <c r="Y7" s="78"/>
      <c r="Z7" s="79"/>
    </row>
    <row r="8" spans="2:26" ht="15.6" customHeight="1">
      <c r="B8" s="80" t="s">
        <v>591</v>
      </c>
      <c r="C8" s="72">
        <v>50000</v>
      </c>
      <c r="D8" s="81">
        <v>25000</v>
      </c>
      <c r="E8" s="82">
        <v>25000</v>
      </c>
      <c r="F8" s="83"/>
      <c r="G8" s="83"/>
      <c r="H8" s="83"/>
      <c r="I8" s="83"/>
      <c r="J8" s="83"/>
      <c r="K8" s="83"/>
      <c r="L8" s="83"/>
      <c r="M8" s="83"/>
      <c r="N8" s="83"/>
      <c r="O8" s="83"/>
      <c r="Y8" s="84" t="s">
        <v>592</v>
      </c>
      <c r="Z8" s="85">
        <v>185400</v>
      </c>
    </row>
    <row r="9" spans="2:26" ht="15.6" customHeight="1">
      <c r="B9" s="80" t="s">
        <v>593</v>
      </c>
      <c r="C9" s="72">
        <v>16166</v>
      </c>
      <c r="D9" s="81"/>
      <c r="E9" s="82">
        <v>16166</v>
      </c>
      <c r="F9" s="82">
        <v>16166</v>
      </c>
      <c r="G9" s="82">
        <v>16166</v>
      </c>
      <c r="H9" s="82">
        <v>13984.91</v>
      </c>
      <c r="I9" s="82">
        <v>13984.91</v>
      </c>
      <c r="J9" s="82">
        <v>13984.91</v>
      </c>
      <c r="K9" s="82">
        <v>13984.91</v>
      </c>
      <c r="L9" s="82">
        <v>13984.91</v>
      </c>
      <c r="M9" s="82">
        <v>13984.91</v>
      </c>
      <c r="N9" s="82">
        <v>13984.91</v>
      </c>
      <c r="O9" s="82">
        <v>13984.91</v>
      </c>
      <c r="Y9" s="78" t="s">
        <v>456</v>
      </c>
      <c r="Z9" s="79">
        <v>169200</v>
      </c>
    </row>
    <row r="10" spans="2:26">
      <c r="B10" s="80"/>
      <c r="C10" s="72"/>
      <c r="D10" s="73"/>
      <c r="E10" s="74"/>
      <c r="F10" s="74"/>
      <c r="G10" s="74"/>
      <c r="H10" s="82"/>
      <c r="I10" s="82"/>
      <c r="J10" s="82"/>
      <c r="K10" s="82"/>
      <c r="L10" s="82"/>
      <c r="M10" s="82"/>
      <c r="N10" s="82"/>
      <c r="O10" s="82"/>
      <c r="Y10" s="86" t="s">
        <v>594</v>
      </c>
      <c r="Z10" s="87">
        <f>Z8-Z9</f>
        <v>16200</v>
      </c>
    </row>
    <row r="11" spans="2:26">
      <c r="B11" s="88" t="s">
        <v>595</v>
      </c>
      <c r="C11" s="89">
        <v>102100</v>
      </c>
      <c r="D11" s="73">
        <v>72100</v>
      </c>
      <c r="E11" s="73">
        <v>72100</v>
      </c>
      <c r="F11" s="73">
        <v>92100</v>
      </c>
      <c r="G11" s="73">
        <v>92100</v>
      </c>
      <c r="H11" s="73">
        <v>92100</v>
      </c>
      <c r="I11" s="73">
        <v>92100</v>
      </c>
      <c r="J11" s="73">
        <v>92100</v>
      </c>
      <c r="K11" s="73">
        <v>92100</v>
      </c>
      <c r="L11" s="73">
        <v>92100</v>
      </c>
      <c r="M11" s="73">
        <v>92100</v>
      </c>
      <c r="N11" s="73">
        <v>92100</v>
      </c>
      <c r="O11" s="73">
        <v>92100</v>
      </c>
      <c r="Y11" s="78"/>
      <c r="Z11" s="79"/>
    </row>
    <row r="12" spans="2:26">
      <c r="B12" s="80"/>
      <c r="C12" s="72"/>
      <c r="D12" s="81"/>
      <c r="E12" s="82"/>
      <c r="F12" s="82">
        <v>40000</v>
      </c>
      <c r="G12" s="82"/>
      <c r="H12" s="82"/>
      <c r="I12" s="82"/>
      <c r="J12" s="82"/>
      <c r="K12" s="82"/>
      <c r="L12" s="82"/>
      <c r="M12" s="82"/>
      <c r="N12" s="82"/>
      <c r="O12" s="82"/>
      <c r="Y12" s="84" t="s">
        <v>592</v>
      </c>
      <c r="Z12" s="85">
        <v>1236000</v>
      </c>
    </row>
    <row r="13" spans="2:26">
      <c r="B13" s="88" t="s">
        <v>596</v>
      </c>
      <c r="C13" s="89">
        <v>13844</v>
      </c>
      <c r="D13" s="73">
        <v>13844</v>
      </c>
      <c r="E13" s="73">
        <v>13844</v>
      </c>
      <c r="F13" s="73">
        <v>13844</v>
      </c>
      <c r="G13" s="73">
        <v>13844</v>
      </c>
      <c r="H13" s="73">
        <v>13844</v>
      </c>
      <c r="I13" s="73">
        <v>13844</v>
      </c>
      <c r="J13" s="73">
        <v>13844</v>
      </c>
      <c r="K13" s="73">
        <v>13844</v>
      </c>
      <c r="L13" s="73">
        <v>13844</v>
      </c>
      <c r="M13" s="73">
        <v>13844</v>
      </c>
      <c r="N13" s="73">
        <v>13844</v>
      </c>
      <c r="O13" s="73">
        <v>13844</v>
      </c>
      <c r="Y13" s="78" t="s">
        <v>456</v>
      </c>
      <c r="Z13" s="79">
        <v>1128000</v>
      </c>
    </row>
    <row r="14" spans="2:26">
      <c r="B14" s="88" t="s">
        <v>597</v>
      </c>
      <c r="C14" s="72">
        <v>36604</v>
      </c>
      <c r="D14" s="81"/>
      <c r="E14" s="82"/>
      <c r="F14" s="82"/>
      <c r="G14" s="82"/>
      <c r="H14" s="82">
        <v>37000</v>
      </c>
      <c r="I14" s="82">
        <v>36604</v>
      </c>
      <c r="J14" s="82">
        <v>36604</v>
      </c>
      <c r="K14" s="82">
        <v>36604</v>
      </c>
      <c r="L14" s="82">
        <v>36604</v>
      </c>
      <c r="M14" s="82">
        <v>36604</v>
      </c>
      <c r="N14" s="82">
        <v>36604</v>
      </c>
      <c r="O14" s="82">
        <v>36604</v>
      </c>
      <c r="Y14" s="78"/>
      <c r="Z14" s="79"/>
    </row>
    <row r="15" spans="2:26" s="57" customFormat="1" hidden="1">
      <c r="B15" s="88" t="s">
        <v>598</v>
      </c>
      <c r="C15" s="89">
        <v>10000</v>
      </c>
      <c r="D15" s="73">
        <v>10000</v>
      </c>
      <c r="E15" s="73">
        <v>10000</v>
      </c>
      <c r="F15" s="90"/>
      <c r="G15" s="73"/>
      <c r="H15" s="73"/>
      <c r="I15" s="73"/>
      <c r="J15" s="73"/>
      <c r="K15" s="73"/>
      <c r="L15" s="73"/>
      <c r="M15" s="73"/>
      <c r="N15" s="73"/>
      <c r="O15" s="73"/>
      <c r="Y15" s="91"/>
      <c r="Z15" s="92"/>
    </row>
    <row r="16" spans="2:26" ht="9.75" customHeight="1">
      <c r="B16" s="80"/>
      <c r="C16" s="72"/>
      <c r="D16" s="73"/>
      <c r="E16" s="74"/>
      <c r="F16" s="74"/>
      <c r="G16" s="74"/>
      <c r="H16" s="82"/>
      <c r="I16" s="82"/>
      <c r="J16" s="82"/>
      <c r="K16" s="82"/>
      <c r="L16" s="82"/>
      <c r="M16" s="82"/>
      <c r="N16" s="82"/>
      <c r="O16" s="82"/>
      <c r="Y16" s="78"/>
      <c r="Z16" s="79"/>
    </row>
    <row r="17" spans="2:27" ht="20.25" customHeight="1">
      <c r="B17" s="93" t="s">
        <v>599</v>
      </c>
      <c r="C17" s="94">
        <v>60000</v>
      </c>
      <c r="D17" s="81">
        <v>60000</v>
      </c>
      <c r="E17" s="82">
        <v>60000</v>
      </c>
      <c r="F17" s="82">
        <v>60000</v>
      </c>
      <c r="G17" s="82">
        <v>60000</v>
      </c>
      <c r="H17" s="82">
        <v>60000</v>
      </c>
      <c r="I17" s="82">
        <v>60000</v>
      </c>
      <c r="J17" s="82">
        <v>60000</v>
      </c>
      <c r="K17" s="82">
        <v>60000</v>
      </c>
      <c r="L17" s="82">
        <v>60000</v>
      </c>
      <c r="M17" s="82">
        <v>60000</v>
      </c>
      <c r="N17" s="82">
        <v>60000</v>
      </c>
      <c r="O17" s="82">
        <v>60000</v>
      </c>
      <c r="Y17" s="86" t="s">
        <v>594</v>
      </c>
      <c r="Z17" s="87">
        <f>Z12-Z13</f>
        <v>108000</v>
      </c>
    </row>
    <row r="18" spans="2:27" ht="21" customHeight="1">
      <c r="B18" s="93" t="s">
        <v>600</v>
      </c>
      <c r="C18" s="94">
        <v>50000</v>
      </c>
      <c r="D18" s="81">
        <v>50000</v>
      </c>
      <c r="E18" s="82">
        <v>50000</v>
      </c>
      <c r="F18" s="82">
        <v>50000</v>
      </c>
      <c r="G18" s="82">
        <v>50000</v>
      </c>
      <c r="H18" s="82">
        <v>50000</v>
      </c>
      <c r="I18" s="82">
        <v>50000</v>
      </c>
      <c r="J18" s="82">
        <v>50000</v>
      </c>
      <c r="K18" s="82">
        <v>50000</v>
      </c>
      <c r="L18" s="82">
        <v>50000</v>
      </c>
      <c r="M18" s="82">
        <v>50000</v>
      </c>
      <c r="N18" s="82">
        <v>50000</v>
      </c>
      <c r="O18" s="82">
        <v>50000</v>
      </c>
    </row>
    <row r="19" spans="2:27" s="58" customFormat="1">
      <c r="B19" s="95" t="s">
        <v>601</v>
      </c>
      <c r="C19" s="96"/>
      <c r="D19" s="73">
        <v>75339.929999999993</v>
      </c>
      <c r="E19" s="73">
        <v>94491.54</v>
      </c>
      <c r="F19" s="74">
        <v>101451.72</v>
      </c>
      <c r="G19" s="82">
        <v>102349.44</v>
      </c>
      <c r="H19" s="82">
        <v>95214.51</v>
      </c>
      <c r="I19" s="82">
        <v>113569.74</v>
      </c>
      <c r="J19" s="82">
        <v>93852.85</v>
      </c>
      <c r="K19" s="82">
        <v>105051.56</v>
      </c>
      <c r="L19" s="82"/>
      <c r="M19" s="82"/>
      <c r="N19" s="82"/>
      <c r="O19" s="82"/>
      <c r="Z19" s="97"/>
    </row>
    <row r="20" spans="2:27" s="58" customFormat="1">
      <c r="B20" s="95" t="s">
        <v>602</v>
      </c>
      <c r="C20" s="96"/>
      <c r="D20" s="73">
        <v>99491.54</v>
      </c>
      <c r="E20" s="73">
        <v>99385.54</v>
      </c>
      <c r="F20" s="74">
        <v>103932.6</v>
      </c>
      <c r="G20" s="82">
        <v>107109.29</v>
      </c>
      <c r="H20" s="82">
        <v>102566.28</v>
      </c>
      <c r="I20" s="82">
        <v>102097.54</v>
      </c>
      <c r="J20" s="82">
        <v>102304.78</v>
      </c>
      <c r="K20" s="82">
        <v>105311.03</v>
      </c>
      <c r="L20" s="82"/>
      <c r="M20" s="82"/>
      <c r="N20" s="82"/>
      <c r="O20" s="82"/>
    </row>
    <row r="21" spans="2:27" ht="16.5" customHeight="1">
      <c r="B21" s="95" t="s">
        <v>603</v>
      </c>
      <c r="C21" s="96"/>
      <c r="D21" s="98">
        <v>40000</v>
      </c>
      <c r="E21" s="99">
        <v>40000</v>
      </c>
      <c r="F21" s="100">
        <v>40000</v>
      </c>
      <c r="G21" s="100">
        <v>40000</v>
      </c>
      <c r="H21" s="100">
        <v>40000</v>
      </c>
      <c r="I21" s="100">
        <v>40000</v>
      </c>
      <c r="J21" s="100">
        <v>40000</v>
      </c>
      <c r="K21" s="100">
        <v>40000</v>
      </c>
      <c r="L21" s="100">
        <v>40000</v>
      </c>
      <c r="M21" s="100">
        <v>40000</v>
      </c>
      <c r="N21" s="100">
        <v>40000</v>
      </c>
      <c r="O21" s="100">
        <v>40000</v>
      </c>
      <c r="Y21" s="101" t="s">
        <v>604</v>
      </c>
      <c r="Z21" s="102" t="s">
        <v>605</v>
      </c>
      <c r="AA21" s="57" t="s">
        <v>606</v>
      </c>
    </row>
    <row r="22" spans="2:27" ht="15.75" customHeight="1">
      <c r="B22" s="95" t="s">
        <v>607</v>
      </c>
      <c r="C22" s="96"/>
      <c r="D22" s="98">
        <v>40000</v>
      </c>
      <c r="E22" s="99">
        <v>40000</v>
      </c>
      <c r="F22" s="100">
        <v>40000</v>
      </c>
      <c r="G22" s="100">
        <v>40000</v>
      </c>
      <c r="H22" s="100"/>
      <c r="I22" s="100">
        <f>12000+8000</f>
        <v>20000</v>
      </c>
      <c r="J22" s="100">
        <v>4000</v>
      </c>
      <c r="K22" s="100"/>
      <c r="L22" s="100"/>
      <c r="M22" s="100"/>
      <c r="N22" s="100"/>
      <c r="O22" s="100"/>
      <c r="Y22" s="101" t="s">
        <v>604</v>
      </c>
      <c r="Z22" s="102" t="s">
        <v>605</v>
      </c>
      <c r="AA22" s="57" t="s">
        <v>606</v>
      </c>
    </row>
    <row r="23" spans="2:27">
      <c r="B23" s="103" t="s">
        <v>608</v>
      </c>
      <c r="C23" s="104"/>
      <c r="D23" s="73">
        <v>36055.65</v>
      </c>
      <c r="E23" s="74">
        <v>36598.449999999997</v>
      </c>
      <c r="F23" s="74">
        <v>49000</v>
      </c>
      <c r="G23" s="74">
        <v>47148</v>
      </c>
      <c r="H23" s="82">
        <v>81934.399999999994</v>
      </c>
      <c r="I23" s="82">
        <v>56236.75</v>
      </c>
      <c r="J23" s="82">
        <v>58262.67</v>
      </c>
      <c r="K23" s="82">
        <v>61027.79</v>
      </c>
      <c r="L23" s="82"/>
      <c r="M23" s="82"/>
      <c r="N23" s="82"/>
      <c r="O23" s="82"/>
      <c r="Y23" s="105">
        <v>46129</v>
      </c>
      <c r="Z23" s="97">
        <v>80250</v>
      </c>
      <c r="AA23" s="59" t="s">
        <v>609</v>
      </c>
    </row>
    <row r="24" spans="2:27">
      <c r="B24" s="103" t="s">
        <v>610</v>
      </c>
      <c r="C24" s="104"/>
      <c r="D24" s="81">
        <v>30215</v>
      </c>
      <c r="E24" s="82">
        <v>16965.830000000002</v>
      </c>
      <c r="F24" s="82">
        <v>14829.47</v>
      </c>
      <c r="G24" s="82">
        <v>25791.34</v>
      </c>
      <c r="H24" s="82">
        <v>35960.71</v>
      </c>
      <c r="I24" s="82">
        <v>33278.300000000003</v>
      </c>
      <c r="J24" s="82">
        <v>26717.66</v>
      </c>
      <c r="K24" s="82">
        <v>28348.7</v>
      </c>
      <c r="L24" s="82"/>
      <c r="M24" s="82"/>
      <c r="N24" s="82"/>
      <c r="O24" s="82"/>
    </row>
    <row r="25" spans="2:27">
      <c r="B25" s="103" t="s">
        <v>611</v>
      </c>
      <c r="C25" s="104"/>
      <c r="D25" s="73">
        <v>17621.43</v>
      </c>
      <c r="E25" s="74">
        <v>22695.63</v>
      </c>
      <c r="F25" s="74">
        <v>25593.14</v>
      </c>
      <c r="G25" s="74">
        <v>32802</v>
      </c>
      <c r="H25" s="82">
        <v>25618.080000000002</v>
      </c>
      <c r="I25" s="74"/>
      <c r="J25" s="74">
        <v>22646.06</v>
      </c>
      <c r="K25" s="74">
        <v>11048</v>
      </c>
      <c r="L25" s="74"/>
      <c r="M25" s="74"/>
      <c r="N25" s="74"/>
      <c r="O25" s="74"/>
    </row>
    <row r="26" spans="2:27">
      <c r="B26" s="103" t="s">
        <v>612</v>
      </c>
      <c r="C26" s="104"/>
      <c r="D26" s="81">
        <v>5057.5</v>
      </c>
      <c r="E26" s="82">
        <v>1940</v>
      </c>
      <c r="F26" s="82">
        <v>2003</v>
      </c>
      <c r="G26" s="82">
        <v>4632</v>
      </c>
      <c r="H26" s="82">
        <v>4164</v>
      </c>
      <c r="I26" s="82">
        <v>8376</v>
      </c>
      <c r="J26" s="82">
        <v>4613</v>
      </c>
      <c r="K26" s="82">
        <v>2454</v>
      </c>
      <c r="L26" s="82"/>
      <c r="M26" s="82"/>
      <c r="N26" s="82"/>
      <c r="O26" s="82"/>
      <c r="Z26" s="106">
        <f>SUM(Z22:Z25)</f>
        <v>80250</v>
      </c>
    </row>
    <row r="27" spans="2:27">
      <c r="B27" s="80" t="s">
        <v>613</v>
      </c>
      <c r="C27" s="72">
        <v>39627.769999999997</v>
      </c>
      <c r="D27" s="81"/>
      <c r="E27" s="82"/>
      <c r="F27" s="82"/>
      <c r="G27" s="82"/>
      <c r="H27" s="82"/>
      <c r="I27" s="82">
        <f>Table9[[#This Row],[Annualized]]*3%</f>
        <v>1188.8330999999998</v>
      </c>
      <c r="J27" s="82">
        <f>Table9[[#This Row],[Annualized]]*3%</f>
        <v>1188.8330999999998</v>
      </c>
      <c r="K27" s="82">
        <f>Table9[[#This Row],[Annualized]]*3%</f>
        <v>1188.8330999999998</v>
      </c>
      <c r="L27" s="82">
        <f>Table9[[#This Row],[Annualized]]*3%</f>
        <v>1188.8330999999998</v>
      </c>
      <c r="M27" s="82">
        <f>Table9[[#This Row],[Annualized]]*3%</f>
        <v>1188.8330999999998</v>
      </c>
      <c r="N27" s="82">
        <f>Table9[[#This Row],[Annualized]]*3%</f>
        <v>1188.8330999999998</v>
      </c>
      <c r="O27" s="82">
        <f>Table9[[#This Row],[Annualized]]*3%</f>
        <v>1188.8330999999998</v>
      </c>
    </row>
    <row r="28" spans="2:27">
      <c r="B28" s="80" t="s">
        <v>614</v>
      </c>
      <c r="C28" s="72"/>
      <c r="D28" s="81"/>
      <c r="E28" s="82"/>
      <c r="F28" s="82"/>
      <c r="G28" s="82"/>
      <c r="H28" s="82"/>
      <c r="I28" s="82">
        <v>10000</v>
      </c>
      <c r="J28" s="82">
        <v>5000</v>
      </c>
      <c r="K28" s="82">
        <v>5000</v>
      </c>
      <c r="L28" s="82">
        <v>5000</v>
      </c>
      <c r="M28" s="82"/>
      <c r="N28" s="82"/>
      <c r="O28" s="82"/>
    </row>
    <row r="29" spans="2:27">
      <c r="B29" s="107" t="s">
        <v>615</v>
      </c>
      <c r="C29" s="108"/>
      <c r="D29" s="81"/>
      <c r="E29" s="82"/>
      <c r="F29" s="82">
        <v>11503.386</v>
      </c>
      <c r="G29" s="82"/>
      <c r="H29" s="82"/>
      <c r="I29" s="82"/>
      <c r="J29" s="82"/>
      <c r="K29" s="82"/>
      <c r="L29" s="82"/>
      <c r="M29" s="82"/>
      <c r="N29" s="82"/>
      <c r="O29" s="82"/>
    </row>
    <row r="30" spans="2:27" ht="18" customHeight="1">
      <c r="B30" s="109" t="s">
        <v>616</v>
      </c>
      <c r="C30" s="110"/>
      <c r="D30" s="73">
        <v>0</v>
      </c>
      <c r="E30" s="74">
        <v>7088.4</v>
      </c>
      <c r="F30" s="74">
        <v>0</v>
      </c>
      <c r="G30" s="111">
        <v>196504.74</v>
      </c>
      <c r="H30" s="112">
        <v>51370</v>
      </c>
      <c r="I30" s="81"/>
      <c r="J30" s="81"/>
      <c r="K30" s="81"/>
      <c r="L30" s="81"/>
      <c r="M30" s="81"/>
      <c r="N30" s="81"/>
      <c r="O30" s="82"/>
    </row>
    <row r="31" spans="2:27">
      <c r="B31" s="109" t="s">
        <v>617</v>
      </c>
      <c r="C31" s="110"/>
      <c r="D31" s="73">
        <v>0</v>
      </c>
      <c r="E31" s="74"/>
      <c r="F31" s="74">
        <v>0</v>
      </c>
      <c r="G31" s="113">
        <v>311471.34999999998</v>
      </c>
      <c r="H31" s="114">
        <v>174562.99</v>
      </c>
      <c r="I31" s="82"/>
      <c r="J31" s="82"/>
      <c r="K31" s="82"/>
      <c r="L31" s="82"/>
      <c r="M31" s="82"/>
      <c r="N31" s="82"/>
      <c r="O31" s="82"/>
    </row>
    <row r="32" spans="2:27">
      <c r="B32" s="109" t="s">
        <v>618</v>
      </c>
      <c r="C32" s="110"/>
      <c r="D32" s="73">
        <v>0</v>
      </c>
      <c r="E32" s="74"/>
      <c r="F32" s="74">
        <v>7050</v>
      </c>
      <c r="G32" s="74">
        <v>500</v>
      </c>
      <c r="H32" s="114"/>
      <c r="I32" s="82"/>
      <c r="J32" s="82">
        <v>2200</v>
      </c>
      <c r="K32" s="82"/>
      <c r="L32" s="82"/>
      <c r="M32" s="82"/>
      <c r="N32" s="82"/>
      <c r="O32" s="82"/>
    </row>
    <row r="33" spans="2:15">
      <c r="B33" s="80" t="s">
        <v>619</v>
      </c>
      <c r="C33" s="72">
        <f>SUM(D33:O33)</f>
        <v>1080000</v>
      </c>
      <c r="D33" s="81">
        <v>90000</v>
      </c>
      <c r="E33" s="82">
        <v>90000</v>
      </c>
      <c r="F33" s="82">
        <v>90000</v>
      </c>
      <c r="G33" s="82">
        <v>90000</v>
      </c>
      <c r="H33" s="82">
        <v>90000</v>
      </c>
      <c r="I33" s="82">
        <v>90000</v>
      </c>
      <c r="J33" s="82">
        <v>90000</v>
      </c>
      <c r="K33" s="82">
        <v>90000</v>
      </c>
      <c r="L33" s="82">
        <v>90000</v>
      </c>
      <c r="M33" s="82">
        <v>90000</v>
      </c>
      <c r="N33" s="82">
        <v>90000</v>
      </c>
      <c r="O33" s="82">
        <v>90000</v>
      </c>
    </row>
    <row r="34" spans="2:15">
      <c r="B34" s="115" t="s">
        <v>376</v>
      </c>
      <c r="C34" s="116"/>
      <c r="D34" s="117">
        <f t="shared" ref="D34:O34" si="0">SUM(D4:D33)</f>
        <v>702225.05</v>
      </c>
      <c r="E34" s="117">
        <f t="shared" si="0"/>
        <v>733775.3899999999</v>
      </c>
      <c r="F34" s="118">
        <f t="shared" si="0"/>
        <v>794973.3226666667</v>
      </c>
      <c r="G34" s="118">
        <f t="shared" si="0"/>
        <v>1267919.17</v>
      </c>
      <c r="H34" s="118">
        <f t="shared" si="0"/>
        <v>1005820.8899999999</v>
      </c>
      <c r="I34" s="119">
        <f t="shared" si="0"/>
        <v>778781.08310000005</v>
      </c>
      <c r="J34" s="117">
        <f t="shared" si="0"/>
        <v>754819.77310000022</v>
      </c>
      <c r="K34" s="117">
        <f t="shared" si="0"/>
        <v>753463.83310000005</v>
      </c>
      <c r="L34" s="117">
        <f t="shared" si="0"/>
        <v>440222.75309999997</v>
      </c>
      <c r="M34" s="117">
        <f t="shared" si="0"/>
        <v>435222.75309999997</v>
      </c>
      <c r="N34" s="117">
        <f t="shared" si="0"/>
        <v>435222.75309999997</v>
      </c>
      <c r="O34" s="117">
        <f t="shared" si="0"/>
        <v>435222.75309999997</v>
      </c>
    </row>
    <row r="35" spans="2:15">
      <c r="C35" s="64"/>
    </row>
    <row r="36" spans="2:15">
      <c r="C36" s="64"/>
      <c r="E36" s="62" t="s">
        <v>620</v>
      </c>
      <c r="F36" s="62">
        <v>0</v>
      </c>
    </row>
    <row r="37" spans="2:15" ht="15" customHeight="1">
      <c r="C37" s="64"/>
      <c r="F37" s="120">
        <f>SUM(F36:F36)</f>
        <v>0</v>
      </c>
    </row>
    <row r="38" spans="2:15" ht="15" customHeight="1">
      <c r="C38" s="64"/>
    </row>
    <row r="39" spans="2:15" ht="15" customHeight="1">
      <c r="C39" s="64"/>
    </row>
    <row r="40" spans="2:15" ht="15" customHeight="1">
      <c r="C40" s="64"/>
    </row>
    <row r="41" spans="2:15" ht="15" customHeight="1">
      <c r="C41" s="64"/>
    </row>
    <row r="42" spans="2:15" ht="15" customHeight="1">
      <c r="C42" s="64"/>
    </row>
    <row r="43" spans="2:15" ht="15" customHeight="1">
      <c r="C43" s="64"/>
    </row>
    <row r="44" spans="2:15" ht="15" customHeight="1">
      <c r="C44" s="64"/>
    </row>
    <row r="45" spans="2:15" ht="15" customHeight="1">
      <c r="C45" s="64"/>
    </row>
    <row r="46" spans="2:15" ht="15" customHeight="1">
      <c r="C46" s="64"/>
    </row>
    <row r="47" spans="2:15" ht="15" customHeight="1">
      <c r="C47" s="64"/>
    </row>
    <row r="48" spans="2:15" ht="15" customHeight="1">
      <c r="C48" s="64"/>
    </row>
    <row r="49" spans="3:3" ht="15" customHeight="1">
      <c r="C49" s="64"/>
    </row>
    <row r="50" spans="3:3" ht="15" customHeight="1">
      <c r="C50" s="64"/>
    </row>
    <row r="51" spans="3:3" ht="15" customHeight="1">
      <c r="C51" s="64"/>
    </row>
    <row r="52" spans="3:3" ht="15" customHeight="1">
      <c r="C52" s="64"/>
    </row>
    <row r="53" spans="3:3" ht="15" customHeight="1">
      <c r="C53" s="64"/>
    </row>
    <row r="54" spans="3:3" ht="15" customHeight="1">
      <c r="C54" s="64"/>
    </row>
    <row r="55" spans="3:3" ht="15" customHeight="1">
      <c r="C55" s="64"/>
    </row>
    <row r="56" spans="3:3" ht="15" customHeight="1">
      <c r="C56" s="64"/>
    </row>
    <row r="57" spans="3:3" ht="15" customHeight="1">
      <c r="C57" s="64"/>
    </row>
    <row r="58" spans="3:3" ht="15" customHeight="1">
      <c r="C58" s="64"/>
    </row>
    <row r="59" spans="3:3" ht="15" customHeight="1">
      <c r="C59" s="64"/>
    </row>
    <row r="60" spans="3:3" ht="15" customHeight="1">
      <c r="C60" s="64"/>
    </row>
    <row r="61" spans="3:3" ht="15" customHeight="1">
      <c r="C61" s="64"/>
    </row>
    <row r="62" spans="3:3" ht="15" customHeight="1">
      <c r="C62" s="64"/>
    </row>
    <row r="63" spans="3:3" ht="15" customHeight="1">
      <c r="C63" s="64"/>
    </row>
    <row r="64" spans="3:3" ht="15" customHeight="1">
      <c r="C64" s="64"/>
    </row>
    <row r="65" spans="3:3" ht="15" customHeight="1">
      <c r="C65" s="64"/>
    </row>
    <row r="66" spans="3:3" ht="15" customHeight="1">
      <c r="C66" s="64"/>
    </row>
    <row r="67" spans="3:3" ht="15" customHeight="1">
      <c r="C67" s="64"/>
    </row>
    <row r="68" spans="3:3" ht="15" customHeight="1">
      <c r="C68" s="64"/>
    </row>
    <row r="69" spans="3:3" ht="15" customHeight="1">
      <c r="C69" s="64"/>
    </row>
    <row r="70" spans="3:3" ht="15" customHeight="1">
      <c r="C70" s="64"/>
    </row>
    <row r="71" spans="3:3" ht="15" customHeight="1">
      <c r="C71" s="64"/>
    </row>
    <row r="72" spans="3:3" ht="15" customHeight="1">
      <c r="C72" s="64"/>
    </row>
    <row r="73" spans="3:3" ht="15" customHeight="1">
      <c r="C73" s="64"/>
    </row>
    <row r="74" spans="3:3" ht="15" customHeight="1">
      <c r="C74" s="64"/>
    </row>
    <row r="75" spans="3:3" ht="15" customHeight="1">
      <c r="C75" s="64"/>
    </row>
    <row r="76" spans="3:3" ht="15" customHeight="1">
      <c r="C76" s="64"/>
    </row>
    <row r="77" spans="3:3" ht="15" customHeight="1">
      <c r="C77" s="64"/>
    </row>
    <row r="78" spans="3:3" ht="15" customHeight="1">
      <c r="C78" s="64"/>
    </row>
    <row r="79" spans="3:3">
      <c r="C79" s="64"/>
    </row>
  </sheetData>
  <mergeCells count="2">
    <mergeCell ref="K1:M1"/>
    <mergeCell ref="Y6:Z6"/>
  </mergeCells>
  <hyperlinks>
    <hyperlink ref="K1" location="'Executive Summary'!A1" display="➤ Executive Summary" xr:uid="{00000000-0004-0000-0800-000000000000}"/>
  </hyperlinks>
  <pageMargins left="0.7" right="0.7" top="0.75" bottom="0.75" header="0.3" footer="0.3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05"/>
  <sheetViews>
    <sheetView workbookViewId="0">
      <pane ySplit="1" topLeftCell="A59" activePane="bottomLeft" state="frozen"/>
      <selection pane="bottomLeft" activeCell="E82" sqref="E82"/>
    </sheetView>
  </sheetViews>
  <sheetFormatPr defaultColWidth="9.140625" defaultRowHeight="12.75"/>
  <cols>
    <col min="1" max="1" width="13.5703125" style="29" customWidth="1"/>
    <col min="2" max="3" width="10.140625" style="29" customWidth="1"/>
    <col min="4" max="6" width="11.7109375" style="29" customWidth="1"/>
    <col min="7" max="7" width="12.5703125" style="29" customWidth="1"/>
    <col min="8" max="8" width="16.85546875" style="29" customWidth="1"/>
    <col min="9" max="9" width="11.7109375" style="29" customWidth="1"/>
    <col min="10" max="10" width="10.140625" style="29" customWidth="1"/>
    <col min="11" max="11" width="21.42578125" style="29" customWidth="1"/>
    <col min="12" max="12" width="13.5703125" style="29" customWidth="1"/>
    <col min="13" max="13" width="11.7109375" style="29" customWidth="1"/>
    <col min="14" max="14" width="19" style="29" customWidth="1"/>
    <col min="15" max="15" width="14.28515625" style="29" customWidth="1"/>
    <col min="16" max="16" width="15.140625" style="29" customWidth="1"/>
    <col min="17" max="17" width="6.42578125" style="29" customWidth="1"/>
    <col min="18" max="256" width="14.28515625" style="29" customWidth="1"/>
    <col min="257" max="16384" width="9.140625" style="29"/>
  </cols>
  <sheetData>
    <row r="1" spans="1:20" ht="25.5">
      <c r="A1" s="47" t="s">
        <v>181</v>
      </c>
      <c r="B1" s="47" t="s">
        <v>621</v>
      </c>
      <c r="C1" s="47" t="s">
        <v>622</v>
      </c>
      <c r="D1" s="47" t="s">
        <v>623</v>
      </c>
      <c r="E1" s="47" t="s">
        <v>624</v>
      </c>
      <c r="F1" s="47" t="s">
        <v>625</v>
      </c>
      <c r="G1" s="48" t="s">
        <v>626</v>
      </c>
      <c r="H1" s="47" t="s">
        <v>627</v>
      </c>
      <c r="I1" s="47" t="s">
        <v>628</v>
      </c>
      <c r="J1" s="47" t="s">
        <v>629</v>
      </c>
      <c r="K1" s="47" t="s">
        <v>630</v>
      </c>
      <c r="L1" s="47" t="s">
        <v>631</v>
      </c>
      <c r="M1" s="47" t="s">
        <v>156</v>
      </c>
      <c r="N1" s="47" t="s">
        <v>632</v>
      </c>
      <c r="O1" s="29" t="s">
        <v>633</v>
      </c>
      <c r="P1" s="29" t="s">
        <v>634</v>
      </c>
      <c r="R1" s="269" t="s">
        <v>2</v>
      </c>
      <c r="S1" s="270"/>
      <c r="T1" s="270"/>
    </row>
    <row r="2" spans="1:20">
      <c r="A2" s="49" t="s">
        <v>635</v>
      </c>
      <c r="B2" s="50">
        <v>46073</v>
      </c>
      <c r="C2" s="49" t="s">
        <v>575</v>
      </c>
      <c r="D2" s="49">
        <v>2026</v>
      </c>
      <c r="E2" s="38">
        <v>337400</v>
      </c>
      <c r="F2" s="38">
        <v>316700</v>
      </c>
      <c r="G2" s="51">
        <v>9930</v>
      </c>
      <c r="H2" s="38">
        <f t="shared" ref="H2:H33" si="0">F2+G2</f>
        <v>326630</v>
      </c>
      <c r="I2" s="38">
        <v>967.58</v>
      </c>
      <c r="J2" s="38">
        <v>0</v>
      </c>
      <c r="K2" s="49" t="s">
        <v>636</v>
      </c>
      <c r="L2" s="38">
        <v>1500</v>
      </c>
      <c r="M2" s="38">
        <f t="shared" ref="M2:M33" si="1">E2-I2</f>
        <v>336432.42</v>
      </c>
      <c r="N2" s="39">
        <f t="shared" ref="N2:N33" si="2">IF(E2&gt;0,H2/E2,0)</f>
        <v>0.96807943094250148</v>
      </c>
      <c r="P2" s="262">
        <f>E2-ikot[[#This Row],[Total Collected]]</f>
        <v>10770</v>
      </c>
    </row>
    <row r="3" spans="1:20">
      <c r="A3" s="49" t="s">
        <v>635</v>
      </c>
      <c r="B3" s="50">
        <v>46108</v>
      </c>
      <c r="C3" s="49" t="s">
        <v>576</v>
      </c>
      <c r="D3" s="49">
        <v>2026</v>
      </c>
      <c r="E3" s="38">
        <v>44240</v>
      </c>
      <c r="F3" s="38">
        <v>20000</v>
      </c>
      <c r="G3" s="51">
        <v>0</v>
      </c>
      <c r="H3" s="38">
        <f t="shared" si="0"/>
        <v>20000</v>
      </c>
      <c r="I3" s="38">
        <v>4696.93</v>
      </c>
      <c r="J3" s="38">
        <v>0</v>
      </c>
      <c r="K3" s="49" t="s">
        <v>637</v>
      </c>
      <c r="L3" s="38">
        <v>0</v>
      </c>
      <c r="M3" s="38">
        <f t="shared" si="1"/>
        <v>39543.07</v>
      </c>
      <c r="N3" s="39">
        <f t="shared" si="2"/>
        <v>0.45207956600361665</v>
      </c>
      <c r="P3" s="262">
        <f>E3-ikot[[#This Row],[Total Collected]]</f>
        <v>24240</v>
      </c>
    </row>
    <row r="4" spans="1:20">
      <c r="A4" s="49" t="s">
        <v>635</v>
      </c>
      <c r="B4" s="50">
        <v>46129</v>
      </c>
      <c r="C4" s="49" t="s">
        <v>577</v>
      </c>
      <c r="D4" s="49">
        <v>2026</v>
      </c>
      <c r="E4" s="38">
        <v>62240</v>
      </c>
      <c r="F4" s="38">
        <v>21000</v>
      </c>
      <c r="G4" s="51">
        <v>2500</v>
      </c>
      <c r="H4" s="38">
        <f t="shared" si="0"/>
        <v>23500</v>
      </c>
      <c r="I4" s="38">
        <v>2088</v>
      </c>
      <c r="J4" s="38">
        <v>0</v>
      </c>
      <c r="K4" s="49" t="s">
        <v>638</v>
      </c>
      <c r="L4" s="38">
        <v>1270</v>
      </c>
      <c r="M4" s="38">
        <f t="shared" si="1"/>
        <v>60152</v>
      </c>
      <c r="N4" s="39">
        <f t="shared" si="2"/>
        <v>0.37757069408740362</v>
      </c>
      <c r="P4" s="262">
        <f>E4-ikot[[#This Row],[Total Collected]]</f>
        <v>38740</v>
      </c>
    </row>
    <row r="5" spans="1:20">
      <c r="A5" s="49" t="s">
        <v>635</v>
      </c>
      <c r="B5" s="50">
        <v>46141</v>
      </c>
      <c r="C5" s="49" t="s">
        <v>577</v>
      </c>
      <c r="D5" s="49">
        <v>2026</v>
      </c>
      <c r="E5" s="38">
        <v>63454</v>
      </c>
      <c r="F5" s="38">
        <v>22900</v>
      </c>
      <c r="G5" s="51">
        <v>4750</v>
      </c>
      <c r="H5" s="38">
        <f t="shared" si="0"/>
        <v>27650</v>
      </c>
      <c r="I5" s="38">
        <v>900</v>
      </c>
      <c r="J5" s="38">
        <v>0</v>
      </c>
      <c r="K5" s="49" t="s">
        <v>636</v>
      </c>
      <c r="L5" s="38">
        <v>0</v>
      </c>
      <c r="M5" s="38">
        <f t="shared" si="1"/>
        <v>62554</v>
      </c>
      <c r="N5" s="39">
        <f t="shared" si="2"/>
        <v>0.43574873136445297</v>
      </c>
      <c r="P5" s="262">
        <f>E5-ikot[[#This Row],[Total Collected]]</f>
        <v>35804</v>
      </c>
    </row>
    <row r="6" spans="1:20">
      <c r="A6" s="49" t="s">
        <v>635</v>
      </c>
      <c r="B6" s="50">
        <v>46155</v>
      </c>
      <c r="C6" s="49" t="s">
        <v>578</v>
      </c>
      <c r="D6" s="49">
        <v>2026</v>
      </c>
      <c r="E6" s="38">
        <v>135590</v>
      </c>
      <c r="F6" s="38">
        <v>85770</v>
      </c>
      <c r="G6" s="51">
        <v>0</v>
      </c>
      <c r="H6" s="38">
        <f t="shared" si="0"/>
        <v>85770</v>
      </c>
      <c r="I6" s="38">
        <v>2554</v>
      </c>
      <c r="J6" s="38">
        <v>0</v>
      </c>
      <c r="K6" s="49" t="s">
        <v>639</v>
      </c>
      <c r="L6" s="38">
        <v>0</v>
      </c>
      <c r="M6" s="38">
        <f t="shared" si="1"/>
        <v>133036</v>
      </c>
      <c r="N6" s="39">
        <f t="shared" si="2"/>
        <v>0.63256877350837082</v>
      </c>
      <c r="P6" s="262">
        <f>E6-ikot[[#This Row],[Total Collected]]</f>
        <v>49820</v>
      </c>
    </row>
    <row r="7" spans="1:20">
      <c r="A7" s="49" t="s">
        <v>635</v>
      </c>
      <c r="B7" s="50">
        <v>46163</v>
      </c>
      <c r="C7" s="49" t="s">
        <v>578</v>
      </c>
      <c r="D7" s="49">
        <v>2026</v>
      </c>
      <c r="E7" s="38">
        <v>216600</v>
      </c>
      <c r="F7" s="38">
        <v>182350</v>
      </c>
      <c r="G7" s="51">
        <v>4660</v>
      </c>
      <c r="H7" s="38">
        <f t="shared" si="0"/>
        <v>187010</v>
      </c>
      <c r="I7" s="38">
        <v>1104</v>
      </c>
      <c r="J7" s="38">
        <v>0</v>
      </c>
      <c r="K7" s="49" t="s">
        <v>636</v>
      </c>
      <c r="L7" s="38">
        <v>0</v>
      </c>
      <c r="M7" s="38">
        <f t="shared" si="1"/>
        <v>215496</v>
      </c>
      <c r="N7" s="39">
        <f t="shared" si="2"/>
        <v>0.86338873499538316</v>
      </c>
      <c r="P7" s="262">
        <f>E7-ikot[[#This Row],[Total Collected]]</f>
        <v>29590</v>
      </c>
    </row>
    <row r="8" spans="1:20">
      <c r="A8" s="49" t="s">
        <v>635</v>
      </c>
      <c r="B8" s="50">
        <v>46178</v>
      </c>
      <c r="C8" s="49" t="s">
        <v>579</v>
      </c>
      <c r="D8" s="49">
        <v>2026</v>
      </c>
      <c r="E8" s="38">
        <v>112860</v>
      </c>
      <c r="F8" s="38">
        <v>66370</v>
      </c>
      <c r="G8" s="51">
        <v>4500</v>
      </c>
      <c r="H8" s="38">
        <f t="shared" si="0"/>
        <v>70870</v>
      </c>
      <c r="I8" s="38">
        <v>4519.92</v>
      </c>
      <c r="J8" s="38">
        <v>0</v>
      </c>
      <c r="K8" s="49" t="s">
        <v>637</v>
      </c>
      <c r="L8" s="38">
        <v>0</v>
      </c>
      <c r="M8" s="38">
        <f t="shared" si="1"/>
        <v>108340.08</v>
      </c>
      <c r="N8" s="39">
        <f t="shared" si="2"/>
        <v>0.62794612794612792</v>
      </c>
      <c r="P8" s="262">
        <f>E8-ikot[[#This Row],[Total Collected]]</f>
        <v>41990</v>
      </c>
    </row>
    <row r="9" spans="1:20">
      <c r="A9" s="49" t="s">
        <v>635</v>
      </c>
      <c r="B9" s="50">
        <v>46191</v>
      </c>
      <c r="C9" s="49" t="s">
        <v>579</v>
      </c>
      <c r="D9" s="49">
        <v>2026</v>
      </c>
      <c r="E9" s="38">
        <v>221262</v>
      </c>
      <c r="F9" s="38">
        <v>148960</v>
      </c>
      <c r="G9" s="51">
        <v>7100</v>
      </c>
      <c r="H9" s="38">
        <f t="shared" si="0"/>
        <v>156060</v>
      </c>
      <c r="I9" s="38">
        <v>791</v>
      </c>
      <c r="J9" s="38">
        <v>0</v>
      </c>
      <c r="K9" s="49" t="s">
        <v>636</v>
      </c>
      <c r="L9" s="38">
        <v>0</v>
      </c>
      <c r="M9" s="38">
        <f t="shared" si="1"/>
        <v>220471</v>
      </c>
      <c r="N9" s="39">
        <f t="shared" si="2"/>
        <v>0.70531767768527809</v>
      </c>
      <c r="P9" s="262">
        <f>E9-ikot[[#This Row],[Total Collected]]</f>
        <v>65202</v>
      </c>
    </row>
    <row r="10" spans="1:20">
      <c r="A10" s="49" t="s">
        <v>635</v>
      </c>
      <c r="B10" s="50">
        <v>46192</v>
      </c>
      <c r="C10" s="49" t="s">
        <v>579</v>
      </c>
      <c r="D10" s="49">
        <v>2026</v>
      </c>
      <c r="E10" s="38">
        <v>81080</v>
      </c>
      <c r="F10" s="38">
        <v>43670</v>
      </c>
      <c r="G10" s="51">
        <v>2080</v>
      </c>
      <c r="H10" s="38">
        <f t="shared" si="0"/>
        <v>45750</v>
      </c>
      <c r="I10" s="38">
        <v>830</v>
      </c>
      <c r="J10" s="38">
        <v>0</v>
      </c>
      <c r="K10" s="49" t="s">
        <v>636</v>
      </c>
      <c r="L10" s="38">
        <v>0</v>
      </c>
      <c r="M10" s="38">
        <f t="shared" si="1"/>
        <v>80250</v>
      </c>
      <c r="N10" s="39">
        <f t="shared" si="2"/>
        <v>0.56425752343364577</v>
      </c>
      <c r="P10" s="262">
        <f>E10-ikot[[#This Row],[Total Collected]]</f>
        <v>35330</v>
      </c>
    </row>
    <row r="11" spans="1:20">
      <c r="A11" s="49" t="s">
        <v>635</v>
      </c>
      <c r="B11" s="50">
        <v>46206</v>
      </c>
      <c r="C11" s="49" t="s">
        <v>580</v>
      </c>
      <c r="D11" s="49">
        <v>2026</v>
      </c>
      <c r="E11" s="38">
        <v>88200</v>
      </c>
      <c r="F11" s="38">
        <v>77250</v>
      </c>
      <c r="G11" s="51">
        <v>7500</v>
      </c>
      <c r="H11" s="38">
        <f t="shared" si="0"/>
        <v>84750</v>
      </c>
      <c r="I11" s="38">
        <v>4690</v>
      </c>
      <c r="J11" s="38">
        <v>0</v>
      </c>
      <c r="K11" s="49" t="s">
        <v>638</v>
      </c>
      <c r="L11" s="38">
        <v>2500</v>
      </c>
      <c r="M11" s="38">
        <f t="shared" si="1"/>
        <v>83510</v>
      </c>
      <c r="N11" s="39">
        <f t="shared" si="2"/>
        <v>0.96088435374149661</v>
      </c>
      <c r="P11" s="262">
        <f>E11-ikot[[#This Row],[Total Collected]]</f>
        <v>3450</v>
      </c>
    </row>
    <row r="12" spans="1:20">
      <c r="A12" s="49" t="s">
        <v>635</v>
      </c>
      <c r="B12" s="50">
        <v>46227</v>
      </c>
      <c r="C12" s="49" t="s">
        <v>580</v>
      </c>
      <c r="D12" s="49">
        <v>2026</v>
      </c>
      <c r="E12" s="38">
        <v>234030</v>
      </c>
      <c r="F12" s="38">
        <v>181720</v>
      </c>
      <c r="G12" s="51">
        <v>15200</v>
      </c>
      <c r="H12" s="38">
        <f t="shared" si="0"/>
        <v>196920</v>
      </c>
      <c r="I12" s="38">
        <v>4333</v>
      </c>
      <c r="J12" s="38">
        <v>0</v>
      </c>
      <c r="K12" s="49" t="s">
        <v>637</v>
      </c>
      <c r="L12" s="38">
        <v>0</v>
      </c>
      <c r="M12" s="38">
        <f t="shared" si="1"/>
        <v>229697</v>
      </c>
      <c r="N12" s="39">
        <f t="shared" si="2"/>
        <v>0.84143058582233043</v>
      </c>
      <c r="P12" s="262">
        <f>E12-ikot[[#This Row],[Total Collected]]</f>
        <v>37110</v>
      </c>
    </row>
    <row r="13" spans="1:20">
      <c r="A13" s="49" t="s">
        <v>640</v>
      </c>
      <c r="B13" s="50">
        <v>46029</v>
      </c>
      <c r="C13" s="49" t="s">
        <v>574</v>
      </c>
      <c r="D13" s="49">
        <v>2026</v>
      </c>
      <c r="E13" s="38">
        <v>23740</v>
      </c>
      <c r="F13" s="38">
        <v>11600</v>
      </c>
      <c r="G13" s="51">
        <v>4700</v>
      </c>
      <c r="H13" s="38">
        <f t="shared" si="0"/>
        <v>16300</v>
      </c>
      <c r="I13" s="38">
        <v>1300</v>
      </c>
      <c r="J13" s="38">
        <v>0</v>
      </c>
      <c r="K13" s="49" t="s">
        <v>636</v>
      </c>
      <c r="L13" s="38">
        <v>0</v>
      </c>
      <c r="M13" s="38">
        <f t="shared" si="1"/>
        <v>22440</v>
      </c>
      <c r="N13" s="39">
        <f t="shared" si="2"/>
        <v>0.68660488626790228</v>
      </c>
      <c r="P13" s="262">
        <f>E13-ikot[[#This Row],[Total Collected]]</f>
        <v>7440</v>
      </c>
    </row>
    <row r="14" spans="1:20">
      <c r="A14" s="49" t="s">
        <v>640</v>
      </c>
      <c r="B14" s="50">
        <v>46030</v>
      </c>
      <c r="C14" s="49" t="s">
        <v>574</v>
      </c>
      <c r="D14" s="49">
        <v>2026</v>
      </c>
      <c r="E14" s="38">
        <v>42550</v>
      </c>
      <c r="F14" s="38">
        <v>45060</v>
      </c>
      <c r="G14" s="51">
        <v>0</v>
      </c>
      <c r="H14" s="38">
        <f t="shared" si="0"/>
        <v>45060</v>
      </c>
      <c r="I14" s="38">
        <v>3236.61</v>
      </c>
      <c r="J14" s="38">
        <v>0</v>
      </c>
      <c r="K14" s="49" t="s">
        <v>639</v>
      </c>
      <c r="L14" s="38">
        <v>0</v>
      </c>
      <c r="M14" s="38">
        <f t="shared" si="1"/>
        <v>39313.39</v>
      </c>
      <c r="N14" s="39">
        <f t="shared" si="2"/>
        <v>1.0589894242068154</v>
      </c>
      <c r="P14" s="262">
        <f>E14-ikot[[#This Row],[Total Collected]]</f>
        <v>-2510</v>
      </c>
    </row>
    <row r="15" spans="1:20">
      <c r="A15" s="49" t="s">
        <v>640</v>
      </c>
      <c r="B15" s="50">
        <v>46035</v>
      </c>
      <c r="C15" s="49" t="s">
        <v>574</v>
      </c>
      <c r="D15" s="49">
        <v>2026</v>
      </c>
      <c r="E15" s="38">
        <v>39550</v>
      </c>
      <c r="F15" s="38">
        <v>39550</v>
      </c>
      <c r="G15" s="51">
        <v>10375</v>
      </c>
      <c r="H15" s="38">
        <f t="shared" si="0"/>
        <v>49925</v>
      </c>
      <c r="I15" s="38">
        <v>1200</v>
      </c>
      <c r="J15" s="38">
        <v>0</v>
      </c>
      <c r="K15" s="49" t="s">
        <v>636</v>
      </c>
      <c r="L15" s="38">
        <v>0</v>
      </c>
      <c r="M15" s="38">
        <f t="shared" si="1"/>
        <v>38350</v>
      </c>
      <c r="N15" s="39">
        <f t="shared" si="2"/>
        <v>1.2623261694058154</v>
      </c>
      <c r="P15" s="262">
        <f>E15-ikot[[#This Row],[Total Collected]]</f>
        <v>-10375</v>
      </c>
    </row>
    <row r="16" spans="1:20">
      <c r="A16" s="49" t="s">
        <v>640</v>
      </c>
      <c r="B16" s="50">
        <v>46036</v>
      </c>
      <c r="C16" s="49" t="s">
        <v>574</v>
      </c>
      <c r="D16" s="49">
        <v>2026</v>
      </c>
      <c r="E16" s="38">
        <v>45050</v>
      </c>
      <c r="F16" s="38">
        <v>34500</v>
      </c>
      <c r="G16" s="51">
        <v>20000</v>
      </c>
      <c r="H16" s="38">
        <f t="shared" si="0"/>
        <v>54500</v>
      </c>
      <c r="I16" s="38">
        <v>4682.92</v>
      </c>
      <c r="J16" s="38">
        <v>0</v>
      </c>
      <c r="K16" s="49" t="s">
        <v>637</v>
      </c>
      <c r="L16" s="38">
        <v>0</v>
      </c>
      <c r="M16" s="38">
        <f t="shared" si="1"/>
        <v>40367.08</v>
      </c>
      <c r="N16" s="39">
        <f t="shared" si="2"/>
        <v>1.2097669256381798</v>
      </c>
      <c r="P16" s="262">
        <f>E16-ikot[[#This Row],[Total Collected]]</f>
        <v>-9450</v>
      </c>
    </row>
    <row r="17" spans="1:16">
      <c r="A17" s="49" t="s">
        <v>640</v>
      </c>
      <c r="B17" s="50">
        <v>46037</v>
      </c>
      <c r="C17" s="49" t="s">
        <v>574</v>
      </c>
      <c r="D17" s="49">
        <v>2026</v>
      </c>
      <c r="E17" s="38">
        <v>37910</v>
      </c>
      <c r="F17" s="38">
        <v>21710</v>
      </c>
      <c r="G17" s="51">
        <v>2000</v>
      </c>
      <c r="H17" s="38">
        <f t="shared" si="0"/>
        <v>23710</v>
      </c>
      <c r="I17" s="38">
        <v>800</v>
      </c>
      <c r="J17" s="38">
        <v>0</v>
      </c>
      <c r="K17" s="49" t="s">
        <v>636</v>
      </c>
      <c r="L17" s="38">
        <v>0</v>
      </c>
      <c r="M17" s="38">
        <f t="shared" si="1"/>
        <v>37110</v>
      </c>
      <c r="N17" s="39">
        <f t="shared" si="2"/>
        <v>0.62542864679504084</v>
      </c>
      <c r="P17" s="262">
        <f>E17-ikot[[#This Row],[Total Collected]]</f>
        <v>14200</v>
      </c>
    </row>
    <row r="18" spans="1:16">
      <c r="A18" s="49" t="s">
        <v>640</v>
      </c>
      <c r="B18" s="50">
        <v>46043</v>
      </c>
      <c r="C18" s="49" t="s">
        <v>574</v>
      </c>
      <c r="D18" s="49">
        <v>2026</v>
      </c>
      <c r="E18" s="38">
        <v>42720</v>
      </c>
      <c r="F18" s="38">
        <v>17200</v>
      </c>
      <c r="G18" s="51">
        <v>44500</v>
      </c>
      <c r="H18" s="38">
        <f t="shared" si="0"/>
        <v>61700</v>
      </c>
      <c r="I18" s="38">
        <v>1623</v>
      </c>
      <c r="J18" s="38">
        <v>0</v>
      </c>
      <c r="K18" s="49" t="s">
        <v>641</v>
      </c>
      <c r="L18" s="38">
        <v>0</v>
      </c>
      <c r="M18" s="38">
        <f t="shared" si="1"/>
        <v>41097</v>
      </c>
      <c r="N18" s="39">
        <f t="shared" si="2"/>
        <v>1.4442883895131087</v>
      </c>
      <c r="P18" s="262">
        <f>E18-ikot[[#This Row],[Total Collected]]</f>
        <v>-18980</v>
      </c>
    </row>
    <row r="19" spans="1:16">
      <c r="A19" s="49" t="s">
        <v>640</v>
      </c>
      <c r="B19" s="50">
        <v>46044</v>
      </c>
      <c r="C19" s="49" t="s">
        <v>574</v>
      </c>
      <c r="D19" s="49">
        <v>2026</v>
      </c>
      <c r="E19" s="38">
        <v>68225</v>
      </c>
      <c r="F19" s="38">
        <v>68590</v>
      </c>
      <c r="G19" s="51">
        <v>0</v>
      </c>
      <c r="H19" s="38">
        <f t="shared" si="0"/>
        <v>68590</v>
      </c>
      <c r="I19" s="38">
        <v>3880</v>
      </c>
      <c r="J19" s="38">
        <v>19490</v>
      </c>
      <c r="K19" s="49" t="s">
        <v>642</v>
      </c>
      <c r="L19" s="38">
        <v>0</v>
      </c>
      <c r="M19" s="38">
        <f t="shared" si="1"/>
        <v>64345</v>
      </c>
      <c r="N19" s="39">
        <f t="shared" si="2"/>
        <v>1.0053499450348113</v>
      </c>
      <c r="P19" s="262">
        <f>E19-ikot[[#This Row],[Total Collected]]</f>
        <v>-365</v>
      </c>
    </row>
    <row r="20" spans="1:16">
      <c r="A20" s="49" t="s">
        <v>640</v>
      </c>
      <c r="B20" s="50">
        <v>46050</v>
      </c>
      <c r="C20" s="49" t="s">
        <v>574</v>
      </c>
      <c r="D20" s="49">
        <v>2026</v>
      </c>
      <c r="E20" s="38">
        <v>16675</v>
      </c>
      <c r="F20" s="38">
        <v>14750</v>
      </c>
      <c r="G20" s="51">
        <v>13000</v>
      </c>
      <c r="H20" s="38">
        <f t="shared" si="0"/>
        <v>27750</v>
      </c>
      <c r="I20" s="38">
        <v>3000</v>
      </c>
      <c r="J20" s="38">
        <v>0</v>
      </c>
      <c r="K20" s="49" t="s">
        <v>636</v>
      </c>
      <c r="L20" s="38">
        <v>0</v>
      </c>
      <c r="M20" s="38">
        <f t="shared" si="1"/>
        <v>13675</v>
      </c>
      <c r="N20" s="39">
        <f t="shared" si="2"/>
        <v>1.6641679160419791</v>
      </c>
      <c r="P20" s="262">
        <f>E20-ikot[[#This Row],[Total Collected]]</f>
        <v>-11075</v>
      </c>
    </row>
    <row r="21" spans="1:16">
      <c r="A21" s="49" t="s">
        <v>640</v>
      </c>
      <c r="B21" s="50">
        <v>46056</v>
      </c>
      <c r="C21" s="49" t="s">
        <v>575</v>
      </c>
      <c r="D21" s="49">
        <v>2026</v>
      </c>
      <c r="E21" s="38">
        <v>19660</v>
      </c>
      <c r="F21" s="38">
        <v>19580</v>
      </c>
      <c r="G21" s="51">
        <v>0</v>
      </c>
      <c r="H21" s="38">
        <f t="shared" si="0"/>
        <v>19580</v>
      </c>
      <c r="I21" s="38">
        <v>5274.49</v>
      </c>
      <c r="J21" s="38">
        <v>0</v>
      </c>
      <c r="K21" s="49" t="s">
        <v>637</v>
      </c>
      <c r="L21" s="38">
        <v>0</v>
      </c>
      <c r="M21" s="38">
        <f t="shared" si="1"/>
        <v>14385.51</v>
      </c>
      <c r="N21" s="39">
        <f t="shared" si="2"/>
        <v>0.99593082400813837</v>
      </c>
      <c r="P21" s="262">
        <f>E21-ikot[[#This Row],[Total Collected]]</f>
        <v>80</v>
      </c>
    </row>
    <row r="22" spans="1:16">
      <c r="A22" s="49" t="s">
        <v>640</v>
      </c>
      <c r="B22" s="50">
        <v>46057</v>
      </c>
      <c r="C22" s="49" t="s">
        <v>575</v>
      </c>
      <c r="D22" s="49">
        <v>2026</v>
      </c>
      <c r="E22" s="38">
        <v>99700</v>
      </c>
      <c r="F22" s="38">
        <v>67500</v>
      </c>
      <c r="G22" s="51">
        <v>17850</v>
      </c>
      <c r="H22" s="38">
        <f t="shared" si="0"/>
        <v>85350</v>
      </c>
      <c r="I22" s="38">
        <v>2713.65</v>
      </c>
      <c r="J22" s="38">
        <v>0</v>
      </c>
      <c r="K22" s="49" t="s">
        <v>641</v>
      </c>
      <c r="L22" s="38">
        <v>0</v>
      </c>
      <c r="M22" s="38">
        <f t="shared" si="1"/>
        <v>96986.35</v>
      </c>
      <c r="N22" s="39">
        <f t="shared" si="2"/>
        <v>0.85606820461384148</v>
      </c>
      <c r="P22" s="262">
        <f>E22-ikot[[#This Row],[Total Collected]]</f>
        <v>14350</v>
      </c>
    </row>
    <row r="23" spans="1:16">
      <c r="A23" s="49" t="s">
        <v>640</v>
      </c>
      <c r="B23" s="50">
        <v>46058</v>
      </c>
      <c r="C23" s="49" t="s">
        <v>575</v>
      </c>
      <c r="D23" s="49">
        <v>2026</v>
      </c>
      <c r="E23" s="38">
        <v>71071</v>
      </c>
      <c r="F23" s="38">
        <v>41980</v>
      </c>
      <c r="G23" s="51">
        <v>0</v>
      </c>
      <c r="H23" s="38">
        <f t="shared" si="0"/>
        <v>41980</v>
      </c>
      <c r="I23" s="38">
        <v>3995</v>
      </c>
      <c r="J23" s="38">
        <v>0</v>
      </c>
      <c r="K23" s="49" t="s">
        <v>638</v>
      </c>
      <c r="L23" s="38">
        <v>0</v>
      </c>
      <c r="M23" s="38">
        <f t="shared" si="1"/>
        <v>67076</v>
      </c>
      <c r="N23" s="39">
        <f t="shared" si="2"/>
        <v>0.59067692870509769</v>
      </c>
      <c r="P23" s="262">
        <f>E23-ikot[[#This Row],[Total Collected]]</f>
        <v>29091</v>
      </c>
    </row>
    <row r="24" spans="1:16">
      <c r="A24" s="49" t="s">
        <v>640</v>
      </c>
      <c r="B24" s="50">
        <v>46064</v>
      </c>
      <c r="C24" s="49" t="s">
        <v>575</v>
      </c>
      <c r="D24" s="49">
        <v>2026</v>
      </c>
      <c r="E24" s="38">
        <v>49480</v>
      </c>
      <c r="F24" s="38">
        <v>44660</v>
      </c>
      <c r="G24" s="51">
        <v>4000</v>
      </c>
      <c r="H24" s="38">
        <f t="shared" si="0"/>
        <v>48660</v>
      </c>
      <c r="I24" s="38">
        <v>1420</v>
      </c>
      <c r="J24" s="38">
        <v>0</v>
      </c>
      <c r="K24" s="49" t="s">
        <v>636</v>
      </c>
      <c r="L24" s="38">
        <v>0</v>
      </c>
      <c r="M24" s="38">
        <f t="shared" si="1"/>
        <v>48060</v>
      </c>
      <c r="N24" s="39">
        <f t="shared" si="2"/>
        <v>0.9834276475343573</v>
      </c>
      <c r="P24" s="262">
        <f>E24-ikot[[#This Row],[Total Collected]]</f>
        <v>820</v>
      </c>
    </row>
    <row r="25" spans="1:16">
      <c r="A25" s="49" t="s">
        <v>640</v>
      </c>
      <c r="B25" s="50">
        <v>46065</v>
      </c>
      <c r="C25" s="49" t="s">
        <v>575</v>
      </c>
      <c r="D25" s="49">
        <v>2026</v>
      </c>
      <c r="E25" s="38">
        <v>72150</v>
      </c>
      <c r="F25" s="38">
        <v>59600</v>
      </c>
      <c r="G25" s="51">
        <v>12000</v>
      </c>
      <c r="H25" s="38">
        <f t="shared" si="0"/>
        <v>71600</v>
      </c>
      <c r="I25" s="38">
        <v>3544</v>
      </c>
      <c r="J25" s="38">
        <v>0</v>
      </c>
      <c r="K25" s="49" t="s">
        <v>639</v>
      </c>
      <c r="L25" s="38">
        <v>0</v>
      </c>
      <c r="M25" s="38">
        <f t="shared" si="1"/>
        <v>68606</v>
      </c>
      <c r="N25" s="39">
        <f t="shared" si="2"/>
        <v>0.9923769923769924</v>
      </c>
      <c r="P25" s="262">
        <f>E25-ikot[[#This Row],[Total Collected]]</f>
        <v>550</v>
      </c>
    </row>
    <row r="26" spans="1:16">
      <c r="A26" s="49" t="s">
        <v>640</v>
      </c>
      <c r="B26" s="50">
        <v>46071</v>
      </c>
      <c r="C26" s="49" t="s">
        <v>575</v>
      </c>
      <c r="D26" s="49">
        <v>2026</v>
      </c>
      <c r="E26" s="38">
        <v>25004</v>
      </c>
      <c r="F26" s="38">
        <v>13410</v>
      </c>
      <c r="G26" s="51">
        <v>1600</v>
      </c>
      <c r="H26" s="38">
        <f t="shared" si="0"/>
        <v>15010</v>
      </c>
      <c r="I26" s="38">
        <v>1500</v>
      </c>
      <c r="J26" s="38">
        <v>0</v>
      </c>
      <c r="K26" s="49" t="s">
        <v>636</v>
      </c>
      <c r="L26" s="38">
        <v>0</v>
      </c>
      <c r="M26" s="38">
        <f t="shared" si="1"/>
        <v>23504</v>
      </c>
      <c r="N26" s="39">
        <f t="shared" si="2"/>
        <v>0.60030395136778114</v>
      </c>
      <c r="P26" s="262">
        <f>E26-ikot[[#This Row],[Total Collected]]</f>
        <v>9994</v>
      </c>
    </row>
    <row r="27" spans="1:16">
      <c r="A27" s="49" t="s">
        <v>640</v>
      </c>
      <c r="B27" s="50">
        <v>46072</v>
      </c>
      <c r="C27" s="49" t="s">
        <v>575</v>
      </c>
      <c r="D27" s="49">
        <v>2026</v>
      </c>
      <c r="E27" s="38">
        <v>98350</v>
      </c>
      <c r="F27" s="38">
        <v>66470</v>
      </c>
      <c r="G27" s="51">
        <v>6550</v>
      </c>
      <c r="H27" s="38">
        <f t="shared" si="0"/>
        <v>73020</v>
      </c>
      <c r="I27" s="38">
        <v>2646</v>
      </c>
      <c r="J27" s="38">
        <v>0</v>
      </c>
      <c r="K27" s="49" t="s">
        <v>637</v>
      </c>
      <c r="L27" s="38">
        <v>0</v>
      </c>
      <c r="M27" s="38">
        <f t="shared" si="1"/>
        <v>95704</v>
      </c>
      <c r="N27" s="39">
        <f t="shared" si="2"/>
        <v>0.74245043213014739</v>
      </c>
      <c r="P27" s="262">
        <f>E27-ikot[[#This Row],[Total Collected]]</f>
        <v>25330</v>
      </c>
    </row>
    <row r="28" spans="1:16">
      <c r="A28" s="49" t="s">
        <v>640</v>
      </c>
      <c r="B28" s="50">
        <v>46078</v>
      </c>
      <c r="C28" s="49" t="s">
        <v>575</v>
      </c>
      <c r="D28" s="49">
        <v>2026</v>
      </c>
      <c r="E28" s="38">
        <v>8230</v>
      </c>
      <c r="F28" s="38">
        <v>4300</v>
      </c>
      <c r="G28" s="51">
        <v>2200</v>
      </c>
      <c r="H28" s="38">
        <f t="shared" si="0"/>
        <v>6500</v>
      </c>
      <c r="I28" s="38">
        <v>1500</v>
      </c>
      <c r="J28" s="38">
        <v>0</v>
      </c>
      <c r="K28" s="49" t="s">
        <v>636</v>
      </c>
      <c r="L28" s="38">
        <v>0</v>
      </c>
      <c r="M28" s="38">
        <f t="shared" si="1"/>
        <v>6730</v>
      </c>
      <c r="N28" s="39">
        <f t="shared" si="2"/>
        <v>0.7897934386391251</v>
      </c>
      <c r="P28" s="262">
        <f>E28-ikot[[#This Row],[Total Collected]]</f>
        <v>1730</v>
      </c>
    </row>
    <row r="29" spans="1:16">
      <c r="A29" s="49" t="s">
        <v>640</v>
      </c>
      <c r="B29" s="50">
        <v>46079</v>
      </c>
      <c r="C29" s="49" t="s">
        <v>575</v>
      </c>
      <c r="D29" s="49">
        <v>2026</v>
      </c>
      <c r="E29" s="38">
        <v>95400</v>
      </c>
      <c r="F29" s="38">
        <v>37500</v>
      </c>
      <c r="G29" s="51">
        <v>7225</v>
      </c>
      <c r="H29" s="38">
        <f t="shared" si="0"/>
        <v>44725</v>
      </c>
      <c r="I29" s="38">
        <v>4006</v>
      </c>
      <c r="J29" s="38">
        <v>0</v>
      </c>
      <c r="K29" s="49" t="s">
        <v>642</v>
      </c>
      <c r="L29" s="38">
        <v>1324</v>
      </c>
      <c r="M29" s="38">
        <f t="shared" si="1"/>
        <v>91394</v>
      </c>
      <c r="N29" s="39">
        <f t="shared" si="2"/>
        <v>0.46881551362683438</v>
      </c>
      <c r="P29" s="262">
        <f>E29-ikot[[#This Row],[Total Collected]]</f>
        <v>50675</v>
      </c>
    </row>
    <row r="30" spans="1:16">
      <c r="A30" s="49" t="s">
        <v>640</v>
      </c>
      <c r="B30" s="50">
        <v>46085</v>
      </c>
      <c r="C30" s="49" t="s">
        <v>576</v>
      </c>
      <c r="D30" s="49">
        <v>2026</v>
      </c>
      <c r="E30" s="38">
        <v>47510</v>
      </c>
      <c r="F30" s="38">
        <v>39160</v>
      </c>
      <c r="G30" s="51">
        <v>4500</v>
      </c>
      <c r="H30" s="38">
        <f t="shared" si="0"/>
        <v>43660</v>
      </c>
      <c r="I30" s="38">
        <v>10015</v>
      </c>
      <c r="J30" s="38">
        <v>0</v>
      </c>
      <c r="K30" s="49" t="s">
        <v>637</v>
      </c>
      <c r="L30" s="38">
        <v>0</v>
      </c>
      <c r="M30" s="38">
        <f t="shared" si="1"/>
        <v>37495</v>
      </c>
      <c r="N30" s="39">
        <f t="shared" si="2"/>
        <v>0.91896442854135973</v>
      </c>
      <c r="P30" s="262">
        <f>E30-ikot[[#This Row],[Total Collected]]</f>
        <v>3850</v>
      </c>
    </row>
    <row r="31" spans="1:16">
      <c r="A31" s="49" t="s">
        <v>640</v>
      </c>
      <c r="B31" s="50">
        <v>46086</v>
      </c>
      <c r="C31" s="49" t="s">
        <v>576</v>
      </c>
      <c r="D31" s="49">
        <v>2026</v>
      </c>
      <c r="E31" s="38">
        <v>90750</v>
      </c>
      <c r="F31" s="38">
        <v>96060</v>
      </c>
      <c r="G31" s="51">
        <v>0</v>
      </c>
      <c r="H31" s="38">
        <f t="shared" si="0"/>
        <v>96060</v>
      </c>
      <c r="I31" s="38">
        <v>1580</v>
      </c>
      <c r="J31" s="38">
        <v>0</v>
      </c>
      <c r="K31" s="49" t="s">
        <v>643</v>
      </c>
      <c r="L31" s="38">
        <v>2600</v>
      </c>
      <c r="M31" s="38">
        <f t="shared" si="1"/>
        <v>89170</v>
      </c>
      <c r="N31" s="39">
        <f t="shared" si="2"/>
        <v>1.0585123966942149</v>
      </c>
      <c r="P31" s="262">
        <f>E31-ikot[[#This Row],[Total Collected]]</f>
        <v>-5310</v>
      </c>
    </row>
    <row r="32" spans="1:16">
      <c r="A32" s="49" t="s">
        <v>640</v>
      </c>
      <c r="B32" s="50">
        <v>46087</v>
      </c>
      <c r="C32" s="49" t="s">
        <v>576</v>
      </c>
      <c r="D32" s="49">
        <v>2026</v>
      </c>
      <c r="E32" s="38">
        <v>171450</v>
      </c>
      <c r="F32" s="38">
        <v>139800</v>
      </c>
      <c r="G32" s="51">
        <v>9830</v>
      </c>
      <c r="H32" s="38">
        <f t="shared" si="0"/>
        <v>149630</v>
      </c>
      <c r="I32" s="38">
        <v>5555</v>
      </c>
      <c r="J32" s="38">
        <v>0</v>
      </c>
      <c r="K32" s="49" t="s">
        <v>639</v>
      </c>
      <c r="L32" s="38">
        <v>0</v>
      </c>
      <c r="M32" s="38">
        <f t="shared" si="1"/>
        <v>165895</v>
      </c>
      <c r="N32" s="39">
        <f t="shared" si="2"/>
        <v>0.87273257509477986</v>
      </c>
      <c r="P32" s="262">
        <f>E32-ikot[[#This Row],[Total Collected]]</f>
        <v>21820</v>
      </c>
    </row>
    <row r="33" spans="1:16">
      <c r="A33" s="49" t="s">
        <v>640</v>
      </c>
      <c r="B33" s="50">
        <v>46091</v>
      </c>
      <c r="C33" s="49" t="s">
        <v>576</v>
      </c>
      <c r="D33" s="49">
        <v>2026</v>
      </c>
      <c r="E33" s="38">
        <v>72600</v>
      </c>
      <c r="F33" s="38">
        <v>51520</v>
      </c>
      <c r="G33" s="51">
        <v>0</v>
      </c>
      <c r="H33" s="38">
        <f t="shared" si="0"/>
        <v>51520</v>
      </c>
      <c r="I33" s="38">
        <v>3752</v>
      </c>
      <c r="J33" s="38">
        <v>0</v>
      </c>
      <c r="K33" s="49" t="s">
        <v>638</v>
      </c>
      <c r="L33" s="38">
        <v>1800</v>
      </c>
      <c r="M33" s="38">
        <f t="shared" si="1"/>
        <v>68848</v>
      </c>
      <c r="N33" s="39">
        <f t="shared" si="2"/>
        <v>0.70964187327823691</v>
      </c>
      <c r="P33" s="262">
        <f>E33-ikot[[#This Row],[Total Collected]]</f>
        <v>21080</v>
      </c>
    </row>
    <row r="34" spans="1:16">
      <c r="A34" s="49" t="s">
        <v>640</v>
      </c>
      <c r="B34" s="50">
        <v>46092</v>
      </c>
      <c r="C34" s="49" t="s">
        <v>576</v>
      </c>
      <c r="D34" s="49">
        <v>2026</v>
      </c>
      <c r="E34" s="38">
        <v>28220</v>
      </c>
      <c r="F34" s="38">
        <v>22970</v>
      </c>
      <c r="G34" s="51">
        <v>20920</v>
      </c>
      <c r="H34" s="38">
        <f t="shared" ref="H34:H65" si="3">F34+G34</f>
        <v>43890</v>
      </c>
      <c r="I34" s="38">
        <v>1700</v>
      </c>
      <c r="J34" s="38">
        <v>0</v>
      </c>
      <c r="K34" s="49" t="s">
        <v>643</v>
      </c>
      <c r="L34" s="38">
        <v>0</v>
      </c>
      <c r="M34" s="38">
        <f t="shared" ref="M34:M65" si="4">E34-I34</f>
        <v>26520</v>
      </c>
      <c r="N34" s="39">
        <f t="shared" ref="N34:N65" si="5">IF(E34&gt;0,H34/E34,0)</f>
        <v>1.5552799433026223</v>
      </c>
      <c r="P34" s="262">
        <f>E34-ikot[[#This Row],[Total Collected]]</f>
        <v>-15670</v>
      </c>
    </row>
    <row r="35" spans="1:16">
      <c r="A35" s="49" t="s">
        <v>640</v>
      </c>
      <c r="B35" s="50">
        <v>46093</v>
      </c>
      <c r="C35" s="49" t="s">
        <v>576</v>
      </c>
      <c r="D35" s="49">
        <v>2026</v>
      </c>
      <c r="E35" s="38">
        <v>156210</v>
      </c>
      <c r="F35" s="38">
        <v>142410</v>
      </c>
      <c r="G35" s="51">
        <v>12000</v>
      </c>
      <c r="H35" s="38">
        <f t="shared" si="3"/>
        <v>154410</v>
      </c>
      <c r="I35" s="38">
        <v>6408</v>
      </c>
      <c r="J35" s="38">
        <v>0</v>
      </c>
      <c r="K35" s="49" t="s">
        <v>637</v>
      </c>
      <c r="L35" s="38">
        <v>0</v>
      </c>
      <c r="M35" s="38">
        <f t="shared" si="4"/>
        <v>149802</v>
      </c>
      <c r="N35" s="39">
        <f t="shared" si="5"/>
        <v>0.988477050124832</v>
      </c>
      <c r="P35" s="262">
        <f>E35-ikot[[#This Row],[Total Collected]]</f>
        <v>1800</v>
      </c>
    </row>
    <row r="36" spans="1:16">
      <c r="A36" s="49" t="s">
        <v>640</v>
      </c>
      <c r="B36" s="50">
        <v>46099</v>
      </c>
      <c r="C36" s="49" t="s">
        <v>576</v>
      </c>
      <c r="D36" s="49">
        <v>2026</v>
      </c>
      <c r="E36" s="38">
        <v>9410</v>
      </c>
      <c r="F36" s="38">
        <v>7810</v>
      </c>
      <c r="G36" s="51">
        <v>5150</v>
      </c>
      <c r="H36" s="38">
        <f t="shared" si="3"/>
        <v>12960</v>
      </c>
      <c r="I36" s="38">
        <v>1400</v>
      </c>
      <c r="J36" s="38">
        <v>0</v>
      </c>
      <c r="K36" s="49" t="s">
        <v>643</v>
      </c>
      <c r="L36" s="38">
        <v>0</v>
      </c>
      <c r="M36" s="38">
        <f t="shared" si="4"/>
        <v>8010</v>
      </c>
      <c r="N36" s="39">
        <f t="shared" si="5"/>
        <v>1.3772582359192349</v>
      </c>
      <c r="P36" s="262">
        <f>E36-ikot[[#This Row],[Total Collected]]</f>
        <v>-3550</v>
      </c>
    </row>
    <row r="37" spans="1:16">
      <c r="A37" s="49" t="s">
        <v>640</v>
      </c>
      <c r="B37" s="50">
        <v>46100</v>
      </c>
      <c r="C37" s="49" t="s">
        <v>576</v>
      </c>
      <c r="D37" s="49">
        <v>2026</v>
      </c>
      <c r="E37" s="38">
        <v>60885</v>
      </c>
      <c r="F37" s="38">
        <v>54820</v>
      </c>
      <c r="G37" s="51">
        <v>0</v>
      </c>
      <c r="H37" s="38">
        <f t="shared" si="3"/>
        <v>54820</v>
      </c>
      <c r="I37" s="38">
        <v>2392</v>
      </c>
      <c r="J37" s="38">
        <v>0</v>
      </c>
      <c r="K37" s="49" t="s">
        <v>641</v>
      </c>
      <c r="L37" s="38">
        <v>0</v>
      </c>
      <c r="M37" s="38">
        <f t="shared" si="4"/>
        <v>58493</v>
      </c>
      <c r="N37" s="39">
        <f t="shared" si="5"/>
        <v>0.90038597355670524</v>
      </c>
      <c r="P37" s="262">
        <f>E37-ikot[[#This Row],[Total Collected]]</f>
        <v>6065</v>
      </c>
    </row>
    <row r="38" spans="1:16">
      <c r="A38" s="49" t="s">
        <v>640</v>
      </c>
      <c r="B38" s="50">
        <v>46106</v>
      </c>
      <c r="C38" s="49" t="s">
        <v>576</v>
      </c>
      <c r="D38" s="49">
        <v>2026</v>
      </c>
      <c r="E38" s="38">
        <v>12000</v>
      </c>
      <c r="F38" s="38">
        <v>14750</v>
      </c>
      <c r="G38" s="51">
        <v>6000</v>
      </c>
      <c r="H38" s="38">
        <f t="shared" si="3"/>
        <v>20750</v>
      </c>
      <c r="I38" s="38">
        <v>4582</v>
      </c>
      <c r="J38" s="38">
        <v>14950</v>
      </c>
      <c r="K38" s="49" t="s">
        <v>642</v>
      </c>
      <c r="L38" s="38">
        <v>0</v>
      </c>
      <c r="M38" s="38">
        <f t="shared" si="4"/>
        <v>7418</v>
      </c>
      <c r="N38" s="39">
        <f t="shared" si="5"/>
        <v>1.7291666666666667</v>
      </c>
      <c r="P38" s="262">
        <f>E38-ikot[[#This Row],[Total Collected]]</f>
        <v>-8750</v>
      </c>
    </row>
    <row r="39" spans="1:16">
      <c r="A39" s="49" t="s">
        <v>640</v>
      </c>
      <c r="B39" s="50">
        <v>46119</v>
      </c>
      <c r="C39" s="49" t="s">
        <v>577</v>
      </c>
      <c r="D39" s="49">
        <v>2026</v>
      </c>
      <c r="E39" s="38">
        <v>151530</v>
      </c>
      <c r="F39" s="38">
        <v>134700</v>
      </c>
      <c r="G39" s="51">
        <v>0</v>
      </c>
      <c r="H39" s="38">
        <f t="shared" si="3"/>
        <v>134700</v>
      </c>
      <c r="I39" s="38">
        <v>4686</v>
      </c>
      <c r="J39" s="38">
        <v>16000</v>
      </c>
      <c r="K39" s="49" t="s">
        <v>644</v>
      </c>
      <c r="L39" s="38">
        <v>2835</v>
      </c>
      <c r="M39" s="38">
        <f t="shared" si="4"/>
        <v>146844</v>
      </c>
      <c r="N39" s="39">
        <f t="shared" si="5"/>
        <v>0.88893288457731146</v>
      </c>
      <c r="P39" s="262">
        <f>E39-ikot[[#This Row],[Total Collected]]</f>
        <v>16830</v>
      </c>
    </row>
    <row r="40" spans="1:16">
      <c r="A40" s="49" t="s">
        <v>640</v>
      </c>
      <c r="B40" s="50">
        <v>46127</v>
      </c>
      <c r="C40" s="49" t="s">
        <v>577</v>
      </c>
      <c r="D40" s="49">
        <v>2026</v>
      </c>
      <c r="E40" s="38">
        <v>40660</v>
      </c>
      <c r="F40" s="38">
        <v>32270</v>
      </c>
      <c r="G40" s="51">
        <v>15710</v>
      </c>
      <c r="H40" s="38">
        <f t="shared" si="3"/>
        <v>47980</v>
      </c>
      <c r="I40" s="38">
        <v>2500</v>
      </c>
      <c r="J40" s="38">
        <v>0</v>
      </c>
      <c r="K40" s="49" t="s">
        <v>643</v>
      </c>
      <c r="L40" s="38">
        <v>2753</v>
      </c>
      <c r="M40" s="38">
        <f t="shared" si="4"/>
        <v>38160</v>
      </c>
      <c r="N40" s="39">
        <f t="shared" si="5"/>
        <v>1.1800295130349236</v>
      </c>
      <c r="P40" s="262">
        <f>E40-ikot[[#This Row],[Total Collected]]</f>
        <v>-7320</v>
      </c>
    </row>
    <row r="41" spans="1:16">
      <c r="A41" s="49" t="s">
        <v>640</v>
      </c>
      <c r="B41" s="50">
        <v>46128</v>
      </c>
      <c r="C41" s="49" t="s">
        <v>577</v>
      </c>
      <c r="D41" s="49">
        <v>2026</v>
      </c>
      <c r="E41" s="38">
        <v>55795</v>
      </c>
      <c r="F41" s="38">
        <v>25000</v>
      </c>
      <c r="G41" s="51">
        <v>260</v>
      </c>
      <c r="H41" s="38">
        <f t="shared" si="3"/>
        <v>25260</v>
      </c>
      <c r="I41" s="38">
        <v>7586.58</v>
      </c>
      <c r="J41" s="38">
        <v>0</v>
      </c>
      <c r="K41" s="49" t="s">
        <v>637</v>
      </c>
      <c r="L41" s="38">
        <v>0</v>
      </c>
      <c r="M41" s="38">
        <f t="shared" si="4"/>
        <v>48208.42</v>
      </c>
      <c r="N41" s="39">
        <f t="shared" si="5"/>
        <v>0.45272873913433104</v>
      </c>
      <c r="P41" s="262">
        <f>E41-ikot[[#This Row],[Total Collected]]</f>
        <v>30535</v>
      </c>
    </row>
    <row r="42" spans="1:16">
      <c r="A42" s="49" t="s">
        <v>640</v>
      </c>
      <c r="B42" s="50">
        <v>46133</v>
      </c>
      <c r="C42" s="49" t="s">
        <v>577</v>
      </c>
      <c r="D42" s="49">
        <v>2026</v>
      </c>
      <c r="E42" s="38">
        <v>69840</v>
      </c>
      <c r="F42" s="38">
        <v>72950</v>
      </c>
      <c r="G42" s="51">
        <v>0</v>
      </c>
      <c r="H42" s="38">
        <f t="shared" si="3"/>
        <v>72950</v>
      </c>
      <c r="I42" s="38">
        <v>2617</v>
      </c>
      <c r="J42" s="38">
        <v>0</v>
      </c>
      <c r="K42" s="49" t="s">
        <v>643</v>
      </c>
      <c r="L42" s="38">
        <v>0</v>
      </c>
      <c r="M42" s="38">
        <f t="shared" si="4"/>
        <v>67223</v>
      </c>
      <c r="N42" s="39">
        <f t="shared" si="5"/>
        <v>1.0445303550973655</v>
      </c>
      <c r="P42" s="262">
        <f>E42-ikot[[#This Row],[Total Collected]]</f>
        <v>-3110</v>
      </c>
    </row>
    <row r="43" spans="1:16">
      <c r="A43" s="49" t="s">
        <v>640</v>
      </c>
      <c r="B43" s="50">
        <v>46134</v>
      </c>
      <c r="C43" s="49" t="s">
        <v>577</v>
      </c>
      <c r="D43" s="49">
        <v>2026</v>
      </c>
      <c r="E43" s="38">
        <v>22460</v>
      </c>
      <c r="F43" s="38">
        <v>9920</v>
      </c>
      <c r="G43" s="51">
        <v>0</v>
      </c>
      <c r="H43" s="38">
        <f t="shared" si="3"/>
        <v>9920</v>
      </c>
      <c r="I43" s="38">
        <v>5308.25</v>
      </c>
      <c r="J43" s="38">
        <v>0</v>
      </c>
      <c r="K43" s="49" t="s">
        <v>639</v>
      </c>
      <c r="L43" s="38">
        <v>0</v>
      </c>
      <c r="M43" s="38">
        <f t="shared" si="4"/>
        <v>17151.75</v>
      </c>
      <c r="N43" s="39">
        <f t="shared" si="5"/>
        <v>0.44167408726625113</v>
      </c>
      <c r="P43" s="262">
        <f>E43-ikot[[#This Row],[Total Collected]]</f>
        <v>12540</v>
      </c>
    </row>
    <row r="44" spans="1:16">
      <c r="A44" s="49" t="s">
        <v>640</v>
      </c>
      <c r="B44" s="50">
        <v>46135</v>
      </c>
      <c r="C44" s="49" t="s">
        <v>577</v>
      </c>
      <c r="D44" s="49">
        <v>2026</v>
      </c>
      <c r="E44" s="38">
        <v>105092</v>
      </c>
      <c r="F44" s="38">
        <v>78950</v>
      </c>
      <c r="G44" s="51">
        <v>1540</v>
      </c>
      <c r="H44" s="38">
        <f t="shared" si="3"/>
        <v>80490</v>
      </c>
      <c r="I44" s="38">
        <v>1250</v>
      </c>
      <c r="J44" s="38">
        <v>0</v>
      </c>
      <c r="K44" s="49" t="s">
        <v>643</v>
      </c>
      <c r="L44" s="38">
        <v>2427</v>
      </c>
      <c r="M44" s="38">
        <f t="shared" si="4"/>
        <v>103842</v>
      </c>
      <c r="N44" s="39">
        <f t="shared" si="5"/>
        <v>0.76590035397556422</v>
      </c>
      <c r="P44" s="262">
        <f>E44-ikot[[#This Row],[Total Collected]]</f>
        <v>24602</v>
      </c>
    </row>
    <row r="45" spans="1:16">
      <c r="A45" s="49" t="s">
        <v>640</v>
      </c>
      <c r="B45" s="50">
        <v>46141</v>
      </c>
      <c r="C45" s="49" t="s">
        <v>577</v>
      </c>
      <c r="D45" s="49">
        <v>2026</v>
      </c>
      <c r="E45" s="38">
        <v>34310</v>
      </c>
      <c r="F45" s="38">
        <v>28460</v>
      </c>
      <c r="G45" s="51">
        <v>3000</v>
      </c>
      <c r="H45" s="38">
        <f t="shared" si="3"/>
        <v>31460</v>
      </c>
      <c r="I45" s="38">
        <v>3254.25</v>
      </c>
      <c r="J45" s="38">
        <v>0</v>
      </c>
      <c r="K45" s="49" t="s">
        <v>637</v>
      </c>
      <c r="L45" s="38">
        <v>4115</v>
      </c>
      <c r="M45" s="38">
        <f t="shared" si="4"/>
        <v>31055.75</v>
      </c>
      <c r="N45" s="39">
        <f t="shared" si="5"/>
        <v>0.91693383853104049</v>
      </c>
      <c r="P45" s="262">
        <f>E45-ikot[[#This Row],[Total Collected]]</f>
        <v>2850</v>
      </c>
    </row>
    <row r="46" spans="1:16">
      <c r="A46" s="49" t="s">
        <v>640</v>
      </c>
      <c r="B46" s="50">
        <v>46142</v>
      </c>
      <c r="C46" s="49" t="s">
        <v>577</v>
      </c>
      <c r="D46" s="49">
        <v>2026</v>
      </c>
      <c r="E46" s="38">
        <v>46400</v>
      </c>
      <c r="F46" s="38">
        <v>38000</v>
      </c>
      <c r="G46" s="51">
        <v>17750</v>
      </c>
      <c r="H46" s="38">
        <f t="shared" si="3"/>
        <v>55750</v>
      </c>
      <c r="I46" s="38">
        <v>1702</v>
      </c>
      <c r="J46" s="38">
        <v>0</v>
      </c>
      <c r="K46" s="49" t="s">
        <v>645</v>
      </c>
      <c r="L46" s="38">
        <v>2215.9499999999998</v>
      </c>
      <c r="M46" s="38">
        <f t="shared" si="4"/>
        <v>44698</v>
      </c>
      <c r="N46" s="39">
        <f t="shared" si="5"/>
        <v>1.2015086206896552</v>
      </c>
      <c r="P46" s="262">
        <f>E46-ikot[[#This Row],[Total Collected]]</f>
        <v>-9350</v>
      </c>
    </row>
    <row r="47" spans="1:16">
      <c r="A47" s="49" t="s">
        <v>640</v>
      </c>
      <c r="B47" s="50">
        <v>46148</v>
      </c>
      <c r="C47" s="49" t="s">
        <v>578</v>
      </c>
      <c r="D47" s="49">
        <v>2026</v>
      </c>
      <c r="E47" s="38">
        <v>23700</v>
      </c>
      <c r="F47" s="38">
        <v>12280</v>
      </c>
      <c r="G47" s="51">
        <v>6830</v>
      </c>
      <c r="H47" s="38">
        <f t="shared" si="3"/>
        <v>19110</v>
      </c>
      <c r="I47" s="38">
        <v>1400</v>
      </c>
      <c r="J47" s="38">
        <v>0</v>
      </c>
      <c r="K47" s="49" t="s">
        <v>643</v>
      </c>
      <c r="L47" s="38">
        <v>1111</v>
      </c>
      <c r="M47" s="38">
        <f t="shared" si="4"/>
        <v>22300</v>
      </c>
      <c r="N47" s="39">
        <f t="shared" si="5"/>
        <v>0.8063291139240506</v>
      </c>
      <c r="P47" s="262">
        <f>E47-ikot[[#This Row],[Total Collected]]</f>
        <v>4590</v>
      </c>
    </row>
    <row r="48" spans="1:16">
      <c r="A48" s="49" t="s">
        <v>640</v>
      </c>
      <c r="B48" s="50">
        <v>46149</v>
      </c>
      <c r="C48" s="49" t="s">
        <v>578</v>
      </c>
      <c r="D48" s="49">
        <v>2026</v>
      </c>
      <c r="E48" s="38">
        <v>50790</v>
      </c>
      <c r="F48" s="38">
        <v>50440</v>
      </c>
      <c r="G48" s="51">
        <v>6000</v>
      </c>
      <c r="H48" s="38">
        <f t="shared" si="3"/>
        <v>56440</v>
      </c>
      <c r="I48" s="38">
        <v>4182</v>
      </c>
      <c r="J48" s="38">
        <v>30950</v>
      </c>
      <c r="K48" s="49" t="s">
        <v>642</v>
      </c>
      <c r="L48" s="38">
        <v>3500</v>
      </c>
      <c r="M48" s="38">
        <f t="shared" si="4"/>
        <v>46608</v>
      </c>
      <c r="N48" s="39">
        <f t="shared" si="5"/>
        <v>1.1112423705453829</v>
      </c>
      <c r="P48" s="262">
        <f>E48-ikot[[#This Row],[Total Collected]]</f>
        <v>-5650</v>
      </c>
    </row>
    <row r="49" spans="1:16">
      <c r="A49" s="49" t="s">
        <v>640</v>
      </c>
      <c r="B49" s="50">
        <v>46154</v>
      </c>
      <c r="C49" s="49" t="s">
        <v>578</v>
      </c>
      <c r="D49" s="49">
        <v>2026</v>
      </c>
      <c r="E49" s="38">
        <v>30090</v>
      </c>
      <c r="F49" s="38">
        <v>29990</v>
      </c>
      <c r="G49" s="51">
        <v>2000</v>
      </c>
      <c r="H49" s="38">
        <f t="shared" si="3"/>
        <v>31990</v>
      </c>
      <c r="I49" s="38">
        <v>4146</v>
      </c>
      <c r="J49" s="38">
        <v>24200</v>
      </c>
      <c r="K49" s="49" t="s">
        <v>646</v>
      </c>
      <c r="L49" s="38">
        <v>1000</v>
      </c>
      <c r="M49" s="38">
        <f t="shared" si="4"/>
        <v>25944</v>
      </c>
      <c r="N49" s="39">
        <f t="shared" si="5"/>
        <v>1.0631439016284481</v>
      </c>
      <c r="P49" s="262">
        <f>E49-ikot[[#This Row],[Total Collected]]</f>
        <v>-1900</v>
      </c>
    </row>
    <row r="50" spans="1:16">
      <c r="A50" s="49" t="s">
        <v>640</v>
      </c>
      <c r="B50" s="50">
        <v>46156</v>
      </c>
      <c r="C50" s="49" t="s">
        <v>578</v>
      </c>
      <c r="D50" s="49">
        <v>2026</v>
      </c>
      <c r="E50" s="38">
        <v>51115</v>
      </c>
      <c r="F50" s="38">
        <v>44695</v>
      </c>
      <c r="G50" s="51">
        <v>0</v>
      </c>
      <c r="H50" s="38">
        <f t="shared" si="3"/>
        <v>44695</v>
      </c>
      <c r="I50" s="38">
        <v>1035</v>
      </c>
      <c r="J50" s="38">
        <v>0</v>
      </c>
      <c r="K50" s="49" t="s">
        <v>643</v>
      </c>
      <c r="L50" s="38">
        <v>1793</v>
      </c>
      <c r="M50" s="38">
        <f t="shared" si="4"/>
        <v>50080</v>
      </c>
      <c r="N50" s="39">
        <f t="shared" si="5"/>
        <v>0.8744008608040692</v>
      </c>
      <c r="P50" s="262">
        <f>E50-ikot[[#This Row],[Total Collected]]</f>
        <v>6420</v>
      </c>
    </row>
    <row r="51" spans="1:16">
      <c r="A51" s="49" t="s">
        <v>640</v>
      </c>
      <c r="B51" s="50">
        <v>46162</v>
      </c>
      <c r="C51" s="49" t="s">
        <v>578</v>
      </c>
      <c r="D51" s="49">
        <v>2026</v>
      </c>
      <c r="E51" s="38">
        <v>13510</v>
      </c>
      <c r="F51" s="38">
        <v>12590</v>
      </c>
      <c r="G51" s="51">
        <v>18150</v>
      </c>
      <c r="H51" s="38">
        <f t="shared" si="3"/>
        <v>30740</v>
      </c>
      <c r="I51" s="38">
        <v>2855</v>
      </c>
      <c r="J51" s="38">
        <v>0</v>
      </c>
      <c r="K51" s="49" t="s">
        <v>637</v>
      </c>
      <c r="L51" s="38">
        <v>3144.43</v>
      </c>
      <c r="M51" s="38">
        <f t="shared" si="4"/>
        <v>10655</v>
      </c>
      <c r="N51" s="39">
        <f t="shared" si="5"/>
        <v>2.2753515914137674</v>
      </c>
      <c r="P51" s="262">
        <f>E51-ikot[[#This Row],[Total Collected]]</f>
        <v>-17230</v>
      </c>
    </row>
    <row r="52" spans="1:16">
      <c r="A52" s="49" t="s">
        <v>640</v>
      </c>
      <c r="B52" s="50">
        <v>46163</v>
      </c>
      <c r="C52" s="49" t="s">
        <v>578</v>
      </c>
      <c r="D52" s="49">
        <v>2026</v>
      </c>
      <c r="E52" s="38">
        <v>54430</v>
      </c>
      <c r="F52" s="38">
        <v>51260</v>
      </c>
      <c r="G52" s="51">
        <v>0</v>
      </c>
      <c r="H52" s="38">
        <f t="shared" si="3"/>
        <v>51260</v>
      </c>
      <c r="I52" s="38">
        <v>4108</v>
      </c>
      <c r="J52" s="38">
        <v>0</v>
      </c>
      <c r="K52" s="49" t="s">
        <v>641</v>
      </c>
      <c r="L52" s="38">
        <v>0</v>
      </c>
      <c r="M52" s="38">
        <f t="shared" si="4"/>
        <v>50322</v>
      </c>
      <c r="N52" s="39">
        <f t="shared" si="5"/>
        <v>0.9417600587911078</v>
      </c>
      <c r="P52" s="262">
        <f>E52-ikot[[#This Row],[Total Collected]]</f>
        <v>3170</v>
      </c>
    </row>
    <row r="53" spans="1:16">
      <c r="A53" s="49" t="s">
        <v>640</v>
      </c>
      <c r="B53" s="50">
        <v>46164</v>
      </c>
      <c r="C53" s="49" t="s">
        <v>578</v>
      </c>
      <c r="D53" s="49">
        <v>2026</v>
      </c>
      <c r="E53" s="38">
        <v>48760</v>
      </c>
      <c r="F53" s="38">
        <v>33840</v>
      </c>
      <c r="G53" s="51">
        <v>6200</v>
      </c>
      <c r="H53" s="38">
        <f t="shared" si="3"/>
        <v>40040</v>
      </c>
      <c r="I53" s="38">
        <v>1228</v>
      </c>
      <c r="J53" s="38">
        <v>0</v>
      </c>
      <c r="K53" s="49" t="s">
        <v>643</v>
      </c>
      <c r="L53" s="38">
        <v>0</v>
      </c>
      <c r="M53" s="38">
        <f t="shared" si="4"/>
        <v>47532</v>
      </c>
      <c r="N53" s="39">
        <f t="shared" si="5"/>
        <v>0.82116488925348652</v>
      </c>
      <c r="P53" s="262">
        <f>E53-ikot[[#This Row],[Total Collected]]</f>
        <v>8720</v>
      </c>
    </row>
    <row r="54" spans="1:16">
      <c r="A54" s="49" t="s">
        <v>640</v>
      </c>
      <c r="B54" s="50">
        <v>46169</v>
      </c>
      <c r="C54" s="49" t="s">
        <v>578</v>
      </c>
      <c r="D54" s="49">
        <v>2026</v>
      </c>
      <c r="E54" s="38">
        <v>21820</v>
      </c>
      <c r="F54" s="38">
        <v>12990</v>
      </c>
      <c r="G54" s="51">
        <v>18140</v>
      </c>
      <c r="H54" s="38">
        <f t="shared" si="3"/>
        <v>31130</v>
      </c>
      <c r="I54" s="38">
        <v>3400.41</v>
      </c>
      <c r="J54" s="38">
        <v>0</v>
      </c>
      <c r="K54" s="49" t="s">
        <v>639</v>
      </c>
      <c r="L54" s="38">
        <v>0</v>
      </c>
      <c r="M54" s="38">
        <f t="shared" si="4"/>
        <v>18419.59</v>
      </c>
      <c r="N54" s="39">
        <f t="shared" si="5"/>
        <v>1.426672777268561</v>
      </c>
      <c r="P54" s="262">
        <f>E54-ikot[[#This Row],[Total Collected]]</f>
        <v>-9310</v>
      </c>
    </row>
    <row r="55" spans="1:16">
      <c r="A55" s="49" t="s">
        <v>640</v>
      </c>
      <c r="B55" s="50">
        <v>46176</v>
      </c>
      <c r="C55" s="49" t="s">
        <v>579</v>
      </c>
      <c r="D55" s="49">
        <v>2026</v>
      </c>
      <c r="E55" s="38">
        <v>22280</v>
      </c>
      <c r="F55" s="38">
        <v>17980</v>
      </c>
      <c r="G55" s="51">
        <v>8795</v>
      </c>
      <c r="H55" s="38">
        <f t="shared" si="3"/>
        <v>26775</v>
      </c>
      <c r="I55" s="38">
        <v>850</v>
      </c>
      <c r="J55" s="38">
        <v>0</v>
      </c>
      <c r="K55" s="49" t="s">
        <v>643</v>
      </c>
      <c r="L55" s="38">
        <v>0</v>
      </c>
      <c r="M55" s="38">
        <f t="shared" si="4"/>
        <v>21430</v>
      </c>
      <c r="N55" s="39">
        <f t="shared" si="5"/>
        <v>1.2017504488330342</v>
      </c>
      <c r="P55" s="262">
        <f>E55-ikot[[#This Row],[Total Collected]]</f>
        <v>-4495</v>
      </c>
    </row>
    <row r="56" spans="1:16">
      <c r="A56" s="49" t="s">
        <v>640</v>
      </c>
      <c r="B56" s="50">
        <v>46177</v>
      </c>
      <c r="C56" s="49" t="s">
        <v>579</v>
      </c>
      <c r="D56" s="49">
        <v>2026</v>
      </c>
      <c r="E56" s="38">
        <v>82729</v>
      </c>
      <c r="F56" s="38">
        <v>82314</v>
      </c>
      <c r="G56" s="51">
        <v>7600</v>
      </c>
      <c r="H56" s="38">
        <f t="shared" si="3"/>
        <v>89914</v>
      </c>
      <c r="I56" s="38">
        <v>5434</v>
      </c>
      <c r="J56" s="38">
        <v>0</v>
      </c>
      <c r="K56" s="49" t="s">
        <v>637</v>
      </c>
      <c r="L56" s="38">
        <v>0</v>
      </c>
      <c r="M56" s="38">
        <f t="shared" si="4"/>
        <v>77295</v>
      </c>
      <c r="N56" s="39">
        <f t="shared" si="5"/>
        <v>1.086849835003445</v>
      </c>
      <c r="P56" s="262">
        <f>E56-ikot[[#This Row],[Total Collected]]</f>
        <v>-7185</v>
      </c>
    </row>
    <row r="57" spans="1:16">
      <c r="A57" s="49" t="s">
        <v>640</v>
      </c>
      <c r="B57" s="50">
        <v>46182</v>
      </c>
      <c r="C57" s="49" t="s">
        <v>579</v>
      </c>
      <c r="D57" s="49">
        <v>2026</v>
      </c>
      <c r="E57" s="38">
        <v>63390</v>
      </c>
      <c r="F57" s="38">
        <v>0</v>
      </c>
      <c r="G57" s="51">
        <v>0</v>
      </c>
      <c r="H57" s="38">
        <f t="shared" si="3"/>
        <v>0</v>
      </c>
      <c r="I57" s="38">
        <v>969.81</v>
      </c>
      <c r="J57" s="38">
        <v>0</v>
      </c>
      <c r="K57" s="49" t="s">
        <v>643</v>
      </c>
      <c r="L57" s="38">
        <v>1608.57</v>
      </c>
      <c r="M57" s="38">
        <f t="shared" si="4"/>
        <v>62420.19</v>
      </c>
      <c r="N57" s="39">
        <f t="shared" si="5"/>
        <v>0</v>
      </c>
      <c r="P57" s="262">
        <f>E57-ikot[[#This Row],[Total Collected]]</f>
        <v>63390</v>
      </c>
    </row>
    <row r="58" spans="1:16">
      <c r="A58" s="49" t="s">
        <v>640</v>
      </c>
      <c r="B58" s="50">
        <v>46183</v>
      </c>
      <c r="C58" s="49" t="s">
        <v>579</v>
      </c>
      <c r="D58" s="49">
        <v>2026</v>
      </c>
      <c r="E58" s="38">
        <v>13695</v>
      </c>
      <c r="F58" s="38">
        <v>9495</v>
      </c>
      <c r="G58" s="51">
        <v>0</v>
      </c>
      <c r="H58" s="38">
        <f t="shared" si="3"/>
        <v>9495</v>
      </c>
      <c r="I58" s="38">
        <v>2881.53</v>
      </c>
      <c r="J58" s="38">
        <v>0</v>
      </c>
      <c r="K58" s="49" t="s">
        <v>645</v>
      </c>
      <c r="L58" s="38">
        <v>0</v>
      </c>
      <c r="M58" s="38">
        <f t="shared" si="4"/>
        <v>10813.47</v>
      </c>
      <c r="N58" s="39">
        <f t="shared" si="5"/>
        <v>0.69331872946330775</v>
      </c>
      <c r="P58" s="262">
        <f>E58-ikot[[#This Row],[Total Collected]]</f>
        <v>4200</v>
      </c>
    </row>
    <row r="59" spans="1:16">
      <c r="A59" s="49" t="s">
        <v>640</v>
      </c>
      <c r="B59" s="50">
        <v>46184</v>
      </c>
      <c r="C59" s="49" t="s">
        <v>579</v>
      </c>
      <c r="D59" s="49">
        <v>2026</v>
      </c>
      <c r="E59" s="38">
        <v>70140</v>
      </c>
      <c r="F59" s="38">
        <v>46400</v>
      </c>
      <c r="G59" s="51">
        <v>0</v>
      </c>
      <c r="H59" s="38">
        <f t="shared" si="3"/>
        <v>46400</v>
      </c>
      <c r="I59" s="38">
        <v>0</v>
      </c>
      <c r="J59" s="38">
        <v>0</v>
      </c>
      <c r="K59" s="49" t="s">
        <v>641</v>
      </c>
      <c r="L59" s="38">
        <v>0</v>
      </c>
      <c r="M59" s="38">
        <f t="shared" si="4"/>
        <v>70140</v>
      </c>
      <c r="N59" s="39">
        <f t="shared" si="5"/>
        <v>0.6615340747077274</v>
      </c>
      <c r="P59" s="262">
        <f>E59-ikot[[#This Row],[Total Collected]]</f>
        <v>23740</v>
      </c>
    </row>
    <row r="60" spans="1:16">
      <c r="A60" s="49" t="s">
        <v>640</v>
      </c>
      <c r="B60" s="50">
        <v>46190</v>
      </c>
      <c r="C60" s="49" t="s">
        <v>579</v>
      </c>
      <c r="D60" s="49">
        <v>2026</v>
      </c>
      <c r="E60" s="38">
        <v>12535</v>
      </c>
      <c r="F60" s="38">
        <v>3070</v>
      </c>
      <c r="G60" s="51">
        <v>17130</v>
      </c>
      <c r="H60" s="38">
        <f t="shared" si="3"/>
        <v>20200</v>
      </c>
      <c r="I60" s="38">
        <v>5464</v>
      </c>
      <c r="J60" s="38">
        <v>0</v>
      </c>
      <c r="K60" s="49" t="s">
        <v>647</v>
      </c>
      <c r="L60" s="38">
        <v>0</v>
      </c>
      <c r="M60" s="38">
        <f t="shared" si="4"/>
        <v>7071</v>
      </c>
      <c r="N60" s="39">
        <f t="shared" si="5"/>
        <v>1.611487834064619</v>
      </c>
      <c r="P60" s="262">
        <f>E60-ikot[[#This Row],[Total Collected]]</f>
        <v>-7665</v>
      </c>
    </row>
    <row r="61" spans="1:16">
      <c r="A61" s="49" t="s">
        <v>640</v>
      </c>
      <c r="B61" s="50">
        <v>46191</v>
      </c>
      <c r="C61" s="49" t="s">
        <v>579</v>
      </c>
      <c r="D61" s="49">
        <v>2026</v>
      </c>
      <c r="E61" s="38">
        <v>89350</v>
      </c>
      <c r="F61" s="38">
        <v>64270</v>
      </c>
      <c r="G61" s="51">
        <v>3000</v>
      </c>
      <c r="H61" s="38">
        <f t="shared" si="3"/>
        <v>67270</v>
      </c>
      <c r="I61" s="38">
        <v>6654</v>
      </c>
      <c r="J61" s="38">
        <v>20000</v>
      </c>
      <c r="K61" s="49" t="s">
        <v>644</v>
      </c>
      <c r="L61" s="38">
        <v>800</v>
      </c>
      <c r="M61" s="38">
        <f t="shared" si="4"/>
        <v>82696</v>
      </c>
      <c r="N61" s="39">
        <f t="shared" si="5"/>
        <v>0.75288192501398987</v>
      </c>
      <c r="P61" s="262">
        <f>E61-ikot[[#This Row],[Total Collected]]</f>
        <v>22080</v>
      </c>
    </row>
    <row r="62" spans="1:16">
      <c r="A62" s="49" t="s">
        <v>640</v>
      </c>
      <c r="B62" s="50">
        <v>46197</v>
      </c>
      <c r="C62" s="49" t="s">
        <v>579</v>
      </c>
      <c r="D62" s="49">
        <v>2026</v>
      </c>
      <c r="E62" s="38">
        <v>19680</v>
      </c>
      <c r="F62" s="38">
        <v>17550</v>
      </c>
      <c r="G62" s="51">
        <v>1560</v>
      </c>
      <c r="H62" s="38">
        <f t="shared" si="3"/>
        <v>19110</v>
      </c>
      <c r="I62" s="38">
        <v>4634</v>
      </c>
      <c r="J62" s="38">
        <v>0</v>
      </c>
      <c r="K62" s="49" t="s">
        <v>642</v>
      </c>
      <c r="L62" s="38">
        <v>0</v>
      </c>
      <c r="M62" s="38">
        <f t="shared" si="4"/>
        <v>15046</v>
      </c>
      <c r="N62" s="39">
        <f t="shared" si="5"/>
        <v>0.97103658536585369</v>
      </c>
      <c r="P62" s="262">
        <f>E62-ikot[[#This Row],[Total Collected]]</f>
        <v>570</v>
      </c>
    </row>
    <row r="63" spans="1:16">
      <c r="A63" s="49" t="s">
        <v>640</v>
      </c>
      <c r="B63" s="50">
        <v>46198</v>
      </c>
      <c r="C63" s="49" t="s">
        <v>579</v>
      </c>
      <c r="D63" s="49">
        <v>2026</v>
      </c>
      <c r="E63" s="38">
        <v>52510</v>
      </c>
      <c r="F63" s="38">
        <v>46120</v>
      </c>
      <c r="G63" s="51">
        <v>0</v>
      </c>
      <c r="H63" s="38">
        <f t="shared" si="3"/>
        <v>46120</v>
      </c>
      <c r="I63" s="38">
        <v>700</v>
      </c>
      <c r="J63" s="38">
        <v>0</v>
      </c>
      <c r="K63" s="49" t="s">
        <v>643</v>
      </c>
      <c r="L63" s="38">
        <v>951</v>
      </c>
      <c r="M63" s="38">
        <f t="shared" si="4"/>
        <v>51810</v>
      </c>
      <c r="N63" s="39">
        <f t="shared" si="5"/>
        <v>0.87830889354408681</v>
      </c>
      <c r="P63" s="262">
        <f>E63-ikot[[#This Row],[Total Collected]]</f>
        <v>6390</v>
      </c>
    </row>
    <row r="64" spans="1:16">
      <c r="A64" s="49" t="s">
        <v>640</v>
      </c>
      <c r="B64" s="50">
        <v>46199</v>
      </c>
      <c r="C64" s="49" t="s">
        <v>579</v>
      </c>
      <c r="D64" s="49">
        <v>2026</v>
      </c>
      <c r="E64" s="38">
        <v>5400</v>
      </c>
      <c r="F64" s="38">
        <v>0</v>
      </c>
      <c r="G64" s="51">
        <v>0</v>
      </c>
      <c r="H64" s="38">
        <f t="shared" si="3"/>
        <v>0</v>
      </c>
      <c r="I64" s="38">
        <v>6625</v>
      </c>
      <c r="J64" s="38">
        <v>0</v>
      </c>
      <c r="K64" s="49" t="s">
        <v>637</v>
      </c>
      <c r="L64" s="38">
        <v>3144.43</v>
      </c>
      <c r="M64" s="38">
        <f t="shared" si="4"/>
        <v>-1225</v>
      </c>
      <c r="N64" s="39">
        <f t="shared" si="5"/>
        <v>0</v>
      </c>
      <c r="P64" s="262">
        <f>E64-ikot[[#This Row],[Total Collected]]</f>
        <v>5400</v>
      </c>
    </row>
    <row r="65" spans="1:16">
      <c r="A65" s="49" t="s">
        <v>640</v>
      </c>
      <c r="B65" s="50">
        <v>46204</v>
      </c>
      <c r="C65" s="49" t="s">
        <v>580</v>
      </c>
      <c r="D65" s="49">
        <v>2026</v>
      </c>
      <c r="E65" s="38">
        <v>7300</v>
      </c>
      <c r="F65" s="38">
        <v>7300</v>
      </c>
      <c r="G65" s="51">
        <v>0</v>
      </c>
      <c r="H65" s="38">
        <f t="shared" si="3"/>
        <v>7300</v>
      </c>
      <c r="I65" s="38">
        <v>0</v>
      </c>
      <c r="J65" s="38">
        <v>0</v>
      </c>
      <c r="K65" s="49" t="s">
        <v>643</v>
      </c>
      <c r="L65" s="38">
        <v>0</v>
      </c>
      <c r="M65" s="38">
        <f t="shared" si="4"/>
        <v>7300</v>
      </c>
      <c r="N65" s="39">
        <f t="shared" si="5"/>
        <v>1</v>
      </c>
      <c r="P65" s="262">
        <f>E65-ikot[[#This Row],[Total Collected]]</f>
        <v>0</v>
      </c>
    </row>
    <row r="66" spans="1:16">
      <c r="A66" s="49" t="s">
        <v>640</v>
      </c>
      <c r="B66" s="50">
        <v>46205</v>
      </c>
      <c r="C66" s="49" t="s">
        <v>580</v>
      </c>
      <c r="D66" s="49">
        <v>2026</v>
      </c>
      <c r="E66" s="38">
        <v>112845</v>
      </c>
      <c r="F66" s="38">
        <v>94975</v>
      </c>
      <c r="G66" s="51">
        <v>0</v>
      </c>
      <c r="H66" s="38">
        <f t="shared" ref="H66:H77" si="6">F66+G66</f>
        <v>94975</v>
      </c>
      <c r="I66" s="38">
        <v>0</v>
      </c>
      <c r="J66" s="38">
        <v>0</v>
      </c>
      <c r="K66" s="49" t="s">
        <v>639</v>
      </c>
      <c r="L66" s="38">
        <v>0</v>
      </c>
      <c r="M66" s="38">
        <f t="shared" ref="M66:M77" si="7">E66-I66</f>
        <v>112845</v>
      </c>
      <c r="N66" s="39">
        <f t="shared" ref="N66:N77" si="8">IF(E66&gt;0,H66/E66,0)</f>
        <v>0.84164118924188047</v>
      </c>
      <c r="P66" s="262">
        <f>E66-ikot[[#This Row],[Total Collected]]</f>
        <v>17870</v>
      </c>
    </row>
    <row r="67" spans="1:16">
      <c r="A67" s="49" t="s">
        <v>640</v>
      </c>
      <c r="B67" s="50">
        <v>46211</v>
      </c>
      <c r="C67" s="49" t="s">
        <v>580</v>
      </c>
      <c r="D67" s="49">
        <v>2026</v>
      </c>
      <c r="E67" s="38">
        <v>24760</v>
      </c>
      <c r="F67" s="38">
        <v>0</v>
      </c>
      <c r="G67" s="51">
        <v>0</v>
      </c>
      <c r="H67" s="38">
        <f t="shared" si="6"/>
        <v>0</v>
      </c>
      <c r="I67" s="38">
        <v>0</v>
      </c>
      <c r="J67" s="38">
        <v>0</v>
      </c>
      <c r="K67" s="49" t="s">
        <v>643</v>
      </c>
      <c r="L67" s="38">
        <v>0</v>
      </c>
      <c r="M67" s="38">
        <f t="shared" si="7"/>
        <v>24760</v>
      </c>
      <c r="N67" s="39">
        <f t="shared" si="8"/>
        <v>0</v>
      </c>
      <c r="P67" s="262">
        <f>E67-ikot[[#This Row],[Total Collected]]</f>
        <v>24760</v>
      </c>
    </row>
    <row r="68" spans="1:16">
      <c r="A68" s="49" t="s">
        <v>640</v>
      </c>
      <c r="B68" s="50">
        <v>46212</v>
      </c>
      <c r="C68" s="49" t="s">
        <v>580</v>
      </c>
      <c r="D68" s="49">
        <v>2026</v>
      </c>
      <c r="E68" s="38">
        <v>65820</v>
      </c>
      <c r="F68" s="38">
        <v>0</v>
      </c>
      <c r="G68" s="51">
        <v>0</v>
      </c>
      <c r="H68" s="38">
        <f t="shared" si="6"/>
        <v>0</v>
      </c>
      <c r="I68" s="38">
        <v>0</v>
      </c>
      <c r="J68" s="38">
        <v>0</v>
      </c>
      <c r="K68" s="49" t="s">
        <v>637</v>
      </c>
      <c r="L68" s="38">
        <v>0</v>
      </c>
      <c r="M68" s="38">
        <f t="shared" si="7"/>
        <v>65820</v>
      </c>
      <c r="N68" s="39">
        <f t="shared" si="8"/>
        <v>0</v>
      </c>
      <c r="P68" s="262">
        <f>E68-ikot[[#This Row],[Total Collected]]</f>
        <v>65820</v>
      </c>
    </row>
    <row r="69" spans="1:16">
      <c r="A69" s="49" t="s">
        <v>640</v>
      </c>
      <c r="B69" s="50">
        <v>46218</v>
      </c>
      <c r="C69" s="49" t="s">
        <v>580</v>
      </c>
      <c r="D69" s="49">
        <v>2026</v>
      </c>
      <c r="E69" s="38">
        <v>47490</v>
      </c>
      <c r="F69" s="38">
        <v>0</v>
      </c>
      <c r="G69" s="51">
        <v>0</v>
      </c>
      <c r="H69" s="38">
        <f t="shared" si="6"/>
        <v>0</v>
      </c>
      <c r="I69" s="38">
        <v>0</v>
      </c>
      <c r="J69" s="38">
        <v>0</v>
      </c>
      <c r="K69" s="49" t="s">
        <v>643</v>
      </c>
      <c r="L69" s="38">
        <v>0</v>
      </c>
      <c r="M69" s="38">
        <f t="shared" si="7"/>
        <v>47490</v>
      </c>
      <c r="N69" s="39">
        <f t="shared" si="8"/>
        <v>0</v>
      </c>
      <c r="P69" s="262">
        <f>E69-ikot[[#This Row],[Total Collected]]</f>
        <v>47490</v>
      </c>
    </row>
    <row r="70" spans="1:16">
      <c r="A70" s="49" t="s">
        <v>640</v>
      </c>
      <c r="B70" s="50">
        <v>46219</v>
      </c>
      <c r="C70" s="49" t="s">
        <v>580</v>
      </c>
      <c r="D70" s="49">
        <v>2026</v>
      </c>
      <c r="E70" s="38">
        <v>134710</v>
      </c>
      <c r="F70" s="38">
        <v>0</v>
      </c>
      <c r="G70" s="51">
        <v>0</v>
      </c>
      <c r="H70" s="38">
        <f t="shared" si="6"/>
        <v>0</v>
      </c>
      <c r="I70" s="38">
        <v>0</v>
      </c>
      <c r="J70" s="38">
        <v>0</v>
      </c>
      <c r="K70" s="49" t="s">
        <v>645</v>
      </c>
      <c r="L70" s="38">
        <v>0</v>
      </c>
      <c r="M70" s="38">
        <f t="shared" si="7"/>
        <v>134710</v>
      </c>
      <c r="N70" s="39">
        <f t="shared" si="8"/>
        <v>0</v>
      </c>
      <c r="P70" s="262">
        <f>E70-ikot[[#This Row],[Total Collected]]</f>
        <v>134710</v>
      </c>
    </row>
    <row r="71" spans="1:16">
      <c r="A71" s="49" t="s">
        <v>640</v>
      </c>
      <c r="B71" s="50">
        <v>46225</v>
      </c>
      <c r="C71" s="49" t="s">
        <v>580</v>
      </c>
      <c r="D71" s="49">
        <v>2026</v>
      </c>
      <c r="E71" s="38">
        <v>48788</v>
      </c>
      <c r="F71" s="38">
        <v>0</v>
      </c>
      <c r="G71" s="51">
        <v>0</v>
      </c>
      <c r="H71" s="38">
        <f t="shared" si="6"/>
        <v>0</v>
      </c>
      <c r="I71" s="38">
        <v>0</v>
      </c>
      <c r="J71" s="38">
        <v>10950</v>
      </c>
      <c r="K71" s="49" t="s">
        <v>642</v>
      </c>
      <c r="L71" s="38">
        <v>4121</v>
      </c>
      <c r="M71" s="38">
        <f t="shared" si="7"/>
        <v>48788</v>
      </c>
      <c r="N71" s="39">
        <f t="shared" si="8"/>
        <v>0</v>
      </c>
      <c r="P71" s="262">
        <f>E71-ikot[[#This Row],[Total Collected]]</f>
        <v>48788</v>
      </c>
    </row>
    <row r="72" spans="1:16">
      <c r="A72" s="49" t="s">
        <v>640</v>
      </c>
      <c r="B72" s="50">
        <v>46226</v>
      </c>
      <c r="C72" s="49" t="s">
        <v>580</v>
      </c>
      <c r="D72" s="49">
        <v>2026</v>
      </c>
      <c r="E72" s="38">
        <v>35525</v>
      </c>
      <c r="F72" s="38">
        <v>0</v>
      </c>
      <c r="G72" s="51">
        <v>12000</v>
      </c>
      <c r="H72" s="38">
        <f t="shared" si="6"/>
        <v>12000</v>
      </c>
      <c r="I72" s="38">
        <v>0</v>
      </c>
      <c r="J72" s="38">
        <v>0</v>
      </c>
      <c r="K72" s="49" t="s">
        <v>642</v>
      </c>
      <c r="L72" s="38">
        <v>0</v>
      </c>
      <c r="M72" s="38">
        <f t="shared" si="7"/>
        <v>35525</v>
      </c>
      <c r="N72" s="39">
        <f t="shared" si="8"/>
        <v>0.33779028852920479</v>
      </c>
      <c r="P72" s="262">
        <f>E72-ikot[[#This Row],[Total Collected]]</f>
        <v>23525</v>
      </c>
    </row>
    <row r="73" spans="1:16">
      <c r="A73" s="49" t="s">
        <v>640</v>
      </c>
      <c r="B73" s="50">
        <v>46239</v>
      </c>
      <c r="C73" s="29" t="s">
        <v>4</v>
      </c>
      <c r="D73" s="29">
        <v>2026</v>
      </c>
      <c r="E73" s="52">
        <v>27200</v>
      </c>
      <c r="F73" s="52">
        <v>17100</v>
      </c>
      <c r="G73" s="51">
        <v>12100</v>
      </c>
      <c r="H73" s="38">
        <f t="shared" si="6"/>
        <v>29200</v>
      </c>
      <c r="I73" s="38">
        <v>1954</v>
      </c>
      <c r="J73" s="38">
        <v>0</v>
      </c>
      <c r="K73" s="49" t="s">
        <v>643</v>
      </c>
      <c r="L73" s="38">
        <v>2654</v>
      </c>
      <c r="M73" s="38">
        <f t="shared" si="7"/>
        <v>25246</v>
      </c>
      <c r="N73" s="39">
        <f t="shared" si="8"/>
        <v>1.0735294117647058</v>
      </c>
      <c r="P73" s="262">
        <f>E73-ikot[[#This Row],[Total Collected]]</f>
        <v>-2000</v>
      </c>
    </row>
    <row r="74" spans="1:16">
      <c r="A74" s="49" t="s">
        <v>640</v>
      </c>
      <c r="B74" s="50">
        <v>46240</v>
      </c>
      <c r="C74" s="29" t="s">
        <v>4</v>
      </c>
      <c r="D74" s="29">
        <v>2026</v>
      </c>
      <c r="E74" s="53">
        <v>135040</v>
      </c>
      <c r="F74" s="54">
        <v>120840</v>
      </c>
      <c r="G74" s="51">
        <v>9100</v>
      </c>
      <c r="H74" s="38">
        <f t="shared" si="6"/>
        <v>129940</v>
      </c>
      <c r="I74" s="38">
        <v>5177</v>
      </c>
      <c r="J74" s="38">
        <v>0</v>
      </c>
      <c r="K74" s="49" t="s">
        <v>637</v>
      </c>
      <c r="L74" s="38">
        <v>3524</v>
      </c>
      <c r="M74" s="38">
        <f t="shared" si="7"/>
        <v>129863</v>
      </c>
      <c r="N74" s="39">
        <f t="shared" si="8"/>
        <v>0.96223341232227488</v>
      </c>
      <c r="P74" s="262">
        <f>E74-ikot[[#This Row],[Total Collected]]</f>
        <v>5100</v>
      </c>
    </row>
    <row r="75" spans="1:16">
      <c r="A75" s="49" t="s">
        <v>640</v>
      </c>
      <c r="B75" s="50">
        <v>46248</v>
      </c>
      <c r="C75" s="29" t="s">
        <v>4</v>
      </c>
      <c r="D75" s="29">
        <v>2026</v>
      </c>
      <c r="E75" s="53">
        <v>59930</v>
      </c>
      <c r="F75" s="54">
        <v>55530</v>
      </c>
      <c r="G75" s="51">
        <v>4400</v>
      </c>
      <c r="H75" s="38">
        <f t="shared" si="6"/>
        <v>59930</v>
      </c>
      <c r="I75" s="38">
        <v>2917</v>
      </c>
      <c r="J75" s="38">
        <v>0</v>
      </c>
      <c r="K75" s="49" t="s">
        <v>639</v>
      </c>
      <c r="L75" s="38">
        <v>1420</v>
      </c>
      <c r="M75" s="38">
        <f t="shared" si="7"/>
        <v>57013</v>
      </c>
      <c r="N75" s="39">
        <f t="shared" si="8"/>
        <v>1</v>
      </c>
      <c r="P75" s="262">
        <f>E75-ikot[[#This Row],[Total Collected]]</f>
        <v>0</v>
      </c>
    </row>
    <row r="76" spans="1:16">
      <c r="A76" s="49" t="s">
        <v>640</v>
      </c>
      <c r="B76" s="50">
        <v>46260</v>
      </c>
      <c r="C76" s="29" t="s">
        <v>4</v>
      </c>
      <c r="D76" s="29">
        <v>2026</v>
      </c>
      <c r="E76" s="53">
        <v>43080</v>
      </c>
      <c r="F76" s="54">
        <v>26610</v>
      </c>
      <c r="G76" s="51">
        <v>17675</v>
      </c>
      <c r="H76" s="38">
        <f t="shared" si="6"/>
        <v>44285</v>
      </c>
      <c r="I76" s="38">
        <v>1000</v>
      </c>
      <c r="J76" s="38">
        <v>0</v>
      </c>
      <c r="K76" s="49" t="s">
        <v>643</v>
      </c>
      <c r="L76" s="38">
        <v>3524.71</v>
      </c>
      <c r="M76" s="38">
        <f t="shared" si="7"/>
        <v>42080</v>
      </c>
      <c r="N76" s="39">
        <f t="shared" si="8"/>
        <v>1.0279712163416899</v>
      </c>
      <c r="P76" s="262">
        <f>E76-ikot[[#This Row],[Total Collected]]</f>
        <v>-1205</v>
      </c>
    </row>
    <row r="77" spans="1:16">
      <c r="A77" s="6" t="s">
        <v>635</v>
      </c>
      <c r="B77" s="50">
        <v>46262</v>
      </c>
      <c r="C77" s="29" t="s">
        <v>4</v>
      </c>
      <c r="D77" s="29">
        <v>2026</v>
      </c>
      <c r="E77" s="55">
        <v>68439</v>
      </c>
      <c r="F77" s="55">
        <v>41570</v>
      </c>
      <c r="G77" s="51">
        <v>0</v>
      </c>
      <c r="H77" s="38">
        <f t="shared" si="6"/>
        <v>41570</v>
      </c>
      <c r="I77" s="38">
        <v>4908</v>
      </c>
      <c r="J77" s="38">
        <v>20500</v>
      </c>
      <c r="K77" s="49" t="s">
        <v>642</v>
      </c>
      <c r="L77" s="38"/>
      <c r="M77" s="38">
        <f t="shared" si="7"/>
        <v>63531</v>
      </c>
      <c r="N77" s="39">
        <f t="shared" si="8"/>
        <v>0.60740221218895663</v>
      </c>
      <c r="P77" s="262">
        <f>E77-ikot[[#This Row],[Total Collected]]</f>
        <v>26869</v>
      </c>
    </row>
    <row r="78" spans="1:16">
      <c r="A78"/>
      <c r="B78"/>
      <c r="C78"/>
      <c r="D78"/>
      <c r="E78"/>
      <c r="F78"/>
      <c r="G78"/>
      <c r="H78"/>
      <c r="I78"/>
      <c r="J78"/>
      <c r="K78"/>
      <c r="L78"/>
      <c r="M78"/>
      <c r="N78"/>
    </row>
    <row r="79" spans="1:16">
      <c r="A79"/>
      <c r="B79"/>
      <c r="C79"/>
      <c r="D79"/>
      <c r="E79"/>
      <c r="F79"/>
      <c r="G79"/>
      <c r="H79"/>
      <c r="I79"/>
      <c r="J79"/>
      <c r="K79"/>
      <c r="L79"/>
      <c r="M79"/>
      <c r="N79"/>
    </row>
    <row r="80" spans="1:16">
      <c r="A80"/>
      <c r="B80"/>
      <c r="C80"/>
      <c r="D80"/>
      <c r="E80"/>
      <c r="F80"/>
      <c r="G80"/>
      <c r="H80"/>
      <c r="I80"/>
      <c r="J80"/>
      <c r="K80"/>
      <c r="L80"/>
      <c r="M80"/>
      <c r="N80"/>
    </row>
    <row r="81" spans="1:14">
      <c r="A81"/>
      <c r="B81"/>
      <c r="C81"/>
      <c r="D81"/>
      <c r="E81"/>
      <c r="F81"/>
      <c r="G81"/>
      <c r="H81"/>
      <c r="I81"/>
      <c r="J81"/>
      <c r="K81"/>
      <c r="L81"/>
      <c r="M81"/>
      <c r="N81"/>
    </row>
    <row r="82" spans="1:14">
      <c r="A82"/>
      <c r="B82"/>
      <c r="C82"/>
      <c r="D82"/>
      <c r="E82"/>
      <c r="F82"/>
      <c r="G82"/>
      <c r="H82"/>
      <c r="I82"/>
      <c r="J82"/>
      <c r="K82"/>
      <c r="L82"/>
      <c r="M82"/>
      <c r="N82"/>
    </row>
    <row r="83" spans="1:14">
      <c r="A83"/>
      <c r="B83"/>
      <c r="C83"/>
      <c r="D83"/>
      <c r="E83"/>
      <c r="F83"/>
      <c r="G83"/>
      <c r="H83"/>
      <c r="I83"/>
      <c r="J83"/>
      <c r="K83"/>
      <c r="L83"/>
      <c r="M83"/>
      <c r="N83"/>
    </row>
    <row r="84" spans="1:14">
      <c r="A84"/>
      <c r="B84"/>
      <c r="C84"/>
      <c r="D84"/>
      <c r="E84"/>
      <c r="F84"/>
      <c r="G84"/>
      <c r="H84"/>
      <c r="I84"/>
      <c r="J84"/>
      <c r="K84"/>
      <c r="L84"/>
      <c r="M84"/>
      <c r="N84"/>
    </row>
    <row r="85" spans="1:14">
      <c r="A85"/>
      <c r="B85"/>
      <c r="C85"/>
      <c r="D85"/>
      <c r="E85"/>
      <c r="F85"/>
      <c r="G85"/>
      <c r="H85"/>
      <c r="I85"/>
      <c r="J85"/>
      <c r="K85"/>
      <c r="L85"/>
      <c r="M85"/>
      <c r="N85"/>
    </row>
    <row r="86" spans="1:14">
      <c r="A86"/>
      <c r="B86"/>
      <c r="C86"/>
      <c r="D86"/>
      <c r="E86"/>
      <c r="F86"/>
      <c r="G86"/>
      <c r="H86"/>
      <c r="I86"/>
      <c r="J86"/>
      <c r="K86"/>
      <c r="L86"/>
      <c r="M86"/>
      <c r="N86"/>
    </row>
    <row r="87" spans="1:14">
      <c r="A87"/>
      <c r="B87"/>
      <c r="C87"/>
      <c r="D87"/>
      <c r="E87"/>
      <c r="F87"/>
      <c r="G87"/>
      <c r="H87"/>
      <c r="I87"/>
      <c r="J87"/>
      <c r="K87"/>
      <c r="L87"/>
      <c r="M87"/>
      <c r="N87"/>
    </row>
    <row r="88" spans="1:14">
      <c r="A88"/>
      <c r="B88"/>
      <c r="C88"/>
      <c r="D88"/>
      <c r="E88"/>
      <c r="F88"/>
      <c r="G88"/>
      <c r="H88"/>
      <c r="I88"/>
      <c r="J88"/>
      <c r="K88"/>
      <c r="L88"/>
      <c r="M88"/>
      <c r="N88"/>
    </row>
    <row r="89" spans="1:14">
      <c r="A89"/>
      <c r="B89"/>
      <c r="C89"/>
      <c r="D89"/>
      <c r="E89"/>
      <c r="F89"/>
      <c r="G89"/>
      <c r="H89"/>
      <c r="I89"/>
      <c r="J89"/>
      <c r="K89"/>
      <c r="L89"/>
      <c r="M89"/>
      <c r="N89"/>
    </row>
    <row r="90" spans="1:14">
      <c r="A90"/>
      <c r="B90"/>
      <c r="C90"/>
      <c r="D90"/>
      <c r="E90"/>
      <c r="F90"/>
      <c r="G90"/>
      <c r="H90"/>
      <c r="I90"/>
      <c r="J90"/>
      <c r="K90"/>
      <c r="L90"/>
      <c r="M90"/>
      <c r="N90"/>
    </row>
    <row r="91" spans="1:14">
      <c r="A91"/>
      <c r="B91"/>
      <c r="C91"/>
      <c r="D91"/>
      <c r="E91"/>
      <c r="F91"/>
      <c r="G91"/>
      <c r="H91"/>
      <c r="I91"/>
      <c r="J91"/>
      <c r="K91"/>
      <c r="L91"/>
      <c r="M91"/>
      <c r="N91"/>
    </row>
    <row r="92" spans="1:14">
      <c r="A92"/>
      <c r="B92"/>
      <c r="C92"/>
      <c r="D92"/>
      <c r="E92"/>
      <c r="F92"/>
      <c r="G92"/>
      <c r="H92"/>
      <c r="I92"/>
      <c r="J92"/>
      <c r="K92"/>
      <c r="L92"/>
      <c r="M92"/>
      <c r="N92"/>
    </row>
    <row r="93" spans="1:14">
      <c r="A93"/>
      <c r="B93"/>
      <c r="C93"/>
      <c r="D93"/>
      <c r="E93"/>
      <c r="F93"/>
      <c r="G93"/>
      <c r="H93"/>
      <c r="I93"/>
      <c r="J93"/>
      <c r="K93"/>
      <c r="L93"/>
      <c r="M93"/>
      <c r="N93"/>
    </row>
    <row r="94" spans="1:14">
      <c r="A94"/>
      <c r="B94"/>
      <c r="C94"/>
      <c r="D94"/>
      <c r="E94"/>
      <c r="F94"/>
      <c r="G94"/>
      <c r="H94"/>
      <c r="I94"/>
      <c r="J94"/>
      <c r="K94"/>
      <c r="L94"/>
      <c r="M94"/>
      <c r="N94"/>
    </row>
    <row r="95" spans="1:14">
      <c r="A95"/>
      <c r="B95"/>
      <c r="C95"/>
      <c r="D95"/>
      <c r="E95"/>
      <c r="F95"/>
      <c r="G95"/>
      <c r="H95"/>
      <c r="I95"/>
      <c r="J95"/>
      <c r="K95"/>
      <c r="L95"/>
      <c r="M95"/>
      <c r="N95"/>
    </row>
    <row r="96" spans="1:14">
      <c r="A96"/>
      <c r="B96"/>
      <c r="C96"/>
      <c r="D96"/>
      <c r="E96"/>
      <c r="F96"/>
      <c r="G96"/>
      <c r="H96"/>
      <c r="I96"/>
      <c r="J96"/>
      <c r="K96"/>
      <c r="L96"/>
      <c r="M96"/>
      <c r="N96"/>
    </row>
    <row r="97" spans="1:14">
      <c r="A97"/>
      <c r="B97"/>
      <c r="C97"/>
      <c r="D97"/>
      <c r="E97"/>
      <c r="F97"/>
      <c r="G97"/>
      <c r="H97"/>
      <c r="I97"/>
      <c r="J97"/>
      <c r="K97"/>
      <c r="L97"/>
      <c r="M97"/>
      <c r="N97"/>
    </row>
    <row r="98" spans="1:14">
      <c r="A98"/>
      <c r="B98"/>
      <c r="C98"/>
      <c r="D98"/>
      <c r="E98"/>
      <c r="F98"/>
      <c r="G98"/>
      <c r="H98"/>
      <c r="I98"/>
      <c r="J98"/>
      <c r="K98"/>
      <c r="L98"/>
      <c r="M98"/>
      <c r="N98"/>
    </row>
    <row r="99" spans="1:14">
      <c r="A99"/>
      <c r="B99"/>
      <c r="C99"/>
      <c r="D99"/>
      <c r="E99"/>
      <c r="F99"/>
      <c r="G99"/>
      <c r="H99"/>
      <c r="I99"/>
      <c r="J99"/>
      <c r="K99"/>
      <c r="L99"/>
      <c r="M99"/>
      <c r="N99"/>
    </row>
    <row r="100" spans="1:14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</row>
    <row r="101" spans="1:14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</row>
    <row r="102" spans="1:14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</row>
    <row r="103" spans="1:14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</row>
    <row r="104" spans="1:14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</row>
    <row r="105" spans="1:14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</row>
  </sheetData>
  <autoFilter ref="A1:F72" xr:uid="{00000000-0009-0000-0000-000009000000}"/>
  <mergeCells count="1">
    <mergeCell ref="R1:T1"/>
  </mergeCells>
  <hyperlinks>
    <hyperlink ref="R1" location="'Executive Summary'!A1" display="➤ Executive Summary" xr:uid="{00000000-0004-0000-0900-000000000000}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44"/>
  <sheetViews>
    <sheetView topLeftCell="A5" workbookViewId="0">
      <selection activeCell="C18" sqref="C18"/>
    </sheetView>
  </sheetViews>
  <sheetFormatPr defaultColWidth="9" defaultRowHeight="12.75"/>
  <cols>
    <col min="1" max="1" width="21.42578125" customWidth="1"/>
    <col min="2" max="4" width="11.7109375" customWidth="1"/>
    <col min="5" max="5" width="15.5703125" customWidth="1"/>
    <col min="6" max="6" width="11.7109375" customWidth="1"/>
    <col min="7" max="8" width="10.140625" customWidth="1"/>
    <col min="9" max="9" width="11.140625" customWidth="1"/>
    <col min="10" max="10" width="6.28515625" customWidth="1"/>
    <col min="11" max="11" width="6.42578125" customWidth="1"/>
    <col min="12" max="13" width="4.5703125" customWidth="1"/>
    <col min="14" max="14" width="11.7109375" customWidth="1"/>
  </cols>
  <sheetData>
    <row r="1" spans="1:8" ht="24.75" customHeight="1">
      <c r="A1" s="310" t="s">
        <v>648</v>
      </c>
      <c r="B1" s="310"/>
      <c r="C1" s="310"/>
      <c r="E1" s="269" t="s">
        <v>2</v>
      </c>
      <c r="F1" s="270"/>
      <c r="G1" s="270"/>
      <c r="H1" s="270"/>
    </row>
    <row r="3" spans="1:8">
      <c r="A3" s="295" t="s">
        <v>649</v>
      </c>
      <c r="B3" s="295"/>
      <c r="C3" s="295"/>
      <c r="D3" s="295"/>
      <c r="E3" s="295"/>
      <c r="F3" s="295"/>
      <c r="G3" s="295"/>
    </row>
    <row r="4" spans="1:8" ht="25.5">
      <c r="A4" s="31" t="s">
        <v>181</v>
      </c>
      <c r="B4" s="31" t="s">
        <v>624</v>
      </c>
      <c r="C4" s="31" t="s">
        <v>625</v>
      </c>
      <c r="D4" s="31" t="s">
        <v>626</v>
      </c>
      <c r="E4" s="31" t="s">
        <v>628</v>
      </c>
      <c r="F4" s="31" t="s">
        <v>156</v>
      </c>
      <c r="G4" s="31" t="s">
        <v>650</v>
      </c>
    </row>
    <row r="5" spans="1:8">
      <c r="A5" s="32" t="s">
        <v>635</v>
      </c>
      <c r="B5" s="33">
        <f>SUMIF('Ikot Sales'!A:A,A5,'Ikot Sales'!E:E)</f>
        <v>1665395</v>
      </c>
      <c r="C5" s="33">
        <f>SUMIF('Ikot Sales'!A:A,A5,'Ikot Sales'!F:F)</f>
        <v>1208260</v>
      </c>
      <c r="D5" s="33">
        <f>SUMIF('Ikot Sales'!A:A,A5,'Ikot Sales'!G:G)</f>
        <v>58220</v>
      </c>
      <c r="E5" s="33">
        <f>SUMIF('Ikot Sales'!A:A,A5,'Ikot Sales'!I:I)</f>
        <v>32382.43</v>
      </c>
      <c r="F5" s="33">
        <f>SUMIF('Ikot Sales'!A:A,A5,'Ikot Sales'!M:M)</f>
        <v>1633012.5699999998</v>
      </c>
      <c r="G5" s="34">
        <f>IF(B5&gt;0,C5/B5,0)</f>
        <v>0.72550956379717724</v>
      </c>
    </row>
    <row r="6" spans="1:8">
      <c r="A6" s="32" t="s">
        <v>640</v>
      </c>
      <c r="B6" s="33">
        <f>SUMIF('Ikot Sales'!A:A,A6,'Ikot Sales'!E:E)</f>
        <v>3498999</v>
      </c>
      <c r="C6" s="33">
        <f>SUMIF('Ikot Sales'!A:A,A6,'Ikot Sales'!F:F)</f>
        <v>2455149</v>
      </c>
      <c r="D6" s="33">
        <f>SUMIF('Ikot Sales'!A:A,A6,'Ikot Sales'!G:G)</f>
        <v>393340</v>
      </c>
      <c r="E6" s="33">
        <f>SUMIF('Ikot Sales'!A:A,A6,'Ikot Sales'!I:I)</f>
        <v>180224.5</v>
      </c>
      <c r="F6" s="33">
        <f>SUMIF('Ikot Sales'!A:A,A6,'Ikot Sales'!M:M)</f>
        <v>3318774.5</v>
      </c>
      <c r="G6" s="34">
        <f>IF(B6&gt;0,C6/B6,0)</f>
        <v>0.70167182099794823</v>
      </c>
    </row>
    <row r="7" spans="1:8">
      <c r="A7" s="35" t="s">
        <v>376</v>
      </c>
      <c r="B7" s="36">
        <f>SUM(B5:B6)</f>
        <v>5164394</v>
      </c>
      <c r="C7" s="36">
        <f>SUM(C5:C6)</f>
        <v>3663409</v>
      </c>
      <c r="D7" s="36">
        <f>SUM(D5:D6)</f>
        <v>451560</v>
      </c>
      <c r="E7" s="36">
        <f>SUM(E5:E6)</f>
        <v>212606.93</v>
      </c>
      <c r="F7" s="36">
        <f>SUM(F5:F6)</f>
        <v>4951787.07</v>
      </c>
      <c r="G7" s="37">
        <f>IF(B7&gt;0,C7/B7,0)</f>
        <v>0.70935892962465685</v>
      </c>
    </row>
    <row r="9" spans="1:8">
      <c r="A9" s="295" t="s">
        <v>651</v>
      </c>
      <c r="B9" s="295"/>
      <c r="C9" s="295"/>
      <c r="D9" s="295"/>
      <c r="E9" s="295"/>
      <c r="F9" s="295"/>
      <c r="G9" s="295"/>
    </row>
    <row r="10" spans="1:8" ht="25.5">
      <c r="A10" s="31" t="s">
        <v>622</v>
      </c>
      <c r="B10" s="31" t="s">
        <v>624</v>
      </c>
      <c r="C10" s="31" t="s">
        <v>625</v>
      </c>
      <c r="D10" s="31" t="s">
        <v>626</v>
      </c>
      <c r="E10" s="31" t="s">
        <v>628</v>
      </c>
      <c r="F10" s="31" t="s">
        <v>156</v>
      </c>
      <c r="G10" s="31" t="s">
        <v>650</v>
      </c>
    </row>
    <row r="11" spans="1:8">
      <c r="A11" s="32" t="s">
        <v>574</v>
      </c>
      <c r="B11" s="38">
        <f>SUMIF('Ikot Sales'!C:C,"January",'Ikot Sales'!E:E)</f>
        <v>316420</v>
      </c>
      <c r="C11" s="38">
        <f>SUMIF('Ikot Sales'!C:C,"January",'Ikot Sales'!F:F)</f>
        <v>252960</v>
      </c>
      <c r="D11" s="38">
        <f>SUMIF('Ikot Sales'!C:C,"January",'Ikot Sales'!G:G)</f>
        <v>94575</v>
      </c>
      <c r="E11" s="38">
        <f>SUMIF('Ikot Sales'!C:C,"January",'Ikot Sales'!I:I)</f>
        <v>19722.53</v>
      </c>
      <c r="F11" s="38">
        <f>SUMIF('Ikot Sales'!C:C,"January",'Ikot Sales'!M:M)</f>
        <v>296697.46999999997</v>
      </c>
      <c r="G11" s="39">
        <f>IF(B11&gt;0,(C11+D11)/B11,0)</f>
        <v>1.0983344921307123</v>
      </c>
    </row>
    <row r="12" spans="1:8">
      <c r="A12" s="32" t="s">
        <v>575</v>
      </c>
      <c r="B12" s="38">
        <f>SUMIF('Ikot Sales'!C:C,"February",'Ikot Sales'!E:E)</f>
        <v>876445</v>
      </c>
      <c r="C12" s="38">
        <f>SUMIF('Ikot Sales'!C:C,"February",'Ikot Sales'!F:F)</f>
        <v>671700</v>
      </c>
      <c r="D12" s="38">
        <f>SUMIF('Ikot Sales'!C:C,"February",'Ikot Sales'!G:G)</f>
        <v>61355</v>
      </c>
      <c r="E12" s="38">
        <f>SUMIF('Ikot Sales'!C:C,"February",'Ikot Sales'!I:I)</f>
        <v>27566.720000000001</v>
      </c>
      <c r="F12" s="38">
        <f>SUMIF('Ikot Sales'!C:C,"February",'Ikot Sales'!M:M)</f>
        <v>848878.28</v>
      </c>
      <c r="G12" s="39">
        <f t="shared" ref="G12:G22" si="0">IF(B12&gt;0,(C12+D12)/B12,0)</f>
        <v>0.83639589477947851</v>
      </c>
    </row>
    <row r="13" spans="1:8">
      <c r="A13" s="32" t="s">
        <v>576</v>
      </c>
      <c r="B13" s="38">
        <f>SUMIF('Ikot Sales'!C:C,"March",'Ikot Sales'!E:E)</f>
        <v>693275</v>
      </c>
      <c r="C13" s="38">
        <f>SUMIF('Ikot Sales'!C:C,"March",'Ikot Sales'!F:F)</f>
        <v>589300</v>
      </c>
      <c r="D13" s="38">
        <f>SUMIF('Ikot Sales'!C:C,"March",'Ikot Sales'!G:G)</f>
        <v>58400</v>
      </c>
      <c r="E13" s="38">
        <f>SUMIF('Ikot Sales'!C:C,"March",'Ikot Sales'!I:I)</f>
        <v>42080.93</v>
      </c>
      <c r="F13" s="38">
        <f>SUMIF('Ikot Sales'!C:C,"March",'Ikot Sales'!M:M)</f>
        <v>651194.07000000007</v>
      </c>
      <c r="G13" s="39">
        <f t="shared" si="0"/>
        <v>0.93426129602250185</v>
      </c>
    </row>
    <row r="14" spans="1:8">
      <c r="A14" s="32" t="s">
        <v>577</v>
      </c>
      <c r="B14" s="38">
        <f>SUMIF('Ikot Sales'!C:C,"April",'Ikot Sales'!E:E)</f>
        <v>651781</v>
      </c>
      <c r="C14" s="38">
        <f>SUMIF('Ikot Sales'!C:C,"April",'Ikot Sales'!F:F)</f>
        <v>464150</v>
      </c>
      <c r="D14" s="38">
        <f>SUMIF('Ikot Sales'!C:C,"April",'Ikot Sales'!G:G)</f>
        <v>45510</v>
      </c>
      <c r="E14" s="38">
        <f>SUMIF('Ikot Sales'!C:C,"April",'Ikot Sales'!I:I)</f>
        <v>31892.080000000002</v>
      </c>
      <c r="F14" s="38">
        <f>SUMIF('Ikot Sales'!C:C,"April",'Ikot Sales'!M:M)</f>
        <v>619888.91999999993</v>
      </c>
      <c r="G14" s="39">
        <f t="shared" si="0"/>
        <v>0.78194976533528904</v>
      </c>
    </row>
    <row r="15" spans="1:8">
      <c r="A15" s="32" t="s">
        <v>578</v>
      </c>
      <c r="B15" s="38">
        <f>SUMIF('Ikot Sales'!C:C,"May",'Ikot Sales'!E:E)</f>
        <v>646405</v>
      </c>
      <c r="C15" s="38">
        <f>SUMIF('Ikot Sales'!C:C,"May",'Ikot Sales'!F:F)</f>
        <v>516205</v>
      </c>
      <c r="D15" s="38">
        <f>SUMIF('Ikot Sales'!C:C,"May",'Ikot Sales'!G:G)</f>
        <v>61980</v>
      </c>
      <c r="E15" s="38">
        <f>SUMIF('Ikot Sales'!C:C,"May",'Ikot Sales'!I:I)</f>
        <v>26012.41</v>
      </c>
      <c r="F15" s="38">
        <f>SUMIF('Ikot Sales'!C:C,"May",'Ikot Sales'!M:M)</f>
        <v>620392.59</v>
      </c>
      <c r="G15" s="39">
        <f t="shared" si="0"/>
        <v>0.89446245001198943</v>
      </c>
    </row>
    <row r="16" spans="1:8">
      <c r="A16" s="32" t="s">
        <v>579</v>
      </c>
      <c r="B16" s="38">
        <f>SUMIF('Ikot Sales'!C:C,"June",'Ikot Sales'!E:E)</f>
        <v>846911</v>
      </c>
      <c r="C16" s="38">
        <f>SUMIF('Ikot Sales'!C:C,"June",'Ikot Sales'!F:F)</f>
        <v>546199</v>
      </c>
      <c r="D16" s="38">
        <f>SUMIF('Ikot Sales'!C:C,"June",'Ikot Sales'!G:G)</f>
        <v>51765</v>
      </c>
      <c r="E16" s="38">
        <f>SUMIF('Ikot Sales'!C:C,"June",'Ikot Sales'!I:I)</f>
        <v>40353.26</v>
      </c>
      <c r="F16" s="38">
        <f>SUMIF('Ikot Sales'!C:C,"June",'Ikot Sales'!M:M)</f>
        <v>806557.74</v>
      </c>
      <c r="G16" s="39">
        <f t="shared" si="0"/>
        <v>0.70605293826624049</v>
      </c>
    </row>
    <row r="17" spans="1:14">
      <c r="A17" s="32" t="s">
        <v>580</v>
      </c>
      <c r="B17" s="38">
        <f>SUMIF('Ikot Sales'!C:C,"July",'Ikot Sales'!E:E)</f>
        <v>799468</v>
      </c>
      <c r="C17" s="38">
        <f>SUMIF('Ikot Sales'!C:C,"July",'Ikot Sales'!F:F)</f>
        <v>361245</v>
      </c>
      <c r="D17" s="38">
        <f>SUMIF('Ikot Sales'!C:C,"July",'Ikot Sales'!G:G)</f>
        <v>34700</v>
      </c>
      <c r="E17" s="38">
        <f>SUMIF('Ikot Sales'!C:C,"July",'Ikot Sales'!I:I)</f>
        <v>9023</v>
      </c>
      <c r="F17" s="38">
        <f>SUMIF('Ikot Sales'!C:C,"July",'Ikot Sales'!M:M)</f>
        <v>790445</v>
      </c>
      <c r="G17" s="39">
        <f t="shared" si="0"/>
        <v>0.49526059829786806</v>
      </c>
    </row>
    <row r="18" spans="1:14">
      <c r="A18" s="32" t="s">
        <v>4</v>
      </c>
      <c r="B18" s="38">
        <f>SUMIF('Ikot Sales'!C:C,"August",'Ikot Sales'!E:E)</f>
        <v>333689</v>
      </c>
      <c r="C18" s="38">
        <f>SUMIF('Ikot Sales'!C:C,"August",'Ikot Sales'!F:F)</f>
        <v>261650</v>
      </c>
      <c r="D18" s="38">
        <f>SUMIF('Ikot Sales'!C:C,"August",'Ikot Sales'!G:G)</f>
        <v>43275</v>
      </c>
      <c r="E18" s="38">
        <f>SUMIF('Ikot Sales'!C:C,"August",'Ikot Sales'!I:I)</f>
        <v>15956</v>
      </c>
      <c r="F18" s="38">
        <f>SUMIF('Ikot Sales'!C:C,"August",'Ikot Sales'!M:M)</f>
        <v>317733</v>
      </c>
      <c r="G18" s="39">
        <f t="shared" si="0"/>
        <v>0.91379997542622027</v>
      </c>
    </row>
    <row r="19" spans="1:14">
      <c r="A19" s="32" t="s">
        <v>652</v>
      </c>
      <c r="B19" s="38">
        <f>SUMIF('Ikot Sales'!C:C,"September",'Ikot Sales'!E:E)</f>
        <v>0</v>
      </c>
      <c r="C19" s="38">
        <f>SUMIF('Ikot Sales'!C:C,"September",'Ikot Sales'!F:F)</f>
        <v>0</v>
      </c>
      <c r="D19" s="38">
        <f>SUMIF('Ikot Sales'!C:C,"September",'Ikot Sales'!G:G)</f>
        <v>0</v>
      </c>
      <c r="E19" s="38">
        <f>SUMIF('Ikot Sales'!C:C,"September",'Ikot Sales'!I:I)</f>
        <v>0</v>
      </c>
      <c r="F19" s="38">
        <f>SUMIF('Ikot Sales'!C:C,"September",'Ikot Sales'!M:M)</f>
        <v>0</v>
      </c>
      <c r="G19" s="39">
        <f t="shared" si="0"/>
        <v>0</v>
      </c>
    </row>
    <row r="20" spans="1:14">
      <c r="A20" s="32" t="s">
        <v>653</v>
      </c>
      <c r="B20" s="38">
        <f>SUMIF('Ikot Sales'!C:C,"October",'Ikot Sales'!E:E)</f>
        <v>0</v>
      </c>
      <c r="C20" s="38">
        <f>SUMIF('Ikot Sales'!C:C,"October",'Ikot Sales'!F:F)</f>
        <v>0</v>
      </c>
      <c r="D20" s="38">
        <f>SUMIF('Ikot Sales'!C:C,"October",'Ikot Sales'!G:G)</f>
        <v>0</v>
      </c>
      <c r="E20" s="38">
        <f>SUMIF('Ikot Sales'!C:C,"October",'Ikot Sales'!I:I)</f>
        <v>0</v>
      </c>
      <c r="F20" s="38">
        <f>SUMIF('Ikot Sales'!C:C,"October",'Ikot Sales'!M:M)</f>
        <v>0</v>
      </c>
      <c r="G20" s="39">
        <f t="shared" si="0"/>
        <v>0</v>
      </c>
    </row>
    <row r="21" spans="1:14">
      <c r="A21" s="32" t="s">
        <v>654</v>
      </c>
      <c r="B21" s="38">
        <f>SUMIF('Ikot Sales'!C:C,"November",'Ikot Sales'!E:E)</f>
        <v>0</v>
      </c>
      <c r="C21" s="38">
        <f>SUMIF('Ikot Sales'!C:C,"November",'Ikot Sales'!F:F)</f>
        <v>0</v>
      </c>
      <c r="D21" s="38">
        <f>SUMIF('Ikot Sales'!C:C,"November",'Ikot Sales'!G:G)</f>
        <v>0</v>
      </c>
      <c r="E21" s="38">
        <f>SUMIF('Ikot Sales'!C:C,"November",'Ikot Sales'!I:I)</f>
        <v>0</v>
      </c>
      <c r="F21" s="38">
        <f>SUMIF('Ikot Sales'!C:C,"November",'Ikot Sales'!M:M)</f>
        <v>0</v>
      </c>
      <c r="G21" s="39">
        <f t="shared" si="0"/>
        <v>0</v>
      </c>
    </row>
    <row r="22" spans="1:14">
      <c r="A22" s="32" t="s">
        <v>655</v>
      </c>
      <c r="B22" s="38">
        <f>SUMIF('Ikot Sales'!C:C,"December",'Ikot Sales'!E:E)</f>
        <v>0</v>
      </c>
      <c r="C22" s="38">
        <f>SUMIF('Ikot Sales'!C:C,"December",'Ikot Sales'!F:F)</f>
        <v>0</v>
      </c>
      <c r="D22" s="38">
        <f>SUMIF('Ikot Sales'!C:C,"December",'Ikot Sales'!G:G)</f>
        <v>0</v>
      </c>
      <c r="E22" s="38">
        <f>SUMIF('Ikot Sales'!C:C,"December",'Ikot Sales'!I:I)</f>
        <v>0</v>
      </c>
      <c r="F22" s="38">
        <f>SUMIF('Ikot Sales'!C:C,"December",'Ikot Sales'!M:M)</f>
        <v>0</v>
      </c>
      <c r="G22" s="39">
        <f t="shared" si="0"/>
        <v>0</v>
      </c>
    </row>
    <row r="23" spans="1:14">
      <c r="A23" s="35" t="s">
        <v>376</v>
      </c>
      <c r="B23" s="36">
        <f>SUM(B11:B22)</f>
        <v>5164394</v>
      </c>
      <c r="C23" s="36">
        <f>SUM(C11:C22)</f>
        <v>3663409</v>
      </c>
      <c r="D23" s="36">
        <f>SUM(D11:D22)</f>
        <v>451560</v>
      </c>
      <c r="E23" s="36">
        <f>SUM(E11:E22)</f>
        <v>212606.93</v>
      </c>
      <c r="F23" s="36">
        <f>SUM(F11:F22)</f>
        <v>4951787.07</v>
      </c>
      <c r="G23" s="37">
        <f t="shared" ref="G23" si="1">IF(B23&gt;0,C23/B23,0)</f>
        <v>0.70935892962465685</v>
      </c>
    </row>
    <row r="25" spans="1:14">
      <c r="A25" s="295" t="s">
        <v>656</v>
      </c>
      <c r="B25" s="295"/>
      <c r="C25" s="295"/>
      <c r="D25" s="295"/>
      <c r="E25" s="295"/>
      <c r="F25" s="295"/>
      <c r="G25" s="295"/>
      <c r="H25" s="295"/>
      <c r="I25" s="295"/>
      <c r="J25" s="295"/>
      <c r="K25" s="295"/>
      <c r="L25" s="295"/>
      <c r="M25" s="295"/>
      <c r="N25" s="295"/>
    </row>
    <row r="26" spans="1:14">
      <c r="A26" s="31" t="s">
        <v>181</v>
      </c>
      <c r="B26" s="31" t="s">
        <v>657</v>
      </c>
      <c r="C26" s="31" t="s">
        <v>658</v>
      </c>
      <c r="D26" s="31" t="s">
        <v>659</v>
      </c>
      <c r="E26" s="31" t="s">
        <v>660</v>
      </c>
      <c r="F26" s="31" t="s">
        <v>578</v>
      </c>
      <c r="G26" s="31" t="s">
        <v>661</v>
      </c>
      <c r="H26" s="31" t="s">
        <v>662</v>
      </c>
      <c r="I26" s="31" t="s">
        <v>663</v>
      </c>
      <c r="J26" s="31" t="s">
        <v>664</v>
      </c>
      <c r="K26" s="31" t="s">
        <v>665</v>
      </c>
      <c r="L26" s="31" t="s">
        <v>666</v>
      </c>
      <c r="M26" s="31" t="s">
        <v>667</v>
      </c>
      <c r="N26" s="31" t="s">
        <v>376</v>
      </c>
    </row>
    <row r="27" spans="1:14">
      <c r="A27" s="32" t="s">
        <v>635</v>
      </c>
      <c r="B27" s="33">
        <f>SUMIFS('Ikot Sales'!E:E,'Ikot Sales'!A:A,"ARNOLD",'Ikot Sales'!C:C,"January")</f>
        <v>0</v>
      </c>
      <c r="C27" s="33">
        <f>SUMIFS('Ikot Sales'!E:E,'Ikot Sales'!A:A,"ARNOLD",'Ikot Sales'!C:C,"February")</f>
        <v>337400</v>
      </c>
      <c r="D27" s="33">
        <f>SUMIFS('Ikot Sales'!E:E,'Ikot Sales'!A:A,"ARNOLD",'Ikot Sales'!C:C,"March")</f>
        <v>44240</v>
      </c>
      <c r="E27" s="33">
        <f>SUMIFS('Ikot Sales'!E:E,'Ikot Sales'!A:A,"ARNOLD",'Ikot Sales'!C:C,"April")</f>
        <v>125694</v>
      </c>
      <c r="F27" s="33">
        <f>SUMIFS('Ikot Sales'!E:E,'Ikot Sales'!A:A,"ARNOLD",'Ikot Sales'!C:C,"May")</f>
        <v>352190</v>
      </c>
      <c r="G27" s="33">
        <f>SUMIFS('Ikot Sales'!E:E,'Ikot Sales'!A:A,"ARNOLD",'Ikot Sales'!C:C,"June")</f>
        <v>415202</v>
      </c>
      <c r="H27" s="33">
        <f>SUMIFS('Ikot Sales'!E:E,'Ikot Sales'!A:A,"ARNOLD",'Ikot Sales'!C:C,"July")</f>
        <v>322230</v>
      </c>
      <c r="I27" s="33">
        <f>SUMIFS('Ikot Sales'!E:E,'Ikot Sales'!A:A,"ARNOLD",'Ikot Sales'!C:C,"August")</f>
        <v>68439</v>
      </c>
      <c r="J27" s="33">
        <f>SUMIFS('Ikot Sales'!E:E,'Ikot Sales'!A:A,"ARNOLD",'Ikot Sales'!C:C,"September")</f>
        <v>0</v>
      </c>
      <c r="K27" s="33">
        <f>SUMIFS('Ikot Sales'!E:E,'Ikot Sales'!A:A,"ARNOLD",'Ikot Sales'!C:C,"October")</f>
        <v>0</v>
      </c>
      <c r="L27" s="33">
        <f>SUMIFS('Ikot Sales'!E:E,'Ikot Sales'!A:A,"ARNOLD",'Ikot Sales'!C:C,"November")</f>
        <v>0</v>
      </c>
      <c r="M27" s="33">
        <f>SUMIFS('Ikot Sales'!E:E,'Ikot Sales'!A:A,"ARNOLD",'Ikot Sales'!C:C,"December")</f>
        <v>0</v>
      </c>
      <c r="N27" s="36">
        <f>SUM(B27:M27)</f>
        <v>1665395</v>
      </c>
    </row>
    <row r="28" spans="1:14">
      <c r="A28" s="32" t="s">
        <v>640</v>
      </c>
      <c r="B28" s="33">
        <f>SUMIFS('Ikot Sales'!E:E,'Ikot Sales'!A:A,"RAYMART",'Ikot Sales'!C:C,"January")</f>
        <v>316420</v>
      </c>
      <c r="C28" s="33">
        <f>SUMIFS('Ikot Sales'!E:E,'Ikot Sales'!A:A,"RAYMART",'Ikot Sales'!C:C,"February")</f>
        <v>539045</v>
      </c>
      <c r="D28" s="33">
        <f>SUMIFS('Ikot Sales'!E:E,'Ikot Sales'!A:A,"RAYMART",'Ikot Sales'!C:C,"March")</f>
        <v>649035</v>
      </c>
      <c r="E28" s="33">
        <f>SUMIFS('Ikot Sales'!E:E,'Ikot Sales'!A:A,"RAYMART",'Ikot Sales'!C:C,"April")</f>
        <v>526087</v>
      </c>
      <c r="F28" s="33">
        <f>SUMIFS('Ikot Sales'!E:E,'Ikot Sales'!A:A,"RAYMART",'Ikot Sales'!C:C,"May")</f>
        <v>294215</v>
      </c>
      <c r="G28" s="33">
        <f>SUMIFS('Ikot Sales'!E:E,'Ikot Sales'!A:A,"RAYMART",'Ikot Sales'!C:C,"June")</f>
        <v>431709</v>
      </c>
      <c r="H28" s="33">
        <f>SUMIFS('Ikot Sales'!E:E,'Ikot Sales'!A:A,"RAYMART",'Ikot Sales'!C:C,"July")</f>
        <v>477238</v>
      </c>
      <c r="I28" s="33">
        <f>SUMIFS('Ikot Sales'!E:E,'Ikot Sales'!A:A,"RAYMART",'Ikot Sales'!C:C,"August")</f>
        <v>265250</v>
      </c>
      <c r="J28" s="33">
        <f>SUMIFS('Ikot Sales'!E:E,'Ikot Sales'!A:A,"RAYMART",'Ikot Sales'!C:C,"September")</f>
        <v>0</v>
      </c>
      <c r="K28" s="33">
        <f>SUMIFS('Ikot Sales'!E:E,'Ikot Sales'!A:A,"RAYMART",'Ikot Sales'!C:C,"October")</f>
        <v>0</v>
      </c>
      <c r="L28" s="33">
        <f>SUMIFS('Ikot Sales'!E:E,'Ikot Sales'!A:A,"RAYMART",'Ikot Sales'!C:C,"November")</f>
        <v>0</v>
      </c>
      <c r="M28" s="33">
        <f>SUMIFS('Ikot Sales'!E:E,'Ikot Sales'!A:A,"RAYMART",'Ikot Sales'!C:C,"December")</f>
        <v>0</v>
      </c>
      <c r="N28" s="36">
        <f>SUM(B28:M28)</f>
        <v>3498999</v>
      </c>
    </row>
    <row r="29" spans="1:14">
      <c r="A29" s="35" t="s">
        <v>376</v>
      </c>
      <c r="B29" s="36">
        <f t="shared" ref="B29:M29" si="2">SUM(B27:B28)</f>
        <v>316420</v>
      </c>
      <c r="C29" s="36">
        <f t="shared" si="2"/>
        <v>876445</v>
      </c>
      <c r="D29" s="36">
        <f t="shared" si="2"/>
        <v>693275</v>
      </c>
      <c r="E29" s="36">
        <f t="shared" si="2"/>
        <v>651781</v>
      </c>
      <c r="F29" s="36">
        <f t="shared" si="2"/>
        <v>646405</v>
      </c>
      <c r="G29" s="36">
        <f t="shared" si="2"/>
        <v>846911</v>
      </c>
      <c r="H29" s="36">
        <f t="shared" si="2"/>
        <v>799468</v>
      </c>
      <c r="I29" s="36">
        <f t="shared" si="2"/>
        <v>333689</v>
      </c>
      <c r="J29" s="36">
        <f t="shared" si="2"/>
        <v>0</v>
      </c>
      <c r="K29" s="36">
        <f t="shared" si="2"/>
        <v>0</v>
      </c>
      <c r="L29" s="36">
        <f t="shared" si="2"/>
        <v>0</v>
      </c>
      <c r="M29" s="36">
        <f t="shared" si="2"/>
        <v>0</v>
      </c>
      <c r="N29" s="36">
        <f>SUM(B29:M29)</f>
        <v>5164394</v>
      </c>
    </row>
    <row r="31" spans="1:14">
      <c r="A31" s="295" t="s">
        <v>668</v>
      </c>
      <c r="B31" s="295"/>
      <c r="C31" s="295"/>
      <c r="D31" s="295"/>
      <c r="E31" s="295"/>
    </row>
    <row r="32" spans="1:14" s="29" customFormat="1">
      <c r="A32" s="40" t="s">
        <v>630</v>
      </c>
      <c r="B32" s="40" t="s">
        <v>669</v>
      </c>
      <c r="C32" s="40" t="s">
        <v>624</v>
      </c>
      <c r="D32" s="40" t="s">
        <v>156</v>
      </c>
      <c r="E32" s="40" t="s">
        <v>650</v>
      </c>
    </row>
    <row r="33" spans="1:5">
      <c r="A33" s="32" t="s">
        <v>636</v>
      </c>
      <c r="B33" s="41">
        <f>COUNTIF('Ikot Sales'!K:K,"Cubao/Pasig/Antipolo")</f>
        <v>12</v>
      </c>
      <c r="C33" s="42">
        <f>SUMIF('Ikot Sales'!K:K,"Cubao/Pasig/Antipolo",'Ikot Sales'!E:E)</f>
        <v>1120385</v>
      </c>
      <c r="D33" s="42">
        <f>SUMIF('Ikot Sales'!K:K,"Cubao/Pasig/Antipolo",'Ikot Sales'!M:M)</f>
        <v>1105072.42</v>
      </c>
      <c r="E33" s="43">
        <f>IF(C33&gt;0,SUMIF('Ikot Sales'!K:K,"Cubao/Pasig/Antipolo",'Ikot Sales'!H:H)/C33,0)</f>
        <v>0.83092419123783345</v>
      </c>
    </row>
    <row r="34" spans="1:5">
      <c r="A34" s="32" t="s">
        <v>637</v>
      </c>
      <c r="B34" s="41">
        <f>COUNTIF('Ikot Sales'!K:K,"Pangasinan")</f>
        <v>15</v>
      </c>
      <c r="C34" s="42">
        <f>SUMIF('Ikot Sales'!K:K,"Pangasinan",'Ikot Sales'!E:E)</f>
        <v>1150514</v>
      </c>
      <c r="D34" s="42">
        <f>SUMIF('Ikot Sales'!K:K,"Pangasinan",'Ikot Sales'!M:M)</f>
        <v>1077005.9100000001</v>
      </c>
      <c r="E34" s="43">
        <f>IF(C34&gt;0,SUMIF('Ikot Sales'!K:K,"Pangasinan",'Ikot Sales'!H:H)/C34,0)</f>
        <v>0.81726428361584469</v>
      </c>
    </row>
    <row r="35" spans="1:5">
      <c r="A35" s="32" t="s">
        <v>639</v>
      </c>
      <c r="B35" s="41">
        <f>COUNTIF('Ikot Sales'!K:K,"Nueva Ecija")</f>
        <v>8</v>
      </c>
      <c r="C35" s="42">
        <f>SUMIF('Ikot Sales'!K:K,"Nueva Ecija",'Ikot Sales'!E:E)</f>
        <v>638795</v>
      </c>
      <c r="D35" s="42">
        <f>SUMIF('Ikot Sales'!K:K,"Nueva Ecija",'Ikot Sales'!M:M)</f>
        <v>612279.73</v>
      </c>
      <c r="E35" s="43">
        <f>IF(C35&gt;0,SUMIF('Ikot Sales'!K:K,"Nueva Ecija",'Ikot Sales'!H:H)/C35,0)</f>
        <v>0.85788868103225602</v>
      </c>
    </row>
    <row r="36" spans="1:5">
      <c r="A36" s="32" t="s">
        <v>638</v>
      </c>
      <c r="B36" s="41">
        <f>COUNTIF('Ikot Sales'!K:K,"Nasugbo")</f>
        <v>4</v>
      </c>
      <c r="C36" s="42">
        <f>SUMIF('Ikot Sales'!K:K,"Nasugbo",'Ikot Sales'!E:E)</f>
        <v>294111</v>
      </c>
      <c r="D36" s="42">
        <f>SUMIF('Ikot Sales'!K:K,"Nasugbo",'Ikot Sales'!M:M)</f>
        <v>279586</v>
      </c>
      <c r="E36" s="43">
        <f>IF(C36&gt;0,SUMIF('Ikot Sales'!K:K,"Nasugbo",'Ikot Sales'!H:H)/C36,0)</f>
        <v>0.68596550282036373</v>
      </c>
    </row>
    <row r="37" spans="1:5">
      <c r="A37" s="32" t="s">
        <v>642</v>
      </c>
      <c r="B37" s="41">
        <f>COUNTIF('Ikot Sales'!K:K,"Lucena")</f>
        <v>8</v>
      </c>
      <c r="C37" s="42">
        <f>SUMIF('Ikot Sales'!K:K,"Lucena",'Ikot Sales'!E:E)</f>
        <v>398847</v>
      </c>
      <c r="D37" s="42">
        <f>SUMIF('Ikot Sales'!K:K,"Lucena",'Ikot Sales'!M:M)</f>
        <v>372655</v>
      </c>
      <c r="E37" s="43">
        <f>IF(C37&gt;0,SUMIF('Ikot Sales'!K:K,"Lucena",'Ikot Sales'!H:H)/C37,0)</f>
        <v>0.65986455959302692</v>
      </c>
    </row>
    <row r="38" spans="1:5">
      <c r="A38" s="32" t="s">
        <v>645</v>
      </c>
      <c r="B38" s="41">
        <f>COUNTIF('Ikot Sales'!K:K,"Batangas")</f>
        <v>3</v>
      </c>
      <c r="C38" s="42">
        <f>SUMIF('Ikot Sales'!K:K,"Batangas",'Ikot Sales'!E:E)</f>
        <v>194805</v>
      </c>
      <c r="D38" s="42">
        <f>SUMIF('Ikot Sales'!K:K,"Batangas",'Ikot Sales'!M:M)</f>
        <v>190221.47</v>
      </c>
      <c r="E38" s="43">
        <f>IF(C38&gt;0,SUMIF('Ikot Sales'!K:K,"Batangas",'Ikot Sales'!H:H)/C38,0)</f>
        <v>0.3349246682580016</v>
      </c>
    </row>
    <row r="39" spans="1:5">
      <c r="A39" s="32" t="s">
        <v>646</v>
      </c>
      <c r="B39" s="41">
        <f>COUNTIF('Ikot Sales'!K:K,"Lipa")</f>
        <v>1</v>
      </c>
      <c r="C39" s="42">
        <f>SUMIF('Ikot Sales'!K:K,"Lipa",'Ikot Sales'!E:E)</f>
        <v>30090</v>
      </c>
      <c r="D39" s="42">
        <f>SUMIF('Ikot Sales'!K:K,"Lipa",'Ikot Sales'!M:M)</f>
        <v>25944</v>
      </c>
      <c r="E39" s="43">
        <f>IF(C39&gt;0,SUMIF('Ikot Sales'!K:K,"Lipa",'Ikot Sales'!H:H)/C39,0)</f>
        <v>1.0631439016284481</v>
      </c>
    </row>
    <row r="40" spans="1:5">
      <c r="A40" s="32" t="s">
        <v>647</v>
      </c>
      <c r="B40" s="41">
        <f>COUNTIF('Ikot Sales'!K:K,"Lipa/Lucena")</f>
        <v>1</v>
      </c>
      <c r="C40" s="42">
        <f>SUMIF('Ikot Sales'!K:K,"Lipa/Lucena",'Ikot Sales'!E:E)</f>
        <v>12535</v>
      </c>
      <c r="D40" s="42">
        <f>SUMIF('Ikot Sales'!K:K,"Lipa/Lucena",'Ikot Sales'!M:M)</f>
        <v>7071</v>
      </c>
      <c r="E40" s="43">
        <f>IF(C40&gt;0,SUMIF('Ikot Sales'!K:K,"Lipa/Lucena",'Ikot Sales'!H:H)/C40,0)</f>
        <v>1.611487834064619</v>
      </c>
    </row>
    <row r="41" spans="1:5">
      <c r="A41" s="32" t="s">
        <v>641</v>
      </c>
      <c r="B41" s="41">
        <f>COUNTIF('Ikot Sales'!K:K,"Pampanga")</f>
        <v>5</v>
      </c>
      <c r="C41" s="42">
        <f>SUMIF('Ikot Sales'!K:K,"Pampanga",'Ikot Sales'!E:E)</f>
        <v>327875</v>
      </c>
      <c r="D41" s="42">
        <f>SUMIF('Ikot Sales'!K:K,"Pampanga",'Ikot Sales'!M:M)</f>
        <v>317038.34999999998</v>
      </c>
      <c r="E41" s="43">
        <f>IF(C41&gt;0,SUMIF('Ikot Sales'!K:K,"Pampanga",'Ikot Sales'!H:H)/C41,0)</f>
        <v>0.91354937094929467</v>
      </c>
    </row>
    <row r="42" spans="1:5">
      <c r="A42" s="32" t="s">
        <v>644</v>
      </c>
      <c r="B42" s="41">
        <f>COUNTIF('Ikot Sales'!K:K,"Zambales")</f>
        <v>2</v>
      </c>
      <c r="C42" s="42">
        <f>SUMIF('Ikot Sales'!K:K,"Zambales",'Ikot Sales'!E:E)</f>
        <v>240880</v>
      </c>
      <c r="D42" s="42">
        <f>SUMIF('Ikot Sales'!K:K,"Zambales",'Ikot Sales'!M:M)</f>
        <v>229540</v>
      </c>
      <c r="E42" s="43">
        <f>IF(C42&gt;0,SUMIF('Ikot Sales'!K:K,"Zambales",'Ikot Sales'!H:H)/C42,0)</f>
        <v>0.83846728661574232</v>
      </c>
    </row>
    <row r="43" spans="1:5">
      <c r="A43" s="32" t="s">
        <v>643</v>
      </c>
      <c r="B43" s="41">
        <f>COUNTIF('Ikot Sales'!K:K,"Cubao")</f>
        <v>17</v>
      </c>
      <c r="C43" s="42">
        <f>SUMIF('Ikot Sales'!K:K,"Cubao",'Ikot Sales'!E:E)</f>
        <v>755557</v>
      </c>
      <c r="D43" s="42">
        <f>SUMIF('Ikot Sales'!K:K,"Cubao",'Ikot Sales'!M:M)</f>
        <v>735373.19</v>
      </c>
      <c r="E43" s="43">
        <f>IF(C43&gt;0,SUMIF('Ikot Sales'!K:K,"Cubao",'Ikot Sales'!H:H)/C43,0)</f>
        <v>0.80980654007573216</v>
      </c>
    </row>
    <row r="44" spans="1:5">
      <c r="A44" s="35" t="s">
        <v>376</v>
      </c>
      <c r="B44" s="44">
        <f>COUNTA('Ikot Sales'!K2:K200)</f>
        <v>76</v>
      </c>
      <c r="C44" s="45">
        <f>SUM('Ikot Sales'!E2:E200)</f>
        <v>5164394</v>
      </c>
      <c r="D44" s="45">
        <f>SUM('Ikot Sales'!M2:M200)</f>
        <v>4951787.07</v>
      </c>
      <c r="E44" s="46">
        <f>IF(C44&gt;0,SUM('Ikot Sales'!H2:H200)/C44,0)</f>
        <v>0.79679610037499071</v>
      </c>
    </row>
  </sheetData>
  <mergeCells count="6">
    <mergeCell ref="A31:E31"/>
    <mergeCell ref="A1:C1"/>
    <mergeCell ref="E1:H1"/>
    <mergeCell ref="A3:G3"/>
    <mergeCell ref="A9:G9"/>
    <mergeCell ref="A25:N25"/>
  </mergeCells>
  <hyperlinks>
    <hyperlink ref="E1" location="'Executive Summary'!A1" display="➤ Executive Summary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53"/>
  <sheetViews>
    <sheetView workbookViewId="0">
      <selection activeCell="O1" sqref="O1:Q1"/>
    </sheetView>
  </sheetViews>
  <sheetFormatPr defaultColWidth="9" defaultRowHeight="12.75"/>
  <cols>
    <col min="1" max="1" width="10.42578125" customWidth="1"/>
    <col min="2" max="2" width="9.5703125" customWidth="1"/>
    <col min="3" max="3" width="6.140625" customWidth="1"/>
    <col min="4" max="4" width="9.85546875" customWidth="1"/>
    <col min="7" max="7" width="1.5703125" customWidth="1"/>
    <col min="8" max="8" width="10.42578125" customWidth="1"/>
    <col min="9" max="9" width="9.5703125" customWidth="1"/>
    <col min="10" max="10" width="6.140625" customWidth="1"/>
    <col min="11" max="11" width="9.85546875" customWidth="1"/>
  </cols>
  <sheetData>
    <row r="1" spans="1:17" ht="23.25">
      <c r="A1" s="331" t="s">
        <v>670</v>
      </c>
      <c r="B1" s="330"/>
      <c r="C1" s="330"/>
      <c r="D1" s="330"/>
      <c r="E1" s="330"/>
      <c r="F1" s="330"/>
      <c r="G1" s="23" t="s">
        <v>671</v>
      </c>
      <c r="H1" s="331" t="s">
        <v>670</v>
      </c>
      <c r="I1" s="330"/>
      <c r="J1" s="330"/>
      <c r="K1" s="330"/>
      <c r="L1" s="330"/>
      <c r="M1" s="330"/>
      <c r="O1" s="286" t="s">
        <v>2</v>
      </c>
      <c r="P1" s="287"/>
      <c r="Q1" s="287"/>
    </row>
    <row r="2" spans="1:17">
      <c r="A2" s="332" t="s">
        <v>672</v>
      </c>
      <c r="B2" s="319"/>
      <c r="C2" s="319"/>
      <c r="D2" s="319"/>
      <c r="E2" s="319"/>
      <c r="F2" s="319"/>
      <c r="G2" s="23"/>
      <c r="H2" s="332" t="s">
        <v>672</v>
      </c>
      <c r="I2" s="319"/>
      <c r="J2" s="319"/>
      <c r="K2" s="319"/>
      <c r="L2" s="319"/>
      <c r="M2" s="319"/>
    </row>
    <row r="3" spans="1:17">
      <c r="A3" s="333" t="s">
        <v>471</v>
      </c>
      <c r="B3" s="320"/>
      <c r="C3" s="320"/>
      <c r="D3" s="320"/>
      <c r="E3" s="320"/>
      <c r="F3" s="320"/>
      <c r="G3" s="23"/>
      <c r="H3" s="333" t="s">
        <v>471</v>
      </c>
      <c r="I3" s="320"/>
      <c r="J3" s="320"/>
      <c r="K3" s="320"/>
      <c r="L3" s="320"/>
      <c r="M3" s="320"/>
    </row>
    <row r="4" spans="1:17">
      <c r="A4" s="334" t="str">
        <f>"Commission Period: "&amp;'Executive Summary'!$B$3&amp;" 2026"</f>
        <v>Commission Period: August 2026</v>
      </c>
      <c r="B4" s="320"/>
      <c r="C4" s="320"/>
      <c r="D4" s="320"/>
      <c r="E4" s="320"/>
      <c r="F4" s="320"/>
      <c r="G4" s="23"/>
      <c r="H4" s="334" t="str">
        <f>"Commission Period: "&amp;'Executive Summary'!$B$3&amp;" 2026"</f>
        <v>Commission Period: August 2026</v>
      </c>
      <c r="I4" s="320"/>
      <c r="J4" s="320"/>
      <c r="K4" s="320"/>
      <c r="L4" s="320"/>
      <c r="M4" s="320"/>
    </row>
    <row r="5" spans="1:17">
      <c r="A5" s="24"/>
      <c r="B5" s="24"/>
      <c r="C5" s="24"/>
      <c r="D5" s="24"/>
      <c r="E5" s="24"/>
      <c r="F5" s="24"/>
      <c r="G5" s="23"/>
      <c r="H5" s="24"/>
      <c r="I5" s="24"/>
      <c r="J5" s="24"/>
      <c r="K5" s="24"/>
      <c r="L5" s="24"/>
      <c r="M5" s="24"/>
    </row>
    <row r="6" spans="1:17">
      <c r="A6" s="25" t="s">
        <v>673</v>
      </c>
      <c r="B6" s="335" t="str">
        <f>'Commission Summary'!$A$7</f>
        <v>ARNOLD ORTIZ</v>
      </c>
      <c r="C6" s="320"/>
      <c r="D6" s="320"/>
      <c r="E6" s="320"/>
      <c r="F6" s="320"/>
      <c r="G6" s="23"/>
      <c r="H6" s="25" t="s">
        <v>673</v>
      </c>
      <c r="I6" s="335" t="str">
        <f>'Commission Summary'!$A$8</f>
        <v>JENNIFER DUM-OGAN - ONLINE</v>
      </c>
      <c r="J6" s="320"/>
      <c r="K6" s="320"/>
      <c r="L6" s="320"/>
      <c r="M6" s="320"/>
    </row>
    <row r="7" spans="1:17">
      <c r="A7" s="25" t="s">
        <v>182</v>
      </c>
      <c r="B7" s="320" t="str">
        <f>'Commission Summary'!$B$7</f>
        <v>direct</v>
      </c>
      <c r="C7" s="320"/>
      <c r="D7" s="25" t="s">
        <v>674</v>
      </c>
      <c r="E7" s="328">
        <f ca="1">TODAY()</f>
        <v>46280</v>
      </c>
      <c r="F7" s="320"/>
      <c r="G7" s="23"/>
      <c r="H7" s="25" t="s">
        <v>182</v>
      </c>
      <c r="I7" s="320" t="str">
        <f>'Commission Summary'!$B$8</f>
        <v>online</v>
      </c>
      <c r="J7" s="320"/>
      <c r="K7" s="25" t="s">
        <v>674</v>
      </c>
      <c r="L7" s="328">
        <f ca="1">TODAY()</f>
        <v>46280</v>
      </c>
      <c r="M7" s="320"/>
    </row>
    <row r="8" spans="1:17">
      <c r="A8" s="25" t="s">
        <v>675</v>
      </c>
      <c r="B8" s="319" t="str">
        <f>'Executive Summary'!$B$3&amp;" 2026"</f>
        <v>August 2026</v>
      </c>
      <c r="C8" s="319"/>
      <c r="D8" s="25" t="s">
        <v>676</v>
      </c>
      <c r="E8" s="320" t="s">
        <v>677</v>
      </c>
      <c r="F8" s="320"/>
      <c r="G8" s="23"/>
      <c r="H8" s="25" t="s">
        <v>675</v>
      </c>
      <c r="I8" s="319" t="str">
        <f>'Executive Summary'!$B$3&amp;" 2026"</f>
        <v>August 2026</v>
      </c>
      <c r="J8" s="319"/>
      <c r="K8" s="25" t="s">
        <v>676</v>
      </c>
      <c r="L8" s="320" t="s">
        <v>677</v>
      </c>
      <c r="M8" s="320"/>
    </row>
    <row r="9" spans="1:17">
      <c r="A9" s="24"/>
      <c r="B9" s="24"/>
      <c r="C9" s="24"/>
      <c r="D9" s="24"/>
      <c r="E9" s="24"/>
      <c r="F9" s="24"/>
      <c r="G9" s="23"/>
      <c r="H9" s="24"/>
      <c r="I9" s="24"/>
      <c r="J9" s="24"/>
      <c r="K9" s="24"/>
      <c r="L9" s="24"/>
      <c r="M9" s="24"/>
    </row>
    <row r="10" spans="1:17">
      <c r="A10" s="329" t="s">
        <v>678</v>
      </c>
      <c r="B10" s="330"/>
      <c r="C10" s="330"/>
      <c r="D10" s="330"/>
      <c r="E10" s="330"/>
      <c r="F10" s="330"/>
      <c r="G10" s="23"/>
      <c r="H10" s="329" t="s">
        <v>678</v>
      </c>
      <c r="I10" s="330"/>
      <c r="J10" s="330"/>
      <c r="K10" s="330"/>
      <c r="L10" s="330"/>
      <c r="M10" s="330"/>
    </row>
    <row r="11" spans="1:17">
      <c r="A11" s="325" t="s">
        <v>586</v>
      </c>
      <c r="B11" s="326"/>
      <c r="C11" s="326"/>
      <c r="D11" s="327" t="s">
        <v>436</v>
      </c>
      <c r="E11" s="326"/>
      <c r="F11" s="326"/>
      <c r="G11" s="23"/>
      <c r="H11" s="325" t="s">
        <v>586</v>
      </c>
      <c r="I11" s="326"/>
      <c r="J11" s="326"/>
      <c r="K11" s="327" t="s">
        <v>436</v>
      </c>
      <c r="L11" s="326"/>
      <c r="M11" s="326"/>
    </row>
    <row r="12" spans="1:17">
      <c r="A12" s="320" t="s">
        <v>203</v>
      </c>
      <c r="B12" s="320"/>
      <c r="C12" s="320"/>
      <c r="D12" s="323">
        <f ca="1">'Commission Summary'!$C$7</f>
        <v>113401</v>
      </c>
      <c r="E12" s="324"/>
      <c r="F12" s="324"/>
      <c r="G12" s="23"/>
      <c r="H12" s="320" t="s">
        <v>203</v>
      </c>
      <c r="I12" s="320"/>
      <c r="J12" s="320"/>
      <c r="K12" s="323">
        <f ca="1">'Commission Summary'!$C$8</f>
        <v>23556.880000000001</v>
      </c>
      <c r="L12" s="324"/>
      <c r="M12" s="324"/>
    </row>
    <row r="13" spans="1:17">
      <c r="A13" s="320" t="s">
        <v>204</v>
      </c>
      <c r="B13" s="320"/>
      <c r="C13" s="320"/>
      <c r="D13" s="323">
        <f ca="1">'Commission Summary'!$D$7</f>
        <v>26067.4</v>
      </c>
      <c r="E13" s="324"/>
      <c r="F13" s="324"/>
      <c r="G13" s="23"/>
      <c r="H13" s="320" t="s">
        <v>204</v>
      </c>
      <c r="I13" s="320"/>
      <c r="J13" s="320"/>
      <c r="K13" s="323">
        <f ca="1">'Commission Summary'!$D$8</f>
        <v>7491.37</v>
      </c>
      <c r="L13" s="324"/>
      <c r="M13" s="324"/>
    </row>
    <row r="14" spans="1:17">
      <c r="A14" s="320" t="s">
        <v>459</v>
      </c>
      <c r="B14" s="320"/>
      <c r="C14" s="320"/>
      <c r="D14" s="321">
        <f ca="1">'Commission Summary'!$E$7</f>
        <v>0.2</v>
      </c>
      <c r="E14" s="322"/>
      <c r="F14" s="322"/>
      <c r="G14" s="23"/>
      <c r="H14" s="320" t="s">
        <v>459</v>
      </c>
      <c r="I14" s="320"/>
      <c r="J14" s="320"/>
      <c r="K14" s="321">
        <f ca="1">'Commission Summary'!$E$8</f>
        <v>0.2</v>
      </c>
      <c r="L14" s="322"/>
      <c r="M14" s="322"/>
    </row>
    <row r="15" spans="1:17">
      <c r="A15" s="320" t="s">
        <v>679</v>
      </c>
      <c r="B15" s="320"/>
      <c r="C15" s="320"/>
      <c r="D15" s="323">
        <f ca="1">'Commission Summary'!$F$7</f>
        <v>5213.4800000000005</v>
      </c>
      <c r="E15" s="324"/>
      <c r="F15" s="324"/>
      <c r="G15" s="23"/>
      <c r="H15" s="320" t="s">
        <v>679</v>
      </c>
      <c r="I15" s="320"/>
      <c r="J15" s="320"/>
      <c r="K15" s="323">
        <f ca="1">'Commission Summary'!$F$8</f>
        <v>1498.2740000000001</v>
      </c>
      <c r="L15" s="324"/>
      <c r="M15" s="324"/>
    </row>
    <row r="16" spans="1:17">
      <c r="A16" s="24"/>
      <c r="B16" s="24"/>
      <c r="C16" s="24"/>
      <c r="D16" s="26"/>
      <c r="E16" s="24"/>
      <c r="F16" s="24"/>
      <c r="G16" s="23"/>
      <c r="H16" s="24"/>
      <c r="I16" s="24"/>
      <c r="J16" s="24"/>
      <c r="K16" s="26"/>
      <c r="L16" s="24"/>
      <c r="M16" s="24"/>
    </row>
    <row r="17" spans="1:13">
      <c r="A17" s="320" t="s">
        <v>680</v>
      </c>
      <c r="B17" s="320"/>
      <c r="C17" s="320"/>
      <c r="D17" s="323">
        <f>'Commission Summary'!$G$7</f>
        <v>2454</v>
      </c>
      <c r="E17" s="324"/>
      <c r="F17" s="324"/>
      <c r="G17" s="23"/>
      <c r="H17" s="320" t="s">
        <v>680</v>
      </c>
      <c r="I17" s="320"/>
      <c r="J17" s="320"/>
      <c r="K17" s="323">
        <f>'Commission Summary'!$G$8</f>
        <v>1000</v>
      </c>
      <c r="L17" s="324"/>
      <c r="M17" s="324"/>
    </row>
    <row r="18" spans="1:13">
      <c r="A18" s="313" t="s">
        <v>681</v>
      </c>
      <c r="B18" s="313"/>
      <c r="C18" s="313"/>
      <c r="D18" s="314">
        <f ca="1">'Commission Summary'!$I$7</f>
        <v>137.97400000000002</v>
      </c>
      <c r="E18" s="315"/>
      <c r="F18" s="315"/>
      <c r="G18" s="23"/>
      <c r="H18" s="313" t="s">
        <v>681</v>
      </c>
      <c r="I18" s="313"/>
      <c r="J18" s="313"/>
      <c r="K18" s="314">
        <f>'Commission Summary'!$I$8</f>
        <v>0</v>
      </c>
      <c r="L18" s="315"/>
      <c r="M18" s="315"/>
    </row>
    <row r="19" spans="1:13">
      <c r="A19" s="24"/>
      <c r="B19" s="24"/>
      <c r="C19" s="24"/>
      <c r="D19" s="26"/>
      <c r="E19" s="24"/>
      <c r="F19" s="24"/>
      <c r="G19" s="23"/>
      <c r="H19" s="24"/>
      <c r="I19" s="24"/>
      <c r="J19" s="24"/>
      <c r="K19" s="26"/>
      <c r="L19" s="24"/>
      <c r="M19" s="24"/>
    </row>
    <row r="20" spans="1:13">
      <c r="A20" s="316" t="s">
        <v>682</v>
      </c>
      <c r="B20" s="316"/>
      <c r="C20" s="316"/>
      <c r="D20" s="317">
        <f ca="1">'Commission Summary'!$J$7</f>
        <v>2621.5060000000003</v>
      </c>
      <c r="E20" s="318"/>
      <c r="F20" s="318"/>
      <c r="G20" s="23"/>
      <c r="H20" s="316" t="s">
        <v>682</v>
      </c>
      <c r="I20" s="316"/>
      <c r="J20" s="316"/>
      <c r="K20" s="317">
        <f ca="1">'Commission Summary'!$J$8</f>
        <v>498.27400000000011</v>
      </c>
      <c r="L20" s="318"/>
      <c r="M20" s="318"/>
    </row>
    <row r="21" spans="1:13">
      <c r="A21" s="24"/>
      <c r="B21" s="24"/>
      <c r="C21" s="24"/>
      <c r="D21" s="24"/>
      <c r="E21" s="24"/>
      <c r="F21" s="24"/>
      <c r="G21" s="23"/>
      <c r="H21" s="24"/>
      <c r="I21" s="24"/>
      <c r="J21" s="24"/>
      <c r="K21" s="24"/>
      <c r="L21" s="24"/>
      <c r="M21" s="24"/>
    </row>
    <row r="22" spans="1:13">
      <c r="A22" s="24"/>
      <c r="B22" s="24"/>
      <c r="C22" s="24"/>
      <c r="D22" s="24"/>
      <c r="E22" s="24"/>
      <c r="F22" s="24"/>
      <c r="G22" s="23"/>
      <c r="H22" s="24"/>
      <c r="I22" s="24"/>
      <c r="J22" s="24"/>
      <c r="K22" s="24"/>
      <c r="L22" s="24"/>
      <c r="M22" s="24"/>
    </row>
    <row r="23" spans="1:13">
      <c r="A23" s="319" t="s">
        <v>683</v>
      </c>
      <c r="B23" s="319"/>
      <c r="C23" s="319"/>
      <c r="D23" s="319" t="s">
        <v>684</v>
      </c>
      <c r="E23" s="319"/>
      <c r="F23" s="319"/>
      <c r="G23" s="23"/>
      <c r="H23" s="319" t="s">
        <v>683</v>
      </c>
      <c r="I23" s="319"/>
      <c r="J23" s="319"/>
      <c r="K23" s="319" t="s">
        <v>684</v>
      </c>
      <c r="L23" s="319"/>
      <c r="M23" s="319"/>
    </row>
    <row r="24" spans="1:13">
      <c r="A24" s="311"/>
      <c r="B24" s="311"/>
      <c r="C24" s="311"/>
      <c r="D24" s="311"/>
      <c r="E24" s="311"/>
      <c r="F24" s="311"/>
      <c r="G24" s="23"/>
      <c r="H24" s="311"/>
      <c r="I24" s="311"/>
      <c r="J24" s="311"/>
      <c r="K24" s="311"/>
      <c r="L24" s="311"/>
      <c r="M24" s="311"/>
    </row>
    <row r="25" spans="1:13">
      <c r="A25" s="24"/>
      <c r="B25" s="24"/>
      <c r="C25" s="24"/>
      <c r="D25" s="24"/>
      <c r="E25" s="24"/>
      <c r="F25" s="24"/>
      <c r="G25" s="23"/>
      <c r="H25" s="24"/>
      <c r="I25" s="24"/>
      <c r="J25" s="24"/>
      <c r="K25" s="24"/>
      <c r="L25" s="24"/>
      <c r="M25" s="24"/>
    </row>
    <row r="26" spans="1:13">
      <c r="A26" s="312" t="s">
        <v>685</v>
      </c>
      <c r="B26" s="312"/>
      <c r="C26" s="312"/>
      <c r="D26" s="312"/>
      <c r="E26" s="312"/>
      <c r="F26" s="312"/>
      <c r="G26" s="23"/>
      <c r="H26" s="312" t="s">
        <v>685</v>
      </c>
      <c r="I26" s="312"/>
      <c r="J26" s="312"/>
      <c r="K26" s="312"/>
      <c r="L26" s="312"/>
      <c r="M26" s="312"/>
    </row>
    <row r="27" spans="1:13" ht="12" customHeight="1">
      <c r="A27" s="27" t="s">
        <v>686</v>
      </c>
      <c r="B27" s="27"/>
      <c r="C27" s="27"/>
      <c r="D27" s="27"/>
      <c r="E27" s="27"/>
      <c r="F27" s="27"/>
      <c r="G27" s="28"/>
      <c r="H27" s="27" t="s">
        <v>686</v>
      </c>
      <c r="I27" s="27"/>
      <c r="J27" s="27"/>
      <c r="K27" s="27"/>
      <c r="L27" s="27"/>
      <c r="M27" s="27"/>
    </row>
    <row r="28" spans="1:13" ht="19.5">
      <c r="A28" s="331" t="s">
        <v>670</v>
      </c>
      <c r="B28" s="330"/>
      <c r="C28" s="330"/>
      <c r="D28" s="330"/>
      <c r="E28" s="330"/>
      <c r="F28" s="330"/>
      <c r="G28" s="23" t="s">
        <v>671</v>
      </c>
      <c r="H28" s="331" t="s">
        <v>670</v>
      </c>
      <c r="I28" s="330"/>
      <c r="J28" s="330"/>
      <c r="K28" s="330"/>
      <c r="L28" s="330"/>
      <c r="M28" s="330"/>
    </row>
    <row r="29" spans="1:13">
      <c r="A29" s="332" t="s">
        <v>672</v>
      </c>
      <c r="B29" s="319"/>
      <c r="C29" s="319"/>
      <c r="D29" s="319"/>
      <c r="E29" s="319"/>
      <c r="F29" s="319"/>
      <c r="G29" s="23"/>
      <c r="H29" s="332" t="s">
        <v>672</v>
      </c>
      <c r="I29" s="319"/>
      <c r="J29" s="319"/>
      <c r="K29" s="319"/>
      <c r="L29" s="319"/>
      <c r="M29" s="319"/>
    </row>
    <row r="30" spans="1:13">
      <c r="A30" s="333" t="s">
        <v>471</v>
      </c>
      <c r="B30" s="320"/>
      <c r="C30" s="320"/>
      <c r="D30" s="320"/>
      <c r="E30" s="320"/>
      <c r="F30" s="320"/>
      <c r="G30" s="23"/>
      <c r="H30" s="333" t="s">
        <v>471</v>
      </c>
      <c r="I30" s="320"/>
      <c r="J30" s="320"/>
      <c r="K30" s="320"/>
      <c r="L30" s="320"/>
      <c r="M30" s="320"/>
    </row>
    <row r="31" spans="1:13">
      <c r="A31" s="334" t="str">
        <f>"Commission Period: "&amp;'Executive Summary'!$B$3&amp;" 2026"</f>
        <v>Commission Period: August 2026</v>
      </c>
      <c r="B31" s="320"/>
      <c r="C31" s="320"/>
      <c r="D31" s="320"/>
      <c r="E31" s="320"/>
      <c r="F31" s="320"/>
      <c r="G31" s="23"/>
      <c r="H31" s="334" t="str">
        <f>"Commission Period: "&amp;'Executive Summary'!$B$3&amp;" 2026"</f>
        <v>Commission Period: August 2026</v>
      </c>
      <c r="I31" s="320"/>
      <c r="J31" s="320"/>
      <c r="K31" s="320"/>
      <c r="L31" s="320"/>
      <c r="M31" s="320"/>
    </row>
    <row r="32" spans="1:13">
      <c r="A32" s="24"/>
      <c r="B32" s="24"/>
      <c r="C32" s="24"/>
      <c r="D32" s="24"/>
      <c r="E32" s="24"/>
      <c r="F32" s="24"/>
      <c r="G32" s="23"/>
      <c r="H32" s="24"/>
      <c r="I32" s="24"/>
      <c r="J32" s="24"/>
      <c r="K32" s="24"/>
      <c r="L32" s="24"/>
      <c r="M32" s="24"/>
    </row>
    <row r="33" spans="1:13">
      <c r="A33" s="25" t="s">
        <v>673</v>
      </c>
      <c r="B33" s="335" t="str">
        <f>'Commission Summary'!$A$9</f>
        <v>JOVY VILLANUEVA</v>
      </c>
      <c r="C33" s="320"/>
      <c r="D33" s="320"/>
      <c r="E33" s="320"/>
      <c r="F33" s="320"/>
      <c r="G33" s="23"/>
      <c r="H33" s="25" t="s">
        <v>673</v>
      </c>
      <c r="I33" s="335" t="str">
        <f>'Commission Summary'!$A$10</f>
        <v>MARIVIC BRILLANTES</v>
      </c>
      <c r="J33" s="320"/>
      <c r="K33" s="320"/>
      <c r="L33" s="320"/>
      <c r="M33" s="320"/>
    </row>
    <row r="34" spans="1:13">
      <c r="A34" s="25" t="s">
        <v>182</v>
      </c>
      <c r="B34" s="320" t="str">
        <f>'Commission Summary'!$B$9</f>
        <v>direct</v>
      </c>
      <c r="C34" s="320"/>
      <c r="D34" s="25" t="s">
        <v>674</v>
      </c>
      <c r="E34" s="328">
        <f ca="1">TODAY()</f>
        <v>46280</v>
      </c>
      <c r="F34" s="320"/>
      <c r="G34" s="23"/>
      <c r="H34" s="25" t="s">
        <v>182</v>
      </c>
      <c r="I34" s="320" t="str">
        <f>'Commission Summary'!$B$10</f>
        <v>direct</v>
      </c>
      <c r="J34" s="320"/>
      <c r="K34" s="25" t="s">
        <v>674</v>
      </c>
      <c r="L34" s="328">
        <f ca="1">TODAY()</f>
        <v>46280</v>
      </c>
      <c r="M34" s="320"/>
    </row>
    <row r="35" spans="1:13">
      <c r="A35" s="25" t="s">
        <v>675</v>
      </c>
      <c r="B35" s="320" t="str">
        <f>'Executive Summary'!$B$3&amp;" 2026"</f>
        <v>August 2026</v>
      </c>
      <c r="C35" s="320"/>
      <c r="D35" s="25" t="s">
        <v>676</v>
      </c>
      <c r="E35" s="320" t="s">
        <v>677</v>
      </c>
      <c r="F35" s="320"/>
      <c r="G35" s="23"/>
      <c r="H35" s="25" t="s">
        <v>675</v>
      </c>
      <c r="I35" s="320" t="str">
        <f>'Executive Summary'!$B$3&amp;" 2026"</f>
        <v>August 2026</v>
      </c>
      <c r="J35" s="320"/>
      <c r="K35" s="25" t="s">
        <v>676</v>
      </c>
      <c r="L35" s="320" t="s">
        <v>677</v>
      </c>
      <c r="M35" s="320"/>
    </row>
    <row r="36" spans="1:13">
      <c r="A36" s="24"/>
      <c r="B36" s="24"/>
      <c r="C36" s="24"/>
      <c r="D36" s="24"/>
      <c r="E36" s="24"/>
      <c r="F36" s="24"/>
      <c r="G36" s="23"/>
      <c r="H36" s="24"/>
      <c r="I36" s="24"/>
      <c r="J36" s="24"/>
      <c r="K36" s="24"/>
      <c r="L36" s="24"/>
      <c r="M36" s="24"/>
    </row>
    <row r="37" spans="1:13">
      <c r="A37" s="329" t="s">
        <v>678</v>
      </c>
      <c r="B37" s="330"/>
      <c r="C37" s="330"/>
      <c r="D37" s="330"/>
      <c r="E37" s="330"/>
      <c r="F37" s="330"/>
      <c r="G37" s="23"/>
      <c r="H37" s="329" t="s">
        <v>678</v>
      </c>
      <c r="I37" s="330"/>
      <c r="J37" s="330"/>
      <c r="K37" s="330"/>
      <c r="L37" s="330"/>
      <c r="M37" s="330"/>
    </row>
    <row r="38" spans="1:13">
      <c r="A38" s="325" t="s">
        <v>586</v>
      </c>
      <c r="B38" s="326"/>
      <c r="C38" s="326"/>
      <c r="D38" s="327" t="s">
        <v>436</v>
      </c>
      <c r="E38" s="326"/>
      <c r="F38" s="326"/>
      <c r="G38" s="23"/>
      <c r="H38" s="325" t="s">
        <v>586</v>
      </c>
      <c r="I38" s="326"/>
      <c r="J38" s="326"/>
      <c r="K38" s="327" t="s">
        <v>436</v>
      </c>
      <c r="L38" s="326"/>
      <c r="M38" s="326"/>
    </row>
    <row r="39" spans="1:13">
      <c r="A39" s="320" t="s">
        <v>203</v>
      </c>
      <c r="B39" s="320"/>
      <c r="C39" s="320"/>
      <c r="D39" s="323">
        <f ca="1">'Commission Summary'!$C$9</f>
        <v>33922</v>
      </c>
      <c r="E39" s="324"/>
      <c r="F39" s="324"/>
      <c r="G39" s="23"/>
      <c r="H39" s="320" t="s">
        <v>203</v>
      </c>
      <c r="I39" s="320"/>
      <c r="J39" s="320"/>
      <c r="K39" s="323">
        <f ca="1">'Commission Summary'!$C$10</f>
        <v>0</v>
      </c>
      <c r="L39" s="324"/>
      <c r="M39" s="324"/>
    </row>
    <row r="40" spans="1:13">
      <c r="A40" s="320" t="s">
        <v>204</v>
      </c>
      <c r="B40" s="320"/>
      <c r="C40" s="320"/>
      <c r="D40" s="323">
        <f ca="1">'Commission Summary'!$D$9</f>
        <v>6104.24</v>
      </c>
      <c r="E40" s="324"/>
      <c r="F40" s="324"/>
      <c r="G40" s="23"/>
      <c r="H40" s="320" t="s">
        <v>204</v>
      </c>
      <c r="I40" s="320"/>
      <c r="J40" s="320"/>
      <c r="K40" s="323">
        <f ca="1">'Commission Summary'!$D$10</f>
        <v>0</v>
      </c>
      <c r="L40" s="324"/>
      <c r="M40" s="324"/>
    </row>
    <row r="41" spans="1:13">
      <c r="A41" s="320" t="s">
        <v>459</v>
      </c>
      <c r="B41" s="320"/>
      <c r="C41" s="320"/>
      <c r="D41" s="321">
        <f>'Commission Summary'!$E$9</f>
        <v>0.2</v>
      </c>
      <c r="E41" s="322"/>
      <c r="F41" s="322"/>
      <c r="G41" s="23"/>
      <c r="H41" s="320" t="s">
        <v>459</v>
      </c>
      <c r="I41" s="320"/>
      <c r="J41" s="320"/>
      <c r="K41" s="321" t="str">
        <f ca="1">'Commission Summary'!$E$10</f>
        <v/>
      </c>
      <c r="L41" s="322"/>
      <c r="M41" s="322"/>
    </row>
    <row r="42" spans="1:13">
      <c r="A42" s="320" t="s">
        <v>679</v>
      </c>
      <c r="B42" s="320"/>
      <c r="C42" s="320"/>
      <c r="D42" s="323">
        <f ca="1">'Commission Summary'!$F$9</f>
        <v>1220.848</v>
      </c>
      <c r="E42" s="324"/>
      <c r="F42" s="324"/>
      <c r="G42" s="23"/>
      <c r="H42" s="320" t="s">
        <v>679</v>
      </c>
      <c r="I42" s="320"/>
      <c r="J42" s="320"/>
      <c r="K42" s="323">
        <f ca="1">'Commission Summary'!$F$10</f>
        <v>0</v>
      </c>
      <c r="L42" s="324"/>
      <c r="M42" s="324"/>
    </row>
    <row r="43" spans="1:13">
      <c r="A43" s="24"/>
      <c r="B43" s="24"/>
      <c r="C43" s="24"/>
      <c r="D43" s="26"/>
      <c r="E43" s="24"/>
      <c r="F43" s="24"/>
      <c r="G43" s="23"/>
      <c r="H43" s="24"/>
      <c r="I43" s="24"/>
      <c r="J43" s="24"/>
      <c r="K43" s="26"/>
      <c r="L43" s="24"/>
      <c r="M43" s="24"/>
    </row>
    <row r="44" spans="1:13">
      <c r="A44" s="320" t="s">
        <v>680</v>
      </c>
      <c r="B44" s="320"/>
      <c r="C44" s="320"/>
      <c r="D44" s="323">
        <f>'Commission Summary'!$G$9</f>
        <v>0</v>
      </c>
      <c r="E44" s="324"/>
      <c r="F44" s="324"/>
      <c r="G44" s="23"/>
      <c r="H44" s="320" t="s">
        <v>680</v>
      </c>
      <c r="I44" s="320"/>
      <c r="J44" s="320"/>
      <c r="K44" s="323">
        <f>'Commission Summary'!$G$10</f>
        <v>0</v>
      </c>
      <c r="L44" s="324"/>
      <c r="M44" s="324"/>
    </row>
    <row r="45" spans="1:13">
      <c r="A45" s="313" t="s">
        <v>681</v>
      </c>
      <c r="B45" s="313"/>
      <c r="C45" s="313"/>
      <c r="D45" s="314">
        <f ca="1">'Commission Summary'!$I$9</f>
        <v>61.042400000000001</v>
      </c>
      <c r="E45" s="315"/>
      <c r="F45" s="315"/>
      <c r="G45" s="23"/>
      <c r="H45" s="313" t="s">
        <v>681</v>
      </c>
      <c r="I45" s="313"/>
      <c r="J45" s="313"/>
      <c r="K45" s="314">
        <f ca="1">'Commission Summary'!$I$10</f>
        <v>0</v>
      </c>
      <c r="L45" s="315"/>
      <c r="M45" s="315"/>
    </row>
    <row r="46" spans="1:13">
      <c r="A46" s="24"/>
      <c r="B46" s="24"/>
      <c r="C46" s="24"/>
      <c r="D46" s="26"/>
      <c r="E46" s="24"/>
      <c r="F46" s="24"/>
      <c r="G46" s="23"/>
      <c r="H46" s="24"/>
      <c r="I46" s="24"/>
      <c r="J46" s="24"/>
      <c r="K46" s="26"/>
      <c r="L46" s="24"/>
      <c r="M46" s="24"/>
    </row>
    <row r="47" spans="1:13">
      <c r="A47" s="316" t="s">
        <v>682</v>
      </c>
      <c r="B47" s="316"/>
      <c r="C47" s="316"/>
      <c r="D47" s="317">
        <f ca="1">'Commission Summary'!$J$9</f>
        <v>1159.8055999999999</v>
      </c>
      <c r="E47" s="318"/>
      <c r="F47" s="318"/>
      <c r="G47" s="23"/>
      <c r="H47" s="316" t="s">
        <v>682</v>
      </c>
      <c r="I47" s="316"/>
      <c r="J47" s="316"/>
      <c r="K47" s="317">
        <f ca="1">'Commission Summary'!$J$10</f>
        <v>0</v>
      </c>
      <c r="L47" s="318"/>
      <c r="M47" s="318"/>
    </row>
    <row r="48" spans="1:13">
      <c r="A48" s="24"/>
      <c r="B48" s="24"/>
      <c r="C48" s="24"/>
      <c r="D48" s="24"/>
      <c r="E48" s="24"/>
      <c r="F48" s="24"/>
      <c r="G48" s="23"/>
      <c r="H48" s="24"/>
      <c r="I48" s="24"/>
      <c r="J48" s="24"/>
      <c r="K48" s="24"/>
      <c r="L48" s="24"/>
      <c r="M48" s="24"/>
    </row>
    <row r="49" spans="1:13">
      <c r="A49" s="24"/>
      <c r="B49" s="24"/>
      <c r="C49" s="24"/>
      <c r="D49" s="24"/>
      <c r="E49" s="24"/>
      <c r="F49" s="24"/>
      <c r="G49" s="23"/>
      <c r="H49" s="24"/>
      <c r="I49" s="24"/>
      <c r="J49" s="24"/>
      <c r="K49" s="24"/>
      <c r="L49" s="24"/>
      <c r="M49" s="24"/>
    </row>
    <row r="50" spans="1:13">
      <c r="A50" s="319" t="s">
        <v>683</v>
      </c>
      <c r="B50" s="319"/>
      <c r="C50" s="319"/>
      <c r="D50" s="319" t="s">
        <v>684</v>
      </c>
      <c r="E50" s="319"/>
      <c r="F50" s="319"/>
      <c r="G50" s="23"/>
      <c r="H50" s="319" t="s">
        <v>683</v>
      </c>
      <c r="I50" s="319"/>
      <c r="J50" s="319"/>
      <c r="K50" s="319" t="s">
        <v>684</v>
      </c>
      <c r="L50" s="319"/>
      <c r="M50" s="319"/>
    </row>
    <row r="51" spans="1:13">
      <c r="A51" s="311"/>
      <c r="B51" s="311"/>
      <c r="C51" s="311"/>
      <c r="D51" s="311"/>
      <c r="E51" s="311"/>
      <c r="F51" s="311"/>
      <c r="G51" s="23"/>
      <c r="H51" s="311"/>
      <c r="I51" s="311"/>
      <c r="J51" s="311"/>
      <c r="K51" s="311"/>
      <c r="L51" s="311"/>
      <c r="M51" s="311"/>
    </row>
    <row r="52" spans="1:13">
      <c r="A52" s="24"/>
      <c r="B52" s="24"/>
      <c r="C52" s="24"/>
      <c r="D52" s="24"/>
      <c r="E52" s="24"/>
      <c r="F52" s="24"/>
      <c r="G52" s="23"/>
      <c r="H52" s="24"/>
      <c r="I52" s="24"/>
      <c r="J52" s="24"/>
      <c r="K52" s="24"/>
      <c r="L52" s="24"/>
      <c r="M52" s="24"/>
    </row>
    <row r="53" spans="1:13">
      <c r="A53" s="312" t="s">
        <v>685</v>
      </c>
      <c r="B53" s="312"/>
      <c r="C53" s="312"/>
      <c r="D53" s="312"/>
      <c r="E53" s="312"/>
      <c r="F53" s="312"/>
      <c r="G53" s="23"/>
      <c r="H53" s="312" t="s">
        <v>685</v>
      </c>
      <c r="I53" s="312"/>
      <c r="J53" s="312"/>
      <c r="K53" s="312"/>
      <c r="L53" s="312"/>
      <c r="M53" s="312"/>
    </row>
  </sheetData>
  <mergeCells count="125">
    <mergeCell ref="A1:F1"/>
    <mergeCell ref="H1:M1"/>
    <mergeCell ref="O1:Q1"/>
    <mergeCell ref="A2:F2"/>
    <mergeCell ref="H2:M2"/>
    <mergeCell ref="A3:F3"/>
    <mergeCell ref="H3:M3"/>
    <mergeCell ref="A4:F4"/>
    <mergeCell ref="H4:M4"/>
    <mergeCell ref="B6:F6"/>
    <mergeCell ref="I6:M6"/>
    <mergeCell ref="B7:C7"/>
    <mergeCell ref="E7:F7"/>
    <mergeCell ref="I7:J7"/>
    <mergeCell ref="L7:M7"/>
    <mergeCell ref="B8:C8"/>
    <mergeCell ref="E8:F8"/>
    <mergeCell ref="I8:J8"/>
    <mergeCell ref="L8:M8"/>
    <mergeCell ref="A10:F10"/>
    <mergeCell ref="H10:M10"/>
    <mergeCell ref="A11:C11"/>
    <mergeCell ref="D11:F11"/>
    <mergeCell ref="H11:J11"/>
    <mergeCell ref="K11:M11"/>
    <mergeCell ref="A12:C12"/>
    <mergeCell ref="D12:F12"/>
    <mergeCell ref="H12:J12"/>
    <mergeCell ref="K12:M12"/>
    <mergeCell ref="A13:C13"/>
    <mergeCell ref="D13:F13"/>
    <mergeCell ref="H13:J13"/>
    <mergeCell ref="K13:M13"/>
    <mergeCell ref="A14:C14"/>
    <mergeCell ref="D14:F14"/>
    <mergeCell ref="H14:J14"/>
    <mergeCell ref="K14:M14"/>
    <mergeCell ref="A15:C15"/>
    <mergeCell ref="D15:F15"/>
    <mergeCell ref="H15:J15"/>
    <mergeCell ref="K15:M15"/>
    <mergeCell ref="A17:C17"/>
    <mergeCell ref="D17:F17"/>
    <mergeCell ref="H17:J17"/>
    <mergeCell ref="K17:M17"/>
    <mergeCell ref="A18:C18"/>
    <mergeCell ref="D18:F18"/>
    <mergeCell ref="H18:J18"/>
    <mergeCell ref="K18:M18"/>
    <mergeCell ref="A20:C20"/>
    <mergeCell ref="D20:F20"/>
    <mergeCell ref="H20:J20"/>
    <mergeCell ref="K20:M20"/>
    <mergeCell ref="A23:C23"/>
    <mergeCell ref="D23:F23"/>
    <mergeCell ref="H23:J23"/>
    <mergeCell ref="K23:M23"/>
    <mergeCell ref="A24:C24"/>
    <mergeCell ref="D24:F24"/>
    <mergeCell ref="H24:J24"/>
    <mergeCell ref="K24:M24"/>
    <mergeCell ref="A26:F26"/>
    <mergeCell ref="H26:M26"/>
    <mergeCell ref="A28:F28"/>
    <mergeCell ref="H28:M28"/>
    <mergeCell ref="A29:F29"/>
    <mergeCell ref="H29:M29"/>
    <mergeCell ref="A30:F30"/>
    <mergeCell ref="H30:M30"/>
    <mergeCell ref="A31:F31"/>
    <mergeCell ref="H31:M31"/>
    <mergeCell ref="B33:F33"/>
    <mergeCell ref="I33:M33"/>
    <mergeCell ref="B34:C34"/>
    <mergeCell ref="E34:F34"/>
    <mergeCell ref="I34:J34"/>
    <mergeCell ref="L34:M34"/>
    <mergeCell ref="B35:C35"/>
    <mergeCell ref="E35:F35"/>
    <mergeCell ref="I35:J35"/>
    <mergeCell ref="L35:M35"/>
    <mergeCell ref="A37:F37"/>
    <mergeCell ref="H37:M37"/>
    <mergeCell ref="A38:C38"/>
    <mergeCell ref="D38:F38"/>
    <mergeCell ref="H38:J38"/>
    <mergeCell ref="K38:M38"/>
    <mergeCell ref="A39:C39"/>
    <mergeCell ref="D39:F39"/>
    <mergeCell ref="H39:J39"/>
    <mergeCell ref="K39:M39"/>
    <mergeCell ref="A40:C40"/>
    <mergeCell ref="D40:F40"/>
    <mergeCell ref="H40:J40"/>
    <mergeCell ref="K40:M40"/>
    <mergeCell ref="A41:C41"/>
    <mergeCell ref="D41:F41"/>
    <mergeCell ref="H41:J41"/>
    <mergeCell ref="K41:M41"/>
    <mergeCell ref="A42:C42"/>
    <mergeCell ref="D42:F42"/>
    <mergeCell ref="H42:J42"/>
    <mergeCell ref="K42:M42"/>
    <mergeCell ref="A44:C44"/>
    <mergeCell ref="D44:F44"/>
    <mergeCell ref="H44:J44"/>
    <mergeCell ref="K44:M44"/>
    <mergeCell ref="A51:C51"/>
    <mergeCell ref="D51:F51"/>
    <mergeCell ref="H51:J51"/>
    <mergeCell ref="K51:M51"/>
    <mergeCell ref="A53:F53"/>
    <mergeCell ref="H53:M53"/>
    <mergeCell ref="A45:C45"/>
    <mergeCell ref="D45:F45"/>
    <mergeCell ref="H45:J45"/>
    <mergeCell ref="K45:M45"/>
    <mergeCell ref="A47:C47"/>
    <mergeCell ref="D47:F47"/>
    <mergeCell ref="H47:J47"/>
    <mergeCell ref="K47:M47"/>
    <mergeCell ref="A50:C50"/>
    <mergeCell ref="D50:F50"/>
    <mergeCell ref="H50:J50"/>
    <mergeCell ref="K50:M50"/>
  </mergeCells>
  <hyperlinks>
    <hyperlink ref="O1:Q1" location="'Executive Summary'!A1" display="➤ Executive Summary" xr:uid="{00000000-0004-0000-0B00-000000000000}"/>
  </hyperlinks>
  <printOptions horizontalCentered="1" verticalCentered="1"/>
  <pageMargins left="0.25" right="0.25" top="0.4" bottom="0.4" header="0.1" footer="0.1"/>
  <pageSetup scale="94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Q53"/>
  <sheetViews>
    <sheetView workbookViewId="0">
      <selection activeCell="O1" sqref="O1:Q1"/>
    </sheetView>
  </sheetViews>
  <sheetFormatPr defaultColWidth="9" defaultRowHeight="12.75"/>
  <cols>
    <col min="7" max="7" width="2.7109375" customWidth="1"/>
  </cols>
  <sheetData>
    <row r="1" spans="1:17" ht="23.25">
      <c r="A1" s="331" t="s">
        <v>670</v>
      </c>
      <c r="B1" s="330"/>
      <c r="C1" s="330"/>
      <c r="D1" s="330"/>
      <c r="E1" s="330"/>
      <c r="F1" s="330"/>
      <c r="G1" s="23" t="s">
        <v>671</v>
      </c>
      <c r="H1" s="331" t="s">
        <v>670</v>
      </c>
      <c r="I1" s="330"/>
      <c r="J1" s="330"/>
      <c r="K1" s="330"/>
      <c r="L1" s="330"/>
      <c r="M1" s="330"/>
      <c r="O1" s="286" t="s">
        <v>2</v>
      </c>
      <c r="P1" s="287"/>
      <c r="Q1" s="287"/>
    </row>
    <row r="2" spans="1:17">
      <c r="A2" s="332" t="s">
        <v>672</v>
      </c>
      <c r="B2" s="319"/>
      <c r="C2" s="319"/>
      <c r="D2" s="319"/>
      <c r="E2" s="319"/>
      <c r="F2" s="319"/>
      <c r="G2" s="23"/>
      <c r="H2" s="332" t="s">
        <v>672</v>
      </c>
      <c r="I2" s="319"/>
      <c r="J2" s="319"/>
      <c r="K2" s="319"/>
      <c r="L2" s="319"/>
      <c r="M2" s="319"/>
    </row>
    <row r="3" spans="1:17">
      <c r="A3" s="333" t="s">
        <v>471</v>
      </c>
      <c r="B3" s="320"/>
      <c r="C3" s="320"/>
      <c r="D3" s="320"/>
      <c r="E3" s="320"/>
      <c r="F3" s="320"/>
      <c r="G3" s="23"/>
      <c r="H3" s="333" t="s">
        <v>471</v>
      </c>
      <c r="I3" s="320"/>
      <c r="J3" s="320"/>
      <c r="K3" s="320"/>
      <c r="L3" s="320"/>
      <c r="M3" s="320"/>
    </row>
    <row r="4" spans="1:17">
      <c r="A4" s="334" t="str">
        <f>"Commission Period: "&amp;'Executive Summary'!$B$3&amp;" 2026"</f>
        <v>Commission Period: August 2026</v>
      </c>
      <c r="B4" s="320"/>
      <c r="C4" s="320"/>
      <c r="D4" s="320"/>
      <c r="E4" s="320"/>
      <c r="F4" s="320"/>
      <c r="G4" s="23"/>
      <c r="H4" s="334" t="str">
        <f>"Commission Period: "&amp;'Executive Summary'!$B$3&amp;" 2026"</f>
        <v>Commission Period: August 2026</v>
      </c>
      <c r="I4" s="320"/>
      <c r="J4" s="320"/>
      <c r="K4" s="320"/>
      <c r="L4" s="320"/>
      <c r="M4" s="320"/>
    </row>
    <row r="5" spans="1:17">
      <c r="A5" s="24"/>
      <c r="B5" s="24"/>
      <c r="C5" s="24"/>
      <c r="D5" s="24"/>
      <c r="E5" s="24"/>
      <c r="F5" s="24"/>
      <c r="G5" s="23"/>
      <c r="H5" s="24"/>
      <c r="I5" s="24"/>
      <c r="J5" s="24"/>
      <c r="K5" s="24"/>
      <c r="L5" s="24"/>
      <c r="M5" s="24"/>
    </row>
    <row r="6" spans="1:17">
      <c r="A6" s="25" t="s">
        <v>673</v>
      </c>
      <c r="B6" s="335" t="str">
        <f>'Commission Summary'!$A$11</f>
        <v>MICHAEL PLAZA</v>
      </c>
      <c r="C6" s="320"/>
      <c r="D6" s="320"/>
      <c r="E6" s="320"/>
      <c r="F6" s="320"/>
      <c r="G6" s="23"/>
      <c r="H6" s="25" t="s">
        <v>673</v>
      </c>
      <c r="I6" s="335" t="str">
        <f>'Commission Summary'!$A$12</f>
        <v>MODESTO PAG-ARIGON</v>
      </c>
      <c r="J6" s="320"/>
      <c r="K6" s="320"/>
      <c r="L6" s="320"/>
      <c r="M6" s="320"/>
    </row>
    <row r="7" spans="1:17">
      <c r="A7" s="25" t="s">
        <v>182</v>
      </c>
      <c r="B7" s="320" t="str">
        <f>'Commission Summary'!$B$11</f>
        <v>direct</v>
      </c>
      <c r="C7" s="320"/>
      <c r="D7" s="25" t="s">
        <v>674</v>
      </c>
      <c r="E7" s="328">
        <f ca="1">TODAY()</f>
        <v>46280</v>
      </c>
      <c r="F7" s="320"/>
      <c r="G7" s="23"/>
      <c r="H7" s="25" t="s">
        <v>182</v>
      </c>
      <c r="I7" s="320" t="str">
        <f>'Commission Summary'!$B$12</f>
        <v>direct</v>
      </c>
      <c r="J7" s="320"/>
      <c r="K7" s="25" t="s">
        <v>674</v>
      </c>
      <c r="L7" s="328">
        <f ca="1">TODAY()</f>
        <v>46280</v>
      </c>
      <c r="M7" s="320"/>
    </row>
    <row r="8" spans="1:17">
      <c r="A8" s="25" t="s">
        <v>675</v>
      </c>
      <c r="B8" s="320" t="str">
        <f>'Executive Summary'!$B$3&amp;" 2026"</f>
        <v>August 2026</v>
      </c>
      <c r="C8" s="320"/>
      <c r="D8" s="25" t="s">
        <v>676</v>
      </c>
      <c r="E8" s="320" t="s">
        <v>677</v>
      </c>
      <c r="F8" s="320"/>
      <c r="G8" s="23"/>
      <c r="H8" s="25" t="s">
        <v>675</v>
      </c>
      <c r="I8" s="320" t="str">
        <f>'Executive Summary'!$B$3&amp;" 2026"</f>
        <v>August 2026</v>
      </c>
      <c r="J8" s="320"/>
      <c r="K8" s="25" t="s">
        <v>676</v>
      </c>
      <c r="L8" s="320" t="s">
        <v>677</v>
      </c>
      <c r="M8" s="320"/>
    </row>
    <row r="9" spans="1:17">
      <c r="A9" s="24"/>
      <c r="B9" s="24"/>
      <c r="C9" s="24"/>
      <c r="D9" s="24"/>
      <c r="E9" s="24"/>
      <c r="F9" s="24"/>
      <c r="G9" s="23"/>
      <c r="H9" s="24"/>
      <c r="I9" s="24"/>
      <c r="J9" s="24"/>
      <c r="K9" s="24"/>
      <c r="L9" s="24"/>
      <c r="M9" s="24"/>
    </row>
    <row r="10" spans="1:17">
      <c r="A10" s="329" t="s">
        <v>678</v>
      </c>
      <c r="B10" s="330"/>
      <c r="C10" s="330"/>
      <c r="D10" s="330"/>
      <c r="E10" s="330"/>
      <c r="F10" s="330"/>
      <c r="G10" s="23"/>
      <c r="H10" s="329" t="s">
        <v>678</v>
      </c>
      <c r="I10" s="330"/>
      <c r="J10" s="330"/>
      <c r="K10" s="330"/>
      <c r="L10" s="330"/>
      <c r="M10" s="330"/>
    </row>
    <row r="11" spans="1:17">
      <c r="A11" s="325" t="s">
        <v>586</v>
      </c>
      <c r="B11" s="326"/>
      <c r="C11" s="326"/>
      <c r="D11" s="327" t="s">
        <v>436</v>
      </c>
      <c r="E11" s="326"/>
      <c r="F11" s="326"/>
      <c r="G11" s="23"/>
      <c r="H11" s="325" t="s">
        <v>586</v>
      </c>
      <c r="I11" s="326"/>
      <c r="J11" s="326"/>
      <c r="K11" s="327" t="s">
        <v>436</v>
      </c>
      <c r="L11" s="326"/>
      <c r="M11" s="326"/>
    </row>
    <row r="12" spans="1:17">
      <c r="A12" s="320" t="s">
        <v>203</v>
      </c>
      <c r="B12" s="320"/>
      <c r="C12" s="320"/>
      <c r="D12" s="323">
        <f ca="1">'Commission Summary'!$C$11</f>
        <v>817590.78</v>
      </c>
      <c r="E12" s="324"/>
      <c r="F12" s="324"/>
      <c r="G12" s="23"/>
      <c r="H12" s="320" t="s">
        <v>203</v>
      </c>
      <c r="I12" s="320"/>
      <c r="J12" s="320"/>
      <c r="K12" s="323">
        <f ca="1">'Commission Summary'!$C$12</f>
        <v>0</v>
      </c>
      <c r="L12" s="324"/>
      <c r="M12" s="324"/>
    </row>
    <row r="13" spans="1:17">
      <c r="A13" s="320" t="s">
        <v>204</v>
      </c>
      <c r="B13" s="320"/>
      <c r="C13" s="320"/>
      <c r="D13" s="323">
        <f ca="1">'Commission Summary'!$D$11</f>
        <v>223600.76</v>
      </c>
      <c r="E13" s="324"/>
      <c r="F13" s="324"/>
      <c r="G13" s="23"/>
      <c r="H13" s="320" t="s">
        <v>204</v>
      </c>
      <c r="I13" s="320"/>
      <c r="J13" s="320"/>
      <c r="K13" s="323">
        <f ca="1">'Commission Summary'!$D$12</f>
        <v>0</v>
      </c>
      <c r="L13" s="324"/>
      <c r="M13" s="324"/>
    </row>
    <row r="14" spans="1:17">
      <c r="A14" s="320" t="s">
        <v>459</v>
      </c>
      <c r="B14" s="320"/>
      <c r="C14" s="320"/>
      <c r="D14" s="321">
        <f ca="1">'Commission Summary'!$E$11</f>
        <v>0.3</v>
      </c>
      <c r="E14" s="322"/>
      <c r="F14" s="322"/>
      <c r="G14" s="23"/>
      <c r="H14" s="320" t="s">
        <v>459</v>
      </c>
      <c r="I14" s="320"/>
      <c r="J14" s="320"/>
      <c r="K14" s="321" t="str">
        <f ca="1">'Commission Summary'!$E$12</f>
        <v/>
      </c>
      <c r="L14" s="322"/>
      <c r="M14" s="322"/>
    </row>
    <row r="15" spans="1:17">
      <c r="A15" s="320" t="s">
        <v>679</v>
      </c>
      <c r="B15" s="320"/>
      <c r="C15" s="320"/>
      <c r="D15" s="323">
        <f ca="1">'Commission Summary'!$F$11</f>
        <v>67080.228000000003</v>
      </c>
      <c r="E15" s="324"/>
      <c r="F15" s="324"/>
      <c r="G15" s="23"/>
      <c r="H15" s="320" t="s">
        <v>679</v>
      </c>
      <c r="I15" s="320"/>
      <c r="J15" s="320"/>
      <c r="K15" s="323">
        <f ca="1">'Commission Summary'!$F$12</f>
        <v>0</v>
      </c>
      <c r="L15" s="324"/>
      <c r="M15" s="324"/>
    </row>
    <row r="16" spans="1:17">
      <c r="A16" s="24"/>
      <c r="B16" s="24"/>
      <c r="C16" s="24"/>
      <c r="D16" s="26"/>
      <c r="E16" s="24"/>
      <c r="F16" s="24"/>
      <c r="G16" s="23"/>
      <c r="H16" s="24"/>
      <c r="I16" s="24"/>
      <c r="J16" s="24"/>
      <c r="K16" s="26"/>
      <c r="L16" s="24"/>
      <c r="M16" s="24"/>
    </row>
    <row r="17" spans="1:13">
      <c r="A17" s="320" t="s">
        <v>680</v>
      </c>
      <c r="B17" s="320"/>
      <c r="C17" s="320"/>
      <c r="D17" s="323">
        <f>'Commission Summary'!$G$11</f>
        <v>0</v>
      </c>
      <c r="E17" s="324"/>
      <c r="F17" s="324"/>
      <c r="G17" s="23"/>
      <c r="H17" s="320" t="s">
        <v>680</v>
      </c>
      <c r="I17" s="320"/>
      <c r="J17" s="320"/>
      <c r="K17" s="323">
        <f>'Commission Summary'!$G$12</f>
        <v>0</v>
      </c>
      <c r="L17" s="324"/>
      <c r="M17" s="324"/>
    </row>
    <row r="18" spans="1:13">
      <c r="A18" s="313" t="s">
        <v>681</v>
      </c>
      <c r="B18" s="313"/>
      <c r="C18" s="313"/>
      <c r="D18" s="314">
        <f ca="1">'Commission Summary'!$I$11</f>
        <v>3354.0114000000003</v>
      </c>
      <c r="E18" s="315"/>
      <c r="F18" s="315"/>
      <c r="G18" s="23"/>
      <c r="H18" s="313" t="s">
        <v>681</v>
      </c>
      <c r="I18" s="313"/>
      <c r="J18" s="313"/>
      <c r="K18" s="314">
        <f ca="1">'Commission Summary'!$I$12</f>
        <v>0</v>
      </c>
      <c r="L18" s="315"/>
      <c r="M18" s="315"/>
    </row>
    <row r="19" spans="1:13">
      <c r="A19" s="24"/>
      <c r="B19" s="24"/>
      <c r="C19" s="24"/>
      <c r="D19" s="26"/>
      <c r="E19" s="24"/>
      <c r="F19" s="24"/>
      <c r="G19" s="23"/>
      <c r="H19" s="24"/>
      <c r="I19" s="24"/>
      <c r="J19" s="24"/>
      <c r="K19" s="26"/>
      <c r="L19" s="24"/>
      <c r="M19" s="24"/>
    </row>
    <row r="20" spans="1:13">
      <c r="A20" s="316" t="s">
        <v>682</v>
      </c>
      <c r="B20" s="316"/>
      <c r="C20" s="316"/>
      <c r="D20" s="317">
        <f ca="1">'Commission Summary'!$J$11</f>
        <v>63726.2166</v>
      </c>
      <c r="E20" s="318"/>
      <c r="F20" s="318"/>
      <c r="G20" s="23"/>
      <c r="H20" s="316" t="s">
        <v>682</v>
      </c>
      <c r="I20" s="316"/>
      <c r="J20" s="316"/>
      <c r="K20" s="317">
        <f ca="1">'Commission Summary'!$J$12</f>
        <v>0</v>
      </c>
      <c r="L20" s="318"/>
      <c r="M20" s="318"/>
    </row>
    <row r="21" spans="1:13">
      <c r="A21" s="24"/>
      <c r="B21" s="24"/>
      <c r="C21" s="24"/>
      <c r="D21" s="24"/>
      <c r="E21" s="24"/>
      <c r="F21" s="24"/>
      <c r="G21" s="23"/>
      <c r="H21" s="24"/>
      <c r="I21" s="24"/>
      <c r="J21" s="24"/>
      <c r="K21" s="24"/>
      <c r="L21" s="24"/>
      <c r="M21" s="24"/>
    </row>
    <row r="22" spans="1:13">
      <c r="A22" s="24"/>
      <c r="B22" s="24"/>
      <c r="C22" s="24"/>
      <c r="D22" s="24"/>
      <c r="E22" s="24"/>
      <c r="F22" s="24"/>
      <c r="G22" s="23"/>
      <c r="H22" s="24"/>
      <c r="I22" s="24"/>
      <c r="J22" s="24"/>
      <c r="K22" s="24"/>
      <c r="L22" s="24"/>
      <c r="M22" s="24"/>
    </row>
    <row r="23" spans="1:13">
      <c r="A23" s="319" t="s">
        <v>683</v>
      </c>
      <c r="B23" s="319"/>
      <c r="C23" s="319"/>
      <c r="D23" s="319" t="s">
        <v>684</v>
      </c>
      <c r="E23" s="319"/>
      <c r="F23" s="319"/>
      <c r="G23" s="23"/>
      <c r="H23" s="319" t="s">
        <v>683</v>
      </c>
      <c r="I23" s="319"/>
      <c r="J23" s="319"/>
      <c r="K23" s="319" t="s">
        <v>684</v>
      </c>
      <c r="L23" s="319"/>
      <c r="M23" s="319"/>
    </row>
    <row r="24" spans="1:13">
      <c r="A24" s="311"/>
      <c r="B24" s="311"/>
      <c r="C24" s="311"/>
      <c r="D24" s="311"/>
      <c r="E24" s="311"/>
      <c r="F24" s="311"/>
      <c r="G24" s="23"/>
      <c r="H24" s="311"/>
      <c r="I24" s="311"/>
      <c r="J24" s="311"/>
      <c r="K24" s="311"/>
      <c r="L24" s="311"/>
      <c r="M24" s="311"/>
    </row>
    <row r="25" spans="1:13">
      <c r="A25" s="24"/>
      <c r="B25" s="24"/>
      <c r="C25" s="24"/>
      <c r="D25" s="24"/>
      <c r="E25" s="24"/>
      <c r="F25" s="24"/>
      <c r="G25" s="23"/>
      <c r="H25" s="24"/>
      <c r="I25" s="24"/>
      <c r="J25" s="24"/>
      <c r="K25" s="24"/>
      <c r="L25" s="24"/>
      <c r="M25" s="24"/>
    </row>
    <row r="26" spans="1:13">
      <c r="A26" s="312" t="s">
        <v>685</v>
      </c>
      <c r="B26" s="312"/>
      <c r="C26" s="312"/>
      <c r="D26" s="312"/>
      <c r="E26" s="312"/>
      <c r="F26" s="312"/>
      <c r="G26" s="23"/>
      <c r="H26" s="312" t="s">
        <v>685</v>
      </c>
      <c r="I26" s="312"/>
      <c r="J26" s="312"/>
      <c r="K26" s="312"/>
      <c r="L26" s="312"/>
      <c r="M26" s="312"/>
    </row>
    <row r="27" spans="1:13">
      <c r="A27" s="27" t="s">
        <v>686</v>
      </c>
      <c r="B27" s="27"/>
      <c r="C27" s="27"/>
      <c r="D27" s="27"/>
      <c r="E27" s="27"/>
      <c r="F27" s="27"/>
      <c r="G27" s="28"/>
      <c r="H27" s="27" t="s">
        <v>686</v>
      </c>
      <c r="I27" s="27"/>
      <c r="J27" s="27"/>
      <c r="K27" s="27"/>
      <c r="L27" s="27"/>
      <c r="M27" s="27"/>
    </row>
    <row r="28" spans="1:13" ht="19.5">
      <c r="A28" s="331" t="s">
        <v>670</v>
      </c>
      <c r="B28" s="330"/>
      <c r="C28" s="330"/>
      <c r="D28" s="330"/>
      <c r="E28" s="330"/>
      <c r="F28" s="330"/>
      <c r="G28" s="23" t="s">
        <v>671</v>
      </c>
      <c r="H28" s="331" t="s">
        <v>670</v>
      </c>
      <c r="I28" s="330"/>
      <c r="J28" s="330"/>
      <c r="K28" s="330"/>
      <c r="L28" s="330"/>
      <c r="M28" s="330"/>
    </row>
    <row r="29" spans="1:13">
      <c r="A29" s="332" t="s">
        <v>672</v>
      </c>
      <c r="B29" s="319"/>
      <c r="C29" s="319"/>
      <c r="D29" s="319"/>
      <c r="E29" s="319"/>
      <c r="F29" s="319"/>
      <c r="G29" s="23"/>
      <c r="H29" s="332" t="s">
        <v>672</v>
      </c>
      <c r="I29" s="319"/>
      <c r="J29" s="319"/>
      <c r="K29" s="319"/>
      <c r="L29" s="319"/>
      <c r="M29" s="319"/>
    </row>
    <row r="30" spans="1:13">
      <c r="A30" s="333" t="s">
        <v>471</v>
      </c>
      <c r="B30" s="320"/>
      <c r="C30" s="320"/>
      <c r="D30" s="320"/>
      <c r="E30" s="320"/>
      <c r="F30" s="320"/>
      <c r="G30" s="23"/>
      <c r="H30" s="333" t="s">
        <v>471</v>
      </c>
      <c r="I30" s="320"/>
      <c r="J30" s="320"/>
      <c r="K30" s="320"/>
      <c r="L30" s="320"/>
      <c r="M30" s="320"/>
    </row>
    <row r="31" spans="1:13">
      <c r="A31" s="334" t="str">
        <f>"Commission Period: "&amp;'Executive Summary'!$B$3&amp;" 2026"</f>
        <v>Commission Period: August 2026</v>
      </c>
      <c r="B31" s="320"/>
      <c r="C31" s="320"/>
      <c r="D31" s="320"/>
      <c r="E31" s="320"/>
      <c r="F31" s="320"/>
      <c r="G31" s="23"/>
      <c r="H31" s="334" t="str">
        <f>"Commission Period: "&amp;'Executive Summary'!$B$3&amp;" 2026"</f>
        <v>Commission Period: August 2026</v>
      </c>
      <c r="I31" s="320"/>
      <c r="J31" s="320"/>
      <c r="K31" s="320"/>
      <c r="L31" s="320"/>
      <c r="M31" s="320"/>
    </row>
    <row r="32" spans="1:13">
      <c r="A32" s="24"/>
      <c r="B32" s="24"/>
      <c r="C32" s="24"/>
      <c r="D32" s="24"/>
      <c r="E32" s="24"/>
      <c r="F32" s="24"/>
      <c r="G32" s="23"/>
      <c r="H32" s="24"/>
      <c r="I32" s="24"/>
      <c r="J32" s="24"/>
      <c r="K32" s="24"/>
      <c r="L32" s="24"/>
      <c r="M32" s="24"/>
    </row>
    <row r="33" spans="1:13">
      <c r="A33" s="25" t="s">
        <v>673</v>
      </c>
      <c r="B33" s="335" t="str">
        <f>'Commission Summary'!$A$13</f>
        <v>MODESTO PAG-ARIGON - ONLINE</v>
      </c>
      <c r="C33" s="320"/>
      <c r="D33" s="320"/>
      <c r="E33" s="320"/>
      <c r="F33" s="320"/>
      <c r="G33" s="23"/>
      <c r="H33" s="25" t="s">
        <v>673</v>
      </c>
      <c r="I33" s="335" t="str">
        <f>'Commission Summary'!$A$14</f>
        <v>RAMONITO VILLANUEVA - ONLINE</v>
      </c>
      <c r="J33" s="320"/>
      <c r="K33" s="320"/>
      <c r="L33" s="320"/>
      <c r="M33" s="320"/>
    </row>
    <row r="34" spans="1:13">
      <c r="A34" s="25" t="s">
        <v>182</v>
      </c>
      <c r="B34" s="320" t="str">
        <f>'Commission Summary'!$B$13</f>
        <v>online</v>
      </c>
      <c r="C34" s="320"/>
      <c r="D34" s="25" t="s">
        <v>674</v>
      </c>
      <c r="E34" s="328">
        <f ca="1">TODAY()</f>
        <v>46280</v>
      </c>
      <c r="F34" s="320"/>
      <c r="G34" s="23"/>
      <c r="H34" s="25" t="s">
        <v>182</v>
      </c>
      <c r="I34" s="320" t="str">
        <f>'Commission Summary'!$B$14</f>
        <v>online</v>
      </c>
      <c r="J34" s="320"/>
      <c r="K34" s="25" t="s">
        <v>674</v>
      </c>
      <c r="L34" s="328">
        <f ca="1">TODAY()</f>
        <v>46280</v>
      </c>
      <c r="M34" s="320"/>
    </row>
    <row r="35" spans="1:13">
      <c r="A35" s="25" t="s">
        <v>675</v>
      </c>
      <c r="B35" s="320" t="str">
        <f>'Executive Summary'!$B$3&amp;" 2026"</f>
        <v>August 2026</v>
      </c>
      <c r="C35" s="320"/>
      <c r="D35" s="25" t="s">
        <v>676</v>
      </c>
      <c r="E35" s="320" t="s">
        <v>677</v>
      </c>
      <c r="F35" s="320"/>
      <c r="G35" s="23"/>
      <c r="H35" s="25" t="s">
        <v>675</v>
      </c>
      <c r="I35" s="320" t="str">
        <f>'Executive Summary'!$B$3&amp;" 2026"</f>
        <v>August 2026</v>
      </c>
      <c r="J35" s="320"/>
      <c r="K35" s="25" t="s">
        <v>676</v>
      </c>
      <c r="L35" s="320" t="s">
        <v>677</v>
      </c>
      <c r="M35" s="320"/>
    </row>
    <row r="36" spans="1:13">
      <c r="A36" s="24"/>
      <c r="B36" s="24"/>
      <c r="C36" s="24"/>
      <c r="D36" s="24"/>
      <c r="E36" s="24"/>
      <c r="F36" s="24"/>
      <c r="G36" s="23"/>
      <c r="H36" s="24"/>
      <c r="I36" s="24"/>
      <c r="J36" s="24"/>
      <c r="K36" s="24"/>
      <c r="L36" s="24"/>
      <c r="M36" s="24"/>
    </row>
    <row r="37" spans="1:13">
      <c r="A37" s="329" t="s">
        <v>678</v>
      </c>
      <c r="B37" s="330"/>
      <c r="C37" s="330"/>
      <c r="D37" s="330"/>
      <c r="E37" s="330"/>
      <c r="F37" s="330"/>
      <c r="G37" s="23"/>
      <c r="H37" s="329" t="s">
        <v>678</v>
      </c>
      <c r="I37" s="330"/>
      <c r="J37" s="330"/>
      <c r="K37" s="330"/>
      <c r="L37" s="330"/>
      <c r="M37" s="330"/>
    </row>
    <row r="38" spans="1:13">
      <c r="A38" s="325" t="s">
        <v>586</v>
      </c>
      <c r="B38" s="326"/>
      <c r="C38" s="326"/>
      <c r="D38" s="327" t="s">
        <v>436</v>
      </c>
      <c r="E38" s="326"/>
      <c r="F38" s="326"/>
      <c r="G38" s="23"/>
      <c r="H38" s="325" t="s">
        <v>586</v>
      </c>
      <c r="I38" s="326"/>
      <c r="J38" s="326"/>
      <c r="K38" s="327" t="s">
        <v>436</v>
      </c>
      <c r="L38" s="326"/>
      <c r="M38" s="326"/>
    </row>
    <row r="39" spans="1:13">
      <c r="A39" s="320" t="s">
        <v>203</v>
      </c>
      <c r="B39" s="320"/>
      <c r="C39" s="320"/>
      <c r="D39" s="323">
        <f ca="1">'Commission Summary'!$C$13</f>
        <v>48611.93</v>
      </c>
      <c r="E39" s="324"/>
      <c r="F39" s="324"/>
      <c r="G39" s="23"/>
      <c r="H39" s="320" t="s">
        <v>203</v>
      </c>
      <c r="I39" s="320"/>
      <c r="J39" s="320"/>
      <c r="K39" s="323">
        <f ca="1">'Commission Summary'!$C$14</f>
        <v>44225.99</v>
      </c>
      <c r="L39" s="324"/>
      <c r="M39" s="324"/>
    </row>
    <row r="40" spans="1:13">
      <c r="A40" s="320" t="s">
        <v>204</v>
      </c>
      <c r="B40" s="320"/>
      <c r="C40" s="320"/>
      <c r="D40" s="323">
        <f ca="1">'Commission Summary'!$D$13</f>
        <v>15357.74</v>
      </c>
      <c r="E40" s="324"/>
      <c r="F40" s="324"/>
      <c r="G40" s="23"/>
      <c r="H40" s="320" t="s">
        <v>204</v>
      </c>
      <c r="I40" s="320"/>
      <c r="J40" s="320"/>
      <c r="K40" s="323">
        <f ca="1">'Commission Summary'!$D$14</f>
        <v>14231.88</v>
      </c>
      <c r="L40" s="324"/>
      <c r="M40" s="324"/>
    </row>
    <row r="41" spans="1:13">
      <c r="A41" s="320" t="s">
        <v>459</v>
      </c>
      <c r="B41" s="320"/>
      <c r="C41" s="320"/>
      <c r="D41" s="321">
        <f ca="1">'Commission Summary'!$E$13</f>
        <v>0.2</v>
      </c>
      <c r="E41" s="322"/>
      <c r="F41" s="322"/>
      <c r="G41" s="23"/>
      <c r="H41" s="320" t="s">
        <v>459</v>
      </c>
      <c r="I41" s="320"/>
      <c r="J41" s="320"/>
      <c r="K41" s="321">
        <f ca="1">'Commission Summary'!$E$14</f>
        <v>0.2</v>
      </c>
      <c r="L41" s="322"/>
      <c r="M41" s="322"/>
    </row>
    <row r="42" spans="1:13">
      <c r="A42" s="320" t="s">
        <v>679</v>
      </c>
      <c r="B42" s="320"/>
      <c r="C42" s="320"/>
      <c r="D42" s="323">
        <f ca="1">'Commission Summary'!$F$13</f>
        <v>3071.5480000000002</v>
      </c>
      <c r="E42" s="324"/>
      <c r="F42" s="324"/>
      <c r="G42" s="23"/>
      <c r="H42" s="320" t="s">
        <v>679</v>
      </c>
      <c r="I42" s="320"/>
      <c r="J42" s="320"/>
      <c r="K42" s="323">
        <f ca="1">'Commission Summary'!$F$14</f>
        <v>2846.3760000000002</v>
      </c>
      <c r="L42" s="324"/>
      <c r="M42" s="324"/>
    </row>
    <row r="43" spans="1:13">
      <c r="A43" s="24"/>
      <c r="B43" s="24"/>
      <c r="C43" s="24"/>
      <c r="D43" s="26"/>
      <c r="E43" s="24"/>
      <c r="F43" s="24"/>
      <c r="G43" s="23"/>
      <c r="H43" s="24"/>
      <c r="I43" s="24"/>
      <c r="J43" s="24"/>
      <c r="K43" s="26"/>
      <c r="L43" s="24"/>
      <c r="M43" s="24"/>
    </row>
    <row r="44" spans="1:13">
      <c r="A44" s="320" t="s">
        <v>680</v>
      </c>
      <c r="B44" s="320"/>
      <c r="C44" s="320"/>
      <c r="D44" s="323">
        <f>'Commission Summary'!$G$13</f>
        <v>1000</v>
      </c>
      <c r="E44" s="324"/>
      <c r="F44" s="324"/>
      <c r="G44" s="23"/>
      <c r="H44" s="320" t="s">
        <v>680</v>
      </c>
      <c r="I44" s="320"/>
      <c r="J44" s="320"/>
      <c r="K44" s="323">
        <f>'Commission Summary'!$G$14</f>
        <v>1000</v>
      </c>
      <c r="L44" s="324"/>
      <c r="M44" s="324"/>
    </row>
    <row r="45" spans="1:13">
      <c r="A45" s="313" t="s">
        <v>681</v>
      </c>
      <c r="B45" s="313"/>
      <c r="C45" s="313"/>
      <c r="D45" s="314">
        <f>'Commission Summary'!$I$13</f>
        <v>0</v>
      </c>
      <c r="E45" s="315"/>
      <c r="F45" s="315"/>
      <c r="G45" s="23"/>
      <c r="H45" s="313" t="s">
        <v>681</v>
      </c>
      <c r="I45" s="313"/>
      <c r="J45" s="313"/>
      <c r="K45" s="314">
        <f>'Commission Summary'!$I$14</f>
        <v>0</v>
      </c>
      <c r="L45" s="315"/>
      <c r="M45" s="315"/>
    </row>
    <row r="46" spans="1:13">
      <c r="A46" s="24"/>
      <c r="B46" s="24"/>
      <c r="C46" s="24"/>
      <c r="D46" s="26"/>
      <c r="E46" s="24"/>
      <c r="F46" s="24"/>
      <c r="G46" s="23"/>
      <c r="H46" s="24"/>
      <c r="I46" s="24"/>
      <c r="J46" s="24"/>
      <c r="K46" s="26"/>
      <c r="L46" s="24"/>
      <c r="M46" s="24"/>
    </row>
    <row r="47" spans="1:13">
      <c r="A47" s="316" t="s">
        <v>682</v>
      </c>
      <c r="B47" s="316"/>
      <c r="C47" s="316"/>
      <c r="D47" s="317">
        <f ca="1">'Commission Summary'!$J$13</f>
        <v>2071.5480000000002</v>
      </c>
      <c r="E47" s="318"/>
      <c r="F47" s="318"/>
      <c r="G47" s="23"/>
      <c r="H47" s="316" t="s">
        <v>682</v>
      </c>
      <c r="I47" s="316"/>
      <c r="J47" s="316"/>
      <c r="K47" s="317">
        <f ca="1">'Commission Summary'!$J$14</f>
        <v>1846.3760000000002</v>
      </c>
      <c r="L47" s="318"/>
      <c r="M47" s="318"/>
    </row>
    <row r="48" spans="1:13">
      <c r="A48" s="24"/>
      <c r="B48" s="24"/>
      <c r="C48" s="24"/>
      <c r="D48" s="24"/>
      <c r="E48" s="24"/>
      <c r="F48" s="24"/>
      <c r="G48" s="23"/>
      <c r="H48" s="24"/>
      <c r="I48" s="24"/>
      <c r="J48" s="24"/>
      <c r="K48" s="24"/>
      <c r="L48" s="24"/>
      <c r="M48" s="24"/>
    </row>
    <row r="49" spans="1:13">
      <c r="A49" s="24"/>
      <c r="B49" s="24"/>
      <c r="C49" s="24"/>
      <c r="D49" s="24"/>
      <c r="E49" s="24"/>
      <c r="F49" s="24"/>
      <c r="G49" s="23"/>
      <c r="H49" s="24"/>
      <c r="I49" s="24"/>
      <c r="J49" s="24"/>
      <c r="K49" s="24"/>
      <c r="L49" s="24"/>
      <c r="M49" s="24"/>
    </row>
    <row r="50" spans="1:13">
      <c r="A50" s="319" t="s">
        <v>683</v>
      </c>
      <c r="B50" s="319"/>
      <c r="C50" s="319"/>
      <c r="D50" s="319" t="s">
        <v>684</v>
      </c>
      <c r="E50" s="319"/>
      <c r="F50" s="319"/>
      <c r="G50" s="23"/>
      <c r="H50" s="319" t="s">
        <v>683</v>
      </c>
      <c r="I50" s="319"/>
      <c r="J50" s="319"/>
      <c r="K50" s="319" t="s">
        <v>684</v>
      </c>
      <c r="L50" s="319"/>
      <c r="M50" s="319"/>
    </row>
    <row r="51" spans="1:13">
      <c r="A51" s="311"/>
      <c r="B51" s="311"/>
      <c r="C51" s="311"/>
      <c r="D51" s="311"/>
      <c r="E51" s="311"/>
      <c r="F51" s="311"/>
      <c r="G51" s="23"/>
      <c r="H51" s="311"/>
      <c r="I51" s="311"/>
      <c r="J51" s="311"/>
      <c r="K51" s="311"/>
      <c r="L51" s="311"/>
      <c r="M51" s="311"/>
    </row>
    <row r="52" spans="1:13">
      <c r="A52" s="24"/>
      <c r="B52" s="24"/>
      <c r="C52" s="24"/>
      <c r="D52" s="24"/>
      <c r="E52" s="24"/>
      <c r="F52" s="24"/>
      <c r="G52" s="23"/>
      <c r="H52" s="24"/>
      <c r="I52" s="24"/>
      <c r="J52" s="24"/>
      <c r="K52" s="24"/>
      <c r="L52" s="24"/>
      <c r="M52" s="24"/>
    </row>
    <row r="53" spans="1:13">
      <c r="A53" s="312" t="s">
        <v>685</v>
      </c>
      <c r="B53" s="312"/>
      <c r="C53" s="312"/>
      <c r="D53" s="312"/>
      <c r="E53" s="312"/>
      <c r="F53" s="312"/>
      <c r="G53" s="23"/>
      <c r="H53" s="312" t="s">
        <v>685</v>
      </c>
      <c r="I53" s="312"/>
      <c r="J53" s="312"/>
      <c r="K53" s="312"/>
      <c r="L53" s="312"/>
      <c r="M53" s="312"/>
    </row>
  </sheetData>
  <mergeCells count="125">
    <mergeCell ref="A1:F1"/>
    <mergeCell ref="H1:M1"/>
    <mergeCell ref="O1:Q1"/>
    <mergeCell ref="A2:F2"/>
    <mergeCell ref="H2:M2"/>
    <mergeCell ref="A3:F3"/>
    <mergeCell ref="H3:M3"/>
    <mergeCell ref="A4:F4"/>
    <mergeCell ref="H4:M4"/>
    <mergeCell ref="B6:F6"/>
    <mergeCell ref="I6:M6"/>
    <mergeCell ref="B7:C7"/>
    <mergeCell ref="E7:F7"/>
    <mergeCell ref="I7:J7"/>
    <mergeCell ref="L7:M7"/>
    <mergeCell ref="B8:C8"/>
    <mergeCell ref="E8:F8"/>
    <mergeCell ref="I8:J8"/>
    <mergeCell ref="L8:M8"/>
    <mergeCell ref="A10:F10"/>
    <mergeCell ref="H10:M10"/>
    <mergeCell ref="A11:C11"/>
    <mergeCell ref="D11:F11"/>
    <mergeCell ref="H11:J11"/>
    <mergeCell ref="K11:M11"/>
    <mergeCell ref="A12:C12"/>
    <mergeCell ref="D12:F12"/>
    <mergeCell ref="H12:J12"/>
    <mergeCell ref="K12:M12"/>
    <mergeCell ref="A13:C13"/>
    <mergeCell ref="D13:F13"/>
    <mergeCell ref="H13:J13"/>
    <mergeCell ref="K13:M13"/>
    <mergeCell ref="A14:C14"/>
    <mergeCell ref="D14:F14"/>
    <mergeCell ref="H14:J14"/>
    <mergeCell ref="K14:M14"/>
    <mergeCell ref="A15:C15"/>
    <mergeCell ref="D15:F15"/>
    <mergeCell ref="H15:J15"/>
    <mergeCell ref="K15:M15"/>
    <mergeCell ref="A17:C17"/>
    <mergeCell ref="D17:F17"/>
    <mergeCell ref="H17:J17"/>
    <mergeCell ref="K17:M17"/>
    <mergeCell ref="A18:C18"/>
    <mergeCell ref="D18:F18"/>
    <mergeCell ref="H18:J18"/>
    <mergeCell ref="K18:M18"/>
    <mergeCell ref="A20:C20"/>
    <mergeCell ref="D20:F20"/>
    <mergeCell ref="H20:J20"/>
    <mergeCell ref="K20:M20"/>
    <mergeCell ref="A23:C23"/>
    <mergeCell ref="D23:F23"/>
    <mergeCell ref="H23:J23"/>
    <mergeCell ref="K23:M23"/>
    <mergeCell ref="A24:C24"/>
    <mergeCell ref="D24:F24"/>
    <mergeCell ref="H24:J24"/>
    <mergeCell ref="K24:M24"/>
    <mergeCell ref="A26:F26"/>
    <mergeCell ref="H26:M26"/>
    <mergeCell ref="A28:F28"/>
    <mergeCell ref="H28:M28"/>
    <mergeCell ref="A29:F29"/>
    <mergeCell ref="H29:M29"/>
    <mergeCell ref="A30:F30"/>
    <mergeCell ref="H30:M30"/>
    <mergeCell ref="A31:F31"/>
    <mergeCell ref="H31:M31"/>
    <mergeCell ref="B33:F33"/>
    <mergeCell ref="I33:M33"/>
    <mergeCell ref="B34:C34"/>
    <mergeCell ref="E34:F34"/>
    <mergeCell ref="I34:J34"/>
    <mergeCell ref="L34:M34"/>
    <mergeCell ref="B35:C35"/>
    <mergeCell ref="E35:F35"/>
    <mergeCell ref="I35:J35"/>
    <mergeCell ref="L35:M35"/>
    <mergeCell ref="A37:F37"/>
    <mergeCell ref="H37:M37"/>
    <mergeCell ref="A38:C38"/>
    <mergeCell ref="D38:F38"/>
    <mergeCell ref="H38:J38"/>
    <mergeCell ref="K38:M38"/>
    <mergeCell ref="A39:C39"/>
    <mergeCell ref="D39:F39"/>
    <mergeCell ref="H39:J39"/>
    <mergeCell ref="K39:M39"/>
    <mergeCell ref="A40:C40"/>
    <mergeCell ref="D40:F40"/>
    <mergeCell ref="H40:J40"/>
    <mergeCell ref="K40:M40"/>
    <mergeCell ref="A41:C41"/>
    <mergeCell ref="D41:F41"/>
    <mergeCell ref="H41:J41"/>
    <mergeCell ref="K41:M41"/>
    <mergeCell ref="A42:C42"/>
    <mergeCell ref="D42:F42"/>
    <mergeCell ref="H42:J42"/>
    <mergeCell ref="K42:M42"/>
    <mergeCell ref="A44:C44"/>
    <mergeCell ref="D44:F44"/>
    <mergeCell ref="H44:J44"/>
    <mergeCell ref="K44:M44"/>
    <mergeCell ref="A51:C51"/>
    <mergeCell ref="D51:F51"/>
    <mergeCell ref="H51:J51"/>
    <mergeCell ref="K51:M51"/>
    <mergeCell ref="A53:F53"/>
    <mergeCell ref="H53:M53"/>
    <mergeCell ref="A45:C45"/>
    <mergeCell ref="D45:F45"/>
    <mergeCell ref="H45:J45"/>
    <mergeCell ref="K45:M45"/>
    <mergeCell ref="A47:C47"/>
    <mergeCell ref="D47:F47"/>
    <mergeCell ref="H47:J47"/>
    <mergeCell ref="K47:M47"/>
    <mergeCell ref="A50:C50"/>
    <mergeCell ref="D50:F50"/>
    <mergeCell ref="H50:J50"/>
    <mergeCell ref="K50:M50"/>
  </mergeCells>
  <hyperlinks>
    <hyperlink ref="O1:Q1" location="'Executive Summary'!A1" display="➤ Executive Summary" xr:uid="{00000000-0004-0000-0C00-000000000000}"/>
  </hyperlinks>
  <printOptions horizontalCentered="1" verticalCentered="1"/>
  <pageMargins left="0.25" right="0.25" top="0.4" bottom="0.4" header="0.1" footer="0.1"/>
  <pageSetup scale="92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Q26"/>
  <sheetViews>
    <sheetView zoomScale="85" zoomScaleNormal="85" workbookViewId="0">
      <selection activeCell="O1" sqref="O1:Q1"/>
    </sheetView>
  </sheetViews>
  <sheetFormatPr defaultColWidth="9" defaultRowHeight="12.75"/>
  <cols>
    <col min="7" max="7" width="3" customWidth="1"/>
  </cols>
  <sheetData>
    <row r="1" spans="1:17" ht="23.25">
      <c r="A1" s="331" t="s">
        <v>670</v>
      </c>
      <c r="B1" s="330"/>
      <c r="C1" s="330"/>
      <c r="D1" s="330"/>
      <c r="E1" s="330"/>
      <c r="F1" s="330"/>
      <c r="G1" s="23" t="s">
        <v>671</v>
      </c>
      <c r="H1" s="331" t="s">
        <v>670</v>
      </c>
      <c r="I1" s="330"/>
      <c r="J1" s="330"/>
      <c r="K1" s="330"/>
      <c r="L1" s="330"/>
      <c r="M1" s="330"/>
      <c r="O1" s="286" t="s">
        <v>2</v>
      </c>
      <c r="P1" s="287"/>
      <c r="Q1" s="287"/>
    </row>
    <row r="2" spans="1:17">
      <c r="A2" s="332" t="s">
        <v>672</v>
      </c>
      <c r="B2" s="319"/>
      <c r="C2" s="319"/>
      <c r="D2" s="319"/>
      <c r="E2" s="319"/>
      <c r="F2" s="319"/>
      <c r="G2" s="23"/>
      <c r="H2" s="332" t="s">
        <v>672</v>
      </c>
      <c r="I2" s="319"/>
      <c r="J2" s="319"/>
      <c r="K2" s="319"/>
      <c r="L2" s="319"/>
      <c r="M2" s="319"/>
    </row>
    <row r="3" spans="1:17">
      <c r="A3" s="333" t="s">
        <v>471</v>
      </c>
      <c r="B3" s="320"/>
      <c r="C3" s="320"/>
      <c r="D3" s="320"/>
      <c r="E3" s="320"/>
      <c r="F3" s="320"/>
      <c r="G3" s="23"/>
      <c r="H3" s="333" t="s">
        <v>471</v>
      </c>
      <c r="I3" s="320"/>
      <c r="J3" s="320"/>
      <c r="K3" s="320"/>
      <c r="L3" s="320"/>
      <c r="M3" s="320"/>
    </row>
    <row r="4" spans="1:17">
      <c r="A4" s="334" t="str">
        <f>"Commission Period: "&amp;'Executive Summary'!$B$3&amp;" 2026"</f>
        <v>Commission Period: August 2026</v>
      </c>
      <c r="B4" s="320"/>
      <c r="C4" s="320"/>
      <c r="D4" s="320"/>
      <c r="E4" s="320"/>
      <c r="F4" s="320"/>
      <c r="G4" s="23"/>
      <c r="H4" s="334" t="str">
        <f>"Commission Period: "&amp;'Executive Summary'!$B$3&amp;" 2026"</f>
        <v>Commission Period: August 2026</v>
      </c>
      <c r="I4" s="320"/>
      <c r="J4" s="320"/>
      <c r="K4" s="320"/>
      <c r="L4" s="320"/>
      <c r="M4" s="320"/>
    </row>
    <row r="5" spans="1:17">
      <c r="A5" s="24"/>
      <c r="B5" s="24"/>
      <c r="C5" s="24"/>
      <c r="D5" s="24"/>
      <c r="E5" s="24"/>
      <c r="F5" s="24"/>
      <c r="G5" s="23"/>
      <c r="H5" s="24"/>
      <c r="I5" s="24"/>
      <c r="J5" s="24"/>
      <c r="K5" s="24"/>
      <c r="L5" s="24"/>
      <c r="M5" s="24"/>
    </row>
    <row r="6" spans="1:17">
      <c r="A6" s="25" t="s">
        <v>673</v>
      </c>
      <c r="B6" s="335" t="str">
        <f>'Commission Summary'!$A$15</f>
        <v>ROCKY DELA PENA</v>
      </c>
      <c r="C6" s="320"/>
      <c r="D6" s="320"/>
      <c r="E6" s="320"/>
      <c r="F6" s="320"/>
      <c r="G6" s="23"/>
      <c r="H6" s="25" t="s">
        <v>673</v>
      </c>
      <c r="I6" s="335" t="str">
        <f>'Commission Summary'!$A$16</f>
        <v>ROD SANTIAGO</v>
      </c>
      <c r="J6" s="320"/>
      <c r="K6" s="320"/>
      <c r="L6" s="320"/>
      <c r="M6" s="320"/>
    </row>
    <row r="7" spans="1:17">
      <c r="A7" s="25" t="s">
        <v>182</v>
      </c>
      <c r="B7" s="320" t="str">
        <f>'Commission Summary'!$B$15</f>
        <v>direct</v>
      </c>
      <c r="C7" s="320"/>
      <c r="D7" s="25" t="s">
        <v>674</v>
      </c>
      <c r="E7" s="328">
        <f ca="1">TODAY()</f>
        <v>46280</v>
      </c>
      <c r="F7" s="320"/>
      <c r="G7" s="23"/>
      <c r="H7" s="25" t="s">
        <v>182</v>
      </c>
      <c r="I7" s="320" t="str">
        <f>'Commission Summary'!$B$16</f>
        <v>direct</v>
      </c>
      <c r="J7" s="320"/>
      <c r="K7" s="25" t="s">
        <v>674</v>
      </c>
      <c r="L7" s="328">
        <f ca="1">TODAY()</f>
        <v>46280</v>
      </c>
      <c r="M7" s="320"/>
    </row>
    <row r="8" spans="1:17">
      <c r="A8" s="25" t="s">
        <v>675</v>
      </c>
      <c r="B8" s="320" t="str">
        <f>'Executive Summary'!$B$3&amp;" 2026"</f>
        <v>August 2026</v>
      </c>
      <c r="C8" s="320"/>
      <c r="D8" s="25" t="s">
        <v>676</v>
      </c>
      <c r="E8" s="320" t="s">
        <v>677</v>
      </c>
      <c r="F8" s="320"/>
      <c r="G8" s="23"/>
      <c r="H8" s="25" t="s">
        <v>675</v>
      </c>
      <c r="I8" s="320" t="str">
        <f>'Executive Summary'!$B$3&amp;" 2026"</f>
        <v>August 2026</v>
      </c>
      <c r="J8" s="320"/>
      <c r="K8" s="25" t="s">
        <v>676</v>
      </c>
      <c r="L8" s="320" t="s">
        <v>677</v>
      </c>
      <c r="M8" s="320"/>
    </row>
    <row r="9" spans="1:17">
      <c r="A9" s="24"/>
      <c r="B9" s="24"/>
      <c r="C9" s="24"/>
      <c r="D9" s="24"/>
      <c r="E9" s="24"/>
      <c r="F9" s="24"/>
      <c r="G9" s="23"/>
      <c r="H9" s="24"/>
      <c r="I9" s="24"/>
      <c r="J9" s="24"/>
      <c r="K9" s="24"/>
      <c r="L9" s="24"/>
      <c r="M9" s="24"/>
    </row>
    <row r="10" spans="1:17">
      <c r="A10" s="329" t="s">
        <v>678</v>
      </c>
      <c r="B10" s="330"/>
      <c r="C10" s="330"/>
      <c r="D10" s="330"/>
      <c r="E10" s="330"/>
      <c r="F10" s="330"/>
      <c r="G10" s="23"/>
      <c r="H10" s="329" t="s">
        <v>678</v>
      </c>
      <c r="I10" s="330"/>
      <c r="J10" s="330"/>
      <c r="K10" s="330"/>
      <c r="L10" s="330"/>
      <c r="M10" s="330"/>
    </row>
    <row r="11" spans="1:17">
      <c r="A11" s="325" t="s">
        <v>586</v>
      </c>
      <c r="B11" s="326"/>
      <c r="C11" s="326"/>
      <c r="D11" s="327" t="s">
        <v>436</v>
      </c>
      <c r="E11" s="326"/>
      <c r="F11" s="326"/>
      <c r="G11" s="23"/>
      <c r="H11" s="325" t="s">
        <v>586</v>
      </c>
      <c r="I11" s="326"/>
      <c r="J11" s="326"/>
      <c r="K11" s="327" t="s">
        <v>436</v>
      </c>
      <c r="L11" s="326"/>
      <c r="M11" s="326"/>
    </row>
    <row r="12" spans="1:17">
      <c r="A12" s="320" t="s">
        <v>203</v>
      </c>
      <c r="B12" s="320"/>
      <c r="C12" s="320"/>
      <c r="D12" s="323">
        <f ca="1">'Commission Summary'!$C$15</f>
        <v>45600</v>
      </c>
      <c r="E12" s="324"/>
      <c r="F12" s="324"/>
      <c r="G12" s="23"/>
      <c r="H12" s="320" t="s">
        <v>203</v>
      </c>
      <c r="I12" s="320"/>
      <c r="J12" s="320"/>
      <c r="K12" s="323">
        <f ca="1">'Commission Summary'!$C$16</f>
        <v>1354410</v>
      </c>
      <c r="L12" s="324"/>
      <c r="M12" s="324"/>
    </row>
    <row r="13" spans="1:17">
      <c r="A13" s="320" t="s">
        <v>204</v>
      </c>
      <c r="B13" s="320"/>
      <c r="C13" s="320"/>
      <c r="D13" s="323">
        <f ca="1">'Commission Summary'!$D$15</f>
        <v>22038.31</v>
      </c>
      <c r="E13" s="324"/>
      <c r="F13" s="324"/>
      <c r="G13" s="23"/>
      <c r="H13" s="320" t="s">
        <v>204</v>
      </c>
      <c r="I13" s="320"/>
      <c r="J13" s="320"/>
      <c r="K13" s="323">
        <f ca="1">'Commission Summary'!$D$16</f>
        <v>224652.49</v>
      </c>
      <c r="L13" s="324"/>
      <c r="M13" s="324"/>
    </row>
    <row r="14" spans="1:17">
      <c r="A14" s="320" t="s">
        <v>459</v>
      </c>
      <c r="B14" s="320"/>
      <c r="C14" s="320"/>
      <c r="D14" s="321">
        <f ca="1">'Commission Summary'!$E$15</f>
        <v>0.2</v>
      </c>
      <c r="E14" s="322"/>
      <c r="F14" s="322"/>
      <c r="G14" s="23"/>
      <c r="H14" s="320" t="s">
        <v>459</v>
      </c>
      <c r="I14" s="320"/>
      <c r="J14" s="320"/>
      <c r="K14" s="321">
        <f ca="1">'Commission Summary'!$E$16</f>
        <v>0.3</v>
      </c>
      <c r="L14" s="322"/>
      <c r="M14" s="322"/>
    </row>
    <row r="15" spans="1:17">
      <c r="A15" s="320" t="s">
        <v>679</v>
      </c>
      <c r="B15" s="320"/>
      <c r="C15" s="320"/>
      <c r="D15" s="323">
        <f ca="1">'Commission Summary'!$F$15</f>
        <v>4407.6620000000003</v>
      </c>
      <c r="E15" s="324"/>
      <c r="F15" s="324"/>
      <c r="G15" s="23"/>
      <c r="H15" s="320" t="s">
        <v>679</v>
      </c>
      <c r="I15" s="320"/>
      <c r="J15" s="320"/>
      <c r="K15" s="323">
        <f ca="1">'Commission Summary'!$F$16</f>
        <v>67395.746999999988</v>
      </c>
      <c r="L15" s="324"/>
      <c r="M15" s="324"/>
    </row>
    <row r="16" spans="1:17">
      <c r="A16" s="24"/>
      <c r="B16" s="24"/>
      <c r="C16" s="24"/>
      <c r="D16" s="26"/>
      <c r="E16" s="24"/>
      <c r="F16" s="24"/>
      <c r="G16" s="23"/>
      <c r="H16" s="24"/>
      <c r="I16" s="24"/>
      <c r="J16" s="24"/>
      <c r="K16" s="26"/>
      <c r="L16" s="24"/>
      <c r="M16" s="24"/>
    </row>
    <row r="17" spans="1:13">
      <c r="A17" s="320" t="s">
        <v>680</v>
      </c>
      <c r="B17" s="320"/>
      <c r="C17" s="320"/>
      <c r="D17" s="323">
        <f>'Commission Summary'!$G$15</f>
        <v>0</v>
      </c>
      <c r="E17" s="324"/>
      <c r="F17" s="324"/>
      <c r="G17" s="23"/>
      <c r="H17" s="320" t="s">
        <v>680</v>
      </c>
      <c r="I17" s="320"/>
      <c r="J17" s="320"/>
      <c r="K17" s="323">
        <f>'Commission Summary'!$G$16</f>
        <v>0</v>
      </c>
      <c r="L17" s="324"/>
      <c r="M17" s="324"/>
    </row>
    <row r="18" spans="1:13">
      <c r="A18" s="313" t="s">
        <v>681</v>
      </c>
      <c r="B18" s="313"/>
      <c r="C18" s="313"/>
      <c r="D18" s="314">
        <f ca="1">'Commission Summary'!$I$15</f>
        <v>220.38310000000001</v>
      </c>
      <c r="E18" s="315"/>
      <c r="F18" s="315"/>
      <c r="G18" s="23"/>
      <c r="H18" s="313" t="s">
        <v>681</v>
      </c>
      <c r="I18" s="313"/>
      <c r="J18" s="313"/>
      <c r="K18" s="314">
        <f ca="1">'Commission Summary'!$I$16</f>
        <v>3369.7873499999996</v>
      </c>
      <c r="L18" s="315"/>
      <c r="M18" s="315"/>
    </row>
    <row r="19" spans="1:13">
      <c r="A19" s="24"/>
      <c r="B19" s="24"/>
      <c r="C19" s="24"/>
      <c r="D19" s="26"/>
      <c r="E19" s="24"/>
      <c r="F19" s="24"/>
      <c r="G19" s="23"/>
      <c r="H19" s="24"/>
      <c r="I19" s="24"/>
      <c r="J19" s="24"/>
      <c r="K19" s="26"/>
      <c r="L19" s="24"/>
      <c r="M19" s="24"/>
    </row>
    <row r="20" spans="1:13">
      <c r="A20" s="316" t="s">
        <v>682</v>
      </c>
      <c r="B20" s="316"/>
      <c r="C20" s="316"/>
      <c r="D20" s="317">
        <f ca="1">'Commission Summary'!$J$15</f>
        <v>4187.2789000000002</v>
      </c>
      <c r="E20" s="318"/>
      <c r="F20" s="318"/>
      <c r="G20" s="23"/>
      <c r="H20" s="316" t="s">
        <v>682</v>
      </c>
      <c r="I20" s="316"/>
      <c r="J20" s="316"/>
      <c r="K20" s="317">
        <f ca="1">'Commission Summary'!$J$16</f>
        <v>64025.95964999999</v>
      </c>
      <c r="L20" s="318"/>
      <c r="M20" s="318"/>
    </row>
    <row r="21" spans="1:13">
      <c r="A21" s="24"/>
      <c r="B21" s="24"/>
      <c r="C21" s="24"/>
      <c r="D21" s="24"/>
      <c r="E21" s="24"/>
      <c r="F21" s="24"/>
      <c r="G21" s="23"/>
      <c r="H21" s="24"/>
      <c r="I21" s="24"/>
      <c r="J21" s="24"/>
      <c r="K21" s="24"/>
      <c r="L21" s="24"/>
      <c r="M21" s="24"/>
    </row>
    <row r="22" spans="1:13">
      <c r="A22" s="24"/>
      <c r="B22" s="24"/>
      <c r="C22" s="24"/>
      <c r="D22" s="24"/>
      <c r="E22" s="24"/>
      <c r="F22" s="24"/>
      <c r="G22" s="23"/>
      <c r="H22" s="24"/>
      <c r="I22" s="24"/>
      <c r="J22" s="24"/>
      <c r="K22" s="24"/>
      <c r="L22" s="24"/>
      <c r="M22" s="24"/>
    </row>
    <row r="23" spans="1:13">
      <c r="A23" s="319" t="s">
        <v>683</v>
      </c>
      <c r="B23" s="319"/>
      <c r="C23" s="319"/>
      <c r="D23" s="319" t="s">
        <v>684</v>
      </c>
      <c r="E23" s="319"/>
      <c r="F23" s="319"/>
      <c r="G23" s="23"/>
      <c r="H23" s="319" t="s">
        <v>683</v>
      </c>
      <c r="I23" s="319"/>
      <c r="J23" s="319"/>
      <c r="K23" s="319" t="s">
        <v>684</v>
      </c>
      <c r="L23" s="319"/>
      <c r="M23" s="319"/>
    </row>
    <row r="24" spans="1:13">
      <c r="A24" s="311"/>
      <c r="B24" s="311"/>
      <c r="C24" s="311"/>
      <c r="D24" s="311"/>
      <c r="E24" s="311"/>
      <c r="F24" s="311"/>
      <c r="G24" s="23"/>
      <c r="H24" s="311"/>
      <c r="I24" s="311"/>
      <c r="J24" s="311"/>
      <c r="K24" s="311"/>
      <c r="L24" s="311"/>
      <c r="M24" s="311"/>
    </row>
    <row r="25" spans="1:13">
      <c r="A25" s="24"/>
      <c r="B25" s="24"/>
      <c r="C25" s="24"/>
      <c r="D25" s="24"/>
      <c r="E25" s="24"/>
      <c r="F25" s="24"/>
      <c r="G25" s="23"/>
      <c r="H25" s="24"/>
      <c r="I25" s="24"/>
      <c r="J25" s="24"/>
      <c r="K25" s="24"/>
      <c r="L25" s="24"/>
      <c r="M25" s="24"/>
    </row>
    <row r="26" spans="1:13">
      <c r="A26" s="312" t="s">
        <v>685</v>
      </c>
      <c r="B26" s="312"/>
      <c r="C26" s="312"/>
      <c r="D26" s="312"/>
      <c r="E26" s="312"/>
      <c r="F26" s="312"/>
      <c r="G26" s="23"/>
      <c r="H26" s="312" t="s">
        <v>685</v>
      </c>
      <c r="I26" s="312"/>
      <c r="J26" s="312"/>
      <c r="K26" s="312"/>
      <c r="L26" s="312"/>
      <c r="M26" s="312"/>
    </row>
  </sheetData>
  <mergeCells count="63">
    <mergeCell ref="A1:F1"/>
    <mergeCell ref="H1:M1"/>
    <mergeCell ref="O1:Q1"/>
    <mergeCell ref="A2:F2"/>
    <mergeCell ref="H2:M2"/>
    <mergeCell ref="A3:F3"/>
    <mergeCell ref="H3:M3"/>
    <mergeCell ref="A4:F4"/>
    <mergeCell ref="H4:M4"/>
    <mergeCell ref="B6:F6"/>
    <mergeCell ref="I6:M6"/>
    <mergeCell ref="B7:C7"/>
    <mergeCell ref="E7:F7"/>
    <mergeCell ref="I7:J7"/>
    <mergeCell ref="L7:M7"/>
    <mergeCell ref="B8:C8"/>
    <mergeCell ref="E8:F8"/>
    <mergeCell ref="I8:J8"/>
    <mergeCell ref="L8:M8"/>
    <mergeCell ref="A10:F10"/>
    <mergeCell ref="H10:M10"/>
    <mergeCell ref="A11:C11"/>
    <mergeCell ref="D11:F11"/>
    <mergeCell ref="H11:J11"/>
    <mergeCell ref="K11:M11"/>
    <mergeCell ref="A12:C12"/>
    <mergeCell ref="D12:F12"/>
    <mergeCell ref="H12:J12"/>
    <mergeCell ref="K12:M12"/>
    <mergeCell ref="A13:C13"/>
    <mergeCell ref="D13:F13"/>
    <mergeCell ref="H13:J13"/>
    <mergeCell ref="K13:M13"/>
    <mergeCell ref="A14:C14"/>
    <mergeCell ref="D14:F14"/>
    <mergeCell ref="H14:J14"/>
    <mergeCell ref="K14:M14"/>
    <mergeCell ref="A15:C15"/>
    <mergeCell ref="D15:F15"/>
    <mergeCell ref="H15:J15"/>
    <mergeCell ref="K15:M15"/>
    <mergeCell ref="A17:C17"/>
    <mergeCell ref="D17:F17"/>
    <mergeCell ref="H17:J17"/>
    <mergeCell ref="K17:M17"/>
    <mergeCell ref="A18:C18"/>
    <mergeCell ref="D18:F18"/>
    <mergeCell ref="H18:J18"/>
    <mergeCell ref="K18:M18"/>
    <mergeCell ref="A20:C20"/>
    <mergeCell ref="D20:F20"/>
    <mergeCell ref="H20:J20"/>
    <mergeCell ref="K20:M20"/>
    <mergeCell ref="A23:C23"/>
    <mergeCell ref="D23:F23"/>
    <mergeCell ref="H23:J23"/>
    <mergeCell ref="K23:M23"/>
    <mergeCell ref="A24:C24"/>
    <mergeCell ref="D24:F24"/>
    <mergeCell ref="H24:J24"/>
    <mergeCell ref="K24:M24"/>
    <mergeCell ref="A26:F26"/>
    <mergeCell ref="H26:M26"/>
  </mergeCells>
  <hyperlinks>
    <hyperlink ref="O1:Q1" location="'Executive Summary'!A1" display="➤ Executive Summary" xr:uid="{00000000-0004-0000-0D00-000000000000}"/>
  </hyperlinks>
  <printOptions horizontalCentered="1"/>
  <pageMargins left="0.25" right="0.25" top="0.4" bottom="0.4" header="0.1" footer="0.1"/>
  <pageSetup scale="92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43"/>
  <sheetViews>
    <sheetView topLeftCell="A23" workbookViewId="0">
      <selection activeCell="F41" sqref="F41"/>
    </sheetView>
  </sheetViews>
  <sheetFormatPr defaultColWidth="9" defaultRowHeight="12.75"/>
  <cols>
    <col min="2" max="2" width="32.7109375" customWidth="1"/>
    <col min="3" max="3" width="24" style="6" customWidth="1"/>
    <col min="4" max="4" width="25.28515625" customWidth="1"/>
    <col min="5" max="5" width="20.140625" customWidth="1"/>
    <col min="6" max="6" width="12.7109375" customWidth="1"/>
  </cols>
  <sheetData>
    <row r="1" spans="2:9" ht="25.5">
      <c r="D1" s="269" t="s">
        <v>2</v>
      </c>
      <c r="E1" s="270"/>
    </row>
    <row r="3" spans="2:9">
      <c r="E3" s="336"/>
      <c r="F3" s="336"/>
      <c r="G3" s="336"/>
      <c r="H3" s="336"/>
      <c r="I3" s="336"/>
    </row>
    <row r="4" spans="2:9">
      <c r="B4" s="8" t="s">
        <v>181</v>
      </c>
      <c r="C4" s="8" t="s">
        <v>182</v>
      </c>
      <c r="D4" s="9">
        <v>199999</v>
      </c>
      <c r="E4" s="9">
        <v>200001</v>
      </c>
    </row>
    <row r="5" spans="2:9" ht="38.25">
      <c r="B5" s="10" t="s">
        <v>493</v>
      </c>
      <c r="C5" s="11">
        <f t="shared" ref="C5:C14" si="0">IF(B5="online",Agent_Online_Rate,Agent_Base_Rate)</f>
        <v>0.2</v>
      </c>
      <c r="D5" s="12">
        <f t="shared" ref="D5:D14" si="1">IF(B5="online",Agent_Online_Rate,Agent_High_Rate)</f>
        <v>0.3</v>
      </c>
      <c r="E5" s="12">
        <v>0.3</v>
      </c>
      <c r="F5" t="s">
        <v>687</v>
      </c>
    </row>
    <row r="6" spans="2:9" ht="38.25">
      <c r="B6" s="10" t="s">
        <v>505</v>
      </c>
      <c r="C6" s="11">
        <f t="shared" si="0"/>
        <v>0.2</v>
      </c>
      <c r="D6" s="12">
        <f t="shared" si="1"/>
        <v>0.3</v>
      </c>
      <c r="E6" s="12">
        <v>0.2</v>
      </c>
      <c r="F6" t="s">
        <v>687</v>
      </c>
    </row>
    <row r="7" spans="2:9" ht="38.25">
      <c r="B7" s="10" t="s">
        <v>510</v>
      </c>
      <c r="C7" s="11">
        <f t="shared" si="0"/>
        <v>0.2</v>
      </c>
      <c r="D7" s="12">
        <f t="shared" si="1"/>
        <v>0.3</v>
      </c>
      <c r="E7" s="12">
        <v>0.3</v>
      </c>
      <c r="F7" t="s">
        <v>687</v>
      </c>
    </row>
    <row r="8" spans="2:9" ht="38.25">
      <c r="B8" s="10" t="s">
        <v>515</v>
      </c>
      <c r="C8" s="11">
        <f t="shared" si="0"/>
        <v>0.2</v>
      </c>
      <c r="D8" s="12">
        <f t="shared" si="1"/>
        <v>0.3</v>
      </c>
      <c r="E8" s="12">
        <v>0.3</v>
      </c>
      <c r="F8" t="s">
        <v>687</v>
      </c>
    </row>
    <row r="9" spans="2:9" ht="38.25">
      <c r="B9" s="10" t="s">
        <v>520</v>
      </c>
      <c r="C9" s="11">
        <f t="shared" si="0"/>
        <v>0.2</v>
      </c>
      <c r="D9" s="12">
        <f t="shared" si="1"/>
        <v>0.3</v>
      </c>
      <c r="E9" s="12">
        <v>0.3</v>
      </c>
      <c r="F9" t="s">
        <v>687</v>
      </c>
    </row>
    <row r="10" spans="2:9" ht="38.25">
      <c r="B10" s="10" t="s">
        <v>525</v>
      </c>
      <c r="C10" s="11">
        <f t="shared" si="0"/>
        <v>0.2</v>
      </c>
      <c r="D10" s="12">
        <f t="shared" si="1"/>
        <v>0.3</v>
      </c>
      <c r="E10" s="12">
        <v>0.3</v>
      </c>
      <c r="F10" t="s">
        <v>687</v>
      </c>
    </row>
    <row r="11" spans="2:9" ht="38.25">
      <c r="B11" s="10" t="s">
        <v>530</v>
      </c>
      <c r="C11" s="11">
        <f t="shared" si="0"/>
        <v>0.2</v>
      </c>
      <c r="D11" s="12">
        <f t="shared" si="1"/>
        <v>0.3</v>
      </c>
      <c r="E11" s="12">
        <v>0.2</v>
      </c>
      <c r="F11" t="s">
        <v>687</v>
      </c>
    </row>
    <row r="12" spans="2:9" ht="38.25">
      <c r="B12" s="10" t="s">
        <v>535</v>
      </c>
      <c r="C12" s="11">
        <f t="shared" si="0"/>
        <v>0.2</v>
      </c>
      <c r="D12" s="12">
        <f t="shared" si="1"/>
        <v>0.3</v>
      </c>
      <c r="E12" s="12">
        <v>0.2</v>
      </c>
      <c r="F12" t="s">
        <v>687</v>
      </c>
    </row>
    <row r="13" spans="2:9" ht="38.25">
      <c r="B13" s="10" t="s">
        <v>540</v>
      </c>
      <c r="C13" s="11">
        <f t="shared" si="0"/>
        <v>0.2</v>
      </c>
      <c r="D13" s="12">
        <f t="shared" si="1"/>
        <v>0.3</v>
      </c>
      <c r="E13" s="12">
        <v>0.3</v>
      </c>
      <c r="F13" t="s">
        <v>687</v>
      </c>
    </row>
    <row r="14" spans="2:9" ht="38.25">
      <c r="B14" s="10" t="s">
        <v>545</v>
      </c>
      <c r="C14" s="11">
        <f t="shared" si="0"/>
        <v>0.2</v>
      </c>
      <c r="D14" s="12">
        <f t="shared" si="1"/>
        <v>0.3</v>
      </c>
      <c r="E14" s="12">
        <v>0.3</v>
      </c>
      <c r="F14" t="s">
        <v>687</v>
      </c>
    </row>
    <row r="17" spans="1:6" ht="114.75">
      <c r="A17" t="s">
        <v>24</v>
      </c>
      <c r="B17" s="13" t="s">
        <v>688</v>
      </c>
      <c r="C17" s="14"/>
      <c r="D17" s="15" t="s">
        <v>689</v>
      </c>
      <c r="E17" s="15"/>
      <c r="F17" s="15" t="s">
        <v>690</v>
      </c>
    </row>
    <row r="18" spans="1:6" ht="25.5">
      <c r="A18" t="s">
        <v>286</v>
      </c>
      <c r="B18" s="13" t="s">
        <v>691</v>
      </c>
      <c r="C18" s="14"/>
      <c r="D18" s="15" t="s">
        <v>692</v>
      </c>
      <c r="F18" s="15"/>
    </row>
    <row r="19" spans="1:6" ht="25.5">
      <c r="A19" t="s">
        <v>288</v>
      </c>
      <c r="B19" s="13" t="s">
        <v>693</v>
      </c>
      <c r="C19" s="14"/>
      <c r="D19" t="s">
        <v>694</v>
      </c>
      <c r="F19" s="15" t="s">
        <v>695</v>
      </c>
    </row>
    <row r="20" spans="1:6" ht="25.5">
      <c r="A20" t="s">
        <v>392</v>
      </c>
      <c r="B20" s="13" t="s">
        <v>696</v>
      </c>
      <c r="C20" s="16"/>
      <c r="D20" t="s">
        <v>391</v>
      </c>
      <c r="F20" s="15" t="s">
        <v>391</v>
      </c>
    </row>
    <row r="21" spans="1:6" ht="21">
      <c r="A21" t="s">
        <v>394</v>
      </c>
      <c r="B21" s="13" t="s">
        <v>696</v>
      </c>
      <c r="C21" s="16"/>
      <c r="D21" t="s">
        <v>697</v>
      </c>
      <c r="F21" s="15" t="s">
        <v>698</v>
      </c>
    </row>
    <row r="22" spans="1:6" ht="25.5">
      <c r="A22" t="s">
        <v>396</v>
      </c>
      <c r="B22" s="13" t="s">
        <v>696</v>
      </c>
      <c r="C22" s="16"/>
      <c r="D22" t="s">
        <v>448</v>
      </c>
      <c r="F22" s="15" t="s">
        <v>699</v>
      </c>
    </row>
    <row r="23" spans="1:6" ht="25.5">
      <c r="A23" t="s">
        <v>400</v>
      </c>
      <c r="B23" s="13" t="s">
        <v>696</v>
      </c>
      <c r="C23" s="16"/>
      <c r="D23" t="s">
        <v>399</v>
      </c>
      <c r="F23" s="15" t="s">
        <v>399</v>
      </c>
    </row>
    <row r="24" spans="1:6" ht="25.5">
      <c r="A24" t="s">
        <v>419</v>
      </c>
      <c r="B24" s="13" t="s">
        <v>700</v>
      </c>
      <c r="D24" t="s">
        <v>150</v>
      </c>
    </row>
    <row r="25" spans="1:6">
      <c r="A25" t="s">
        <v>425</v>
      </c>
      <c r="B25" s="13" t="s">
        <v>701</v>
      </c>
      <c r="D25" t="s">
        <v>702</v>
      </c>
    </row>
    <row r="30" spans="1:6">
      <c r="B30" s="17" t="s">
        <v>65</v>
      </c>
      <c r="C30" s="18" t="s">
        <v>703</v>
      </c>
    </row>
    <row r="31" spans="1:6">
      <c r="B31" s="19" t="s">
        <v>167</v>
      </c>
      <c r="C31" s="20">
        <v>5.0000000000000001E-3</v>
      </c>
    </row>
    <row r="32" spans="1:6">
      <c r="B32" s="21" t="s">
        <v>168</v>
      </c>
      <c r="C32" s="22">
        <v>0.01</v>
      </c>
    </row>
    <row r="33" spans="2:3">
      <c r="B33" s="19" t="s">
        <v>169</v>
      </c>
      <c r="C33" s="20">
        <v>0.01</v>
      </c>
    </row>
    <row r="34" spans="2:3">
      <c r="B34" s="21" t="s">
        <v>170</v>
      </c>
      <c r="C34" s="22">
        <v>0.01</v>
      </c>
    </row>
    <row r="35" spans="2:3">
      <c r="B35" s="19" t="s">
        <v>171</v>
      </c>
      <c r="C35" s="20">
        <v>5.0000000000000001E-3</v>
      </c>
    </row>
    <row r="36" spans="2:3">
      <c r="B36" s="21" t="s">
        <v>172</v>
      </c>
      <c r="C36" s="22">
        <v>0.01</v>
      </c>
    </row>
    <row r="37" spans="2:3">
      <c r="B37" s="19" t="s">
        <v>173</v>
      </c>
      <c r="C37" s="20">
        <v>5.0000000000000001E-3</v>
      </c>
    </row>
    <row r="38" spans="2:3">
      <c r="B38" s="21" t="s">
        <v>174</v>
      </c>
      <c r="C38" s="22">
        <v>0.01</v>
      </c>
    </row>
    <row r="39" spans="2:3">
      <c r="B39" s="19" t="s">
        <v>175</v>
      </c>
      <c r="C39" s="20">
        <v>0.01</v>
      </c>
    </row>
    <row r="40" spans="2:3">
      <c r="B40" s="21" t="s">
        <v>176</v>
      </c>
      <c r="C40" s="22">
        <v>0.01</v>
      </c>
    </row>
    <row r="41" spans="2:3">
      <c r="B41" s="19" t="s">
        <v>177</v>
      </c>
      <c r="C41" s="20">
        <v>5.0000000000000001E-3</v>
      </c>
    </row>
    <row r="42" spans="2:3">
      <c r="B42" s="21" t="s">
        <v>178</v>
      </c>
      <c r="C42" s="22">
        <v>0.01</v>
      </c>
    </row>
    <row r="43" spans="2:3">
      <c r="C43" s="16"/>
    </row>
  </sheetData>
  <mergeCells count="2">
    <mergeCell ref="D1:E1"/>
    <mergeCell ref="E3:I3"/>
  </mergeCells>
  <hyperlinks>
    <hyperlink ref="D1" location="'Executive Summary'!A1" display="➤ Executive Summary" xr:uid="{00000000-0004-0000-0E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14"/>
  <sheetViews>
    <sheetView workbookViewId="0">
      <pane xSplit="2" ySplit="4" topLeftCell="C5" activePane="bottomRight" state="frozen"/>
      <selection pane="topRight"/>
      <selection pane="bottomLeft"/>
      <selection pane="bottomRight" activeCell="L20" sqref="L20"/>
    </sheetView>
  </sheetViews>
  <sheetFormatPr defaultColWidth="9" defaultRowHeight="12.75"/>
  <cols>
    <col min="1" max="1" width="31.85546875" customWidth="1"/>
    <col min="2" max="2" width="13.5703125" customWidth="1"/>
    <col min="3" max="14" width="11.7109375" customWidth="1"/>
  </cols>
  <sheetData>
    <row r="1" spans="1:14" ht="23.25">
      <c r="A1" s="286" t="s">
        <v>2</v>
      </c>
      <c r="B1" s="287"/>
      <c r="C1" s="287"/>
    </row>
    <row r="4" spans="1:14">
      <c r="A4" s="1" t="s">
        <v>181</v>
      </c>
      <c r="B4" s="1" t="s">
        <v>704</v>
      </c>
      <c r="C4" s="2" t="s">
        <v>574</v>
      </c>
      <c r="D4" s="2" t="s">
        <v>575</v>
      </c>
      <c r="E4" s="2" t="s">
        <v>576</v>
      </c>
      <c r="F4" s="2" t="s">
        <v>577</v>
      </c>
      <c r="G4" s="2" t="s">
        <v>578</v>
      </c>
      <c r="H4" s="2" t="s">
        <v>579</v>
      </c>
      <c r="I4" s="2" t="s">
        <v>580</v>
      </c>
      <c r="J4" s="2" t="s">
        <v>4</v>
      </c>
      <c r="K4" s="2" t="s">
        <v>652</v>
      </c>
      <c r="L4" s="2" t="s">
        <v>653</v>
      </c>
      <c r="M4" s="2" t="s">
        <v>654</v>
      </c>
      <c r="N4" s="2" t="s">
        <v>655</v>
      </c>
    </row>
    <row r="5" spans="1:14">
      <c r="A5" s="3" t="s">
        <v>324</v>
      </c>
      <c r="B5" s="4">
        <f ca="1">SUM(C5:N5)</f>
        <v>137.97400000000002</v>
      </c>
      <c r="H5" s="5"/>
      <c r="J5" s="260">
        <f ca="1">'Commission Summary'!I7</f>
        <v>137.97400000000002</v>
      </c>
    </row>
    <row r="6" spans="1:14">
      <c r="A6" s="3" t="s">
        <v>330</v>
      </c>
      <c r="B6" s="4">
        <f t="shared" ref="B6:B14" si="0">SUM(C6:N6)</f>
        <v>0</v>
      </c>
      <c r="H6" s="5"/>
      <c r="J6" s="260">
        <f>'Commission Summary'!I8</f>
        <v>0</v>
      </c>
    </row>
    <row r="7" spans="1:14">
      <c r="A7" s="3" t="s">
        <v>336</v>
      </c>
      <c r="B7" s="4">
        <f t="shared" ca="1" si="0"/>
        <v>61.042400000000001</v>
      </c>
      <c r="H7" s="5"/>
      <c r="J7" s="260">
        <f ca="1">'Commission Summary'!I9</f>
        <v>61.042400000000001</v>
      </c>
    </row>
    <row r="8" spans="1:14">
      <c r="A8" s="3" t="s">
        <v>341</v>
      </c>
      <c r="B8" s="4">
        <f t="shared" ca="1" si="0"/>
        <v>0</v>
      </c>
      <c r="H8" s="5"/>
      <c r="J8" s="260">
        <f ca="1">'Commission Summary'!I10</f>
        <v>0</v>
      </c>
    </row>
    <row r="9" spans="1:14">
      <c r="A9" s="3" t="s">
        <v>346</v>
      </c>
      <c r="B9" s="4">
        <f t="shared" ca="1" si="0"/>
        <v>3354.0114000000003</v>
      </c>
      <c r="H9" s="5"/>
      <c r="J9" s="260">
        <f ca="1">'Commission Summary'!I11</f>
        <v>3354.0114000000003</v>
      </c>
    </row>
    <row r="10" spans="1:14">
      <c r="A10" s="3" t="s">
        <v>351</v>
      </c>
      <c r="B10" s="4">
        <f t="shared" ca="1" si="0"/>
        <v>0</v>
      </c>
      <c r="H10" s="5"/>
      <c r="J10" s="260">
        <f ca="1">'Commission Summary'!I12</f>
        <v>0</v>
      </c>
    </row>
    <row r="11" spans="1:14">
      <c r="A11" s="3" t="s">
        <v>356</v>
      </c>
      <c r="B11" s="4">
        <f t="shared" si="0"/>
        <v>0</v>
      </c>
      <c r="H11" s="5"/>
      <c r="J11" s="260">
        <f>'Commission Summary'!I13</f>
        <v>0</v>
      </c>
    </row>
    <row r="12" spans="1:14">
      <c r="A12" s="3" t="s">
        <v>361</v>
      </c>
      <c r="B12" s="4">
        <f t="shared" si="0"/>
        <v>0</v>
      </c>
      <c r="H12" s="5"/>
      <c r="J12" s="260">
        <f>'Commission Summary'!I14</f>
        <v>0</v>
      </c>
    </row>
    <row r="13" spans="1:14">
      <c r="A13" s="3" t="s">
        <v>366</v>
      </c>
      <c r="B13" s="4">
        <f t="shared" ca="1" si="0"/>
        <v>220.38310000000001</v>
      </c>
      <c r="H13" s="5"/>
      <c r="J13" s="260">
        <f ca="1">'Commission Summary'!I15</f>
        <v>220.38310000000001</v>
      </c>
    </row>
    <row r="14" spans="1:14">
      <c r="A14" s="3" t="s">
        <v>371</v>
      </c>
      <c r="B14" s="4">
        <f t="shared" ca="1" si="0"/>
        <v>3369.7873499999996</v>
      </c>
      <c r="H14" s="5"/>
      <c r="J14" s="260">
        <f ca="1">'Commission Summary'!I16</f>
        <v>3369.7873499999996</v>
      </c>
    </row>
  </sheetData>
  <mergeCells count="1">
    <mergeCell ref="A1:C1"/>
  </mergeCells>
  <hyperlinks>
    <hyperlink ref="A1:C1" location="'Executive Summary'!A1" display="➤ Executive Summary" xr:uid="{00000000-0004-0000-0F00-000000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14"/>
  <sheetViews>
    <sheetView workbookViewId="0">
      <pane xSplit="1" ySplit="4" topLeftCell="B14" activePane="bottomRight" state="frozen"/>
      <selection pane="topRight"/>
      <selection pane="bottomLeft"/>
      <selection pane="bottomRight" activeCell="A6" sqref="A6"/>
    </sheetView>
  </sheetViews>
  <sheetFormatPr defaultColWidth="9" defaultRowHeight="12.75"/>
  <cols>
    <col min="1" max="1" width="31.85546875" customWidth="1"/>
    <col min="2" max="13" width="11.7109375" customWidth="1"/>
  </cols>
  <sheetData>
    <row r="1" spans="1:13" ht="23.25">
      <c r="A1" s="286" t="s">
        <v>2</v>
      </c>
      <c r="B1" s="287"/>
      <c r="C1" s="287"/>
    </row>
    <row r="4" spans="1:13">
      <c r="A4" s="1" t="s">
        <v>181</v>
      </c>
      <c r="B4" s="2" t="s">
        <v>574</v>
      </c>
      <c r="C4" s="2" t="s">
        <v>575</v>
      </c>
      <c r="D4" s="2" t="s">
        <v>576</v>
      </c>
      <c r="E4" s="2" t="s">
        <v>577</v>
      </c>
      <c r="F4" s="2" t="s">
        <v>578</v>
      </c>
      <c r="G4" s="2" t="s">
        <v>579</v>
      </c>
      <c r="H4" s="2" t="s">
        <v>580</v>
      </c>
      <c r="I4" s="2" t="s">
        <v>4</v>
      </c>
      <c r="J4" s="2" t="s">
        <v>652</v>
      </c>
      <c r="K4" s="2" t="s">
        <v>653</v>
      </c>
      <c r="L4" s="2" t="s">
        <v>654</v>
      </c>
      <c r="M4" s="2" t="s">
        <v>655</v>
      </c>
    </row>
    <row r="5" spans="1:13">
      <c r="A5" s="3" t="s">
        <v>324</v>
      </c>
      <c r="I5" s="260">
        <v>2454</v>
      </c>
    </row>
    <row r="6" spans="1:13">
      <c r="A6" s="3" t="s">
        <v>330</v>
      </c>
      <c r="I6" s="260">
        <v>1000</v>
      </c>
    </row>
    <row r="7" spans="1:13">
      <c r="A7" s="3" t="s">
        <v>336</v>
      </c>
      <c r="I7" s="260">
        <v>0</v>
      </c>
    </row>
    <row r="8" spans="1:13">
      <c r="A8" s="3" t="s">
        <v>341</v>
      </c>
      <c r="I8" s="260">
        <v>0</v>
      </c>
    </row>
    <row r="9" spans="1:13">
      <c r="A9" s="3" t="s">
        <v>346</v>
      </c>
      <c r="I9" s="260">
        <v>0</v>
      </c>
    </row>
    <row r="10" spans="1:13">
      <c r="A10" s="3" t="s">
        <v>351</v>
      </c>
      <c r="I10" s="260">
        <v>0</v>
      </c>
    </row>
    <row r="11" spans="1:13">
      <c r="A11" s="3" t="s">
        <v>356</v>
      </c>
      <c r="I11" s="260">
        <v>1000</v>
      </c>
    </row>
    <row r="12" spans="1:13">
      <c r="A12" s="3" t="s">
        <v>361</v>
      </c>
      <c r="I12" s="260">
        <v>1000</v>
      </c>
    </row>
    <row r="13" spans="1:13">
      <c r="A13" s="3" t="s">
        <v>366</v>
      </c>
      <c r="I13" s="260">
        <v>0</v>
      </c>
    </row>
    <row r="14" spans="1:13">
      <c r="A14" s="3" t="s">
        <v>371</v>
      </c>
      <c r="I14" s="260">
        <v>0</v>
      </c>
    </row>
  </sheetData>
  <mergeCells count="1">
    <mergeCell ref="A1:C1"/>
  </mergeCells>
  <hyperlinks>
    <hyperlink ref="A1:C1" location="'Executive Summary'!A1" display="➤ Executive Summary" xr:uid="{00000000-0004-0000-1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19</vt:i4>
      </vt:variant>
    </vt:vector>
  </HeadingPairs>
  <TitlesOfParts>
    <vt:vector size="36" baseType="lpstr">
      <vt:lpstr>Executive Summary</vt:lpstr>
      <vt:lpstr>Sales Performance</vt:lpstr>
      <vt:lpstr>Commission Summary</vt:lpstr>
      <vt:lpstr>Instructions</vt:lpstr>
      <vt:lpstr>Monthly Commission</vt:lpstr>
      <vt:lpstr>Back Office Commission</vt:lpstr>
      <vt:lpstr>ItemReportsCategory</vt:lpstr>
      <vt:lpstr>AgentYearlySales</vt:lpstr>
      <vt:lpstr>Store Expenses</vt:lpstr>
      <vt:lpstr>Ikot Sales</vt:lpstr>
      <vt:lpstr>Ikot Summary</vt:lpstr>
      <vt:lpstr>Payslips 1-4</vt:lpstr>
      <vt:lpstr>Payslips 5-8</vt:lpstr>
      <vt:lpstr>Payslips 9-10</vt:lpstr>
      <vt:lpstr>%Comm</vt:lpstr>
      <vt:lpstr>Agent Savings</vt:lpstr>
      <vt:lpstr>Agent Expense</vt:lpstr>
      <vt:lpstr>Agent_Base_Rate</vt:lpstr>
      <vt:lpstr>Agent_High_Rate</vt:lpstr>
      <vt:lpstr>Agent_High_Sales_Threshold</vt:lpstr>
      <vt:lpstr>Agent_Online_Rate</vt:lpstr>
      <vt:lpstr>Agent_Savings_Rate</vt:lpstr>
      <vt:lpstr>Back_Office_Rate</vt:lpstr>
      <vt:lpstr>Back_Office_Threshold</vt:lpstr>
      <vt:lpstr>Ikot_Commission_Rate</vt:lpstr>
      <vt:lpstr>Manager_Base_Rate</vt:lpstr>
      <vt:lpstr>Manager_Category_Rates</vt:lpstr>
      <vt:lpstr>Manager_High_Rate</vt:lpstr>
      <vt:lpstr>Manager_Sales_Threshold</vt:lpstr>
      <vt:lpstr>Offering_Multiplier</vt:lpstr>
      <vt:lpstr>'Payslips 1-4'!Print_Area</vt:lpstr>
      <vt:lpstr>'Payslips 5-8'!Print_Area</vt:lpstr>
      <vt:lpstr>'Payslips 9-10'!Print_Area</vt:lpstr>
      <vt:lpstr>Sales_Staff_Rate</vt:lpstr>
      <vt:lpstr>Sales_Staff_Threshold</vt:lpstr>
      <vt:lpstr>Tithes_Rate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 Santiago</cp:lastModifiedBy>
  <cp:lastPrinted>2026-07-31T12:51:00Z</cp:lastPrinted>
  <dcterms:created xsi:type="dcterms:W3CDTF">2026-07-29T10:50:00Z</dcterms:created>
  <dcterms:modified xsi:type="dcterms:W3CDTF">2026-09-15T02:22:45Z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957E7F8BBE874319AC79FC8A5B9DAA2A_13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