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8253d6e1b8f8189/PROJECTS/IBX Web app/Aton/"/>
    </mc:Choice>
  </mc:AlternateContent>
  <xr:revisionPtr revIDLastSave="0" documentId="8_{C4A15F19-9612-4D80-ADA1-F4BEC5263B24}" xr6:coauthVersionLast="47" xr6:coauthVersionMax="47" xr10:uidLastSave="{00000000-0000-0000-0000-000000000000}"/>
  <bookViews>
    <workbookView xWindow="-120" yWindow="-120" windowWidth="20730" windowHeight="11040" xr2:uid="{83A4FCBB-F920-4758-BB14-649168F91F37}"/>
  </bookViews>
  <sheets>
    <sheet name="Expenses Lis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6" i="1" l="1"/>
  <c r="H26" i="1"/>
  <c r="G26" i="1"/>
  <c r="F26" i="1"/>
  <c r="E26" i="1"/>
  <c r="D26" i="1"/>
  <c r="C26" i="1"/>
  <c r="J26" i="1" s="1"/>
  <c r="I25" i="1"/>
  <c r="H25" i="1"/>
  <c r="G25" i="1"/>
  <c r="F25" i="1"/>
  <c r="E25" i="1"/>
  <c r="D25" i="1"/>
  <c r="C25" i="1"/>
  <c r="J25" i="1" s="1"/>
  <c r="I24" i="1"/>
  <c r="H24" i="1"/>
  <c r="G24" i="1"/>
  <c r="F24" i="1"/>
  <c r="E24" i="1"/>
  <c r="D24" i="1"/>
  <c r="C24" i="1"/>
  <c r="J24" i="1" s="1"/>
  <c r="I23" i="1"/>
  <c r="H23" i="1"/>
  <c r="G23" i="1"/>
  <c r="F23" i="1"/>
  <c r="E23" i="1"/>
  <c r="D23" i="1"/>
  <c r="C23" i="1"/>
  <c r="J23" i="1" s="1"/>
  <c r="I22" i="1"/>
  <c r="H22" i="1"/>
  <c r="G22" i="1"/>
  <c r="F22" i="1"/>
  <c r="E22" i="1"/>
  <c r="D22" i="1"/>
  <c r="C22" i="1"/>
  <c r="J22" i="1" s="1"/>
  <c r="I21" i="1"/>
  <c r="H21" i="1"/>
  <c r="G21" i="1"/>
  <c r="F21" i="1"/>
  <c r="E21" i="1"/>
  <c r="D21" i="1"/>
  <c r="C21" i="1"/>
  <c r="J21" i="1" s="1"/>
  <c r="I20" i="1"/>
  <c r="H20" i="1"/>
  <c r="G20" i="1"/>
  <c r="F20" i="1"/>
  <c r="E20" i="1"/>
  <c r="D20" i="1"/>
  <c r="C20" i="1"/>
  <c r="J20" i="1" s="1"/>
  <c r="I19" i="1"/>
  <c r="H19" i="1"/>
  <c r="G19" i="1"/>
  <c r="F19" i="1"/>
  <c r="E19" i="1"/>
  <c r="D19" i="1"/>
  <c r="C19" i="1"/>
  <c r="J19" i="1" s="1"/>
  <c r="I18" i="1"/>
  <c r="H18" i="1"/>
  <c r="G18" i="1"/>
  <c r="F18" i="1"/>
  <c r="E18" i="1"/>
  <c r="D18" i="1"/>
  <c r="C18" i="1"/>
  <c r="J18" i="1" s="1"/>
  <c r="I17" i="1"/>
  <c r="H17" i="1"/>
  <c r="G17" i="1"/>
  <c r="F17" i="1"/>
  <c r="E17" i="1"/>
  <c r="D17" i="1"/>
  <c r="C17" i="1"/>
  <c r="J17" i="1" s="1"/>
  <c r="I16" i="1"/>
  <c r="H16" i="1"/>
  <c r="G16" i="1"/>
  <c r="F16" i="1"/>
  <c r="E16" i="1"/>
  <c r="D16" i="1"/>
  <c r="C16" i="1"/>
  <c r="J16" i="1" s="1"/>
  <c r="I15" i="1"/>
  <c r="H15" i="1"/>
  <c r="G15" i="1"/>
  <c r="F15" i="1"/>
  <c r="E15" i="1"/>
  <c r="D15" i="1"/>
  <c r="C15" i="1"/>
  <c r="J15" i="1" s="1"/>
  <c r="I14" i="1"/>
  <c r="H14" i="1"/>
  <c r="G14" i="1"/>
  <c r="F14" i="1"/>
  <c r="E14" i="1"/>
  <c r="D14" i="1"/>
  <c r="C14" i="1"/>
  <c r="J14" i="1" s="1"/>
  <c r="I13" i="1"/>
  <c r="H13" i="1"/>
  <c r="G13" i="1"/>
  <c r="F13" i="1"/>
  <c r="E13" i="1"/>
  <c r="D13" i="1"/>
  <c r="C13" i="1"/>
  <c r="J13" i="1" s="1"/>
  <c r="I12" i="1"/>
  <c r="H12" i="1"/>
  <c r="G12" i="1"/>
  <c r="F12" i="1"/>
  <c r="E12" i="1"/>
  <c r="D12" i="1"/>
  <c r="C12" i="1"/>
  <c r="J12" i="1" s="1"/>
  <c r="I11" i="1"/>
  <c r="H11" i="1"/>
  <c r="G11" i="1"/>
  <c r="F11" i="1"/>
  <c r="E11" i="1"/>
  <c r="D11" i="1"/>
  <c r="C11" i="1"/>
  <c r="J11" i="1" s="1"/>
  <c r="I10" i="1"/>
  <c r="H10" i="1"/>
  <c r="G10" i="1"/>
  <c r="F10" i="1"/>
  <c r="E10" i="1"/>
  <c r="D10" i="1"/>
  <c r="C10" i="1"/>
  <c r="J10" i="1" s="1"/>
  <c r="I9" i="1"/>
  <c r="H9" i="1"/>
  <c r="G9" i="1"/>
  <c r="F9" i="1"/>
  <c r="E9" i="1"/>
  <c r="D9" i="1"/>
  <c r="C9" i="1"/>
  <c r="J9" i="1" s="1"/>
  <c r="I8" i="1"/>
  <c r="H8" i="1"/>
  <c r="G8" i="1"/>
  <c r="F8" i="1"/>
  <c r="E8" i="1"/>
  <c r="D8" i="1"/>
  <c r="C8" i="1"/>
  <c r="J8" i="1" s="1"/>
  <c r="I7" i="1"/>
  <c r="H7" i="1"/>
  <c r="G7" i="1"/>
  <c r="F7" i="1"/>
  <c r="E7" i="1"/>
  <c r="D7" i="1"/>
  <c r="C7" i="1"/>
  <c r="J7" i="1" s="1"/>
  <c r="I6" i="1"/>
  <c r="H6" i="1"/>
  <c r="G6" i="1"/>
  <c r="F6" i="1"/>
  <c r="E6" i="1"/>
  <c r="D6" i="1"/>
  <c r="C6" i="1"/>
  <c r="J6" i="1" s="1"/>
  <c r="I5" i="1"/>
  <c r="H5" i="1"/>
  <c r="G5" i="1"/>
  <c r="F5" i="1"/>
  <c r="E5" i="1"/>
  <c r="D5" i="1"/>
  <c r="C5" i="1"/>
  <c r="J5" i="1" s="1"/>
</calcChain>
</file>

<file path=xl/sharedStrings.xml><?xml version="1.0" encoding="utf-8"?>
<sst xmlns="http://schemas.openxmlformats.org/spreadsheetml/2006/main" count="34" uniqueCount="34">
  <si>
    <t>2026 Expenses List</t>
  </si>
  <si>
    <t>Unique expense categories from '2026 Exp' with linked monthly and year-to-date totals.</t>
  </si>
  <si>
    <t>No.</t>
  </si>
  <si>
    <t>Expense Category</t>
  </si>
  <si>
    <t>January</t>
  </si>
  <si>
    <t>February</t>
  </si>
  <si>
    <t>March</t>
  </si>
  <si>
    <t>April</t>
  </si>
  <si>
    <t>May</t>
  </si>
  <si>
    <t>June</t>
  </si>
  <si>
    <t>July</t>
  </si>
  <si>
    <t>YTD Total</t>
  </si>
  <si>
    <t>13th Month</t>
  </si>
  <si>
    <t>Allowances (Hospitalization)</t>
  </si>
  <si>
    <t>Bank Charges</t>
  </si>
  <si>
    <t>Business Permit</t>
  </si>
  <si>
    <t>Cash</t>
  </si>
  <si>
    <t>Christmas Expenses</t>
  </si>
  <si>
    <t>Commissions</t>
  </si>
  <si>
    <t>Communication</t>
  </si>
  <si>
    <t>Deliveries</t>
  </si>
  <si>
    <t>Electicity &amp; Water</t>
  </si>
  <si>
    <t>Gasoline</t>
  </si>
  <si>
    <t>HDMF Contribution</t>
  </si>
  <si>
    <t>Internet</t>
  </si>
  <si>
    <t>LTO Renewal</t>
  </si>
  <si>
    <t>Meals</t>
  </si>
  <si>
    <t>Percentage tax</t>
  </si>
  <si>
    <t>PHIC Contribution</t>
  </si>
  <si>
    <t>Rent</t>
  </si>
  <si>
    <t>Repairs &amp; Maintenance</t>
  </si>
  <si>
    <t>Salaries</t>
  </si>
  <si>
    <t>SSS Contribution</t>
  </si>
  <si>
    <t>Store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</si>
</sst>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3" x14ac:knownFonts="1">
    <font>
      <sz val="11"/>
      <color theme="1"/>
      <name val="Calibri"/>
      <scheme val="minor"/>
    </font>
    <font>
      <b/>
      <sz val="16"/>
      <color rgb="FFFFFFFF"/>
      <name val="Calibri"/>
      <scheme val="minor"/>
    </font>
    <font>
      <i/>
      <sz val="11"/>
      <color rgb="FF5B657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9">
    <dxf>
      <numFmt numFmtId="164" formatCode="#,##0.00;[Red]\(#,##0.00\);\-"/>
    </dxf>
    <dxf>
      <numFmt numFmtId="164" formatCode="#,##0.00;[Red]\(#,##0.00\);\-"/>
    </dxf>
    <dxf>
      <numFmt numFmtId="164" formatCode="#,##0.00;[Red]\(#,##0.00\);\-"/>
    </dxf>
    <dxf>
      <numFmt numFmtId="164" formatCode="#,##0.00;[Red]\(#,##0.00\);\-"/>
    </dxf>
    <dxf>
      <numFmt numFmtId="164" formatCode="#,##0.00;[Red]\(#,##0.00\);\-"/>
    </dxf>
    <dxf>
      <numFmt numFmtId="164" formatCode="#,##0.00;[Red]\(#,##0.00\);\-"/>
    </dxf>
    <dxf>
      <numFmt numFmtId="164" formatCode="#,##0.00;[Red]\(#,##0.00\);\-"/>
    </dxf>
    <dxf>
      <numFmt numFmtId="164" formatCode="#,##0.00;[Red]\(#,##0.00\);\-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on%20Aire\Downloads\2026%20Aton%20Aire%20Transactions.xlsx" TargetMode="External"/><Relationship Id="rId1" Type="http://schemas.openxmlformats.org/officeDocument/2006/relationships/externalLinkPath" Target="file:///C:\Users\Aton%20Aire\Downloads\2026%20Aton%20Aire%20Transa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s"/>
      <sheetName val="2026CF"/>
      <sheetName val="2026 IS"/>
      <sheetName val="2026 Exp"/>
      <sheetName val="2026 DS"/>
      <sheetName val="2026 Ikot"/>
      <sheetName val="2026 Purch"/>
      <sheetName val="2026 AP"/>
      <sheetName val="2026 issuances"/>
      <sheetName val="2026 AR"/>
      <sheetName val="Template"/>
      <sheetName val="2026 Comm"/>
      <sheetName val="check summ"/>
      <sheetName val="Suppliers List"/>
      <sheetName val="Clients List"/>
      <sheetName val="Expenses List"/>
    </sheetNames>
    <sheetDataSet>
      <sheetData sheetId="0"/>
      <sheetData sheetId="1"/>
      <sheetData sheetId="2"/>
      <sheetData sheetId="3">
        <row r="4">
          <cell r="A4" t="str">
            <v>January</v>
          </cell>
          <cell r="B4" t="str">
            <v>Total for the Month</v>
          </cell>
          <cell r="C4">
            <v>86778.602433333333</v>
          </cell>
        </row>
        <row r="5">
          <cell r="A5" t="str">
            <v>January</v>
          </cell>
          <cell r="B5" t="str">
            <v>Cash</v>
          </cell>
          <cell r="C5">
            <v>0</v>
          </cell>
        </row>
        <row r="6">
          <cell r="A6" t="str">
            <v>January</v>
          </cell>
          <cell r="B6" t="str">
            <v>Salaries</v>
          </cell>
          <cell r="C6">
            <v>33200</v>
          </cell>
        </row>
        <row r="7">
          <cell r="A7" t="str">
            <v>January</v>
          </cell>
          <cell r="B7" t="str">
            <v>13th Month</v>
          </cell>
          <cell r="C7">
            <v>3000</v>
          </cell>
        </row>
        <row r="8">
          <cell r="A8" t="str">
            <v>January</v>
          </cell>
          <cell r="B8" t="str">
            <v>Christmas Expenses</v>
          </cell>
          <cell r="C8">
            <v>2000</v>
          </cell>
        </row>
        <row r="9">
          <cell r="A9" t="str">
            <v>January</v>
          </cell>
          <cell r="B9" t="str">
            <v>Business Permit</v>
          </cell>
          <cell r="C9">
            <v>2833.3333333333335</v>
          </cell>
        </row>
        <row r="10">
          <cell r="A10" t="str">
            <v>January</v>
          </cell>
          <cell r="B10" t="str">
            <v>Percentage tax</v>
          </cell>
          <cell r="C10">
            <v>13548.149099999999</v>
          </cell>
        </row>
        <row r="11">
          <cell r="A11" t="str">
            <v>January</v>
          </cell>
          <cell r="B11" t="str">
            <v>Rent</v>
          </cell>
          <cell r="C11">
            <v>5000</v>
          </cell>
        </row>
        <row r="12">
          <cell r="A12" t="str">
            <v>January</v>
          </cell>
          <cell r="B12" t="str">
            <v>LTO Renewal</v>
          </cell>
          <cell r="C12">
            <v>0</v>
          </cell>
        </row>
        <row r="13">
          <cell r="A13" t="str">
            <v>January</v>
          </cell>
          <cell r="B13" t="str">
            <v>Electicity &amp; Water</v>
          </cell>
          <cell r="C13">
            <v>0</v>
          </cell>
        </row>
        <row r="14">
          <cell r="A14" t="str">
            <v>January</v>
          </cell>
          <cell r="B14" t="str">
            <v>Internet</v>
          </cell>
          <cell r="C14">
            <v>2500</v>
          </cell>
        </row>
        <row r="15">
          <cell r="A15" t="str">
            <v>January</v>
          </cell>
          <cell r="B15" t="str">
            <v>SSS Contribution</v>
          </cell>
          <cell r="C15">
            <v>1210</v>
          </cell>
        </row>
        <row r="16">
          <cell r="A16" t="str">
            <v>January</v>
          </cell>
          <cell r="B16" t="str">
            <v>PHIC Contribution</v>
          </cell>
          <cell r="C16">
            <v>300</v>
          </cell>
        </row>
        <row r="17">
          <cell r="A17" t="str">
            <v>January</v>
          </cell>
          <cell r="B17" t="str">
            <v>HDMF Contribution</v>
          </cell>
          <cell r="C17">
            <v>200</v>
          </cell>
        </row>
        <row r="18">
          <cell r="A18" t="str">
            <v>January</v>
          </cell>
          <cell r="B18" t="str">
            <v>Store supplies</v>
          </cell>
          <cell r="C18">
            <v>0</v>
          </cell>
        </row>
        <row r="19">
          <cell r="A19" t="str">
            <v>January</v>
          </cell>
          <cell r="B19" t="str">
            <v>Repairs &amp; Maintenance</v>
          </cell>
          <cell r="C19">
            <v>0</v>
          </cell>
        </row>
        <row r="20">
          <cell r="A20" t="str">
            <v>January</v>
          </cell>
          <cell r="B20" t="str">
            <v>Bank Charges</v>
          </cell>
          <cell r="C20">
            <v>5040</v>
          </cell>
        </row>
        <row r="21">
          <cell r="A21" t="str">
            <v>January</v>
          </cell>
          <cell r="B21" t="str">
            <v>Communication</v>
          </cell>
          <cell r="C21">
            <v>35</v>
          </cell>
        </row>
        <row r="22">
          <cell r="A22" t="str">
            <v>January</v>
          </cell>
          <cell r="B22" t="str">
            <v>Meals</v>
          </cell>
          <cell r="C22">
            <v>1700</v>
          </cell>
        </row>
        <row r="23">
          <cell r="A23" t="str">
            <v>January</v>
          </cell>
          <cell r="B23" t="str">
            <v>Gasoline</v>
          </cell>
          <cell r="C23">
            <v>4200</v>
          </cell>
        </row>
        <row r="24">
          <cell r="A24" t="str">
            <v>January</v>
          </cell>
          <cell r="B24" t="str">
            <v>Deliveries</v>
          </cell>
          <cell r="C24">
            <v>4563</v>
          </cell>
        </row>
        <row r="25">
          <cell r="A25" t="str">
            <v>January</v>
          </cell>
          <cell r="B25" t="str">
            <v>Commissions</v>
          </cell>
          <cell r="C25">
            <v>7449.1200000000008</v>
          </cell>
        </row>
        <row r="27">
          <cell r="A27" t="str">
            <v>February</v>
          </cell>
          <cell r="B27" t="str">
            <v>Total for the Month</v>
          </cell>
          <cell r="C27">
            <v>95045.81733333334</v>
          </cell>
        </row>
        <row r="28">
          <cell r="A28" t="str">
            <v>February</v>
          </cell>
          <cell r="B28" t="str">
            <v>Cash</v>
          </cell>
          <cell r="C28">
            <v>0</v>
          </cell>
        </row>
        <row r="29">
          <cell r="A29" t="str">
            <v>February</v>
          </cell>
          <cell r="B29" t="str">
            <v>Salaries</v>
          </cell>
          <cell r="C29">
            <v>36500</v>
          </cell>
        </row>
        <row r="30">
          <cell r="A30" t="str">
            <v>February</v>
          </cell>
          <cell r="B30" t="str">
            <v>13th Month</v>
          </cell>
          <cell r="C30">
            <v>3000</v>
          </cell>
        </row>
        <row r="31">
          <cell r="A31" t="str">
            <v>February</v>
          </cell>
          <cell r="B31" t="str">
            <v>Christmas Expenses</v>
          </cell>
          <cell r="C31">
            <v>2000</v>
          </cell>
        </row>
        <row r="32">
          <cell r="A32" t="str">
            <v>February</v>
          </cell>
          <cell r="B32" t="str">
            <v>Business Permit</v>
          </cell>
          <cell r="C32">
            <v>2833.3333333333335</v>
          </cell>
        </row>
        <row r="33">
          <cell r="A33" t="str">
            <v>February</v>
          </cell>
          <cell r="B33" t="str">
            <v>Percentage tax</v>
          </cell>
          <cell r="C33">
            <v>1855.5</v>
          </cell>
        </row>
        <row r="34">
          <cell r="A34" t="str">
            <v>February</v>
          </cell>
          <cell r="B34" t="str">
            <v>Rent</v>
          </cell>
          <cell r="C34">
            <v>5000</v>
          </cell>
        </row>
        <row r="35">
          <cell r="A35" t="str">
            <v>February</v>
          </cell>
          <cell r="B35" t="str">
            <v>LTO Renewal</v>
          </cell>
          <cell r="C35">
            <v>9000</v>
          </cell>
        </row>
        <row r="36">
          <cell r="A36" t="str">
            <v>February</v>
          </cell>
          <cell r="B36" t="str">
            <v>Electicity &amp; Water</v>
          </cell>
          <cell r="C36">
            <v>0</v>
          </cell>
        </row>
        <row r="37">
          <cell r="A37" t="str">
            <v>February</v>
          </cell>
          <cell r="B37" t="str">
            <v>Internet</v>
          </cell>
          <cell r="C37">
            <v>2500</v>
          </cell>
        </row>
        <row r="38">
          <cell r="A38" t="str">
            <v>February</v>
          </cell>
          <cell r="B38" t="str">
            <v>SSS Contribution</v>
          </cell>
          <cell r="C38">
            <v>1210</v>
          </cell>
        </row>
        <row r="39">
          <cell r="A39" t="str">
            <v>February</v>
          </cell>
          <cell r="B39" t="str">
            <v>PHIC Contribution</v>
          </cell>
          <cell r="C39">
            <v>300</v>
          </cell>
        </row>
        <row r="40">
          <cell r="A40" t="str">
            <v>February</v>
          </cell>
          <cell r="B40" t="str">
            <v>HDMF Contribution</v>
          </cell>
          <cell r="C40">
            <v>200</v>
          </cell>
        </row>
        <row r="41">
          <cell r="A41" t="str">
            <v>February</v>
          </cell>
          <cell r="B41" t="str">
            <v>Store supplies</v>
          </cell>
          <cell r="C41">
            <v>0</v>
          </cell>
        </row>
        <row r="42">
          <cell r="A42" t="str">
            <v>February</v>
          </cell>
          <cell r="B42" t="str">
            <v>Repairs &amp; Maintenance</v>
          </cell>
          <cell r="C42">
            <v>0</v>
          </cell>
        </row>
        <row r="43">
          <cell r="A43" t="str">
            <v>February</v>
          </cell>
          <cell r="B43" t="str">
            <v>Bank Charges</v>
          </cell>
          <cell r="C43">
            <v>10230</v>
          </cell>
        </row>
        <row r="44">
          <cell r="A44" t="str">
            <v>February</v>
          </cell>
          <cell r="B44" t="str">
            <v>Communication</v>
          </cell>
          <cell r="C44">
            <v>0</v>
          </cell>
        </row>
        <row r="45">
          <cell r="A45" t="str">
            <v>February</v>
          </cell>
          <cell r="B45" t="str">
            <v>Meals</v>
          </cell>
          <cell r="C45">
            <v>2400</v>
          </cell>
        </row>
        <row r="46">
          <cell r="A46" t="str">
            <v>February</v>
          </cell>
          <cell r="B46" t="str">
            <v>Gasoline</v>
          </cell>
          <cell r="C46">
            <v>5700</v>
          </cell>
        </row>
        <row r="47">
          <cell r="A47" t="str">
            <v>February</v>
          </cell>
          <cell r="B47" t="str">
            <v>Deliveries</v>
          </cell>
          <cell r="C47">
            <v>4270</v>
          </cell>
        </row>
        <row r="48">
          <cell r="A48" t="str">
            <v>February</v>
          </cell>
          <cell r="B48" t="str">
            <v>Commissions</v>
          </cell>
          <cell r="C48">
            <v>8046.9840000000013</v>
          </cell>
        </row>
        <row r="50">
          <cell r="A50" t="str">
            <v>March</v>
          </cell>
          <cell r="B50" t="str">
            <v>Total for the Month</v>
          </cell>
          <cell r="C50">
            <v>149782.08333333334</v>
          </cell>
        </row>
        <row r="51">
          <cell r="A51" t="str">
            <v>March</v>
          </cell>
          <cell r="B51" t="str">
            <v>Cash</v>
          </cell>
          <cell r="C51">
            <v>0</v>
          </cell>
        </row>
        <row r="52">
          <cell r="A52" t="str">
            <v>March</v>
          </cell>
          <cell r="B52" t="str">
            <v>Salaries</v>
          </cell>
          <cell r="C52">
            <v>37700</v>
          </cell>
        </row>
        <row r="53">
          <cell r="A53" t="str">
            <v>March</v>
          </cell>
          <cell r="B53" t="str">
            <v>13th Month</v>
          </cell>
          <cell r="C53">
            <v>3000</v>
          </cell>
        </row>
        <row r="54">
          <cell r="A54" t="str">
            <v>March</v>
          </cell>
          <cell r="B54" t="str">
            <v>Christmas Expenses</v>
          </cell>
          <cell r="C54">
            <v>2000</v>
          </cell>
        </row>
        <row r="55">
          <cell r="A55" t="str">
            <v>March</v>
          </cell>
          <cell r="B55" t="str">
            <v>Business Permit</v>
          </cell>
          <cell r="C55">
            <v>2833.3333333333335</v>
          </cell>
        </row>
        <row r="56">
          <cell r="A56" t="str">
            <v>March</v>
          </cell>
          <cell r="B56" t="str">
            <v>Percentage tax</v>
          </cell>
          <cell r="C56">
            <v>11692.65</v>
          </cell>
        </row>
        <row r="57">
          <cell r="A57" t="str">
            <v>March</v>
          </cell>
          <cell r="B57" t="str">
            <v>Rent</v>
          </cell>
          <cell r="C57">
            <v>5000</v>
          </cell>
        </row>
        <row r="58">
          <cell r="A58" t="str">
            <v>March</v>
          </cell>
          <cell r="B58" t="str">
            <v>LTO Renewal</v>
          </cell>
          <cell r="C58">
            <v>0</v>
          </cell>
        </row>
        <row r="59">
          <cell r="A59" t="str">
            <v>March</v>
          </cell>
          <cell r="B59" t="str">
            <v>Electicity &amp; Water</v>
          </cell>
          <cell r="C59">
            <v>0</v>
          </cell>
        </row>
        <row r="60">
          <cell r="A60" t="str">
            <v>March</v>
          </cell>
          <cell r="B60" t="str">
            <v>Internet</v>
          </cell>
          <cell r="C60">
            <v>2500</v>
          </cell>
        </row>
        <row r="61">
          <cell r="A61" t="str">
            <v>March</v>
          </cell>
          <cell r="B61" t="str">
            <v>SSS Contribution</v>
          </cell>
          <cell r="C61">
            <v>1210</v>
          </cell>
        </row>
        <row r="62">
          <cell r="A62" t="str">
            <v>March</v>
          </cell>
          <cell r="B62" t="str">
            <v>PHIC Contribution</v>
          </cell>
          <cell r="C62">
            <v>300</v>
          </cell>
        </row>
        <row r="63">
          <cell r="A63" t="str">
            <v>March</v>
          </cell>
          <cell r="B63" t="str">
            <v>HDMF Contribution</v>
          </cell>
          <cell r="C63">
            <v>200</v>
          </cell>
        </row>
        <row r="64">
          <cell r="A64" t="str">
            <v>March</v>
          </cell>
          <cell r="B64" t="str">
            <v>Store supplies</v>
          </cell>
          <cell r="C64">
            <v>0</v>
          </cell>
        </row>
        <row r="65">
          <cell r="A65" t="str">
            <v>March</v>
          </cell>
          <cell r="B65" t="str">
            <v>Repairs &amp; Maintenance</v>
          </cell>
          <cell r="C65">
            <v>500</v>
          </cell>
        </row>
        <row r="66">
          <cell r="A66" t="str">
            <v>March</v>
          </cell>
          <cell r="B66" t="str">
            <v>Bank Charges</v>
          </cell>
          <cell r="C66">
            <v>5880</v>
          </cell>
        </row>
        <row r="67">
          <cell r="A67" t="str">
            <v>March</v>
          </cell>
          <cell r="B67" t="str">
            <v>Communication</v>
          </cell>
          <cell r="C67">
            <v>0</v>
          </cell>
        </row>
        <row r="68">
          <cell r="A68" t="str">
            <v>March</v>
          </cell>
          <cell r="B68" t="str">
            <v>Meals</v>
          </cell>
          <cell r="C68">
            <v>710</v>
          </cell>
        </row>
        <row r="69">
          <cell r="A69" t="str">
            <v>March</v>
          </cell>
          <cell r="B69" t="str">
            <v>Gasoline</v>
          </cell>
          <cell r="C69">
            <v>3650</v>
          </cell>
        </row>
        <row r="70">
          <cell r="A70" t="str">
            <v>March</v>
          </cell>
          <cell r="B70" t="str">
            <v>Deliveries</v>
          </cell>
          <cell r="C70">
            <v>9545</v>
          </cell>
        </row>
        <row r="71">
          <cell r="A71" t="str">
            <v>March</v>
          </cell>
          <cell r="B71" t="str">
            <v>Commissions</v>
          </cell>
          <cell r="C71">
            <v>3061.1</v>
          </cell>
        </row>
        <row r="72">
          <cell r="A72" t="str">
            <v>March</v>
          </cell>
          <cell r="B72" t="str">
            <v>Allowances (Hospitalization)</v>
          </cell>
          <cell r="C72">
            <v>60000</v>
          </cell>
        </row>
        <row r="74">
          <cell r="A74" t="str">
            <v>April</v>
          </cell>
          <cell r="B74" t="str">
            <v>Total for the Month</v>
          </cell>
          <cell r="C74">
            <v>86517.733333333337</v>
          </cell>
        </row>
        <row r="75">
          <cell r="A75" t="str">
            <v>April</v>
          </cell>
          <cell r="B75" t="str">
            <v>Cash</v>
          </cell>
          <cell r="C75">
            <v>0</v>
          </cell>
        </row>
        <row r="76">
          <cell r="A76" t="str">
            <v>April</v>
          </cell>
          <cell r="B76" t="str">
            <v>Salaries</v>
          </cell>
          <cell r="C76">
            <v>40000</v>
          </cell>
        </row>
        <row r="77">
          <cell r="A77" t="str">
            <v>April</v>
          </cell>
          <cell r="B77" t="str">
            <v>13th Month</v>
          </cell>
          <cell r="C77">
            <v>3000</v>
          </cell>
        </row>
        <row r="78">
          <cell r="A78" t="str">
            <v>April</v>
          </cell>
          <cell r="B78" t="str">
            <v>Christmas Expenses</v>
          </cell>
          <cell r="C78">
            <v>2000</v>
          </cell>
        </row>
        <row r="79">
          <cell r="A79" t="str">
            <v>April</v>
          </cell>
          <cell r="B79" t="str">
            <v>Business Permit</v>
          </cell>
          <cell r="C79">
            <v>2833.3333333333335</v>
          </cell>
        </row>
        <row r="80">
          <cell r="A80" t="str">
            <v>April</v>
          </cell>
          <cell r="B80" t="str">
            <v>Percentage tax</v>
          </cell>
          <cell r="C80">
            <v>5000</v>
          </cell>
        </row>
        <row r="81">
          <cell r="A81" t="str">
            <v>April</v>
          </cell>
          <cell r="B81" t="str">
            <v>Rent</v>
          </cell>
          <cell r="C81">
            <v>5000</v>
          </cell>
        </row>
        <row r="82">
          <cell r="A82" t="str">
            <v>April</v>
          </cell>
          <cell r="B82" t="str">
            <v>LTO Renewal</v>
          </cell>
          <cell r="C82">
            <v>0</v>
          </cell>
        </row>
        <row r="83">
          <cell r="A83" t="str">
            <v>April</v>
          </cell>
          <cell r="B83" t="str">
            <v>Electicity &amp; Water</v>
          </cell>
          <cell r="C83">
            <v>0</v>
          </cell>
        </row>
        <row r="84">
          <cell r="A84" t="str">
            <v>April</v>
          </cell>
          <cell r="B84" t="str">
            <v>Internet</v>
          </cell>
          <cell r="C84">
            <v>2500</v>
          </cell>
        </row>
        <row r="85">
          <cell r="A85" t="str">
            <v>April</v>
          </cell>
          <cell r="B85" t="str">
            <v>SSS Contribution</v>
          </cell>
          <cell r="C85">
            <v>1210</v>
          </cell>
        </row>
        <row r="86">
          <cell r="A86" t="str">
            <v>April</v>
          </cell>
          <cell r="B86" t="str">
            <v>PHIC Contribution</v>
          </cell>
          <cell r="C86">
            <v>300</v>
          </cell>
        </row>
        <row r="87">
          <cell r="A87" t="str">
            <v>April</v>
          </cell>
          <cell r="B87" t="str">
            <v>HDMF Contribution</v>
          </cell>
          <cell r="C87">
            <v>200</v>
          </cell>
        </row>
        <row r="88">
          <cell r="A88" t="str">
            <v>April</v>
          </cell>
          <cell r="B88" t="str">
            <v>Store supplies</v>
          </cell>
          <cell r="C88">
            <v>0</v>
          </cell>
        </row>
        <row r="89">
          <cell r="A89" t="str">
            <v>April</v>
          </cell>
          <cell r="B89" t="str">
            <v>Repairs &amp; Maintenance</v>
          </cell>
          <cell r="C89">
            <v>500</v>
          </cell>
        </row>
        <row r="90">
          <cell r="A90" t="str">
            <v>April</v>
          </cell>
          <cell r="B90" t="str">
            <v>Bank Charges</v>
          </cell>
          <cell r="C90">
            <v>780</v>
          </cell>
        </row>
        <row r="91">
          <cell r="A91" t="str">
            <v>April</v>
          </cell>
          <cell r="B91" t="str">
            <v>Communication</v>
          </cell>
          <cell r="C91">
            <v>0</v>
          </cell>
        </row>
        <row r="92">
          <cell r="A92" t="str">
            <v>April</v>
          </cell>
          <cell r="B92" t="str">
            <v>Meals</v>
          </cell>
          <cell r="C92">
            <v>2910</v>
          </cell>
        </row>
        <row r="93">
          <cell r="A93" t="str">
            <v>April</v>
          </cell>
          <cell r="B93" t="str">
            <v>Gasoline</v>
          </cell>
          <cell r="C93">
            <v>7900</v>
          </cell>
        </row>
        <row r="94">
          <cell r="A94" t="str">
            <v>April</v>
          </cell>
          <cell r="B94" t="str">
            <v>Deliveries</v>
          </cell>
          <cell r="C94">
            <v>6150</v>
          </cell>
        </row>
        <row r="95">
          <cell r="A95" t="str">
            <v>April</v>
          </cell>
          <cell r="B95" t="str">
            <v>Commissions</v>
          </cell>
          <cell r="C95">
            <v>6234.4000000000015</v>
          </cell>
        </row>
        <row r="96">
          <cell r="A96" t="str">
            <v>April</v>
          </cell>
          <cell r="B96" t="str">
            <v>Allowances (Hospitalization)</v>
          </cell>
          <cell r="C96">
            <v>0</v>
          </cell>
        </row>
        <row r="98">
          <cell r="A98" t="str">
            <v>May</v>
          </cell>
          <cell r="B98" t="str">
            <v>Total for the Month</v>
          </cell>
          <cell r="C98">
            <v>84063.553333333344</v>
          </cell>
        </row>
        <row r="99">
          <cell r="A99" t="str">
            <v>May</v>
          </cell>
          <cell r="B99" t="str">
            <v>Cash</v>
          </cell>
          <cell r="C99">
            <v>0</v>
          </cell>
        </row>
        <row r="100">
          <cell r="A100" t="str">
            <v>May</v>
          </cell>
          <cell r="B100" t="str">
            <v>Salaries</v>
          </cell>
          <cell r="C100">
            <v>41000</v>
          </cell>
        </row>
        <row r="101">
          <cell r="A101" t="str">
            <v>May</v>
          </cell>
          <cell r="B101" t="str">
            <v>13th Month</v>
          </cell>
          <cell r="C101">
            <v>3000</v>
          </cell>
        </row>
        <row r="102">
          <cell r="A102" t="str">
            <v>May</v>
          </cell>
          <cell r="B102" t="str">
            <v>Christmas Expenses</v>
          </cell>
          <cell r="C102">
            <v>2000</v>
          </cell>
        </row>
        <row r="103">
          <cell r="A103" t="str">
            <v>May</v>
          </cell>
          <cell r="B103" t="str">
            <v>Business Permit</v>
          </cell>
          <cell r="C103">
            <v>2833.3333333333335</v>
          </cell>
        </row>
        <row r="104">
          <cell r="A104" t="str">
            <v>May</v>
          </cell>
          <cell r="B104" t="str">
            <v>Percentage tax</v>
          </cell>
          <cell r="C104">
            <v>5000</v>
          </cell>
        </row>
        <row r="105">
          <cell r="A105" t="str">
            <v>May</v>
          </cell>
          <cell r="B105" t="str">
            <v>Rent</v>
          </cell>
          <cell r="C105">
            <v>5000</v>
          </cell>
        </row>
        <row r="106">
          <cell r="A106" t="str">
            <v>May</v>
          </cell>
          <cell r="B106" t="str">
            <v>LTO Renewal</v>
          </cell>
          <cell r="C106">
            <v>0</v>
          </cell>
        </row>
        <row r="107">
          <cell r="A107" t="str">
            <v>May</v>
          </cell>
          <cell r="B107" t="str">
            <v>Electicity &amp; Water</v>
          </cell>
          <cell r="C107">
            <v>0</v>
          </cell>
        </row>
        <row r="108">
          <cell r="A108" t="str">
            <v>May</v>
          </cell>
          <cell r="B108" t="str">
            <v>Internet</v>
          </cell>
          <cell r="C108">
            <v>2500</v>
          </cell>
        </row>
        <row r="109">
          <cell r="A109" t="str">
            <v>May</v>
          </cell>
          <cell r="B109" t="str">
            <v>SSS Contribution</v>
          </cell>
          <cell r="C109">
            <v>1210</v>
          </cell>
        </row>
        <row r="110">
          <cell r="A110" t="str">
            <v>May</v>
          </cell>
          <cell r="B110" t="str">
            <v>PHIC Contribution</v>
          </cell>
          <cell r="C110">
            <v>300</v>
          </cell>
        </row>
        <row r="111">
          <cell r="A111" t="str">
            <v>May</v>
          </cell>
          <cell r="B111" t="str">
            <v>HDMF Contribution</v>
          </cell>
          <cell r="C111">
            <v>200</v>
          </cell>
        </row>
        <row r="112">
          <cell r="A112" t="str">
            <v>May</v>
          </cell>
          <cell r="B112" t="str">
            <v>Store supplies</v>
          </cell>
          <cell r="C112">
            <v>0</v>
          </cell>
        </row>
        <row r="113">
          <cell r="A113" t="str">
            <v>May</v>
          </cell>
          <cell r="B113" t="str">
            <v>Repairs &amp; Maintenance</v>
          </cell>
          <cell r="C113">
            <v>200</v>
          </cell>
        </row>
        <row r="114">
          <cell r="A114" t="str">
            <v>May</v>
          </cell>
          <cell r="B114" t="str">
            <v>Bank Charges</v>
          </cell>
          <cell r="C114">
            <v>160</v>
          </cell>
        </row>
        <row r="115">
          <cell r="A115" t="str">
            <v>May</v>
          </cell>
          <cell r="B115" t="str">
            <v>Communication</v>
          </cell>
          <cell r="C115">
            <v>0</v>
          </cell>
        </row>
        <row r="116">
          <cell r="A116" t="str">
            <v>May</v>
          </cell>
          <cell r="B116" t="str">
            <v>Meals</v>
          </cell>
          <cell r="C116">
            <v>3000</v>
          </cell>
        </row>
        <row r="117">
          <cell r="A117" t="str">
            <v>May</v>
          </cell>
          <cell r="B117" t="str">
            <v>Gasoline</v>
          </cell>
          <cell r="C117">
            <v>7100</v>
          </cell>
        </row>
        <row r="118">
          <cell r="A118" t="str">
            <v>May</v>
          </cell>
          <cell r="B118" t="str">
            <v>Deliveries</v>
          </cell>
          <cell r="C118">
            <v>4200</v>
          </cell>
        </row>
        <row r="119">
          <cell r="A119" t="str">
            <v>May</v>
          </cell>
          <cell r="B119" t="str">
            <v>Commissions</v>
          </cell>
          <cell r="C119">
            <v>6360.2199999999993</v>
          </cell>
        </row>
        <row r="120">
          <cell r="A120" t="str">
            <v>May</v>
          </cell>
          <cell r="B120" t="str">
            <v>Allowances (Hospitalization)</v>
          </cell>
          <cell r="C120">
            <v>0</v>
          </cell>
        </row>
        <row r="122">
          <cell r="A122" t="str">
            <v>June</v>
          </cell>
          <cell r="B122" t="str">
            <v>Total for the Month</v>
          </cell>
          <cell r="C122">
            <v>94864.893333333341</v>
          </cell>
        </row>
        <row r="123">
          <cell r="A123" t="str">
            <v>June</v>
          </cell>
          <cell r="B123" t="str">
            <v>Cash</v>
          </cell>
          <cell r="C123">
            <v>0</v>
          </cell>
        </row>
        <row r="124">
          <cell r="A124" t="str">
            <v>June</v>
          </cell>
          <cell r="B124" t="str">
            <v>Salaries</v>
          </cell>
          <cell r="C124">
            <v>40489.620000000003</v>
          </cell>
        </row>
        <row r="125">
          <cell r="A125" t="str">
            <v>June</v>
          </cell>
          <cell r="B125" t="str">
            <v>13th Month</v>
          </cell>
          <cell r="C125">
            <v>3000</v>
          </cell>
        </row>
        <row r="126">
          <cell r="A126" t="str">
            <v>June</v>
          </cell>
          <cell r="B126" t="str">
            <v>Christmas Expenses</v>
          </cell>
          <cell r="C126">
            <v>2000</v>
          </cell>
        </row>
        <row r="127">
          <cell r="A127" t="str">
            <v>June</v>
          </cell>
          <cell r="B127" t="str">
            <v>Business Permit</v>
          </cell>
          <cell r="C127">
            <v>2833.3333333333335</v>
          </cell>
        </row>
        <row r="128">
          <cell r="A128" t="str">
            <v>June</v>
          </cell>
          <cell r="B128" t="str">
            <v>Percentage tax</v>
          </cell>
          <cell r="C128">
            <v>5000</v>
          </cell>
        </row>
        <row r="129">
          <cell r="A129" t="str">
            <v>June</v>
          </cell>
          <cell r="B129" t="str">
            <v>Rent</v>
          </cell>
          <cell r="C129">
            <v>5000</v>
          </cell>
        </row>
        <row r="130">
          <cell r="A130" t="str">
            <v>June</v>
          </cell>
          <cell r="B130" t="str">
            <v>LTO Renewal</v>
          </cell>
          <cell r="C130">
            <v>0</v>
          </cell>
        </row>
        <row r="131">
          <cell r="A131" t="str">
            <v>June</v>
          </cell>
          <cell r="B131" t="str">
            <v>Electicity &amp; Water</v>
          </cell>
          <cell r="C131">
            <v>0</v>
          </cell>
        </row>
        <row r="132">
          <cell r="A132" t="str">
            <v>June</v>
          </cell>
          <cell r="B132" t="str">
            <v>Internet</v>
          </cell>
          <cell r="C132">
            <v>2500</v>
          </cell>
        </row>
        <row r="133">
          <cell r="A133" t="str">
            <v>June</v>
          </cell>
          <cell r="B133" t="str">
            <v>SSS Contribution</v>
          </cell>
          <cell r="C133">
            <v>1210</v>
          </cell>
        </row>
        <row r="134">
          <cell r="A134" t="str">
            <v>June</v>
          </cell>
          <cell r="B134" t="str">
            <v>PHIC Contribution</v>
          </cell>
          <cell r="C134">
            <v>300</v>
          </cell>
        </row>
        <row r="135">
          <cell r="A135" t="str">
            <v>June</v>
          </cell>
          <cell r="B135" t="str">
            <v>HDMF Contribution</v>
          </cell>
          <cell r="C135">
            <v>200</v>
          </cell>
        </row>
        <row r="136">
          <cell r="A136" t="str">
            <v>June</v>
          </cell>
          <cell r="B136" t="str">
            <v>Store supplies</v>
          </cell>
          <cell r="C136">
            <v>132</v>
          </cell>
        </row>
        <row r="137">
          <cell r="A137" t="str">
            <v>June</v>
          </cell>
          <cell r="B137" t="str">
            <v>Repairs &amp; Maintenance</v>
          </cell>
          <cell r="C137">
            <v>0</v>
          </cell>
        </row>
        <row r="138">
          <cell r="A138" t="str">
            <v>June</v>
          </cell>
          <cell r="B138" t="str">
            <v>Bank Charges</v>
          </cell>
          <cell r="C138">
            <v>2300</v>
          </cell>
        </row>
        <row r="139">
          <cell r="A139" t="str">
            <v>June</v>
          </cell>
          <cell r="B139" t="str">
            <v>Communication</v>
          </cell>
          <cell r="C139">
            <v>0</v>
          </cell>
        </row>
        <row r="140">
          <cell r="A140" t="str">
            <v>June</v>
          </cell>
          <cell r="B140" t="str">
            <v>Meals</v>
          </cell>
          <cell r="C140">
            <v>3700</v>
          </cell>
        </row>
        <row r="141">
          <cell r="A141" t="str">
            <v>June</v>
          </cell>
          <cell r="B141" t="str">
            <v>Gasoline</v>
          </cell>
          <cell r="C141">
            <v>8700</v>
          </cell>
        </row>
        <row r="142">
          <cell r="A142" t="str">
            <v>June</v>
          </cell>
          <cell r="B142" t="str">
            <v>Deliveries</v>
          </cell>
          <cell r="C142">
            <v>6128</v>
          </cell>
        </row>
        <row r="143">
          <cell r="A143" t="str">
            <v>June</v>
          </cell>
          <cell r="B143" t="str">
            <v>Commissions</v>
          </cell>
          <cell r="C143">
            <v>11371.94</v>
          </cell>
        </row>
        <row r="144">
          <cell r="A144" t="str">
            <v>June</v>
          </cell>
          <cell r="B144" t="str">
            <v>Allowances (Hospitalization)</v>
          </cell>
          <cell r="C144">
            <v>0</v>
          </cell>
        </row>
        <row r="146">
          <cell r="A146" t="str">
            <v>July</v>
          </cell>
          <cell r="B146" t="str">
            <v>Total for the Month</v>
          </cell>
          <cell r="C146">
            <v>153443.55333333334</v>
          </cell>
        </row>
        <row r="147">
          <cell r="A147" t="str">
            <v>July</v>
          </cell>
          <cell r="B147" t="str">
            <v>Cash</v>
          </cell>
          <cell r="C147">
            <v>0</v>
          </cell>
        </row>
        <row r="148">
          <cell r="A148" t="str">
            <v>July</v>
          </cell>
          <cell r="B148" t="str">
            <v>Salaries</v>
          </cell>
          <cell r="C148">
            <v>43250</v>
          </cell>
        </row>
        <row r="149">
          <cell r="A149" t="str">
            <v>July</v>
          </cell>
          <cell r="B149" t="str">
            <v>13th Month</v>
          </cell>
          <cell r="C149">
            <v>3000</v>
          </cell>
        </row>
        <row r="150">
          <cell r="A150" t="str">
            <v>July</v>
          </cell>
          <cell r="B150" t="str">
            <v>Christmas Expenses</v>
          </cell>
          <cell r="C150">
            <v>2000</v>
          </cell>
        </row>
        <row r="151">
          <cell r="A151" t="str">
            <v>July</v>
          </cell>
          <cell r="B151" t="str">
            <v>Business Permit</v>
          </cell>
          <cell r="C151">
            <v>2833.3333333333335</v>
          </cell>
        </row>
        <row r="152">
          <cell r="A152" t="str">
            <v>July</v>
          </cell>
          <cell r="B152" t="str">
            <v>Percentage tax</v>
          </cell>
          <cell r="C152">
            <v>5000</v>
          </cell>
        </row>
        <row r="153">
          <cell r="A153" t="str">
            <v>July</v>
          </cell>
          <cell r="B153" t="str">
            <v>Rent</v>
          </cell>
          <cell r="C153">
            <v>5000</v>
          </cell>
        </row>
        <row r="154">
          <cell r="A154" t="str">
            <v>July</v>
          </cell>
          <cell r="B154" t="str">
            <v>LTO Renewal</v>
          </cell>
          <cell r="C154">
            <v>0</v>
          </cell>
        </row>
        <row r="155">
          <cell r="A155" t="str">
            <v>July</v>
          </cell>
          <cell r="B155" t="str">
            <v>Electicity &amp; Water</v>
          </cell>
          <cell r="C155">
            <v>0</v>
          </cell>
        </row>
        <row r="156">
          <cell r="A156" t="str">
            <v>July</v>
          </cell>
          <cell r="B156" t="str">
            <v>Internet</v>
          </cell>
          <cell r="C156">
            <v>2500</v>
          </cell>
        </row>
        <row r="157">
          <cell r="A157" t="str">
            <v>July</v>
          </cell>
          <cell r="B157" t="str">
            <v>SSS Contribution</v>
          </cell>
          <cell r="C157">
            <v>1210</v>
          </cell>
        </row>
        <row r="158">
          <cell r="A158" t="str">
            <v>July</v>
          </cell>
          <cell r="B158" t="str">
            <v>PHIC Contribution</v>
          </cell>
          <cell r="C158">
            <v>300</v>
          </cell>
        </row>
        <row r="159">
          <cell r="A159" t="str">
            <v>July</v>
          </cell>
          <cell r="B159" t="str">
            <v>HDMF Contribution</v>
          </cell>
          <cell r="C159">
            <v>200</v>
          </cell>
        </row>
        <row r="160">
          <cell r="A160" t="str">
            <v>July</v>
          </cell>
          <cell r="B160" t="str">
            <v>Store supplies</v>
          </cell>
          <cell r="C160">
            <v>0</v>
          </cell>
        </row>
        <row r="161">
          <cell r="A161" t="str">
            <v>July</v>
          </cell>
          <cell r="B161" t="str">
            <v>Repairs &amp; Maintenance</v>
          </cell>
          <cell r="C161">
            <v>0</v>
          </cell>
        </row>
        <row r="162">
          <cell r="A162" t="str">
            <v>July</v>
          </cell>
          <cell r="B162" t="str">
            <v>Bank Charges</v>
          </cell>
          <cell r="C162">
            <v>5030</v>
          </cell>
        </row>
        <row r="163">
          <cell r="A163" t="str">
            <v>July</v>
          </cell>
          <cell r="B163" t="str">
            <v>Communication</v>
          </cell>
          <cell r="C163">
            <v>0</v>
          </cell>
        </row>
        <row r="164">
          <cell r="A164" t="str">
            <v>July</v>
          </cell>
          <cell r="B164" t="str">
            <v>Meals</v>
          </cell>
          <cell r="C164">
            <v>4700</v>
          </cell>
        </row>
        <row r="165">
          <cell r="A165" t="str">
            <v>July</v>
          </cell>
          <cell r="B165" t="str">
            <v>Gasoline</v>
          </cell>
          <cell r="C165">
            <v>11300</v>
          </cell>
        </row>
        <row r="166">
          <cell r="A166" t="str">
            <v>July</v>
          </cell>
          <cell r="B166" t="str">
            <v>Deliveries</v>
          </cell>
          <cell r="C166">
            <v>10260</v>
          </cell>
        </row>
        <row r="167">
          <cell r="A167" t="str">
            <v>July</v>
          </cell>
          <cell r="B167" t="str">
            <v>Commissions</v>
          </cell>
          <cell r="C167">
            <v>11635.78</v>
          </cell>
        </row>
        <row r="168">
          <cell r="A168" t="str">
            <v>July</v>
          </cell>
          <cell r="B168" t="str">
            <v>Allowances (Hospitalization)</v>
          </cell>
          <cell r="C168">
            <v>45224.44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91928-4FBB-44A9-B33F-AC2F08720123}" name="ExpensesListTable" displayName="ExpensesListTable" ref="A4:J26" totalsRowShown="0">
  <autoFilter ref="A4:J26" xr:uid="{206564E5-C825-4743-8C50-59ED806FF34B}"/>
  <tableColumns count="10">
    <tableColumn id="1" xr3:uid="{EC724976-40F6-41F6-8E20-06861D36F798}" name="No." dataDxfId="8"/>
    <tableColumn id="2" xr3:uid="{059A5A37-A583-480E-80E0-053E844E018C}" name="Expense Category"/>
    <tableColumn id="3" xr3:uid="{464A2C20-8BF8-4A6E-8768-E0126F99B7BA}" name="January" dataDxfId="7">
      <calculatedColumnFormula>SUMIFS('[1]2026 Exp'!$C$4:$C$168,'[1]2026 Exp'!$A$4:$A$168,C$4,'[1]2026 Exp'!$B$4:$B$168,$B5)</calculatedColumnFormula>
    </tableColumn>
    <tableColumn id="4" xr3:uid="{B8CA3E85-07D3-470A-B691-42572E1F3840}" name="February" dataDxfId="6">
      <calculatedColumnFormula>SUMIFS('[1]2026 Exp'!$C$4:$C$168,'[1]2026 Exp'!$A$4:$A$168,D$4,'[1]2026 Exp'!$B$4:$B$168,$B5)</calculatedColumnFormula>
    </tableColumn>
    <tableColumn id="5" xr3:uid="{1B986061-2978-4E3A-BF76-621C7B30F3D6}" name="March" dataDxfId="5">
      <calculatedColumnFormula>SUMIFS('[1]2026 Exp'!$C$4:$C$168,'[1]2026 Exp'!$A$4:$A$168,E$4,'[1]2026 Exp'!$B$4:$B$168,$B5)</calculatedColumnFormula>
    </tableColumn>
    <tableColumn id="6" xr3:uid="{3BADA567-95C8-46AF-BC8F-774D974E07E3}" name="April" dataDxfId="4">
      <calculatedColumnFormula>SUMIFS('[1]2026 Exp'!$C$4:$C$168,'[1]2026 Exp'!$A$4:$A$168,F$4,'[1]2026 Exp'!$B$4:$B$168,$B5)</calculatedColumnFormula>
    </tableColumn>
    <tableColumn id="7" xr3:uid="{AE8D7C15-B132-4086-A8D6-AFBC5FC654D2}" name="May" dataDxfId="3">
      <calculatedColumnFormula>SUMIFS('[1]2026 Exp'!$C$4:$C$168,'[1]2026 Exp'!$A$4:$A$168,G$4,'[1]2026 Exp'!$B$4:$B$168,$B5)</calculatedColumnFormula>
    </tableColumn>
    <tableColumn id="8" xr3:uid="{FBFCF4DD-A42F-4E97-887E-1BDAB68B1A51}" name="June" dataDxfId="2">
      <calculatedColumnFormula>SUMIFS('[1]2026 Exp'!$C$4:$C$168,'[1]2026 Exp'!$A$4:$A$168,H$4,'[1]2026 Exp'!$B$4:$B$168,$B5)</calculatedColumnFormula>
    </tableColumn>
    <tableColumn id="9" xr3:uid="{04FDF1D6-F5FC-4C9B-BC14-69E9FF000E82}" name="July" dataDxfId="1">
      <calculatedColumnFormula>SUMIFS('[1]2026 Exp'!$C$4:$C$168,'[1]2026 Exp'!$A$4:$A$168,I$4,'[1]2026 Exp'!$B$4:$B$168,$B5)</calculatedColumnFormula>
    </tableColumn>
    <tableColumn id="10" xr3:uid="{D7FF5BFC-0DD0-4E65-ACC5-3ADD21DD505A}" name="YTD Total" dataDxfId="0">
      <calculatedColumnFormula>SUM(C5:I5)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AD2B-65F8-4CB2-BB14-3FD80F69390C}">
  <dimension ref="A1:J26"/>
  <sheetViews>
    <sheetView tabSelected="1" workbookViewId="0">
      <selection activeCell="C10" sqref="C10"/>
    </sheetView>
  </sheetViews>
  <sheetFormatPr defaultRowHeight="15" x14ac:dyDescent="0.25"/>
  <cols>
    <col min="1" max="1" width="8.42578125" customWidth="1"/>
    <col min="2" max="2" width="32.42578125" customWidth="1"/>
    <col min="3" max="10" width="14.42578125" customWidth="1"/>
  </cols>
  <sheetData>
    <row r="1" spans="1:10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25">
      <c r="A5" s="3">
        <v>1</v>
      </c>
      <c r="B5" t="s">
        <v>12</v>
      </c>
      <c r="C5" s="4">
        <f>SUMIFS('[1]2026 Exp'!$C$4:$C$168,'[1]2026 Exp'!$A$4:$A$168,C$4,'[1]2026 Exp'!$B$4:$B$168,$B5)</f>
        <v>3000</v>
      </c>
      <c r="D5" s="4">
        <f>SUMIFS('[1]2026 Exp'!$C$4:$C$168,'[1]2026 Exp'!$A$4:$A$168,D$4,'[1]2026 Exp'!$B$4:$B$168,$B5)</f>
        <v>3000</v>
      </c>
      <c r="E5" s="4">
        <f>SUMIFS('[1]2026 Exp'!$C$4:$C$168,'[1]2026 Exp'!$A$4:$A$168,E$4,'[1]2026 Exp'!$B$4:$B$168,$B5)</f>
        <v>3000</v>
      </c>
      <c r="F5" s="4">
        <f>SUMIFS('[1]2026 Exp'!$C$4:$C$168,'[1]2026 Exp'!$A$4:$A$168,F$4,'[1]2026 Exp'!$B$4:$B$168,$B5)</f>
        <v>3000</v>
      </c>
      <c r="G5" s="4">
        <f>SUMIFS('[1]2026 Exp'!$C$4:$C$168,'[1]2026 Exp'!$A$4:$A$168,G$4,'[1]2026 Exp'!$B$4:$B$168,$B5)</f>
        <v>3000</v>
      </c>
      <c r="H5" s="4">
        <f>SUMIFS('[1]2026 Exp'!$C$4:$C$168,'[1]2026 Exp'!$A$4:$A$168,H$4,'[1]2026 Exp'!$B$4:$B$168,$B5)</f>
        <v>3000</v>
      </c>
      <c r="I5" s="4">
        <f>SUMIFS('[1]2026 Exp'!$C$4:$C$168,'[1]2026 Exp'!$A$4:$A$168,I$4,'[1]2026 Exp'!$B$4:$B$168,$B5)</f>
        <v>3000</v>
      </c>
      <c r="J5" s="4">
        <f>SUM(C5:I5)</f>
        <v>21000</v>
      </c>
    </row>
    <row r="6" spans="1:10" x14ac:dyDescent="0.25">
      <c r="A6" s="3">
        <v>2</v>
      </c>
      <c r="B6" t="s">
        <v>13</v>
      </c>
      <c r="C6" s="4">
        <f>SUMIFS('[1]2026 Exp'!$C$4:$C$168,'[1]2026 Exp'!$A$4:$A$168,C$4,'[1]2026 Exp'!$B$4:$B$168,$B6)</f>
        <v>0</v>
      </c>
      <c r="D6" s="4">
        <f>SUMIFS('[1]2026 Exp'!$C$4:$C$168,'[1]2026 Exp'!$A$4:$A$168,D$4,'[1]2026 Exp'!$B$4:$B$168,$B6)</f>
        <v>0</v>
      </c>
      <c r="E6" s="4">
        <f>SUMIFS('[1]2026 Exp'!$C$4:$C$168,'[1]2026 Exp'!$A$4:$A$168,E$4,'[1]2026 Exp'!$B$4:$B$168,$B6)</f>
        <v>60000</v>
      </c>
      <c r="F6" s="4">
        <f>SUMIFS('[1]2026 Exp'!$C$4:$C$168,'[1]2026 Exp'!$A$4:$A$168,F$4,'[1]2026 Exp'!$B$4:$B$168,$B6)</f>
        <v>0</v>
      </c>
      <c r="G6" s="4">
        <f>SUMIFS('[1]2026 Exp'!$C$4:$C$168,'[1]2026 Exp'!$A$4:$A$168,G$4,'[1]2026 Exp'!$B$4:$B$168,$B6)</f>
        <v>0</v>
      </c>
      <c r="H6" s="4">
        <f>SUMIFS('[1]2026 Exp'!$C$4:$C$168,'[1]2026 Exp'!$A$4:$A$168,H$4,'[1]2026 Exp'!$B$4:$B$168,$B6)</f>
        <v>0</v>
      </c>
      <c r="I6" s="4">
        <f>SUMIFS('[1]2026 Exp'!$C$4:$C$168,'[1]2026 Exp'!$A$4:$A$168,I$4,'[1]2026 Exp'!$B$4:$B$168,$B6)</f>
        <v>45224.44</v>
      </c>
      <c r="J6" s="4">
        <f t="shared" ref="J6:J26" si="0">SUM(C6:I6)</f>
        <v>105224.44</v>
      </c>
    </row>
    <row r="7" spans="1:10" x14ac:dyDescent="0.25">
      <c r="A7" s="3">
        <v>3</v>
      </c>
      <c r="B7" t="s">
        <v>14</v>
      </c>
      <c r="C7" s="4">
        <f>SUMIFS('[1]2026 Exp'!$C$4:$C$168,'[1]2026 Exp'!$A$4:$A$168,C$4,'[1]2026 Exp'!$B$4:$B$168,$B7)</f>
        <v>5040</v>
      </c>
      <c r="D7" s="4">
        <f>SUMIFS('[1]2026 Exp'!$C$4:$C$168,'[1]2026 Exp'!$A$4:$A$168,D$4,'[1]2026 Exp'!$B$4:$B$168,$B7)</f>
        <v>10230</v>
      </c>
      <c r="E7" s="4">
        <f>SUMIFS('[1]2026 Exp'!$C$4:$C$168,'[1]2026 Exp'!$A$4:$A$168,E$4,'[1]2026 Exp'!$B$4:$B$168,$B7)</f>
        <v>5880</v>
      </c>
      <c r="F7" s="4">
        <f>SUMIFS('[1]2026 Exp'!$C$4:$C$168,'[1]2026 Exp'!$A$4:$A$168,F$4,'[1]2026 Exp'!$B$4:$B$168,$B7)</f>
        <v>780</v>
      </c>
      <c r="G7" s="4">
        <f>SUMIFS('[1]2026 Exp'!$C$4:$C$168,'[1]2026 Exp'!$A$4:$A$168,G$4,'[1]2026 Exp'!$B$4:$B$168,$B7)</f>
        <v>160</v>
      </c>
      <c r="H7" s="4">
        <f>SUMIFS('[1]2026 Exp'!$C$4:$C$168,'[1]2026 Exp'!$A$4:$A$168,H$4,'[1]2026 Exp'!$B$4:$B$168,$B7)</f>
        <v>2300</v>
      </c>
      <c r="I7" s="4">
        <f>SUMIFS('[1]2026 Exp'!$C$4:$C$168,'[1]2026 Exp'!$A$4:$A$168,I$4,'[1]2026 Exp'!$B$4:$B$168,$B7)</f>
        <v>5030</v>
      </c>
      <c r="J7" s="4">
        <f t="shared" si="0"/>
        <v>29420</v>
      </c>
    </row>
    <row r="8" spans="1:10" x14ac:dyDescent="0.25">
      <c r="A8" s="3">
        <v>4</v>
      </c>
      <c r="B8" t="s">
        <v>15</v>
      </c>
      <c r="C8" s="4">
        <f>SUMIFS('[1]2026 Exp'!$C$4:$C$168,'[1]2026 Exp'!$A$4:$A$168,C$4,'[1]2026 Exp'!$B$4:$B$168,$B8)</f>
        <v>2833.3333333333335</v>
      </c>
      <c r="D8" s="4">
        <f>SUMIFS('[1]2026 Exp'!$C$4:$C$168,'[1]2026 Exp'!$A$4:$A$168,D$4,'[1]2026 Exp'!$B$4:$B$168,$B8)</f>
        <v>2833.3333333333335</v>
      </c>
      <c r="E8" s="4">
        <f>SUMIFS('[1]2026 Exp'!$C$4:$C$168,'[1]2026 Exp'!$A$4:$A$168,E$4,'[1]2026 Exp'!$B$4:$B$168,$B8)</f>
        <v>2833.3333333333335</v>
      </c>
      <c r="F8" s="4">
        <f>SUMIFS('[1]2026 Exp'!$C$4:$C$168,'[1]2026 Exp'!$A$4:$A$168,F$4,'[1]2026 Exp'!$B$4:$B$168,$B8)</f>
        <v>2833.3333333333335</v>
      </c>
      <c r="G8" s="4">
        <f>SUMIFS('[1]2026 Exp'!$C$4:$C$168,'[1]2026 Exp'!$A$4:$A$168,G$4,'[1]2026 Exp'!$B$4:$B$168,$B8)</f>
        <v>2833.3333333333335</v>
      </c>
      <c r="H8" s="4">
        <f>SUMIFS('[1]2026 Exp'!$C$4:$C$168,'[1]2026 Exp'!$A$4:$A$168,H$4,'[1]2026 Exp'!$B$4:$B$168,$B8)</f>
        <v>2833.3333333333335</v>
      </c>
      <c r="I8" s="4">
        <f>SUMIFS('[1]2026 Exp'!$C$4:$C$168,'[1]2026 Exp'!$A$4:$A$168,I$4,'[1]2026 Exp'!$B$4:$B$168,$B8)</f>
        <v>2833.3333333333335</v>
      </c>
      <c r="J8" s="4">
        <f t="shared" si="0"/>
        <v>19833.333333333332</v>
      </c>
    </row>
    <row r="9" spans="1:10" x14ac:dyDescent="0.25">
      <c r="A9" s="3">
        <v>5</v>
      </c>
      <c r="B9" t="s">
        <v>16</v>
      </c>
      <c r="C9" s="4">
        <f>SUMIFS('[1]2026 Exp'!$C$4:$C$168,'[1]2026 Exp'!$A$4:$A$168,C$4,'[1]2026 Exp'!$B$4:$B$168,$B9)</f>
        <v>0</v>
      </c>
      <c r="D9" s="4">
        <f>SUMIFS('[1]2026 Exp'!$C$4:$C$168,'[1]2026 Exp'!$A$4:$A$168,D$4,'[1]2026 Exp'!$B$4:$B$168,$B9)</f>
        <v>0</v>
      </c>
      <c r="E9" s="4">
        <f>SUMIFS('[1]2026 Exp'!$C$4:$C$168,'[1]2026 Exp'!$A$4:$A$168,E$4,'[1]2026 Exp'!$B$4:$B$168,$B9)</f>
        <v>0</v>
      </c>
      <c r="F9" s="4">
        <f>SUMIFS('[1]2026 Exp'!$C$4:$C$168,'[1]2026 Exp'!$A$4:$A$168,F$4,'[1]2026 Exp'!$B$4:$B$168,$B9)</f>
        <v>0</v>
      </c>
      <c r="G9" s="4">
        <f>SUMIFS('[1]2026 Exp'!$C$4:$C$168,'[1]2026 Exp'!$A$4:$A$168,G$4,'[1]2026 Exp'!$B$4:$B$168,$B9)</f>
        <v>0</v>
      </c>
      <c r="H9" s="4">
        <f>SUMIFS('[1]2026 Exp'!$C$4:$C$168,'[1]2026 Exp'!$A$4:$A$168,H$4,'[1]2026 Exp'!$B$4:$B$168,$B9)</f>
        <v>0</v>
      </c>
      <c r="I9" s="4">
        <f>SUMIFS('[1]2026 Exp'!$C$4:$C$168,'[1]2026 Exp'!$A$4:$A$168,I$4,'[1]2026 Exp'!$B$4:$B$168,$B9)</f>
        <v>0</v>
      </c>
      <c r="J9" s="4">
        <f t="shared" si="0"/>
        <v>0</v>
      </c>
    </row>
    <row r="10" spans="1:10" x14ac:dyDescent="0.25">
      <c r="A10" s="3">
        <v>6</v>
      </c>
      <c r="B10" t="s">
        <v>17</v>
      </c>
      <c r="C10" s="4">
        <f>SUMIFS('[1]2026 Exp'!$C$4:$C$168,'[1]2026 Exp'!$A$4:$A$168,C$4,'[1]2026 Exp'!$B$4:$B$168,$B10)</f>
        <v>2000</v>
      </c>
      <c r="D10" s="4">
        <f>SUMIFS('[1]2026 Exp'!$C$4:$C$168,'[1]2026 Exp'!$A$4:$A$168,D$4,'[1]2026 Exp'!$B$4:$B$168,$B10)</f>
        <v>2000</v>
      </c>
      <c r="E10" s="4">
        <f>SUMIFS('[1]2026 Exp'!$C$4:$C$168,'[1]2026 Exp'!$A$4:$A$168,E$4,'[1]2026 Exp'!$B$4:$B$168,$B10)</f>
        <v>2000</v>
      </c>
      <c r="F10" s="4">
        <f>SUMIFS('[1]2026 Exp'!$C$4:$C$168,'[1]2026 Exp'!$A$4:$A$168,F$4,'[1]2026 Exp'!$B$4:$B$168,$B10)</f>
        <v>2000</v>
      </c>
      <c r="G10" s="4">
        <f>SUMIFS('[1]2026 Exp'!$C$4:$C$168,'[1]2026 Exp'!$A$4:$A$168,G$4,'[1]2026 Exp'!$B$4:$B$168,$B10)</f>
        <v>2000</v>
      </c>
      <c r="H10" s="4">
        <f>SUMIFS('[1]2026 Exp'!$C$4:$C$168,'[1]2026 Exp'!$A$4:$A$168,H$4,'[1]2026 Exp'!$B$4:$B$168,$B10)</f>
        <v>2000</v>
      </c>
      <c r="I10" s="4">
        <f>SUMIFS('[1]2026 Exp'!$C$4:$C$168,'[1]2026 Exp'!$A$4:$A$168,I$4,'[1]2026 Exp'!$B$4:$B$168,$B10)</f>
        <v>2000</v>
      </c>
      <c r="J10" s="4">
        <f t="shared" si="0"/>
        <v>14000</v>
      </c>
    </row>
    <row r="11" spans="1:10" x14ac:dyDescent="0.25">
      <c r="A11" s="3">
        <v>7</v>
      </c>
      <c r="B11" t="s">
        <v>18</v>
      </c>
      <c r="C11" s="4">
        <f>SUMIFS('[1]2026 Exp'!$C$4:$C$168,'[1]2026 Exp'!$A$4:$A$168,C$4,'[1]2026 Exp'!$B$4:$B$168,$B11)</f>
        <v>7449.1200000000008</v>
      </c>
      <c r="D11" s="4">
        <f>SUMIFS('[1]2026 Exp'!$C$4:$C$168,'[1]2026 Exp'!$A$4:$A$168,D$4,'[1]2026 Exp'!$B$4:$B$168,$B11)</f>
        <v>8046.9840000000013</v>
      </c>
      <c r="E11" s="4">
        <f>SUMIFS('[1]2026 Exp'!$C$4:$C$168,'[1]2026 Exp'!$A$4:$A$168,E$4,'[1]2026 Exp'!$B$4:$B$168,$B11)</f>
        <v>3061.1</v>
      </c>
      <c r="F11" s="4">
        <f>SUMIFS('[1]2026 Exp'!$C$4:$C$168,'[1]2026 Exp'!$A$4:$A$168,F$4,'[1]2026 Exp'!$B$4:$B$168,$B11)</f>
        <v>6234.4000000000015</v>
      </c>
      <c r="G11" s="4">
        <f>SUMIFS('[1]2026 Exp'!$C$4:$C$168,'[1]2026 Exp'!$A$4:$A$168,G$4,'[1]2026 Exp'!$B$4:$B$168,$B11)</f>
        <v>6360.2199999999993</v>
      </c>
      <c r="H11" s="4">
        <f>SUMIFS('[1]2026 Exp'!$C$4:$C$168,'[1]2026 Exp'!$A$4:$A$168,H$4,'[1]2026 Exp'!$B$4:$B$168,$B11)</f>
        <v>11371.94</v>
      </c>
      <c r="I11" s="4">
        <f>SUMIFS('[1]2026 Exp'!$C$4:$C$168,'[1]2026 Exp'!$A$4:$A$168,I$4,'[1]2026 Exp'!$B$4:$B$168,$B11)</f>
        <v>11635.78</v>
      </c>
      <c r="J11" s="4">
        <f t="shared" si="0"/>
        <v>54159.544000000002</v>
      </c>
    </row>
    <row r="12" spans="1:10" x14ac:dyDescent="0.25">
      <c r="A12" s="3">
        <v>8</v>
      </c>
      <c r="B12" t="s">
        <v>19</v>
      </c>
      <c r="C12" s="4">
        <f>SUMIFS('[1]2026 Exp'!$C$4:$C$168,'[1]2026 Exp'!$A$4:$A$168,C$4,'[1]2026 Exp'!$B$4:$B$168,$B12)</f>
        <v>35</v>
      </c>
      <c r="D12" s="4">
        <f>SUMIFS('[1]2026 Exp'!$C$4:$C$168,'[1]2026 Exp'!$A$4:$A$168,D$4,'[1]2026 Exp'!$B$4:$B$168,$B12)</f>
        <v>0</v>
      </c>
      <c r="E12" s="4">
        <f>SUMIFS('[1]2026 Exp'!$C$4:$C$168,'[1]2026 Exp'!$A$4:$A$168,E$4,'[1]2026 Exp'!$B$4:$B$168,$B12)</f>
        <v>0</v>
      </c>
      <c r="F12" s="4">
        <f>SUMIFS('[1]2026 Exp'!$C$4:$C$168,'[1]2026 Exp'!$A$4:$A$168,F$4,'[1]2026 Exp'!$B$4:$B$168,$B12)</f>
        <v>0</v>
      </c>
      <c r="G12" s="4">
        <f>SUMIFS('[1]2026 Exp'!$C$4:$C$168,'[1]2026 Exp'!$A$4:$A$168,G$4,'[1]2026 Exp'!$B$4:$B$168,$B12)</f>
        <v>0</v>
      </c>
      <c r="H12" s="4">
        <f>SUMIFS('[1]2026 Exp'!$C$4:$C$168,'[1]2026 Exp'!$A$4:$A$168,H$4,'[1]2026 Exp'!$B$4:$B$168,$B12)</f>
        <v>0</v>
      </c>
      <c r="I12" s="4">
        <f>SUMIFS('[1]2026 Exp'!$C$4:$C$168,'[1]2026 Exp'!$A$4:$A$168,I$4,'[1]2026 Exp'!$B$4:$B$168,$B12)</f>
        <v>0</v>
      </c>
      <c r="J12" s="4">
        <f t="shared" si="0"/>
        <v>35</v>
      </c>
    </row>
    <row r="13" spans="1:10" x14ac:dyDescent="0.25">
      <c r="A13" s="3">
        <v>9</v>
      </c>
      <c r="B13" t="s">
        <v>20</v>
      </c>
      <c r="C13" s="4">
        <f>SUMIFS('[1]2026 Exp'!$C$4:$C$168,'[1]2026 Exp'!$A$4:$A$168,C$4,'[1]2026 Exp'!$B$4:$B$168,$B13)</f>
        <v>4563</v>
      </c>
      <c r="D13" s="4">
        <f>SUMIFS('[1]2026 Exp'!$C$4:$C$168,'[1]2026 Exp'!$A$4:$A$168,D$4,'[1]2026 Exp'!$B$4:$B$168,$B13)</f>
        <v>4270</v>
      </c>
      <c r="E13" s="4">
        <f>SUMIFS('[1]2026 Exp'!$C$4:$C$168,'[1]2026 Exp'!$A$4:$A$168,E$4,'[1]2026 Exp'!$B$4:$B$168,$B13)</f>
        <v>9545</v>
      </c>
      <c r="F13" s="4">
        <f>SUMIFS('[1]2026 Exp'!$C$4:$C$168,'[1]2026 Exp'!$A$4:$A$168,F$4,'[1]2026 Exp'!$B$4:$B$168,$B13)</f>
        <v>6150</v>
      </c>
      <c r="G13" s="4">
        <f>SUMIFS('[1]2026 Exp'!$C$4:$C$168,'[1]2026 Exp'!$A$4:$A$168,G$4,'[1]2026 Exp'!$B$4:$B$168,$B13)</f>
        <v>4200</v>
      </c>
      <c r="H13" s="4">
        <f>SUMIFS('[1]2026 Exp'!$C$4:$C$168,'[1]2026 Exp'!$A$4:$A$168,H$4,'[1]2026 Exp'!$B$4:$B$168,$B13)</f>
        <v>6128</v>
      </c>
      <c r="I13" s="4">
        <f>SUMIFS('[1]2026 Exp'!$C$4:$C$168,'[1]2026 Exp'!$A$4:$A$168,I$4,'[1]2026 Exp'!$B$4:$B$168,$B13)</f>
        <v>10260</v>
      </c>
      <c r="J13" s="4">
        <f t="shared" si="0"/>
        <v>45116</v>
      </c>
    </row>
    <row r="14" spans="1:10" x14ac:dyDescent="0.25">
      <c r="A14" s="3">
        <v>10</v>
      </c>
      <c r="B14" t="s">
        <v>21</v>
      </c>
      <c r="C14" s="4">
        <f>SUMIFS('[1]2026 Exp'!$C$4:$C$168,'[1]2026 Exp'!$A$4:$A$168,C$4,'[1]2026 Exp'!$B$4:$B$168,$B14)</f>
        <v>0</v>
      </c>
      <c r="D14" s="4">
        <f>SUMIFS('[1]2026 Exp'!$C$4:$C$168,'[1]2026 Exp'!$A$4:$A$168,D$4,'[1]2026 Exp'!$B$4:$B$168,$B14)</f>
        <v>0</v>
      </c>
      <c r="E14" s="4">
        <f>SUMIFS('[1]2026 Exp'!$C$4:$C$168,'[1]2026 Exp'!$A$4:$A$168,E$4,'[1]2026 Exp'!$B$4:$B$168,$B14)</f>
        <v>0</v>
      </c>
      <c r="F14" s="4">
        <f>SUMIFS('[1]2026 Exp'!$C$4:$C$168,'[1]2026 Exp'!$A$4:$A$168,F$4,'[1]2026 Exp'!$B$4:$B$168,$B14)</f>
        <v>0</v>
      </c>
      <c r="G14" s="4">
        <f>SUMIFS('[1]2026 Exp'!$C$4:$C$168,'[1]2026 Exp'!$A$4:$A$168,G$4,'[1]2026 Exp'!$B$4:$B$168,$B14)</f>
        <v>0</v>
      </c>
      <c r="H14" s="4">
        <f>SUMIFS('[1]2026 Exp'!$C$4:$C$168,'[1]2026 Exp'!$A$4:$A$168,H$4,'[1]2026 Exp'!$B$4:$B$168,$B14)</f>
        <v>0</v>
      </c>
      <c r="I14" s="4">
        <f>SUMIFS('[1]2026 Exp'!$C$4:$C$168,'[1]2026 Exp'!$A$4:$A$168,I$4,'[1]2026 Exp'!$B$4:$B$168,$B14)</f>
        <v>0</v>
      </c>
      <c r="J14" s="4">
        <f t="shared" si="0"/>
        <v>0</v>
      </c>
    </row>
    <row r="15" spans="1:10" x14ac:dyDescent="0.25">
      <c r="A15" s="3">
        <v>11</v>
      </c>
      <c r="B15" t="s">
        <v>22</v>
      </c>
      <c r="C15" s="4">
        <f>SUMIFS('[1]2026 Exp'!$C$4:$C$168,'[1]2026 Exp'!$A$4:$A$168,C$4,'[1]2026 Exp'!$B$4:$B$168,$B15)</f>
        <v>4200</v>
      </c>
      <c r="D15" s="4">
        <f>SUMIFS('[1]2026 Exp'!$C$4:$C$168,'[1]2026 Exp'!$A$4:$A$168,D$4,'[1]2026 Exp'!$B$4:$B$168,$B15)</f>
        <v>5700</v>
      </c>
      <c r="E15" s="4">
        <f>SUMIFS('[1]2026 Exp'!$C$4:$C$168,'[1]2026 Exp'!$A$4:$A$168,E$4,'[1]2026 Exp'!$B$4:$B$168,$B15)</f>
        <v>3650</v>
      </c>
      <c r="F15" s="4">
        <f>SUMIFS('[1]2026 Exp'!$C$4:$C$168,'[1]2026 Exp'!$A$4:$A$168,F$4,'[1]2026 Exp'!$B$4:$B$168,$B15)</f>
        <v>7900</v>
      </c>
      <c r="G15" s="4">
        <f>SUMIFS('[1]2026 Exp'!$C$4:$C$168,'[1]2026 Exp'!$A$4:$A$168,G$4,'[1]2026 Exp'!$B$4:$B$168,$B15)</f>
        <v>7100</v>
      </c>
      <c r="H15" s="4">
        <f>SUMIFS('[1]2026 Exp'!$C$4:$C$168,'[1]2026 Exp'!$A$4:$A$168,H$4,'[1]2026 Exp'!$B$4:$B$168,$B15)</f>
        <v>8700</v>
      </c>
      <c r="I15" s="4">
        <f>SUMIFS('[1]2026 Exp'!$C$4:$C$168,'[1]2026 Exp'!$A$4:$A$168,I$4,'[1]2026 Exp'!$B$4:$B$168,$B15)</f>
        <v>11300</v>
      </c>
      <c r="J15" s="4">
        <f t="shared" si="0"/>
        <v>48550</v>
      </c>
    </row>
    <row r="16" spans="1:10" x14ac:dyDescent="0.25">
      <c r="A16" s="3">
        <v>12</v>
      </c>
      <c r="B16" t="s">
        <v>23</v>
      </c>
      <c r="C16" s="4">
        <f>SUMIFS('[1]2026 Exp'!$C$4:$C$168,'[1]2026 Exp'!$A$4:$A$168,C$4,'[1]2026 Exp'!$B$4:$B$168,$B16)</f>
        <v>200</v>
      </c>
      <c r="D16" s="4">
        <f>SUMIFS('[1]2026 Exp'!$C$4:$C$168,'[1]2026 Exp'!$A$4:$A$168,D$4,'[1]2026 Exp'!$B$4:$B$168,$B16)</f>
        <v>200</v>
      </c>
      <c r="E16" s="4">
        <f>SUMIFS('[1]2026 Exp'!$C$4:$C$168,'[1]2026 Exp'!$A$4:$A$168,E$4,'[1]2026 Exp'!$B$4:$B$168,$B16)</f>
        <v>200</v>
      </c>
      <c r="F16" s="4">
        <f>SUMIFS('[1]2026 Exp'!$C$4:$C$168,'[1]2026 Exp'!$A$4:$A$168,F$4,'[1]2026 Exp'!$B$4:$B$168,$B16)</f>
        <v>200</v>
      </c>
      <c r="G16" s="4">
        <f>SUMIFS('[1]2026 Exp'!$C$4:$C$168,'[1]2026 Exp'!$A$4:$A$168,G$4,'[1]2026 Exp'!$B$4:$B$168,$B16)</f>
        <v>200</v>
      </c>
      <c r="H16" s="4">
        <f>SUMIFS('[1]2026 Exp'!$C$4:$C$168,'[1]2026 Exp'!$A$4:$A$168,H$4,'[1]2026 Exp'!$B$4:$B$168,$B16)</f>
        <v>200</v>
      </c>
      <c r="I16" s="4">
        <f>SUMIFS('[1]2026 Exp'!$C$4:$C$168,'[1]2026 Exp'!$A$4:$A$168,I$4,'[1]2026 Exp'!$B$4:$B$168,$B16)</f>
        <v>200</v>
      </c>
      <c r="J16" s="4">
        <f t="shared" si="0"/>
        <v>1400</v>
      </c>
    </row>
    <row r="17" spans="1:10" x14ac:dyDescent="0.25">
      <c r="A17" s="3">
        <v>13</v>
      </c>
      <c r="B17" t="s">
        <v>24</v>
      </c>
      <c r="C17" s="4">
        <f>SUMIFS('[1]2026 Exp'!$C$4:$C$168,'[1]2026 Exp'!$A$4:$A$168,C$4,'[1]2026 Exp'!$B$4:$B$168,$B17)</f>
        <v>2500</v>
      </c>
      <c r="D17" s="4">
        <f>SUMIFS('[1]2026 Exp'!$C$4:$C$168,'[1]2026 Exp'!$A$4:$A$168,D$4,'[1]2026 Exp'!$B$4:$B$168,$B17)</f>
        <v>2500</v>
      </c>
      <c r="E17" s="4">
        <f>SUMIFS('[1]2026 Exp'!$C$4:$C$168,'[1]2026 Exp'!$A$4:$A$168,E$4,'[1]2026 Exp'!$B$4:$B$168,$B17)</f>
        <v>2500</v>
      </c>
      <c r="F17" s="4">
        <f>SUMIFS('[1]2026 Exp'!$C$4:$C$168,'[1]2026 Exp'!$A$4:$A$168,F$4,'[1]2026 Exp'!$B$4:$B$168,$B17)</f>
        <v>2500</v>
      </c>
      <c r="G17" s="4">
        <f>SUMIFS('[1]2026 Exp'!$C$4:$C$168,'[1]2026 Exp'!$A$4:$A$168,G$4,'[1]2026 Exp'!$B$4:$B$168,$B17)</f>
        <v>2500</v>
      </c>
      <c r="H17" s="4">
        <f>SUMIFS('[1]2026 Exp'!$C$4:$C$168,'[1]2026 Exp'!$A$4:$A$168,H$4,'[1]2026 Exp'!$B$4:$B$168,$B17)</f>
        <v>2500</v>
      </c>
      <c r="I17" s="4">
        <f>SUMIFS('[1]2026 Exp'!$C$4:$C$168,'[1]2026 Exp'!$A$4:$A$168,I$4,'[1]2026 Exp'!$B$4:$B$168,$B17)</f>
        <v>2500</v>
      </c>
      <c r="J17" s="4">
        <f t="shared" si="0"/>
        <v>17500</v>
      </c>
    </row>
    <row r="18" spans="1:10" x14ac:dyDescent="0.25">
      <c r="A18" s="3">
        <v>14</v>
      </c>
      <c r="B18" t="s">
        <v>25</v>
      </c>
      <c r="C18" s="4">
        <f>SUMIFS('[1]2026 Exp'!$C$4:$C$168,'[1]2026 Exp'!$A$4:$A$168,C$4,'[1]2026 Exp'!$B$4:$B$168,$B18)</f>
        <v>0</v>
      </c>
      <c r="D18" s="4">
        <f>SUMIFS('[1]2026 Exp'!$C$4:$C$168,'[1]2026 Exp'!$A$4:$A$168,D$4,'[1]2026 Exp'!$B$4:$B$168,$B18)</f>
        <v>9000</v>
      </c>
      <c r="E18" s="4">
        <f>SUMIFS('[1]2026 Exp'!$C$4:$C$168,'[1]2026 Exp'!$A$4:$A$168,E$4,'[1]2026 Exp'!$B$4:$B$168,$B18)</f>
        <v>0</v>
      </c>
      <c r="F18" s="4">
        <f>SUMIFS('[1]2026 Exp'!$C$4:$C$168,'[1]2026 Exp'!$A$4:$A$168,F$4,'[1]2026 Exp'!$B$4:$B$168,$B18)</f>
        <v>0</v>
      </c>
      <c r="G18" s="4">
        <f>SUMIFS('[1]2026 Exp'!$C$4:$C$168,'[1]2026 Exp'!$A$4:$A$168,G$4,'[1]2026 Exp'!$B$4:$B$168,$B18)</f>
        <v>0</v>
      </c>
      <c r="H18" s="4">
        <f>SUMIFS('[1]2026 Exp'!$C$4:$C$168,'[1]2026 Exp'!$A$4:$A$168,H$4,'[1]2026 Exp'!$B$4:$B$168,$B18)</f>
        <v>0</v>
      </c>
      <c r="I18" s="4">
        <f>SUMIFS('[1]2026 Exp'!$C$4:$C$168,'[1]2026 Exp'!$A$4:$A$168,I$4,'[1]2026 Exp'!$B$4:$B$168,$B18)</f>
        <v>0</v>
      </c>
      <c r="J18" s="4">
        <f t="shared" si="0"/>
        <v>9000</v>
      </c>
    </row>
    <row r="19" spans="1:10" x14ac:dyDescent="0.25">
      <c r="A19" s="3">
        <v>15</v>
      </c>
      <c r="B19" t="s">
        <v>26</v>
      </c>
      <c r="C19" s="4">
        <f>SUMIFS('[1]2026 Exp'!$C$4:$C$168,'[1]2026 Exp'!$A$4:$A$168,C$4,'[1]2026 Exp'!$B$4:$B$168,$B19)</f>
        <v>1700</v>
      </c>
      <c r="D19" s="4">
        <f>SUMIFS('[1]2026 Exp'!$C$4:$C$168,'[1]2026 Exp'!$A$4:$A$168,D$4,'[1]2026 Exp'!$B$4:$B$168,$B19)</f>
        <v>2400</v>
      </c>
      <c r="E19" s="4">
        <f>SUMIFS('[1]2026 Exp'!$C$4:$C$168,'[1]2026 Exp'!$A$4:$A$168,E$4,'[1]2026 Exp'!$B$4:$B$168,$B19)</f>
        <v>710</v>
      </c>
      <c r="F19" s="4">
        <f>SUMIFS('[1]2026 Exp'!$C$4:$C$168,'[1]2026 Exp'!$A$4:$A$168,F$4,'[1]2026 Exp'!$B$4:$B$168,$B19)</f>
        <v>2910</v>
      </c>
      <c r="G19" s="4">
        <f>SUMIFS('[1]2026 Exp'!$C$4:$C$168,'[1]2026 Exp'!$A$4:$A$168,G$4,'[1]2026 Exp'!$B$4:$B$168,$B19)</f>
        <v>3000</v>
      </c>
      <c r="H19" s="4">
        <f>SUMIFS('[1]2026 Exp'!$C$4:$C$168,'[1]2026 Exp'!$A$4:$A$168,H$4,'[1]2026 Exp'!$B$4:$B$168,$B19)</f>
        <v>3700</v>
      </c>
      <c r="I19" s="4">
        <f>SUMIFS('[1]2026 Exp'!$C$4:$C$168,'[1]2026 Exp'!$A$4:$A$168,I$4,'[1]2026 Exp'!$B$4:$B$168,$B19)</f>
        <v>4700</v>
      </c>
      <c r="J19" s="4">
        <f t="shared" si="0"/>
        <v>19120</v>
      </c>
    </row>
    <row r="20" spans="1:10" x14ac:dyDescent="0.25">
      <c r="A20" s="3">
        <v>16</v>
      </c>
      <c r="B20" t="s">
        <v>27</v>
      </c>
      <c r="C20" s="4">
        <f>SUMIFS('[1]2026 Exp'!$C$4:$C$168,'[1]2026 Exp'!$A$4:$A$168,C$4,'[1]2026 Exp'!$B$4:$B$168,$B20)</f>
        <v>13548.149099999999</v>
      </c>
      <c r="D20" s="4">
        <f>SUMIFS('[1]2026 Exp'!$C$4:$C$168,'[1]2026 Exp'!$A$4:$A$168,D$4,'[1]2026 Exp'!$B$4:$B$168,$B20)</f>
        <v>1855.5</v>
      </c>
      <c r="E20" s="4">
        <f>SUMIFS('[1]2026 Exp'!$C$4:$C$168,'[1]2026 Exp'!$A$4:$A$168,E$4,'[1]2026 Exp'!$B$4:$B$168,$B20)</f>
        <v>11692.65</v>
      </c>
      <c r="F20" s="4">
        <f>SUMIFS('[1]2026 Exp'!$C$4:$C$168,'[1]2026 Exp'!$A$4:$A$168,F$4,'[1]2026 Exp'!$B$4:$B$168,$B20)</f>
        <v>5000</v>
      </c>
      <c r="G20" s="4">
        <f>SUMIFS('[1]2026 Exp'!$C$4:$C$168,'[1]2026 Exp'!$A$4:$A$168,G$4,'[1]2026 Exp'!$B$4:$B$168,$B20)</f>
        <v>5000</v>
      </c>
      <c r="H20" s="4">
        <f>SUMIFS('[1]2026 Exp'!$C$4:$C$168,'[1]2026 Exp'!$A$4:$A$168,H$4,'[1]2026 Exp'!$B$4:$B$168,$B20)</f>
        <v>5000</v>
      </c>
      <c r="I20" s="4">
        <f>SUMIFS('[1]2026 Exp'!$C$4:$C$168,'[1]2026 Exp'!$A$4:$A$168,I$4,'[1]2026 Exp'!$B$4:$B$168,$B20)</f>
        <v>5000</v>
      </c>
      <c r="J20" s="4">
        <f t="shared" si="0"/>
        <v>47096.299099999997</v>
      </c>
    </row>
    <row r="21" spans="1:10" x14ac:dyDescent="0.25">
      <c r="A21" s="3">
        <v>17</v>
      </c>
      <c r="B21" t="s">
        <v>28</v>
      </c>
      <c r="C21" s="4">
        <f>SUMIFS('[1]2026 Exp'!$C$4:$C$168,'[1]2026 Exp'!$A$4:$A$168,C$4,'[1]2026 Exp'!$B$4:$B$168,$B21)</f>
        <v>300</v>
      </c>
      <c r="D21" s="4">
        <f>SUMIFS('[1]2026 Exp'!$C$4:$C$168,'[1]2026 Exp'!$A$4:$A$168,D$4,'[1]2026 Exp'!$B$4:$B$168,$B21)</f>
        <v>300</v>
      </c>
      <c r="E21" s="4">
        <f>SUMIFS('[1]2026 Exp'!$C$4:$C$168,'[1]2026 Exp'!$A$4:$A$168,E$4,'[1]2026 Exp'!$B$4:$B$168,$B21)</f>
        <v>300</v>
      </c>
      <c r="F21" s="4">
        <f>SUMIFS('[1]2026 Exp'!$C$4:$C$168,'[1]2026 Exp'!$A$4:$A$168,F$4,'[1]2026 Exp'!$B$4:$B$168,$B21)</f>
        <v>300</v>
      </c>
      <c r="G21" s="4">
        <f>SUMIFS('[1]2026 Exp'!$C$4:$C$168,'[1]2026 Exp'!$A$4:$A$168,G$4,'[1]2026 Exp'!$B$4:$B$168,$B21)</f>
        <v>300</v>
      </c>
      <c r="H21" s="4">
        <f>SUMIFS('[1]2026 Exp'!$C$4:$C$168,'[1]2026 Exp'!$A$4:$A$168,H$4,'[1]2026 Exp'!$B$4:$B$168,$B21)</f>
        <v>300</v>
      </c>
      <c r="I21" s="4">
        <f>SUMIFS('[1]2026 Exp'!$C$4:$C$168,'[1]2026 Exp'!$A$4:$A$168,I$4,'[1]2026 Exp'!$B$4:$B$168,$B21)</f>
        <v>300</v>
      </c>
      <c r="J21" s="4">
        <f t="shared" si="0"/>
        <v>2100</v>
      </c>
    </row>
    <row r="22" spans="1:10" x14ac:dyDescent="0.25">
      <c r="A22" s="3">
        <v>18</v>
      </c>
      <c r="B22" t="s">
        <v>29</v>
      </c>
      <c r="C22" s="4">
        <f>SUMIFS('[1]2026 Exp'!$C$4:$C$168,'[1]2026 Exp'!$A$4:$A$168,C$4,'[1]2026 Exp'!$B$4:$B$168,$B22)</f>
        <v>5000</v>
      </c>
      <c r="D22" s="4">
        <f>SUMIFS('[1]2026 Exp'!$C$4:$C$168,'[1]2026 Exp'!$A$4:$A$168,D$4,'[1]2026 Exp'!$B$4:$B$168,$B22)</f>
        <v>5000</v>
      </c>
      <c r="E22" s="4">
        <f>SUMIFS('[1]2026 Exp'!$C$4:$C$168,'[1]2026 Exp'!$A$4:$A$168,E$4,'[1]2026 Exp'!$B$4:$B$168,$B22)</f>
        <v>5000</v>
      </c>
      <c r="F22" s="4">
        <f>SUMIFS('[1]2026 Exp'!$C$4:$C$168,'[1]2026 Exp'!$A$4:$A$168,F$4,'[1]2026 Exp'!$B$4:$B$168,$B22)</f>
        <v>5000</v>
      </c>
      <c r="G22" s="4">
        <f>SUMIFS('[1]2026 Exp'!$C$4:$C$168,'[1]2026 Exp'!$A$4:$A$168,G$4,'[1]2026 Exp'!$B$4:$B$168,$B22)</f>
        <v>5000</v>
      </c>
      <c r="H22" s="4">
        <f>SUMIFS('[1]2026 Exp'!$C$4:$C$168,'[1]2026 Exp'!$A$4:$A$168,H$4,'[1]2026 Exp'!$B$4:$B$168,$B22)</f>
        <v>5000</v>
      </c>
      <c r="I22" s="4">
        <f>SUMIFS('[1]2026 Exp'!$C$4:$C$168,'[1]2026 Exp'!$A$4:$A$168,I$4,'[1]2026 Exp'!$B$4:$B$168,$B22)</f>
        <v>5000</v>
      </c>
      <c r="J22" s="4">
        <f t="shared" si="0"/>
        <v>35000</v>
      </c>
    </row>
    <row r="23" spans="1:10" x14ac:dyDescent="0.25">
      <c r="A23" s="3">
        <v>19</v>
      </c>
      <c r="B23" t="s">
        <v>30</v>
      </c>
      <c r="C23" s="4">
        <f>SUMIFS('[1]2026 Exp'!$C$4:$C$168,'[1]2026 Exp'!$A$4:$A$168,C$4,'[1]2026 Exp'!$B$4:$B$168,$B23)</f>
        <v>0</v>
      </c>
      <c r="D23" s="4">
        <f>SUMIFS('[1]2026 Exp'!$C$4:$C$168,'[1]2026 Exp'!$A$4:$A$168,D$4,'[1]2026 Exp'!$B$4:$B$168,$B23)</f>
        <v>0</v>
      </c>
      <c r="E23" s="4">
        <f>SUMIFS('[1]2026 Exp'!$C$4:$C$168,'[1]2026 Exp'!$A$4:$A$168,E$4,'[1]2026 Exp'!$B$4:$B$168,$B23)</f>
        <v>500</v>
      </c>
      <c r="F23" s="4">
        <f>SUMIFS('[1]2026 Exp'!$C$4:$C$168,'[1]2026 Exp'!$A$4:$A$168,F$4,'[1]2026 Exp'!$B$4:$B$168,$B23)</f>
        <v>500</v>
      </c>
      <c r="G23" s="4">
        <f>SUMIFS('[1]2026 Exp'!$C$4:$C$168,'[1]2026 Exp'!$A$4:$A$168,G$4,'[1]2026 Exp'!$B$4:$B$168,$B23)</f>
        <v>200</v>
      </c>
      <c r="H23" s="4">
        <f>SUMIFS('[1]2026 Exp'!$C$4:$C$168,'[1]2026 Exp'!$A$4:$A$168,H$4,'[1]2026 Exp'!$B$4:$B$168,$B23)</f>
        <v>0</v>
      </c>
      <c r="I23" s="4">
        <f>SUMIFS('[1]2026 Exp'!$C$4:$C$168,'[1]2026 Exp'!$A$4:$A$168,I$4,'[1]2026 Exp'!$B$4:$B$168,$B23)</f>
        <v>0</v>
      </c>
      <c r="J23" s="4">
        <f t="shared" si="0"/>
        <v>1200</v>
      </c>
    </row>
    <row r="24" spans="1:10" x14ac:dyDescent="0.25">
      <c r="A24" s="3">
        <v>20</v>
      </c>
      <c r="B24" t="s">
        <v>31</v>
      </c>
      <c r="C24" s="4">
        <f>SUMIFS('[1]2026 Exp'!$C$4:$C$168,'[1]2026 Exp'!$A$4:$A$168,C$4,'[1]2026 Exp'!$B$4:$B$168,$B24)</f>
        <v>33200</v>
      </c>
      <c r="D24" s="4">
        <f>SUMIFS('[1]2026 Exp'!$C$4:$C$168,'[1]2026 Exp'!$A$4:$A$168,D$4,'[1]2026 Exp'!$B$4:$B$168,$B24)</f>
        <v>36500</v>
      </c>
      <c r="E24" s="4">
        <f>SUMIFS('[1]2026 Exp'!$C$4:$C$168,'[1]2026 Exp'!$A$4:$A$168,E$4,'[1]2026 Exp'!$B$4:$B$168,$B24)</f>
        <v>37700</v>
      </c>
      <c r="F24" s="4">
        <f>SUMIFS('[1]2026 Exp'!$C$4:$C$168,'[1]2026 Exp'!$A$4:$A$168,F$4,'[1]2026 Exp'!$B$4:$B$168,$B24)</f>
        <v>40000</v>
      </c>
      <c r="G24" s="4">
        <f>SUMIFS('[1]2026 Exp'!$C$4:$C$168,'[1]2026 Exp'!$A$4:$A$168,G$4,'[1]2026 Exp'!$B$4:$B$168,$B24)</f>
        <v>41000</v>
      </c>
      <c r="H24" s="4">
        <f>SUMIFS('[1]2026 Exp'!$C$4:$C$168,'[1]2026 Exp'!$A$4:$A$168,H$4,'[1]2026 Exp'!$B$4:$B$168,$B24)</f>
        <v>40489.620000000003</v>
      </c>
      <c r="I24" s="4">
        <f>SUMIFS('[1]2026 Exp'!$C$4:$C$168,'[1]2026 Exp'!$A$4:$A$168,I$4,'[1]2026 Exp'!$B$4:$B$168,$B24)</f>
        <v>43250</v>
      </c>
      <c r="J24" s="4">
        <f t="shared" si="0"/>
        <v>272139.62</v>
      </c>
    </row>
    <row r="25" spans="1:10" x14ac:dyDescent="0.25">
      <c r="A25" s="3">
        <v>21</v>
      </c>
      <c r="B25" t="s">
        <v>32</v>
      </c>
      <c r="C25" s="4">
        <f>SUMIFS('[1]2026 Exp'!$C$4:$C$168,'[1]2026 Exp'!$A$4:$A$168,C$4,'[1]2026 Exp'!$B$4:$B$168,$B25)</f>
        <v>1210</v>
      </c>
      <c r="D25" s="4">
        <f>SUMIFS('[1]2026 Exp'!$C$4:$C$168,'[1]2026 Exp'!$A$4:$A$168,D$4,'[1]2026 Exp'!$B$4:$B$168,$B25)</f>
        <v>1210</v>
      </c>
      <c r="E25" s="4">
        <f>SUMIFS('[1]2026 Exp'!$C$4:$C$168,'[1]2026 Exp'!$A$4:$A$168,E$4,'[1]2026 Exp'!$B$4:$B$168,$B25)</f>
        <v>1210</v>
      </c>
      <c r="F25" s="4">
        <f>SUMIFS('[1]2026 Exp'!$C$4:$C$168,'[1]2026 Exp'!$A$4:$A$168,F$4,'[1]2026 Exp'!$B$4:$B$168,$B25)</f>
        <v>1210</v>
      </c>
      <c r="G25" s="4">
        <f>SUMIFS('[1]2026 Exp'!$C$4:$C$168,'[1]2026 Exp'!$A$4:$A$168,G$4,'[1]2026 Exp'!$B$4:$B$168,$B25)</f>
        <v>1210</v>
      </c>
      <c r="H25" s="4">
        <f>SUMIFS('[1]2026 Exp'!$C$4:$C$168,'[1]2026 Exp'!$A$4:$A$168,H$4,'[1]2026 Exp'!$B$4:$B$168,$B25)</f>
        <v>1210</v>
      </c>
      <c r="I25" s="4">
        <f>SUMIFS('[1]2026 Exp'!$C$4:$C$168,'[1]2026 Exp'!$A$4:$A$168,I$4,'[1]2026 Exp'!$B$4:$B$168,$B25)</f>
        <v>1210</v>
      </c>
      <c r="J25" s="4">
        <f t="shared" si="0"/>
        <v>8470</v>
      </c>
    </row>
    <row r="26" spans="1:10" x14ac:dyDescent="0.25">
      <c r="A26" s="3">
        <v>22</v>
      </c>
      <c r="B26" t="s">
        <v>33</v>
      </c>
      <c r="C26" s="4">
        <f>SUMIFS('[1]2026 Exp'!$C$4:$C$168,'[1]2026 Exp'!$A$4:$A$168,C$4,'[1]2026 Exp'!$B$4:$B$168,$B26)</f>
        <v>0</v>
      </c>
      <c r="D26" s="4">
        <f>SUMIFS('[1]2026 Exp'!$C$4:$C$168,'[1]2026 Exp'!$A$4:$A$168,D$4,'[1]2026 Exp'!$B$4:$B$168,$B26)</f>
        <v>0</v>
      </c>
      <c r="E26" s="4">
        <f>SUMIFS('[1]2026 Exp'!$C$4:$C$168,'[1]2026 Exp'!$A$4:$A$168,E$4,'[1]2026 Exp'!$B$4:$B$168,$B26)</f>
        <v>0</v>
      </c>
      <c r="F26" s="4">
        <f>SUMIFS('[1]2026 Exp'!$C$4:$C$168,'[1]2026 Exp'!$A$4:$A$168,F$4,'[1]2026 Exp'!$B$4:$B$168,$B26)</f>
        <v>0</v>
      </c>
      <c r="G26" s="4">
        <f>SUMIFS('[1]2026 Exp'!$C$4:$C$168,'[1]2026 Exp'!$A$4:$A$168,G$4,'[1]2026 Exp'!$B$4:$B$168,$B26)</f>
        <v>0</v>
      </c>
      <c r="H26" s="4">
        <f>SUMIFS('[1]2026 Exp'!$C$4:$C$168,'[1]2026 Exp'!$A$4:$A$168,H$4,'[1]2026 Exp'!$B$4:$B$168,$B26)</f>
        <v>132</v>
      </c>
      <c r="I26" s="4">
        <f>SUMIFS('[1]2026 Exp'!$C$4:$C$168,'[1]2026 Exp'!$A$4:$A$168,I$4,'[1]2026 Exp'!$B$4:$B$168,$B26)</f>
        <v>0</v>
      </c>
      <c r="J26" s="4">
        <f t="shared" si="0"/>
        <v>132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Santiago</dc:creator>
  <cp:lastModifiedBy>Fred Santiago</cp:lastModifiedBy>
  <dcterms:created xsi:type="dcterms:W3CDTF">2026-10-03T02:41:31Z</dcterms:created>
  <dcterms:modified xsi:type="dcterms:W3CDTF">2026-10-03T02:42:37Z</dcterms:modified>
</cp:coreProperties>
</file>